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4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Ex1.xml" ContentType="application/vnd.ms-office.chartex+xml"/>
  <Override PartName="/xl/charts/chartEx2.xml" ContentType="application/vnd.ms-office.chartex+xml"/>
  <Override PartName="/xl/charts/chartEx3.xml" ContentType="application/vnd.ms-office.chartex+xml"/>
  <Override PartName="/xl/charts/chartEx4.xml" ContentType="application/vnd.ms-office.chartex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D:\Usuarios\SP44812227\Documents\00_Analisis\analisis proudctividad\"/>
    </mc:Choice>
  </mc:AlternateContent>
  <bookViews>
    <workbookView xWindow="-110" yWindow="-110" windowWidth="30940" windowHeight="16780" firstSheet="1" activeTab="9"/>
  </bookViews>
  <sheets>
    <sheet name="graf1" sheetId="9" r:id="rId1"/>
    <sheet name="graf2" sheetId="10" r:id="rId2"/>
    <sheet name="graf3" sheetId="11" r:id="rId3"/>
    <sheet name="graf4" sheetId="13" r:id="rId4"/>
    <sheet name="bd2" sheetId="8" r:id="rId5"/>
    <sheet name="Hoja12" sheetId="12" r:id="rId6"/>
    <sheet name="Hoja1" sheetId="14" r:id="rId7"/>
    <sheet name="Hoja2" sheetId="15" r:id="rId8"/>
    <sheet name="Hoja3" sheetId="16" r:id="rId9"/>
    <sheet name="Hoja4" sheetId="17" r:id="rId10"/>
  </sheets>
  <definedNames>
    <definedName name="_xlnm._FilterDatabase" localSheetId="1" hidden="1">graf2!$G$1:$I$3191</definedName>
    <definedName name="_xlnm._FilterDatabase" localSheetId="3" hidden="1">graf4!$Q$107:$Z$116</definedName>
    <definedName name="_xlnm._FilterDatabase" localSheetId="8" hidden="1">Hoja3!$P$6:$X$15</definedName>
    <definedName name="_xlchart.v1.0" hidden="1">graf1!$F$1</definedName>
    <definedName name="_xlchart.v1.1" hidden="1">graf1!$F$2:$F$3191</definedName>
    <definedName name="_xlchart.v1.10" hidden="1">graf1!$H$1</definedName>
    <definedName name="_xlchart.v1.11" hidden="1">graf1!$H$2:$H$3191</definedName>
    <definedName name="_xlchart.v1.12" hidden="1">graf2!$H$1</definedName>
    <definedName name="_xlchart.v1.13" hidden="1">graf2!$H$2:$H$3191</definedName>
    <definedName name="_xlchart.v1.14" hidden="1">graf2!$I$1</definedName>
    <definedName name="_xlchart.v1.15" hidden="1">graf2!$I$2:$I$3191</definedName>
    <definedName name="_xlchart.v1.16" hidden="1">graf3!$E$13:$E$16</definedName>
    <definedName name="_xlchart.v1.17" hidden="1">graf3!$F$13:$F$16</definedName>
    <definedName name="_xlchart.v1.18" hidden="1">graf3!$K$13:$K$16</definedName>
    <definedName name="_xlchart.v1.19" hidden="1">graf3!$L$13:$L$16</definedName>
    <definedName name="_xlchart.v1.2" hidden="1">graf1!$G$1</definedName>
    <definedName name="_xlchart.v1.3" hidden="1">graf1!$G$2:$G$3191</definedName>
    <definedName name="_xlchart.v1.4" hidden="1">graf1!$H$1</definedName>
    <definedName name="_xlchart.v1.5" hidden="1">graf1!$H$2:$H$3191</definedName>
    <definedName name="_xlchart.v1.6" hidden="1">graf1!$F$1</definedName>
    <definedName name="_xlchart.v1.7" hidden="1">graf1!$F$2:$F$3191</definedName>
    <definedName name="_xlchart.v1.8" hidden="1">graf1!$G$1</definedName>
    <definedName name="_xlchart.v1.9" hidden="1">graf1!$G$2:$G$3191</definedName>
    <definedName name="DatosExternos_1" localSheetId="4" hidden="1">'bd2'!$A$1:$N$3302</definedName>
    <definedName name="DatosExternos_1" localSheetId="6" hidden="1">Hoja1!$A$1:$D$109</definedName>
    <definedName name="DatosExternos_1" localSheetId="5" hidden="1">Hoja12!$A$1:$J$9</definedName>
    <definedName name="DatosExternos_1" localSheetId="8" hidden="1">Hoja3!$A$1:$F$55</definedName>
    <definedName name="DatosExternos_1" localSheetId="9" hidden="1">Hoja4!$A$1:$D$112</definedName>
  </definedNames>
  <calcPr calcId="162913"/>
  <pivotCaches>
    <pivotCache cacheId="0" r:id="rId11"/>
    <pivotCache cacheId="1" r:id="rId12"/>
    <pivotCache cacheId="2" r:id="rId13"/>
    <pivotCache cacheId="3" r:id="rId14"/>
    <pivotCache cacheId="4" r:id="rId15"/>
    <pivotCache cacheId="8" r:id="rId16"/>
    <pivotCache cacheId="14" r:id="rId17"/>
    <pivotCache cacheId="26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2" i="17" l="1"/>
  <c r="E111" i="17"/>
  <c r="E110" i="17"/>
  <c r="E109" i="17"/>
  <c r="E108" i="17"/>
  <c r="E107" i="17"/>
  <c r="E106" i="17"/>
  <c r="E105" i="17"/>
  <c r="E104" i="17"/>
  <c r="E103" i="17"/>
  <c r="E102" i="17"/>
  <c r="E101" i="17"/>
  <c r="E100" i="17"/>
  <c r="E99" i="17"/>
  <c r="E98" i="17"/>
  <c r="E97" i="17"/>
  <c r="E96" i="17"/>
  <c r="E95" i="17"/>
  <c r="E94" i="17"/>
  <c r="E93" i="17"/>
  <c r="E92" i="17"/>
  <c r="E91" i="17"/>
  <c r="E90" i="17"/>
  <c r="E89" i="17"/>
  <c r="E88" i="17"/>
  <c r="E87" i="17"/>
  <c r="E86" i="17"/>
  <c r="E85" i="17"/>
  <c r="E84" i="17"/>
  <c r="E83" i="17"/>
  <c r="E82" i="17"/>
  <c r="E81" i="17"/>
  <c r="E80" i="17"/>
  <c r="E79" i="17"/>
  <c r="E78" i="17"/>
  <c r="E77" i="17"/>
  <c r="E75" i="17"/>
  <c r="E76" i="17"/>
  <c r="E74" i="17"/>
  <c r="E73" i="17"/>
  <c r="E72" i="17"/>
  <c r="E71" i="17"/>
  <c r="E70" i="17"/>
  <c r="E69" i="17"/>
  <c r="E68" i="17"/>
  <c r="E67" i="17"/>
  <c r="E66" i="17"/>
  <c r="E65" i="17"/>
  <c r="E64" i="17"/>
  <c r="E63" i="17"/>
  <c r="E62" i="17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0" i="17"/>
  <c r="E39" i="17"/>
  <c r="E38" i="17"/>
  <c r="E36" i="17"/>
  <c r="E37" i="17"/>
  <c r="E35" i="17"/>
  <c r="E34" i="17"/>
  <c r="E33" i="17"/>
  <c r="E32" i="17"/>
  <c r="E31" i="17"/>
  <c r="E30" i="17"/>
  <c r="E29" i="17"/>
  <c r="E28" i="17"/>
  <c r="E27" i="17"/>
  <c r="E26" i="17"/>
  <c r="E25" i="17"/>
  <c r="E24" i="17"/>
  <c r="E23" i="17"/>
  <c r="E22" i="17"/>
  <c r="E21" i="17"/>
  <c r="E20" i="17"/>
  <c r="E19" i="17"/>
  <c r="E18" i="17"/>
  <c r="E17" i="17"/>
  <c r="E16" i="17"/>
  <c r="E15" i="17"/>
  <c r="E14" i="17"/>
  <c r="E13" i="17"/>
  <c r="E12" i="17"/>
  <c r="E11" i="17"/>
  <c r="E10" i="17"/>
  <c r="E9" i="17"/>
  <c r="E8" i="17"/>
  <c r="E7" i="17"/>
  <c r="E6" i="17"/>
  <c r="E5" i="17"/>
  <c r="E4" i="17"/>
  <c r="E3" i="17"/>
  <c r="E2" i="17"/>
  <c r="S115" i="13" l="1"/>
  <c r="S108" i="13"/>
  <c r="S113" i="13"/>
  <c r="S110" i="13"/>
  <c r="S116" i="13"/>
  <c r="S109" i="13"/>
  <c r="S111" i="13"/>
  <c r="S112" i="13"/>
  <c r="S118" i="13"/>
  <c r="S114" i="13"/>
  <c r="R115" i="13"/>
  <c r="R108" i="13"/>
  <c r="R113" i="13"/>
  <c r="R110" i="13"/>
  <c r="R116" i="13"/>
  <c r="R109" i="13"/>
  <c r="R111" i="13"/>
  <c r="R112" i="13"/>
  <c r="R118" i="13"/>
  <c r="R114" i="13"/>
  <c r="O37" i="13"/>
  <c r="O38" i="13"/>
  <c r="O39" i="13"/>
  <c r="O40" i="13"/>
  <c r="O41" i="13"/>
  <c r="O42" i="13"/>
  <c r="O43" i="13"/>
  <c r="O44" i="13"/>
  <c r="O36" i="13"/>
  <c r="W4" i="13"/>
  <c r="W5" i="13"/>
  <c r="W6" i="13"/>
  <c r="W7" i="13"/>
  <c r="W8" i="13"/>
  <c r="W9" i="13"/>
  <c r="W10" i="13"/>
  <c r="W11" i="13"/>
  <c r="W12" i="13"/>
  <c r="W13" i="13"/>
  <c r="W14" i="13"/>
  <c r="W15" i="13"/>
  <c r="W16" i="13"/>
  <c r="W17" i="13"/>
  <c r="W18" i="13"/>
  <c r="W19" i="13"/>
  <c r="W20" i="13"/>
  <c r="W21" i="13"/>
  <c r="W22" i="13"/>
  <c r="W23" i="13"/>
  <c r="W24" i="13"/>
  <c r="W25" i="13"/>
  <c r="W26" i="13"/>
  <c r="W27" i="13"/>
  <c r="W28" i="13"/>
  <c r="W29" i="13"/>
  <c r="W30" i="13"/>
  <c r="W31" i="13"/>
  <c r="W32" i="13"/>
  <c r="W33" i="13"/>
  <c r="W34" i="13"/>
  <c r="W35" i="13"/>
  <c r="W36" i="13"/>
  <c r="W37" i="13"/>
  <c r="W38" i="13"/>
  <c r="W39" i="13"/>
  <c r="W40" i="13"/>
  <c r="W41" i="13"/>
  <c r="W42" i="13"/>
  <c r="W43" i="13"/>
  <c r="W44" i="13"/>
  <c r="W45" i="13"/>
  <c r="W46" i="13"/>
  <c r="W47" i="13"/>
  <c r="W48" i="13"/>
  <c r="W49" i="13"/>
  <c r="W50" i="13"/>
  <c r="W51" i="13"/>
  <c r="W52" i="13"/>
  <c r="W53" i="13"/>
  <c r="W54" i="13"/>
  <c r="W55" i="13"/>
  <c r="W3" i="13"/>
  <c r="W2" i="13"/>
  <c r="C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2" i="13"/>
  <c r="G5" i="11"/>
  <c r="F5" i="11"/>
  <c r="E5" i="11"/>
  <c r="E6" i="11"/>
  <c r="F6" i="11"/>
  <c r="G6" i="11"/>
  <c r="L6" i="11"/>
  <c r="K6" i="11"/>
  <c r="F9" i="11"/>
  <c r="L5" i="11"/>
  <c r="M10" i="11" s="1"/>
  <c r="F13" i="11"/>
  <c r="G9" i="11"/>
  <c r="K20" i="10"/>
  <c r="K21" i="9"/>
  <c r="J21" i="9"/>
  <c r="D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93" i="8"/>
  <c r="D894" i="8"/>
  <c r="D895" i="8"/>
  <c r="D896" i="8"/>
  <c r="D897" i="8"/>
  <c r="D898" i="8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920" i="8"/>
  <c r="D921" i="8"/>
  <c r="D922" i="8"/>
  <c r="D923" i="8"/>
  <c r="D924" i="8"/>
  <c r="D925" i="8"/>
  <c r="D926" i="8"/>
  <c r="D927" i="8"/>
  <c r="D928" i="8"/>
  <c r="D929" i="8"/>
  <c r="D930" i="8"/>
  <c r="D931" i="8"/>
  <c r="D932" i="8"/>
  <c r="D933" i="8"/>
  <c r="D934" i="8"/>
  <c r="D935" i="8"/>
  <c r="D936" i="8"/>
  <c r="D937" i="8"/>
  <c r="D938" i="8"/>
  <c r="D939" i="8"/>
  <c r="D940" i="8"/>
  <c r="D941" i="8"/>
  <c r="D942" i="8"/>
  <c r="D943" i="8"/>
  <c r="D944" i="8"/>
  <c r="D945" i="8"/>
  <c r="D946" i="8"/>
  <c r="D947" i="8"/>
  <c r="D948" i="8"/>
  <c r="D949" i="8"/>
  <c r="D950" i="8"/>
  <c r="D951" i="8"/>
  <c r="D952" i="8"/>
  <c r="D953" i="8"/>
  <c r="D954" i="8"/>
  <c r="D955" i="8"/>
  <c r="D956" i="8"/>
  <c r="D957" i="8"/>
  <c r="D958" i="8"/>
  <c r="D959" i="8"/>
  <c r="D960" i="8"/>
  <c r="D961" i="8"/>
  <c r="D962" i="8"/>
  <c r="D963" i="8"/>
  <c r="D964" i="8"/>
  <c r="D965" i="8"/>
  <c r="D966" i="8"/>
  <c r="D967" i="8"/>
  <c r="D968" i="8"/>
  <c r="D969" i="8"/>
  <c r="D970" i="8"/>
  <c r="D971" i="8"/>
  <c r="D972" i="8"/>
  <c r="D973" i="8"/>
  <c r="D974" i="8"/>
  <c r="D975" i="8"/>
  <c r="D976" i="8"/>
  <c r="D977" i="8"/>
  <c r="D978" i="8"/>
  <c r="D979" i="8"/>
  <c r="D980" i="8"/>
  <c r="D981" i="8"/>
  <c r="D982" i="8"/>
  <c r="D983" i="8"/>
  <c r="D984" i="8"/>
  <c r="D985" i="8"/>
  <c r="D986" i="8"/>
  <c r="D987" i="8"/>
  <c r="D988" i="8"/>
  <c r="D989" i="8"/>
  <c r="D990" i="8"/>
  <c r="D991" i="8"/>
  <c r="D992" i="8"/>
  <c r="D993" i="8"/>
  <c r="D994" i="8"/>
  <c r="D995" i="8"/>
  <c r="D996" i="8"/>
  <c r="D997" i="8"/>
  <c r="D998" i="8"/>
  <c r="D999" i="8"/>
  <c r="D1000" i="8"/>
  <c r="D1001" i="8"/>
  <c r="D1002" i="8"/>
  <c r="D1003" i="8"/>
  <c r="D1004" i="8"/>
  <c r="D1005" i="8"/>
  <c r="D1006" i="8"/>
  <c r="D1007" i="8"/>
  <c r="D1008" i="8"/>
  <c r="D1009" i="8"/>
  <c r="D1010" i="8"/>
  <c r="D1011" i="8"/>
  <c r="D1012" i="8"/>
  <c r="D1013" i="8"/>
  <c r="D1014" i="8"/>
  <c r="D1015" i="8"/>
  <c r="D1016" i="8"/>
  <c r="D1017" i="8"/>
  <c r="D1018" i="8"/>
  <c r="D1019" i="8"/>
  <c r="D1020" i="8"/>
  <c r="D1021" i="8"/>
  <c r="D1022" i="8"/>
  <c r="D1023" i="8"/>
  <c r="D1024" i="8"/>
  <c r="D1025" i="8"/>
  <c r="D1026" i="8"/>
  <c r="D1027" i="8"/>
  <c r="D1028" i="8"/>
  <c r="D1029" i="8"/>
  <c r="D1030" i="8"/>
  <c r="D1031" i="8"/>
  <c r="D1032" i="8"/>
  <c r="D1033" i="8"/>
  <c r="D1034" i="8"/>
  <c r="D1035" i="8"/>
  <c r="D1036" i="8"/>
  <c r="D1037" i="8"/>
  <c r="D1038" i="8"/>
  <c r="D1039" i="8"/>
  <c r="D1040" i="8"/>
  <c r="D1041" i="8"/>
  <c r="D1042" i="8"/>
  <c r="D1043" i="8"/>
  <c r="D1044" i="8"/>
  <c r="D1045" i="8"/>
  <c r="D1046" i="8"/>
  <c r="D1047" i="8"/>
  <c r="D1048" i="8"/>
  <c r="D1049" i="8"/>
  <c r="D1050" i="8"/>
  <c r="D1051" i="8"/>
  <c r="D1052" i="8"/>
  <c r="D1053" i="8"/>
  <c r="D1054" i="8"/>
  <c r="D1055" i="8"/>
  <c r="D1056" i="8"/>
  <c r="D1057" i="8"/>
  <c r="D1058" i="8"/>
  <c r="D1059" i="8"/>
  <c r="D1060" i="8"/>
  <c r="D1061" i="8"/>
  <c r="D1062" i="8"/>
  <c r="D1063" i="8"/>
  <c r="D1064" i="8"/>
  <c r="D1065" i="8"/>
  <c r="D1066" i="8"/>
  <c r="D1067" i="8"/>
  <c r="D1068" i="8"/>
  <c r="D1069" i="8"/>
  <c r="D1070" i="8"/>
  <c r="D1071" i="8"/>
  <c r="D1072" i="8"/>
  <c r="D1073" i="8"/>
  <c r="D1074" i="8"/>
  <c r="D1075" i="8"/>
  <c r="D1076" i="8"/>
  <c r="D1077" i="8"/>
  <c r="D1078" i="8"/>
  <c r="D1079" i="8"/>
  <c r="D1080" i="8"/>
  <c r="D1081" i="8"/>
  <c r="D1082" i="8"/>
  <c r="D1083" i="8"/>
  <c r="D1084" i="8"/>
  <c r="D1085" i="8"/>
  <c r="D1086" i="8"/>
  <c r="D1087" i="8"/>
  <c r="D1088" i="8"/>
  <c r="D1089" i="8"/>
  <c r="D1090" i="8"/>
  <c r="D1091" i="8"/>
  <c r="D1092" i="8"/>
  <c r="D1093" i="8"/>
  <c r="D1094" i="8"/>
  <c r="D1095" i="8"/>
  <c r="D1096" i="8"/>
  <c r="D1097" i="8"/>
  <c r="D1098" i="8"/>
  <c r="D1099" i="8"/>
  <c r="D1100" i="8"/>
  <c r="D1101" i="8"/>
  <c r="D1102" i="8"/>
  <c r="D1103" i="8"/>
  <c r="D1104" i="8"/>
  <c r="D1105" i="8"/>
  <c r="D1106" i="8"/>
  <c r="D1107" i="8"/>
  <c r="D1108" i="8"/>
  <c r="D1109" i="8"/>
  <c r="D1110" i="8"/>
  <c r="D1111" i="8"/>
  <c r="D1112" i="8"/>
  <c r="D1113" i="8"/>
  <c r="D1114" i="8"/>
  <c r="D1115" i="8"/>
  <c r="D1116" i="8"/>
  <c r="D1117" i="8"/>
  <c r="D1118" i="8"/>
  <c r="D1119" i="8"/>
  <c r="D1120" i="8"/>
  <c r="D1121" i="8"/>
  <c r="D1122" i="8"/>
  <c r="D1123" i="8"/>
  <c r="D1124" i="8"/>
  <c r="D1125" i="8"/>
  <c r="D1126" i="8"/>
  <c r="D1127" i="8"/>
  <c r="D1128" i="8"/>
  <c r="D1129" i="8"/>
  <c r="D1130" i="8"/>
  <c r="D1131" i="8"/>
  <c r="D1132" i="8"/>
  <c r="D1133" i="8"/>
  <c r="D1134" i="8"/>
  <c r="D1135" i="8"/>
  <c r="D1136" i="8"/>
  <c r="D1137" i="8"/>
  <c r="D1138" i="8"/>
  <c r="D1139" i="8"/>
  <c r="D1140" i="8"/>
  <c r="D1141" i="8"/>
  <c r="D1142" i="8"/>
  <c r="D1143" i="8"/>
  <c r="D1144" i="8"/>
  <c r="D1145" i="8"/>
  <c r="D1146" i="8"/>
  <c r="D1147" i="8"/>
  <c r="D1148" i="8"/>
  <c r="D1149" i="8"/>
  <c r="D1150" i="8"/>
  <c r="D1151" i="8"/>
  <c r="D1152" i="8"/>
  <c r="D1153" i="8"/>
  <c r="D1154" i="8"/>
  <c r="D1155" i="8"/>
  <c r="D1156" i="8"/>
  <c r="D1157" i="8"/>
  <c r="D1158" i="8"/>
  <c r="D1159" i="8"/>
  <c r="D1160" i="8"/>
  <c r="D1161" i="8"/>
  <c r="D1162" i="8"/>
  <c r="D1163" i="8"/>
  <c r="D1164" i="8"/>
  <c r="D1165" i="8"/>
  <c r="D1166" i="8"/>
  <c r="D1167" i="8"/>
  <c r="D1168" i="8"/>
  <c r="D1169" i="8"/>
  <c r="D1170" i="8"/>
  <c r="D1171" i="8"/>
  <c r="D1172" i="8"/>
  <c r="D1173" i="8"/>
  <c r="D1174" i="8"/>
  <c r="D1175" i="8"/>
  <c r="D1176" i="8"/>
  <c r="D1177" i="8"/>
  <c r="D1178" i="8"/>
  <c r="D1179" i="8"/>
  <c r="D1180" i="8"/>
  <c r="D1181" i="8"/>
  <c r="D1182" i="8"/>
  <c r="D1183" i="8"/>
  <c r="D1184" i="8"/>
  <c r="D1185" i="8"/>
  <c r="D1186" i="8"/>
  <c r="D1187" i="8"/>
  <c r="D1188" i="8"/>
  <c r="D1189" i="8"/>
  <c r="D1190" i="8"/>
  <c r="D1191" i="8"/>
  <c r="D1192" i="8"/>
  <c r="D1193" i="8"/>
  <c r="D1194" i="8"/>
  <c r="D1195" i="8"/>
  <c r="D1196" i="8"/>
  <c r="D1197" i="8"/>
  <c r="D1198" i="8"/>
  <c r="D1199" i="8"/>
  <c r="D1200" i="8"/>
  <c r="D1201" i="8"/>
  <c r="D1202" i="8"/>
  <c r="D1203" i="8"/>
  <c r="D1204" i="8"/>
  <c r="D1205" i="8"/>
  <c r="D1206" i="8"/>
  <c r="D1207" i="8"/>
  <c r="D1208" i="8"/>
  <c r="D1209" i="8"/>
  <c r="D1210" i="8"/>
  <c r="D1211" i="8"/>
  <c r="D1212" i="8"/>
  <c r="D1213" i="8"/>
  <c r="D1214" i="8"/>
  <c r="D1215" i="8"/>
  <c r="D1216" i="8"/>
  <c r="D1217" i="8"/>
  <c r="D1218" i="8"/>
  <c r="D1219" i="8"/>
  <c r="D1220" i="8"/>
  <c r="D1221" i="8"/>
  <c r="D1222" i="8"/>
  <c r="D1223" i="8"/>
  <c r="D1224" i="8"/>
  <c r="D1225" i="8"/>
  <c r="D1226" i="8"/>
  <c r="D1227" i="8"/>
  <c r="D1228" i="8"/>
  <c r="D1229" i="8"/>
  <c r="D1230" i="8"/>
  <c r="D1231" i="8"/>
  <c r="D1232" i="8"/>
  <c r="D1233" i="8"/>
  <c r="D1234" i="8"/>
  <c r="D1235" i="8"/>
  <c r="D1236" i="8"/>
  <c r="D1237" i="8"/>
  <c r="D1238" i="8"/>
  <c r="D1239" i="8"/>
  <c r="D1240" i="8"/>
  <c r="D1241" i="8"/>
  <c r="D1242" i="8"/>
  <c r="D1243" i="8"/>
  <c r="D1244" i="8"/>
  <c r="D1245" i="8"/>
  <c r="D1246" i="8"/>
  <c r="D1247" i="8"/>
  <c r="D1248" i="8"/>
  <c r="D1249" i="8"/>
  <c r="D1250" i="8"/>
  <c r="D1251" i="8"/>
  <c r="D1252" i="8"/>
  <c r="D1253" i="8"/>
  <c r="D1254" i="8"/>
  <c r="D1255" i="8"/>
  <c r="D1256" i="8"/>
  <c r="D1257" i="8"/>
  <c r="D1258" i="8"/>
  <c r="D1259" i="8"/>
  <c r="D1260" i="8"/>
  <c r="D1261" i="8"/>
  <c r="D1262" i="8"/>
  <c r="D1263" i="8"/>
  <c r="D1264" i="8"/>
  <c r="D1265" i="8"/>
  <c r="D1266" i="8"/>
  <c r="D1267" i="8"/>
  <c r="D1268" i="8"/>
  <c r="D1269" i="8"/>
  <c r="D1270" i="8"/>
  <c r="D1271" i="8"/>
  <c r="D1272" i="8"/>
  <c r="D1273" i="8"/>
  <c r="D1274" i="8"/>
  <c r="D1275" i="8"/>
  <c r="D1276" i="8"/>
  <c r="D1277" i="8"/>
  <c r="D1278" i="8"/>
  <c r="D1279" i="8"/>
  <c r="D1280" i="8"/>
  <c r="D1281" i="8"/>
  <c r="D1282" i="8"/>
  <c r="D1283" i="8"/>
  <c r="D1284" i="8"/>
  <c r="D1285" i="8"/>
  <c r="D1286" i="8"/>
  <c r="D1287" i="8"/>
  <c r="D1288" i="8"/>
  <c r="D1289" i="8"/>
  <c r="D1290" i="8"/>
  <c r="D1291" i="8"/>
  <c r="D1292" i="8"/>
  <c r="D1293" i="8"/>
  <c r="D1294" i="8"/>
  <c r="D1295" i="8"/>
  <c r="D1296" i="8"/>
  <c r="D1297" i="8"/>
  <c r="D1298" i="8"/>
  <c r="D1299" i="8"/>
  <c r="D1300" i="8"/>
  <c r="D1301" i="8"/>
  <c r="D1302" i="8"/>
  <c r="D1303" i="8"/>
  <c r="D1304" i="8"/>
  <c r="D1305" i="8"/>
  <c r="D1306" i="8"/>
  <c r="D1307" i="8"/>
  <c r="D1308" i="8"/>
  <c r="D1309" i="8"/>
  <c r="D1310" i="8"/>
  <c r="D1311" i="8"/>
  <c r="D1312" i="8"/>
  <c r="D1313" i="8"/>
  <c r="D1314" i="8"/>
  <c r="D1315" i="8"/>
  <c r="D1316" i="8"/>
  <c r="D1317" i="8"/>
  <c r="D1318" i="8"/>
  <c r="D1319" i="8"/>
  <c r="D1320" i="8"/>
  <c r="D1321" i="8"/>
  <c r="D1322" i="8"/>
  <c r="D1323" i="8"/>
  <c r="D1324" i="8"/>
  <c r="D1325" i="8"/>
  <c r="D1326" i="8"/>
  <c r="D1327" i="8"/>
  <c r="D1328" i="8"/>
  <c r="D1329" i="8"/>
  <c r="D1330" i="8"/>
  <c r="D1331" i="8"/>
  <c r="D1332" i="8"/>
  <c r="D1333" i="8"/>
  <c r="D1334" i="8"/>
  <c r="D1335" i="8"/>
  <c r="D1336" i="8"/>
  <c r="D1337" i="8"/>
  <c r="D1338" i="8"/>
  <c r="D1339" i="8"/>
  <c r="D1340" i="8"/>
  <c r="D1341" i="8"/>
  <c r="D1342" i="8"/>
  <c r="D1343" i="8"/>
  <c r="D1344" i="8"/>
  <c r="D1345" i="8"/>
  <c r="D1346" i="8"/>
  <c r="D1347" i="8"/>
  <c r="D1348" i="8"/>
  <c r="D1349" i="8"/>
  <c r="D1350" i="8"/>
  <c r="D1351" i="8"/>
  <c r="D1352" i="8"/>
  <c r="D1353" i="8"/>
  <c r="D1354" i="8"/>
  <c r="D1355" i="8"/>
  <c r="D1356" i="8"/>
  <c r="D1357" i="8"/>
  <c r="D1358" i="8"/>
  <c r="D1359" i="8"/>
  <c r="D1360" i="8"/>
  <c r="D1361" i="8"/>
  <c r="D1362" i="8"/>
  <c r="D1363" i="8"/>
  <c r="D1364" i="8"/>
  <c r="D1365" i="8"/>
  <c r="D1366" i="8"/>
  <c r="D1367" i="8"/>
  <c r="D1368" i="8"/>
  <c r="D1369" i="8"/>
  <c r="D1370" i="8"/>
  <c r="D1371" i="8"/>
  <c r="D1372" i="8"/>
  <c r="D1373" i="8"/>
  <c r="D1374" i="8"/>
  <c r="D1375" i="8"/>
  <c r="D1376" i="8"/>
  <c r="D1377" i="8"/>
  <c r="D1378" i="8"/>
  <c r="D1379" i="8"/>
  <c r="D1380" i="8"/>
  <c r="D1381" i="8"/>
  <c r="D1382" i="8"/>
  <c r="D1383" i="8"/>
  <c r="D1384" i="8"/>
  <c r="D1385" i="8"/>
  <c r="D1386" i="8"/>
  <c r="D1387" i="8"/>
  <c r="D1388" i="8"/>
  <c r="D1389" i="8"/>
  <c r="D1390" i="8"/>
  <c r="D1391" i="8"/>
  <c r="D1392" i="8"/>
  <c r="D1393" i="8"/>
  <c r="D1394" i="8"/>
  <c r="D1395" i="8"/>
  <c r="D1396" i="8"/>
  <c r="D1397" i="8"/>
  <c r="D1398" i="8"/>
  <c r="D1399" i="8"/>
  <c r="D1400" i="8"/>
  <c r="D1401" i="8"/>
  <c r="D1402" i="8"/>
  <c r="D1403" i="8"/>
  <c r="D1404" i="8"/>
  <c r="D1405" i="8"/>
  <c r="D1406" i="8"/>
  <c r="D1407" i="8"/>
  <c r="D1408" i="8"/>
  <c r="D1409" i="8"/>
  <c r="D1410" i="8"/>
  <c r="D1411" i="8"/>
  <c r="D1412" i="8"/>
  <c r="D1413" i="8"/>
  <c r="D1414" i="8"/>
  <c r="D1415" i="8"/>
  <c r="D1416" i="8"/>
  <c r="D1417" i="8"/>
  <c r="D1418" i="8"/>
  <c r="D1419" i="8"/>
  <c r="D1420" i="8"/>
  <c r="D1421" i="8"/>
  <c r="D1422" i="8"/>
  <c r="D1423" i="8"/>
  <c r="D1424" i="8"/>
  <c r="D1425" i="8"/>
  <c r="D1426" i="8"/>
  <c r="D1427" i="8"/>
  <c r="D1428" i="8"/>
  <c r="D1429" i="8"/>
  <c r="D1430" i="8"/>
  <c r="D1431" i="8"/>
  <c r="D1432" i="8"/>
  <c r="D1433" i="8"/>
  <c r="D1434" i="8"/>
  <c r="D1435" i="8"/>
  <c r="D1436" i="8"/>
  <c r="D1437" i="8"/>
  <c r="D1438" i="8"/>
  <c r="D1439" i="8"/>
  <c r="D1440" i="8"/>
  <c r="D1441" i="8"/>
  <c r="D1442" i="8"/>
  <c r="D1443" i="8"/>
  <c r="D1444" i="8"/>
  <c r="D1445" i="8"/>
  <c r="D1446" i="8"/>
  <c r="D1447" i="8"/>
  <c r="D1448" i="8"/>
  <c r="D1449" i="8"/>
  <c r="D1450" i="8"/>
  <c r="D1451" i="8"/>
  <c r="D1452" i="8"/>
  <c r="D1453" i="8"/>
  <c r="D1454" i="8"/>
  <c r="D1455" i="8"/>
  <c r="D1456" i="8"/>
  <c r="D1457" i="8"/>
  <c r="D1458" i="8"/>
  <c r="D1459" i="8"/>
  <c r="D1460" i="8"/>
  <c r="D1461" i="8"/>
  <c r="D1462" i="8"/>
  <c r="D1463" i="8"/>
  <c r="D1464" i="8"/>
  <c r="D1465" i="8"/>
  <c r="D1466" i="8"/>
  <c r="D1467" i="8"/>
  <c r="D1468" i="8"/>
  <c r="D1469" i="8"/>
  <c r="D1470" i="8"/>
  <c r="D1471" i="8"/>
  <c r="D1472" i="8"/>
  <c r="D1473" i="8"/>
  <c r="D1474" i="8"/>
  <c r="D1475" i="8"/>
  <c r="D1476" i="8"/>
  <c r="D1477" i="8"/>
  <c r="D1478" i="8"/>
  <c r="D1479" i="8"/>
  <c r="D1480" i="8"/>
  <c r="D1481" i="8"/>
  <c r="D1482" i="8"/>
  <c r="D1483" i="8"/>
  <c r="D1484" i="8"/>
  <c r="D1485" i="8"/>
  <c r="D1486" i="8"/>
  <c r="D1487" i="8"/>
  <c r="D1488" i="8"/>
  <c r="D1489" i="8"/>
  <c r="D1490" i="8"/>
  <c r="D1491" i="8"/>
  <c r="D1492" i="8"/>
  <c r="D1493" i="8"/>
  <c r="D1494" i="8"/>
  <c r="D1495" i="8"/>
  <c r="D1496" i="8"/>
  <c r="D1497" i="8"/>
  <c r="D1498" i="8"/>
  <c r="D1499" i="8"/>
  <c r="D1500" i="8"/>
  <c r="D1501" i="8"/>
  <c r="D1502" i="8"/>
  <c r="D1503" i="8"/>
  <c r="D1504" i="8"/>
  <c r="D1505" i="8"/>
  <c r="D1506" i="8"/>
  <c r="D1507" i="8"/>
  <c r="D1508" i="8"/>
  <c r="D1509" i="8"/>
  <c r="D1510" i="8"/>
  <c r="D1511" i="8"/>
  <c r="D1512" i="8"/>
  <c r="D1513" i="8"/>
  <c r="D1514" i="8"/>
  <c r="D1515" i="8"/>
  <c r="D1516" i="8"/>
  <c r="D1517" i="8"/>
  <c r="D1518" i="8"/>
  <c r="D1519" i="8"/>
  <c r="D1520" i="8"/>
  <c r="D1521" i="8"/>
  <c r="D1522" i="8"/>
  <c r="D1523" i="8"/>
  <c r="D1524" i="8"/>
  <c r="D1525" i="8"/>
  <c r="D1526" i="8"/>
  <c r="D1527" i="8"/>
  <c r="D1528" i="8"/>
  <c r="D1529" i="8"/>
  <c r="D1530" i="8"/>
  <c r="D1531" i="8"/>
  <c r="D1532" i="8"/>
  <c r="D1533" i="8"/>
  <c r="D1534" i="8"/>
  <c r="D1535" i="8"/>
  <c r="D1536" i="8"/>
  <c r="D1537" i="8"/>
  <c r="D1538" i="8"/>
  <c r="D1539" i="8"/>
  <c r="D1540" i="8"/>
  <c r="D1541" i="8"/>
  <c r="D1542" i="8"/>
  <c r="D1543" i="8"/>
  <c r="D1544" i="8"/>
  <c r="D1545" i="8"/>
  <c r="D1546" i="8"/>
  <c r="D1547" i="8"/>
  <c r="D1548" i="8"/>
  <c r="D1549" i="8"/>
  <c r="D1550" i="8"/>
  <c r="D1551" i="8"/>
  <c r="D1552" i="8"/>
  <c r="D1553" i="8"/>
  <c r="D1554" i="8"/>
  <c r="D1555" i="8"/>
  <c r="D1556" i="8"/>
  <c r="D1557" i="8"/>
  <c r="D1558" i="8"/>
  <c r="D1559" i="8"/>
  <c r="D1560" i="8"/>
  <c r="D1561" i="8"/>
  <c r="D1562" i="8"/>
  <c r="D1563" i="8"/>
  <c r="D1564" i="8"/>
  <c r="D1565" i="8"/>
  <c r="D1566" i="8"/>
  <c r="D1567" i="8"/>
  <c r="D1568" i="8"/>
  <c r="D1569" i="8"/>
  <c r="D1570" i="8"/>
  <c r="D1571" i="8"/>
  <c r="D1572" i="8"/>
  <c r="D1573" i="8"/>
  <c r="D1574" i="8"/>
  <c r="D1575" i="8"/>
  <c r="D1576" i="8"/>
  <c r="D1577" i="8"/>
  <c r="D1578" i="8"/>
  <c r="D1579" i="8"/>
  <c r="D1580" i="8"/>
  <c r="D1581" i="8"/>
  <c r="D1582" i="8"/>
  <c r="D1583" i="8"/>
  <c r="D1584" i="8"/>
  <c r="D1585" i="8"/>
  <c r="D1586" i="8"/>
  <c r="D1587" i="8"/>
  <c r="D1588" i="8"/>
  <c r="D1589" i="8"/>
  <c r="D1590" i="8"/>
  <c r="D1591" i="8"/>
  <c r="D1592" i="8"/>
  <c r="D1593" i="8"/>
  <c r="D1594" i="8"/>
  <c r="D1595" i="8"/>
  <c r="D1596" i="8"/>
  <c r="D1597" i="8"/>
  <c r="D1598" i="8"/>
  <c r="D1599" i="8"/>
  <c r="D1600" i="8"/>
  <c r="D1601" i="8"/>
  <c r="D1602" i="8"/>
  <c r="D1603" i="8"/>
  <c r="D1604" i="8"/>
  <c r="D1605" i="8"/>
  <c r="D1606" i="8"/>
  <c r="D1607" i="8"/>
  <c r="D1608" i="8"/>
  <c r="D1609" i="8"/>
  <c r="D1610" i="8"/>
  <c r="D1611" i="8"/>
  <c r="D1612" i="8"/>
  <c r="D1613" i="8"/>
  <c r="D1614" i="8"/>
  <c r="D1615" i="8"/>
  <c r="D1616" i="8"/>
  <c r="D1617" i="8"/>
  <c r="D1618" i="8"/>
  <c r="D1619" i="8"/>
  <c r="D1620" i="8"/>
  <c r="D1621" i="8"/>
  <c r="D1622" i="8"/>
  <c r="D1623" i="8"/>
  <c r="D1624" i="8"/>
  <c r="D1625" i="8"/>
  <c r="D1626" i="8"/>
  <c r="D1627" i="8"/>
  <c r="D1628" i="8"/>
  <c r="D1629" i="8"/>
  <c r="D1630" i="8"/>
  <c r="D1631" i="8"/>
  <c r="D1632" i="8"/>
  <c r="D1633" i="8"/>
  <c r="D1634" i="8"/>
  <c r="D1635" i="8"/>
  <c r="D1636" i="8"/>
  <c r="D1637" i="8"/>
  <c r="D1638" i="8"/>
  <c r="D1639" i="8"/>
  <c r="D1640" i="8"/>
  <c r="D1641" i="8"/>
  <c r="D1642" i="8"/>
  <c r="D1643" i="8"/>
  <c r="D1644" i="8"/>
  <c r="D1645" i="8"/>
  <c r="D1646" i="8"/>
  <c r="D1647" i="8"/>
  <c r="D1648" i="8"/>
  <c r="D1649" i="8"/>
  <c r="D1650" i="8"/>
  <c r="D1651" i="8"/>
  <c r="D1652" i="8"/>
  <c r="D1653" i="8"/>
  <c r="D1654" i="8"/>
  <c r="D1655" i="8"/>
  <c r="D1656" i="8"/>
  <c r="D1657" i="8"/>
  <c r="D1658" i="8"/>
  <c r="D1659" i="8"/>
  <c r="D1660" i="8"/>
  <c r="D1661" i="8"/>
  <c r="D1662" i="8"/>
  <c r="D1663" i="8"/>
  <c r="D1664" i="8"/>
  <c r="D1665" i="8"/>
  <c r="D1666" i="8"/>
  <c r="D1667" i="8"/>
  <c r="D1668" i="8"/>
  <c r="D1669" i="8"/>
  <c r="D1670" i="8"/>
  <c r="D1671" i="8"/>
  <c r="D1672" i="8"/>
  <c r="D1673" i="8"/>
  <c r="D1674" i="8"/>
  <c r="D1675" i="8"/>
  <c r="D1676" i="8"/>
  <c r="D1677" i="8"/>
  <c r="D1678" i="8"/>
  <c r="D1679" i="8"/>
  <c r="D1680" i="8"/>
  <c r="D1681" i="8"/>
  <c r="D1682" i="8"/>
  <c r="D1683" i="8"/>
  <c r="D1684" i="8"/>
  <c r="D1685" i="8"/>
  <c r="D1686" i="8"/>
  <c r="D1687" i="8"/>
  <c r="D1688" i="8"/>
  <c r="D1689" i="8"/>
  <c r="D1690" i="8"/>
  <c r="D1691" i="8"/>
  <c r="D1692" i="8"/>
  <c r="D1693" i="8"/>
  <c r="D1694" i="8"/>
  <c r="D1695" i="8"/>
  <c r="D1696" i="8"/>
  <c r="D1697" i="8"/>
  <c r="D1698" i="8"/>
  <c r="D1699" i="8"/>
  <c r="D1700" i="8"/>
  <c r="D1701" i="8"/>
  <c r="D1702" i="8"/>
  <c r="D1703" i="8"/>
  <c r="D1704" i="8"/>
  <c r="D1705" i="8"/>
  <c r="D1706" i="8"/>
  <c r="D1707" i="8"/>
  <c r="D1708" i="8"/>
  <c r="D1709" i="8"/>
  <c r="D1710" i="8"/>
  <c r="D1711" i="8"/>
  <c r="D1712" i="8"/>
  <c r="D1713" i="8"/>
  <c r="D1714" i="8"/>
  <c r="D1715" i="8"/>
  <c r="D1716" i="8"/>
  <c r="D1717" i="8"/>
  <c r="D1718" i="8"/>
  <c r="D1719" i="8"/>
  <c r="D1720" i="8"/>
  <c r="D1721" i="8"/>
  <c r="D1722" i="8"/>
  <c r="D1723" i="8"/>
  <c r="D1724" i="8"/>
  <c r="D1725" i="8"/>
  <c r="D1726" i="8"/>
  <c r="D1727" i="8"/>
  <c r="D1728" i="8"/>
  <c r="D1729" i="8"/>
  <c r="D1730" i="8"/>
  <c r="D1731" i="8"/>
  <c r="D1732" i="8"/>
  <c r="D1733" i="8"/>
  <c r="D1734" i="8"/>
  <c r="D1735" i="8"/>
  <c r="D1736" i="8"/>
  <c r="D1737" i="8"/>
  <c r="D1738" i="8"/>
  <c r="D1739" i="8"/>
  <c r="D1740" i="8"/>
  <c r="D1741" i="8"/>
  <c r="D1742" i="8"/>
  <c r="D1743" i="8"/>
  <c r="D1744" i="8"/>
  <c r="D1745" i="8"/>
  <c r="D1746" i="8"/>
  <c r="D1747" i="8"/>
  <c r="D1748" i="8"/>
  <c r="D1749" i="8"/>
  <c r="D1750" i="8"/>
  <c r="D1751" i="8"/>
  <c r="D1752" i="8"/>
  <c r="D1753" i="8"/>
  <c r="D1754" i="8"/>
  <c r="D1755" i="8"/>
  <c r="D1756" i="8"/>
  <c r="D1757" i="8"/>
  <c r="D1758" i="8"/>
  <c r="D1759" i="8"/>
  <c r="D1760" i="8"/>
  <c r="D1761" i="8"/>
  <c r="D1762" i="8"/>
  <c r="D1763" i="8"/>
  <c r="D1764" i="8"/>
  <c r="D1765" i="8"/>
  <c r="D1766" i="8"/>
  <c r="D1767" i="8"/>
  <c r="D1768" i="8"/>
  <c r="D1769" i="8"/>
  <c r="D1770" i="8"/>
  <c r="D1771" i="8"/>
  <c r="D1772" i="8"/>
  <c r="D1773" i="8"/>
  <c r="D1774" i="8"/>
  <c r="D1775" i="8"/>
  <c r="D1776" i="8"/>
  <c r="D1777" i="8"/>
  <c r="D1778" i="8"/>
  <c r="D1779" i="8"/>
  <c r="D1780" i="8"/>
  <c r="D1781" i="8"/>
  <c r="D1782" i="8"/>
  <c r="D1783" i="8"/>
  <c r="D1784" i="8"/>
  <c r="D1785" i="8"/>
  <c r="D1786" i="8"/>
  <c r="D1787" i="8"/>
  <c r="D1788" i="8"/>
  <c r="D1789" i="8"/>
  <c r="D1790" i="8"/>
  <c r="D1791" i="8"/>
  <c r="D1792" i="8"/>
  <c r="D1793" i="8"/>
  <c r="D1794" i="8"/>
  <c r="D1795" i="8"/>
  <c r="D1796" i="8"/>
  <c r="D1797" i="8"/>
  <c r="D1798" i="8"/>
  <c r="D1799" i="8"/>
  <c r="D1800" i="8"/>
  <c r="D1801" i="8"/>
  <c r="D1802" i="8"/>
  <c r="D1803" i="8"/>
  <c r="D1804" i="8"/>
  <c r="D1805" i="8"/>
  <c r="D1806" i="8"/>
  <c r="D1807" i="8"/>
  <c r="D1808" i="8"/>
  <c r="D1809" i="8"/>
  <c r="D1810" i="8"/>
  <c r="D1811" i="8"/>
  <c r="D1812" i="8"/>
  <c r="D1813" i="8"/>
  <c r="D1814" i="8"/>
  <c r="D1815" i="8"/>
  <c r="D1816" i="8"/>
  <c r="D1817" i="8"/>
  <c r="D1818" i="8"/>
  <c r="D1819" i="8"/>
  <c r="D1820" i="8"/>
  <c r="D1821" i="8"/>
  <c r="D1822" i="8"/>
  <c r="D1823" i="8"/>
  <c r="D1824" i="8"/>
  <c r="D1825" i="8"/>
  <c r="D1826" i="8"/>
  <c r="D1827" i="8"/>
  <c r="D1828" i="8"/>
  <c r="D1829" i="8"/>
  <c r="D1830" i="8"/>
  <c r="D1831" i="8"/>
  <c r="D1832" i="8"/>
  <c r="D1833" i="8"/>
  <c r="D1834" i="8"/>
  <c r="D1835" i="8"/>
  <c r="D1836" i="8"/>
  <c r="D1837" i="8"/>
  <c r="D1838" i="8"/>
  <c r="D1839" i="8"/>
  <c r="D1840" i="8"/>
  <c r="D1841" i="8"/>
  <c r="D1842" i="8"/>
  <c r="D1843" i="8"/>
  <c r="D1844" i="8"/>
  <c r="D1845" i="8"/>
  <c r="D1846" i="8"/>
  <c r="D1847" i="8"/>
  <c r="D1848" i="8"/>
  <c r="D1849" i="8"/>
  <c r="D1850" i="8"/>
  <c r="D1851" i="8"/>
  <c r="D1852" i="8"/>
  <c r="D1853" i="8"/>
  <c r="D1854" i="8"/>
  <c r="D1855" i="8"/>
  <c r="D1856" i="8"/>
  <c r="D1857" i="8"/>
  <c r="D1858" i="8"/>
  <c r="D1859" i="8"/>
  <c r="D1860" i="8"/>
  <c r="D1861" i="8"/>
  <c r="D1862" i="8"/>
  <c r="D1863" i="8"/>
  <c r="D1864" i="8"/>
  <c r="D1865" i="8"/>
  <c r="D1866" i="8"/>
  <c r="D1867" i="8"/>
  <c r="D1868" i="8"/>
  <c r="D1869" i="8"/>
  <c r="D1870" i="8"/>
  <c r="D1871" i="8"/>
  <c r="D1872" i="8"/>
  <c r="D1873" i="8"/>
  <c r="D1874" i="8"/>
  <c r="D1875" i="8"/>
  <c r="D1876" i="8"/>
  <c r="D1877" i="8"/>
  <c r="D1878" i="8"/>
  <c r="D1879" i="8"/>
  <c r="D1880" i="8"/>
  <c r="D1881" i="8"/>
  <c r="D1882" i="8"/>
  <c r="D1883" i="8"/>
  <c r="D1884" i="8"/>
  <c r="D1885" i="8"/>
  <c r="D1886" i="8"/>
  <c r="D1887" i="8"/>
  <c r="D1888" i="8"/>
  <c r="D1889" i="8"/>
  <c r="D1890" i="8"/>
  <c r="D1891" i="8"/>
  <c r="D1892" i="8"/>
  <c r="D1893" i="8"/>
  <c r="D1894" i="8"/>
  <c r="D1895" i="8"/>
  <c r="D1896" i="8"/>
  <c r="D1897" i="8"/>
  <c r="D1898" i="8"/>
  <c r="D1899" i="8"/>
  <c r="D1900" i="8"/>
  <c r="D1901" i="8"/>
  <c r="D1902" i="8"/>
  <c r="D1903" i="8"/>
  <c r="D1904" i="8"/>
  <c r="D1905" i="8"/>
  <c r="D1906" i="8"/>
  <c r="D1907" i="8"/>
  <c r="D1908" i="8"/>
  <c r="D1909" i="8"/>
  <c r="D1910" i="8"/>
  <c r="D1911" i="8"/>
  <c r="D1912" i="8"/>
  <c r="D1913" i="8"/>
  <c r="D1914" i="8"/>
  <c r="D1915" i="8"/>
  <c r="D1916" i="8"/>
  <c r="D1917" i="8"/>
  <c r="D1918" i="8"/>
  <c r="D1919" i="8"/>
  <c r="D1920" i="8"/>
  <c r="D1921" i="8"/>
  <c r="D1922" i="8"/>
  <c r="D1923" i="8"/>
  <c r="D1924" i="8"/>
  <c r="D1925" i="8"/>
  <c r="D1926" i="8"/>
  <c r="D1927" i="8"/>
  <c r="D1928" i="8"/>
  <c r="D1929" i="8"/>
  <c r="D1930" i="8"/>
  <c r="D1931" i="8"/>
  <c r="D1932" i="8"/>
  <c r="D1933" i="8"/>
  <c r="D1934" i="8"/>
  <c r="D1935" i="8"/>
  <c r="D1936" i="8"/>
  <c r="D1937" i="8"/>
  <c r="D1938" i="8"/>
  <c r="D1939" i="8"/>
  <c r="D1940" i="8"/>
  <c r="D1941" i="8"/>
  <c r="D1942" i="8"/>
  <c r="D1943" i="8"/>
  <c r="D1944" i="8"/>
  <c r="D1945" i="8"/>
  <c r="D1946" i="8"/>
  <c r="D1947" i="8"/>
  <c r="D1948" i="8"/>
  <c r="D1949" i="8"/>
  <c r="D1950" i="8"/>
  <c r="D1951" i="8"/>
  <c r="D1952" i="8"/>
  <c r="D1953" i="8"/>
  <c r="D1954" i="8"/>
  <c r="D1955" i="8"/>
  <c r="D1956" i="8"/>
  <c r="D1957" i="8"/>
  <c r="D1958" i="8"/>
  <c r="D1959" i="8"/>
  <c r="D1960" i="8"/>
  <c r="D1961" i="8"/>
  <c r="D1962" i="8"/>
  <c r="D1963" i="8"/>
  <c r="D1964" i="8"/>
  <c r="D1965" i="8"/>
  <c r="D1966" i="8"/>
  <c r="D1967" i="8"/>
  <c r="D1968" i="8"/>
  <c r="D1969" i="8"/>
  <c r="D1970" i="8"/>
  <c r="D1971" i="8"/>
  <c r="D1972" i="8"/>
  <c r="D1973" i="8"/>
  <c r="D1974" i="8"/>
  <c r="D1975" i="8"/>
  <c r="D1976" i="8"/>
  <c r="D1977" i="8"/>
  <c r="D1978" i="8"/>
  <c r="D1979" i="8"/>
  <c r="D1980" i="8"/>
  <c r="D1981" i="8"/>
  <c r="D1982" i="8"/>
  <c r="D1983" i="8"/>
  <c r="D1984" i="8"/>
  <c r="D1985" i="8"/>
  <c r="D1986" i="8"/>
  <c r="D1987" i="8"/>
  <c r="D1988" i="8"/>
  <c r="D1989" i="8"/>
  <c r="D1990" i="8"/>
  <c r="D1991" i="8"/>
  <c r="D1992" i="8"/>
  <c r="D1993" i="8"/>
  <c r="D1994" i="8"/>
  <c r="D1995" i="8"/>
  <c r="D1996" i="8"/>
  <c r="D1997" i="8"/>
  <c r="D1998" i="8"/>
  <c r="D1999" i="8"/>
  <c r="D2000" i="8"/>
  <c r="D2001" i="8"/>
  <c r="D2002" i="8"/>
  <c r="D2003" i="8"/>
  <c r="D2004" i="8"/>
  <c r="D2005" i="8"/>
  <c r="D2006" i="8"/>
  <c r="D2007" i="8"/>
  <c r="D2008" i="8"/>
  <c r="D2009" i="8"/>
  <c r="D2010" i="8"/>
  <c r="D2011" i="8"/>
  <c r="D2012" i="8"/>
  <c r="D2013" i="8"/>
  <c r="D2014" i="8"/>
  <c r="D2015" i="8"/>
  <c r="D2016" i="8"/>
  <c r="D2017" i="8"/>
  <c r="D2018" i="8"/>
  <c r="D2019" i="8"/>
  <c r="D2020" i="8"/>
  <c r="D2021" i="8"/>
  <c r="D2022" i="8"/>
  <c r="D2023" i="8"/>
  <c r="D2024" i="8"/>
  <c r="D2025" i="8"/>
  <c r="D2026" i="8"/>
  <c r="D2027" i="8"/>
  <c r="D2028" i="8"/>
  <c r="D2029" i="8"/>
  <c r="D2030" i="8"/>
  <c r="D2031" i="8"/>
  <c r="D2032" i="8"/>
  <c r="D2033" i="8"/>
  <c r="D2034" i="8"/>
  <c r="D2035" i="8"/>
  <c r="D2036" i="8"/>
  <c r="D2037" i="8"/>
  <c r="D2038" i="8"/>
  <c r="D2039" i="8"/>
  <c r="D2040" i="8"/>
  <c r="D2041" i="8"/>
  <c r="D2042" i="8"/>
  <c r="D2043" i="8"/>
  <c r="D2044" i="8"/>
  <c r="D2045" i="8"/>
  <c r="D2046" i="8"/>
  <c r="D2047" i="8"/>
  <c r="D2048" i="8"/>
  <c r="D2049" i="8"/>
  <c r="D2050" i="8"/>
  <c r="D2051" i="8"/>
  <c r="D2052" i="8"/>
  <c r="D2053" i="8"/>
  <c r="D2054" i="8"/>
  <c r="D2055" i="8"/>
  <c r="D2056" i="8"/>
  <c r="D2057" i="8"/>
  <c r="D2058" i="8"/>
  <c r="D2059" i="8"/>
  <c r="D2060" i="8"/>
  <c r="D2061" i="8"/>
  <c r="D2062" i="8"/>
  <c r="D2063" i="8"/>
  <c r="D2064" i="8"/>
  <c r="D2065" i="8"/>
  <c r="D2066" i="8"/>
  <c r="D2067" i="8"/>
  <c r="D2068" i="8"/>
  <c r="D2069" i="8"/>
  <c r="D2070" i="8"/>
  <c r="D2071" i="8"/>
  <c r="D2072" i="8"/>
  <c r="D2073" i="8"/>
  <c r="D2074" i="8"/>
  <c r="D2075" i="8"/>
  <c r="D2076" i="8"/>
  <c r="D2077" i="8"/>
  <c r="D2078" i="8"/>
  <c r="D2079" i="8"/>
  <c r="D2080" i="8"/>
  <c r="D2081" i="8"/>
  <c r="D2082" i="8"/>
  <c r="D2083" i="8"/>
  <c r="D2084" i="8"/>
  <c r="D2085" i="8"/>
  <c r="D2086" i="8"/>
  <c r="D2087" i="8"/>
  <c r="D2088" i="8"/>
  <c r="D2089" i="8"/>
  <c r="D2090" i="8"/>
  <c r="D2091" i="8"/>
  <c r="D2092" i="8"/>
  <c r="D2093" i="8"/>
  <c r="D2094" i="8"/>
  <c r="D2095" i="8"/>
  <c r="D2096" i="8"/>
  <c r="D2097" i="8"/>
  <c r="D2098" i="8"/>
  <c r="D2099" i="8"/>
  <c r="D2100" i="8"/>
  <c r="D2101" i="8"/>
  <c r="D2102" i="8"/>
  <c r="D2103" i="8"/>
  <c r="D2104" i="8"/>
  <c r="D2105" i="8"/>
  <c r="D2106" i="8"/>
  <c r="D2107" i="8"/>
  <c r="D2108" i="8"/>
  <c r="D2109" i="8"/>
  <c r="D2110" i="8"/>
  <c r="D2111" i="8"/>
  <c r="D2112" i="8"/>
  <c r="D2113" i="8"/>
  <c r="D2114" i="8"/>
  <c r="D2115" i="8"/>
  <c r="D2116" i="8"/>
  <c r="D2117" i="8"/>
  <c r="D2118" i="8"/>
  <c r="D2119" i="8"/>
  <c r="D2120" i="8"/>
  <c r="D2121" i="8"/>
  <c r="D2122" i="8"/>
  <c r="D2123" i="8"/>
  <c r="D2124" i="8"/>
  <c r="D2125" i="8"/>
  <c r="D2126" i="8"/>
  <c r="D2127" i="8"/>
  <c r="D2128" i="8"/>
  <c r="D2129" i="8"/>
  <c r="D2130" i="8"/>
  <c r="D2131" i="8"/>
  <c r="D2132" i="8"/>
  <c r="D2133" i="8"/>
  <c r="D2134" i="8"/>
  <c r="D2135" i="8"/>
  <c r="D2136" i="8"/>
  <c r="D2137" i="8"/>
  <c r="D2138" i="8"/>
  <c r="D2139" i="8"/>
  <c r="D2140" i="8"/>
  <c r="D2141" i="8"/>
  <c r="D2142" i="8"/>
  <c r="D2143" i="8"/>
  <c r="D2144" i="8"/>
  <c r="D2145" i="8"/>
  <c r="D2146" i="8"/>
  <c r="D2147" i="8"/>
  <c r="D2148" i="8"/>
  <c r="D2149" i="8"/>
  <c r="D2150" i="8"/>
  <c r="D2151" i="8"/>
  <c r="D2152" i="8"/>
  <c r="D2153" i="8"/>
  <c r="D2154" i="8"/>
  <c r="D2155" i="8"/>
  <c r="D2156" i="8"/>
  <c r="D2157" i="8"/>
  <c r="D2158" i="8"/>
  <c r="D2159" i="8"/>
  <c r="D2160" i="8"/>
  <c r="D2161" i="8"/>
  <c r="D2162" i="8"/>
  <c r="D2163" i="8"/>
  <c r="D2164" i="8"/>
  <c r="D2165" i="8"/>
  <c r="D2166" i="8"/>
  <c r="D2167" i="8"/>
  <c r="D2168" i="8"/>
  <c r="D2169" i="8"/>
  <c r="D2170" i="8"/>
  <c r="D2171" i="8"/>
  <c r="D2172" i="8"/>
  <c r="D2173" i="8"/>
  <c r="D2174" i="8"/>
  <c r="D2175" i="8"/>
  <c r="D2176" i="8"/>
  <c r="D2177" i="8"/>
  <c r="D2178" i="8"/>
  <c r="D2179" i="8"/>
  <c r="D2180" i="8"/>
  <c r="D2181" i="8"/>
  <c r="D2182" i="8"/>
  <c r="D2183" i="8"/>
  <c r="D2184" i="8"/>
  <c r="D2185" i="8"/>
  <c r="D2186" i="8"/>
  <c r="D2187" i="8"/>
  <c r="D2188" i="8"/>
  <c r="D2189" i="8"/>
  <c r="D2190" i="8"/>
  <c r="D2191" i="8"/>
  <c r="D2192" i="8"/>
  <c r="D2193" i="8"/>
  <c r="D2194" i="8"/>
  <c r="D2195" i="8"/>
  <c r="D2196" i="8"/>
  <c r="D2197" i="8"/>
  <c r="D2198" i="8"/>
  <c r="D2199" i="8"/>
  <c r="D2200" i="8"/>
  <c r="D2201" i="8"/>
  <c r="D2202" i="8"/>
  <c r="D2203" i="8"/>
  <c r="D2204" i="8"/>
  <c r="D2205" i="8"/>
  <c r="D2206" i="8"/>
  <c r="D2207" i="8"/>
  <c r="D2208" i="8"/>
  <c r="D2209" i="8"/>
  <c r="D2210" i="8"/>
  <c r="D2211" i="8"/>
  <c r="D2212" i="8"/>
  <c r="D2213" i="8"/>
  <c r="D2214" i="8"/>
  <c r="D2215" i="8"/>
  <c r="D2216" i="8"/>
  <c r="D2217" i="8"/>
  <c r="D2218" i="8"/>
  <c r="D2219" i="8"/>
  <c r="D2220" i="8"/>
  <c r="D2221" i="8"/>
  <c r="D2222" i="8"/>
  <c r="D2223" i="8"/>
  <c r="D2224" i="8"/>
  <c r="D2225" i="8"/>
  <c r="D2226" i="8"/>
  <c r="D2227" i="8"/>
  <c r="D2228" i="8"/>
  <c r="D2229" i="8"/>
  <c r="D2230" i="8"/>
  <c r="D2231" i="8"/>
  <c r="D2232" i="8"/>
  <c r="D2233" i="8"/>
  <c r="D2234" i="8"/>
  <c r="D2235" i="8"/>
  <c r="D2236" i="8"/>
  <c r="D2237" i="8"/>
  <c r="D2238" i="8"/>
  <c r="D2239" i="8"/>
  <c r="D2240" i="8"/>
  <c r="D2241" i="8"/>
  <c r="D2242" i="8"/>
  <c r="D2243" i="8"/>
  <c r="D2244" i="8"/>
  <c r="D2245" i="8"/>
  <c r="D2246" i="8"/>
  <c r="D2247" i="8"/>
  <c r="D2248" i="8"/>
  <c r="D2249" i="8"/>
  <c r="D2250" i="8"/>
  <c r="D2251" i="8"/>
  <c r="D2252" i="8"/>
  <c r="D2253" i="8"/>
  <c r="D2254" i="8"/>
  <c r="D2255" i="8"/>
  <c r="D2256" i="8"/>
  <c r="D2257" i="8"/>
  <c r="D2258" i="8"/>
  <c r="D2259" i="8"/>
  <c r="D2260" i="8"/>
  <c r="D2261" i="8"/>
  <c r="D2262" i="8"/>
  <c r="D2263" i="8"/>
  <c r="D2264" i="8"/>
  <c r="D2265" i="8"/>
  <c r="D2266" i="8"/>
  <c r="D2267" i="8"/>
  <c r="D2268" i="8"/>
  <c r="D2269" i="8"/>
  <c r="D2270" i="8"/>
  <c r="D2271" i="8"/>
  <c r="D2272" i="8"/>
  <c r="D2273" i="8"/>
  <c r="D2274" i="8"/>
  <c r="D2275" i="8"/>
  <c r="D2276" i="8"/>
  <c r="D2277" i="8"/>
  <c r="D2278" i="8"/>
  <c r="D2279" i="8"/>
  <c r="D2280" i="8"/>
  <c r="D2281" i="8"/>
  <c r="D2282" i="8"/>
  <c r="D2283" i="8"/>
  <c r="D2284" i="8"/>
  <c r="D2285" i="8"/>
  <c r="D2286" i="8"/>
  <c r="D2287" i="8"/>
  <c r="D2288" i="8"/>
  <c r="D2289" i="8"/>
  <c r="D2290" i="8"/>
  <c r="D2291" i="8"/>
  <c r="D2292" i="8"/>
  <c r="D2293" i="8"/>
  <c r="D2294" i="8"/>
  <c r="D2295" i="8"/>
  <c r="D2296" i="8"/>
  <c r="D2297" i="8"/>
  <c r="D2298" i="8"/>
  <c r="D2299" i="8"/>
  <c r="D2300" i="8"/>
  <c r="D2301" i="8"/>
  <c r="D2302" i="8"/>
  <c r="D2303" i="8"/>
  <c r="D2304" i="8"/>
  <c r="D2305" i="8"/>
  <c r="D2306" i="8"/>
  <c r="D2307" i="8"/>
  <c r="D2308" i="8"/>
  <c r="D2309" i="8"/>
  <c r="D2310" i="8"/>
  <c r="D2311" i="8"/>
  <c r="D2312" i="8"/>
  <c r="D2313" i="8"/>
  <c r="D2314" i="8"/>
  <c r="D2315" i="8"/>
  <c r="D2316" i="8"/>
  <c r="D2317" i="8"/>
  <c r="D2318" i="8"/>
  <c r="D2319" i="8"/>
  <c r="D2320" i="8"/>
  <c r="D2321" i="8"/>
  <c r="D2322" i="8"/>
  <c r="D2323" i="8"/>
  <c r="D2324" i="8"/>
  <c r="D2325" i="8"/>
  <c r="D2326" i="8"/>
  <c r="D2327" i="8"/>
  <c r="D2328" i="8"/>
  <c r="D2329" i="8"/>
  <c r="D2330" i="8"/>
  <c r="D2331" i="8"/>
  <c r="D2332" i="8"/>
  <c r="D2333" i="8"/>
  <c r="D2334" i="8"/>
  <c r="D2335" i="8"/>
  <c r="D2336" i="8"/>
  <c r="D2337" i="8"/>
  <c r="D2338" i="8"/>
  <c r="D2339" i="8"/>
  <c r="D2340" i="8"/>
  <c r="D2341" i="8"/>
  <c r="D2342" i="8"/>
  <c r="D2343" i="8"/>
  <c r="D2344" i="8"/>
  <c r="D2345" i="8"/>
  <c r="D2346" i="8"/>
  <c r="D2347" i="8"/>
  <c r="D2348" i="8"/>
  <c r="D2349" i="8"/>
  <c r="D2350" i="8"/>
  <c r="D2351" i="8"/>
  <c r="D2352" i="8"/>
  <c r="D2353" i="8"/>
  <c r="D2354" i="8"/>
  <c r="D2355" i="8"/>
  <c r="D2356" i="8"/>
  <c r="D2357" i="8"/>
  <c r="D2358" i="8"/>
  <c r="D2359" i="8"/>
  <c r="D2360" i="8"/>
  <c r="D2361" i="8"/>
  <c r="D2362" i="8"/>
  <c r="D2363" i="8"/>
  <c r="D2364" i="8"/>
  <c r="D2365" i="8"/>
  <c r="D2366" i="8"/>
  <c r="D2367" i="8"/>
  <c r="D2368" i="8"/>
  <c r="D2369" i="8"/>
  <c r="D2370" i="8"/>
  <c r="D2371" i="8"/>
  <c r="D2372" i="8"/>
  <c r="D2373" i="8"/>
  <c r="D2374" i="8"/>
  <c r="D2375" i="8"/>
  <c r="D2376" i="8"/>
  <c r="D2377" i="8"/>
  <c r="D2378" i="8"/>
  <c r="D2379" i="8"/>
  <c r="D2380" i="8"/>
  <c r="D2381" i="8"/>
  <c r="D2382" i="8"/>
  <c r="D2383" i="8"/>
  <c r="D2384" i="8"/>
  <c r="D2385" i="8"/>
  <c r="D2386" i="8"/>
  <c r="D2387" i="8"/>
  <c r="D2388" i="8"/>
  <c r="D2389" i="8"/>
  <c r="D2390" i="8"/>
  <c r="D2391" i="8"/>
  <c r="D2392" i="8"/>
  <c r="D2393" i="8"/>
  <c r="D2394" i="8"/>
  <c r="D2395" i="8"/>
  <c r="D2396" i="8"/>
  <c r="D2397" i="8"/>
  <c r="D2398" i="8"/>
  <c r="D2399" i="8"/>
  <c r="D2400" i="8"/>
  <c r="D2401" i="8"/>
  <c r="D2402" i="8"/>
  <c r="D2403" i="8"/>
  <c r="D2404" i="8"/>
  <c r="D2405" i="8"/>
  <c r="D2406" i="8"/>
  <c r="D2407" i="8"/>
  <c r="D2408" i="8"/>
  <c r="D2409" i="8"/>
  <c r="D2410" i="8"/>
  <c r="D2411" i="8"/>
  <c r="D2412" i="8"/>
  <c r="D2413" i="8"/>
  <c r="D2414" i="8"/>
  <c r="D2415" i="8"/>
  <c r="D2416" i="8"/>
  <c r="D2417" i="8"/>
  <c r="D2418" i="8"/>
  <c r="D2419" i="8"/>
  <c r="D2420" i="8"/>
  <c r="D2421" i="8"/>
  <c r="D2422" i="8"/>
  <c r="D2423" i="8"/>
  <c r="D2424" i="8"/>
  <c r="D2425" i="8"/>
  <c r="D2426" i="8"/>
  <c r="D2427" i="8"/>
  <c r="D2428" i="8"/>
  <c r="D2429" i="8"/>
  <c r="D2430" i="8"/>
  <c r="D2431" i="8"/>
  <c r="D2432" i="8"/>
  <c r="D2433" i="8"/>
  <c r="D2434" i="8"/>
  <c r="D2435" i="8"/>
  <c r="D2436" i="8"/>
  <c r="D2437" i="8"/>
  <c r="D2438" i="8"/>
  <c r="D2439" i="8"/>
  <c r="D2440" i="8"/>
  <c r="D2441" i="8"/>
  <c r="D2442" i="8"/>
  <c r="D2443" i="8"/>
  <c r="D2444" i="8"/>
  <c r="D2445" i="8"/>
  <c r="D2446" i="8"/>
  <c r="D2447" i="8"/>
  <c r="D2448" i="8"/>
  <c r="D2449" i="8"/>
  <c r="D2450" i="8"/>
  <c r="D2451" i="8"/>
  <c r="D2452" i="8"/>
  <c r="D2453" i="8"/>
  <c r="D2454" i="8"/>
  <c r="D2455" i="8"/>
  <c r="D2456" i="8"/>
  <c r="D2457" i="8"/>
  <c r="D2458" i="8"/>
  <c r="D2459" i="8"/>
  <c r="D2460" i="8"/>
  <c r="D2461" i="8"/>
  <c r="D2462" i="8"/>
  <c r="D2463" i="8"/>
  <c r="D2464" i="8"/>
  <c r="D2465" i="8"/>
  <c r="D2466" i="8"/>
  <c r="D2467" i="8"/>
  <c r="D2468" i="8"/>
  <c r="D2469" i="8"/>
  <c r="D2470" i="8"/>
  <c r="D2471" i="8"/>
  <c r="D2472" i="8"/>
  <c r="D2473" i="8"/>
  <c r="D2474" i="8"/>
  <c r="D2475" i="8"/>
  <c r="D2476" i="8"/>
  <c r="D2477" i="8"/>
  <c r="D2478" i="8"/>
  <c r="D2479" i="8"/>
  <c r="D2480" i="8"/>
  <c r="D2481" i="8"/>
  <c r="D2482" i="8"/>
  <c r="D2483" i="8"/>
  <c r="D2484" i="8"/>
  <c r="D2485" i="8"/>
  <c r="D2486" i="8"/>
  <c r="D2487" i="8"/>
  <c r="D2488" i="8"/>
  <c r="D2489" i="8"/>
  <c r="D2490" i="8"/>
  <c r="D2491" i="8"/>
  <c r="D2492" i="8"/>
  <c r="D2493" i="8"/>
  <c r="D2494" i="8"/>
  <c r="D2495" i="8"/>
  <c r="D2496" i="8"/>
  <c r="D2497" i="8"/>
  <c r="D2498" i="8"/>
  <c r="D2499" i="8"/>
  <c r="D2500" i="8"/>
  <c r="D2501" i="8"/>
  <c r="D2502" i="8"/>
  <c r="D2503" i="8"/>
  <c r="D2504" i="8"/>
  <c r="D2505" i="8"/>
  <c r="D2506" i="8"/>
  <c r="D2507" i="8"/>
  <c r="D2508" i="8"/>
  <c r="D2509" i="8"/>
  <c r="D2510" i="8"/>
  <c r="D2511" i="8"/>
  <c r="D2512" i="8"/>
  <c r="D2513" i="8"/>
  <c r="D2514" i="8"/>
  <c r="D2515" i="8"/>
  <c r="D2516" i="8"/>
  <c r="D2517" i="8"/>
  <c r="D2518" i="8"/>
  <c r="D2519" i="8"/>
  <c r="D2520" i="8"/>
  <c r="D2521" i="8"/>
  <c r="D2522" i="8"/>
  <c r="D2523" i="8"/>
  <c r="D2524" i="8"/>
  <c r="D2525" i="8"/>
  <c r="D2526" i="8"/>
  <c r="D2527" i="8"/>
  <c r="D2528" i="8"/>
  <c r="D2529" i="8"/>
  <c r="D2530" i="8"/>
  <c r="D2531" i="8"/>
  <c r="D2532" i="8"/>
  <c r="D2533" i="8"/>
  <c r="D2534" i="8"/>
  <c r="D2535" i="8"/>
  <c r="D2536" i="8"/>
  <c r="D2537" i="8"/>
  <c r="D2538" i="8"/>
  <c r="D2539" i="8"/>
  <c r="D2540" i="8"/>
  <c r="D2541" i="8"/>
  <c r="D2542" i="8"/>
  <c r="D2543" i="8"/>
  <c r="D2544" i="8"/>
  <c r="D2545" i="8"/>
  <c r="D2546" i="8"/>
  <c r="D2547" i="8"/>
  <c r="D2548" i="8"/>
  <c r="D2549" i="8"/>
  <c r="D2550" i="8"/>
  <c r="D2551" i="8"/>
  <c r="D2552" i="8"/>
  <c r="D2553" i="8"/>
  <c r="D2554" i="8"/>
  <c r="D2555" i="8"/>
  <c r="D2556" i="8"/>
  <c r="D2557" i="8"/>
  <c r="D2558" i="8"/>
  <c r="D2559" i="8"/>
  <c r="D2560" i="8"/>
  <c r="D2561" i="8"/>
  <c r="D2562" i="8"/>
  <c r="D2563" i="8"/>
  <c r="D2564" i="8"/>
  <c r="D2565" i="8"/>
  <c r="D2566" i="8"/>
  <c r="D2567" i="8"/>
  <c r="D2568" i="8"/>
  <c r="D2569" i="8"/>
  <c r="D2570" i="8"/>
  <c r="D2571" i="8"/>
  <c r="D2572" i="8"/>
  <c r="D2573" i="8"/>
  <c r="D2574" i="8"/>
  <c r="D2575" i="8"/>
  <c r="D2576" i="8"/>
  <c r="D2577" i="8"/>
  <c r="D2578" i="8"/>
  <c r="D2579" i="8"/>
  <c r="D2580" i="8"/>
  <c r="D2581" i="8"/>
  <c r="D2582" i="8"/>
  <c r="D2583" i="8"/>
  <c r="D2584" i="8"/>
  <c r="D2585" i="8"/>
  <c r="D2586" i="8"/>
  <c r="D2587" i="8"/>
  <c r="D2588" i="8"/>
  <c r="D2589" i="8"/>
  <c r="D2590" i="8"/>
  <c r="D2591" i="8"/>
  <c r="D2592" i="8"/>
  <c r="D2593" i="8"/>
  <c r="D2594" i="8"/>
  <c r="D2595" i="8"/>
  <c r="D2596" i="8"/>
  <c r="D2597" i="8"/>
  <c r="D2598" i="8"/>
  <c r="D2599" i="8"/>
  <c r="D2600" i="8"/>
  <c r="D2601" i="8"/>
  <c r="D2602" i="8"/>
  <c r="D2603" i="8"/>
  <c r="D2604" i="8"/>
  <c r="D2605" i="8"/>
  <c r="D2606" i="8"/>
  <c r="D2607" i="8"/>
  <c r="D2608" i="8"/>
  <c r="D2609" i="8"/>
  <c r="D2610" i="8"/>
  <c r="D2611" i="8"/>
  <c r="D2612" i="8"/>
  <c r="D2613" i="8"/>
  <c r="D2614" i="8"/>
  <c r="D2615" i="8"/>
  <c r="D2616" i="8"/>
  <c r="D2617" i="8"/>
  <c r="D2618" i="8"/>
  <c r="D2619" i="8"/>
  <c r="D2620" i="8"/>
  <c r="D2621" i="8"/>
  <c r="D2622" i="8"/>
  <c r="D2623" i="8"/>
  <c r="D2624" i="8"/>
  <c r="D2625" i="8"/>
  <c r="D2626" i="8"/>
  <c r="D2627" i="8"/>
  <c r="D2628" i="8"/>
  <c r="D2629" i="8"/>
  <c r="D2630" i="8"/>
  <c r="D2631" i="8"/>
  <c r="D2632" i="8"/>
  <c r="D2633" i="8"/>
  <c r="D2634" i="8"/>
  <c r="D2635" i="8"/>
  <c r="D2636" i="8"/>
  <c r="D2637" i="8"/>
  <c r="D2638" i="8"/>
  <c r="D2639" i="8"/>
  <c r="D2640" i="8"/>
  <c r="D2641" i="8"/>
  <c r="D2642" i="8"/>
  <c r="D2643" i="8"/>
  <c r="D2644" i="8"/>
  <c r="D2645" i="8"/>
  <c r="D2646" i="8"/>
  <c r="D2647" i="8"/>
  <c r="D2648" i="8"/>
  <c r="D2649" i="8"/>
  <c r="D2650" i="8"/>
  <c r="D2651" i="8"/>
  <c r="D2652" i="8"/>
  <c r="D2653" i="8"/>
  <c r="D2654" i="8"/>
  <c r="D2655" i="8"/>
  <c r="D2656" i="8"/>
  <c r="D2657" i="8"/>
  <c r="D2658" i="8"/>
  <c r="D2659" i="8"/>
  <c r="D2660" i="8"/>
  <c r="D2661" i="8"/>
  <c r="D2662" i="8"/>
  <c r="D2663" i="8"/>
  <c r="D2664" i="8"/>
  <c r="D2665" i="8"/>
  <c r="D2666" i="8"/>
  <c r="D2667" i="8"/>
  <c r="D2668" i="8"/>
  <c r="D2669" i="8"/>
  <c r="D2670" i="8"/>
  <c r="D2671" i="8"/>
  <c r="D2672" i="8"/>
  <c r="D2673" i="8"/>
  <c r="D2674" i="8"/>
  <c r="D2675" i="8"/>
  <c r="D2676" i="8"/>
  <c r="D2677" i="8"/>
  <c r="D2678" i="8"/>
  <c r="D2679" i="8"/>
  <c r="D2680" i="8"/>
  <c r="D2681" i="8"/>
  <c r="D2682" i="8"/>
  <c r="D2683" i="8"/>
  <c r="D2684" i="8"/>
  <c r="D2685" i="8"/>
  <c r="D2686" i="8"/>
  <c r="D2687" i="8"/>
  <c r="D2688" i="8"/>
  <c r="D2689" i="8"/>
  <c r="D2690" i="8"/>
  <c r="D2691" i="8"/>
  <c r="D2692" i="8"/>
  <c r="D2693" i="8"/>
  <c r="D2694" i="8"/>
  <c r="D2695" i="8"/>
  <c r="D2696" i="8"/>
  <c r="D2697" i="8"/>
  <c r="D2698" i="8"/>
  <c r="D2699" i="8"/>
  <c r="D2700" i="8"/>
  <c r="D2701" i="8"/>
  <c r="D2702" i="8"/>
  <c r="D2703" i="8"/>
  <c r="D2704" i="8"/>
  <c r="D2705" i="8"/>
  <c r="D2706" i="8"/>
  <c r="D2707" i="8"/>
  <c r="D2708" i="8"/>
  <c r="D2709" i="8"/>
  <c r="D2710" i="8"/>
  <c r="D2711" i="8"/>
  <c r="D2712" i="8"/>
  <c r="D2713" i="8"/>
  <c r="D2714" i="8"/>
  <c r="D2715" i="8"/>
  <c r="D2716" i="8"/>
  <c r="D2717" i="8"/>
  <c r="D2718" i="8"/>
  <c r="D2719" i="8"/>
  <c r="D2720" i="8"/>
  <c r="D2721" i="8"/>
  <c r="D2722" i="8"/>
  <c r="D2723" i="8"/>
  <c r="D2724" i="8"/>
  <c r="D2725" i="8"/>
  <c r="D2726" i="8"/>
  <c r="D2727" i="8"/>
  <c r="D2728" i="8"/>
  <c r="D2729" i="8"/>
  <c r="D2730" i="8"/>
  <c r="D2731" i="8"/>
  <c r="D2732" i="8"/>
  <c r="D2733" i="8"/>
  <c r="D2734" i="8"/>
  <c r="D2735" i="8"/>
  <c r="D2736" i="8"/>
  <c r="D2737" i="8"/>
  <c r="D2738" i="8"/>
  <c r="D2739" i="8"/>
  <c r="D2740" i="8"/>
  <c r="D2741" i="8"/>
  <c r="D2742" i="8"/>
  <c r="D2743" i="8"/>
  <c r="D2744" i="8"/>
  <c r="D2745" i="8"/>
  <c r="D2746" i="8"/>
  <c r="D2747" i="8"/>
  <c r="D2748" i="8"/>
  <c r="D2749" i="8"/>
  <c r="D2750" i="8"/>
  <c r="D2751" i="8"/>
  <c r="D2752" i="8"/>
  <c r="D2753" i="8"/>
  <c r="D2754" i="8"/>
  <c r="D2755" i="8"/>
  <c r="D2756" i="8"/>
  <c r="D2757" i="8"/>
  <c r="D2758" i="8"/>
  <c r="D2759" i="8"/>
  <c r="D2760" i="8"/>
  <c r="D2761" i="8"/>
  <c r="D2762" i="8"/>
  <c r="D2763" i="8"/>
  <c r="D2764" i="8"/>
  <c r="D2765" i="8"/>
  <c r="D2766" i="8"/>
  <c r="D2767" i="8"/>
  <c r="D2768" i="8"/>
  <c r="D2769" i="8"/>
  <c r="D2770" i="8"/>
  <c r="D2771" i="8"/>
  <c r="D2772" i="8"/>
  <c r="D2773" i="8"/>
  <c r="D2774" i="8"/>
  <c r="D2775" i="8"/>
  <c r="D2776" i="8"/>
  <c r="D2777" i="8"/>
  <c r="D2778" i="8"/>
  <c r="D2779" i="8"/>
  <c r="D2780" i="8"/>
  <c r="D2781" i="8"/>
  <c r="D2782" i="8"/>
  <c r="D2783" i="8"/>
  <c r="D2784" i="8"/>
  <c r="D2785" i="8"/>
  <c r="D2786" i="8"/>
  <c r="D2787" i="8"/>
  <c r="D2788" i="8"/>
  <c r="D2789" i="8"/>
  <c r="D2790" i="8"/>
  <c r="D2791" i="8"/>
  <c r="D2792" i="8"/>
  <c r="D2793" i="8"/>
  <c r="D2794" i="8"/>
  <c r="D2795" i="8"/>
  <c r="D2796" i="8"/>
  <c r="D2797" i="8"/>
  <c r="D2798" i="8"/>
  <c r="D2799" i="8"/>
  <c r="D2800" i="8"/>
  <c r="D2801" i="8"/>
  <c r="D2802" i="8"/>
  <c r="D2803" i="8"/>
  <c r="D2804" i="8"/>
  <c r="D2805" i="8"/>
  <c r="D2806" i="8"/>
  <c r="D2807" i="8"/>
  <c r="D2808" i="8"/>
  <c r="D2809" i="8"/>
  <c r="D2810" i="8"/>
  <c r="D2811" i="8"/>
  <c r="D2812" i="8"/>
  <c r="D2813" i="8"/>
  <c r="D2814" i="8"/>
  <c r="D2815" i="8"/>
  <c r="D2816" i="8"/>
  <c r="D2817" i="8"/>
  <c r="D2818" i="8"/>
  <c r="D2819" i="8"/>
  <c r="D2820" i="8"/>
  <c r="D2821" i="8"/>
  <c r="D2822" i="8"/>
  <c r="D2823" i="8"/>
  <c r="D2824" i="8"/>
  <c r="D2825" i="8"/>
  <c r="D2826" i="8"/>
  <c r="D2827" i="8"/>
  <c r="D2828" i="8"/>
  <c r="D2829" i="8"/>
  <c r="D2830" i="8"/>
  <c r="D2831" i="8"/>
  <c r="D2832" i="8"/>
  <c r="D2833" i="8"/>
  <c r="D2834" i="8"/>
  <c r="D2835" i="8"/>
  <c r="D2836" i="8"/>
  <c r="D2837" i="8"/>
  <c r="D2838" i="8"/>
  <c r="D2839" i="8"/>
  <c r="D2840" i="8"/>
  <c r="D2841" i="8"/>
  <c r="D2842" i="8"/>
  <c r="D2843" i="8"/>
  <c r="D2844" i="8"/>
  <c r="D2845" i="8"/>
  <c r="D2846" i="8"/>
  <c r="D2847" i="8"/>
  <c r="D2848" i="8"/>
  <c r="D2849" i="8"/>
  <c r="D2850" i="8"/>
  <c r="D2851" i="8"/>
  <c r="D2852" i="8"/>
  <c r="D2853" i="8"/>
  <c r="D2854" i="8"/>
  <c r="D2855" i="8"/>
  <c r="D2856" i="8"/>
  <c r="D2857" i="8"/>
  <c r="D2858" i="8"/>
  <c r="D2859" i="8"/>
  <c r="D2860" i="8"/>
  <c r="D2861" i="8"/>
  <c r="D2862" i="8"/>
  <c r="D2863" i="8"/>
  <c r="D2864" i="8"/>
  <c r="D2865" i="8"/>
  <c r="D2866" i="8"/>
  <c r="D2867" i="8"/>
  <c r="D2868" i="8"/>
  <c r="D2869" i="8"/>
  <c r="D2870" i="8"/>
  <c r="D2871" i="8"/>
  <c r="D2872" i="8"/>
  <c r="D2873" i="8"/>
  <c r="D2874" i="8"/>
  <c r="D2875" i="8"/>
  <c r="D2876" i="8"/>
  <c r="D2877" i="8"/>
  <c r="D2878" i="8"/>
  <c r="D2879" i="8"/>
  <c r="D2880" i="8"/>
  <c r="D2881" i="8"/>
  <c r="D2882" i="8"/>
  <c r="D2883" i="8"/>
  <c r="D2884" i="8"/>
  <c r="D2885" i="8"/>
  <c r="D2886" i="8"/>
  <c r="D2887" i="8"/>
  <c r="D2888" i="8"/>
  <c r="D2889" i="8"/>
  <c r="D2890" i="8"/>
  <c r="D2891" i="8"/>
  <c r="D2892" i="8"/>
  <c r="D2893" i="8"/>
  <c r="D2894" i="8"/>
  <c r="D2895" i="8"/>
  <c r="D2896" i="8"/>
  <c r="D2897" i="8"/>
  <c r="D2898" i="8"/>
  <c r="D2899" i="8"/>
  <c r="D2900" i="8"/>
  <c r="D2901" i="8"/>
  <c r="D2902" i="8"/>
  <c r="D2903" i="8"/>
  <c r="D2904" i="8"/>
  <c r="D2905" i="8"/>
  <c r="D2906" i="8"/>
  <c r="D2907" i="8"/>
  <c r="D2908" i="8"/>
  <c r="D2909" i="8"/>
  <c r="D2910" i="8"/>
  <c r="D2911" i="8"/>
  <c r="D2912" i="8"/>
  <c r="D2913" i="8"/>
  <c r="D2914" i="8"/>
  <c r="D2915" i="8"/>
  <c r="D2916" i="8"/>
  <c r="D2917" i="8"/>
  <c r="D2918" i="8"/>
  <c r="D2919" i="8"/>
  <c r="D2920" i="8"/>
  <c r="D2921" i="8"/>
  <c r="D2922" i="8"/>
  <c r="D2923" i="8"/>
  <c r="D2924" i="8"/>
  <c r="D2925" i="8"/>
  <c r="D2926" i="8"/>
  <c r="D2927" i="8"/>
  <c r="D2928" i="8"/>
  <c r="D2929" i="8"/>
  <c r="D2930" i="8"/>
  <c r="D2931" i="8"/>
  <c r="D2932" i="8"/>
  <c r="D2933" i="8"/>
  <c r="D2934" i="8"/>
  <c r="D2935" i="8"/>
  <c r="D2936" i="8"/>
  <c r="D2937" i="8"/>
  <c r="D2938" i="8"/>
  <c r="D2939" i="8"/>
  <c r="D2940" i="8"/>
  <c r="D2941" i="8"/>
  <c r="D2942" i="8"/>
  <c r="D2943" i="8"/>
  <c r="D2944" i="8"/>
  <c r="D2945" i="8"/>
  <c r="D2946" i="8"/>
  <c r="D2947" i="8"/>
  <c r="D2948" i="8"/>
  <c r="D2949" i="8"/>
  <c r="D2950" i="8"/>
  <c r="D2951" i="8"/>
  <c r="D2952" i="8"/>
  <c r="D2953" i="8"/>
  <c r="D2954" i="8"/>
  <c r="D2955" i="8"/>
  <c r="D2956" i="8"/>
  <c r="D2957" i="8"/>
  <c r="D2958" i="8"/>
  <c r="D2959" i="8"/>
  <c r="D2960" i="8"/>
  <c r="D2961" i="8"/>
  <c r="D2962" i="8"/>
  <c r="D2963" i="8"/>
  <c r="D2964" i="8"/>
  <c r="D2965" i="8"/>
  <c r="D2966" i="8"/>
  <c r="D2967" i="8"/>
  <c r="D2968" i="8"/>
  <c r="D2969" i="8"/>
  <c r="D2970" i="8"/>
  <c r="D2971" i="8"/>
  <c r="D2972" i="8"/>
  <c r="D2973" i="8"/>
  <c r="D2974" i="8"/>
  <c r="D2975" i="8"/>
  <c r="D2976" i="8"/>
  <c r="D2977" i="8"/>
  <c r="D2978" i="8"/>
  <c r="D2979" i="8"/>
  <c r="D2980" i="8"/>
  <c r="D2981" i="8"/>
  <c r="D2982" i="8"/>
  <c r="D2983" i="8"/>
  <c r="D2984" i="8"/>
  <c r="D2985" i="8"/>
  <c r="D2986" i="8"/>
  <c r="D2987" i="8"/>
  <c r="D2988" i="8"/>
  <c r="D2989" i="8"/>
  <c r="D2990" i="8"/>
  <c r="D2991" i="8"/>
  <c r="D2992" i="8"/>
  <c r="D2993" i="8"/>
  <c r="D2994" i="8"/>
  <c r="D2995" i="8"/>
  <c r="D2996" i="8"/>
  <c r="D2997" i="8"/>
  <c r="D2998" i="8"/>
  <c r="D2999" i="8"/>
  <c r="D3000" i="8"/>
  <c r="D3001" i="8"/>
  <c r="D3002" i="8"/>
  <c r="D3003" i="8"/>
  <c r="D3004" i="8"/>
  <c r="D3005" i="8"/>
  <c r="D3006" i="8"/>
  <c r="D3007" i="8"/>
  <c r="D3008" i="8"/>
  <c r="D3009" i="8"/>
  <c r="D3010" i="8"/>
  <c r="D3011" i="8"/>
  <c r="D3012" i="8"/>
  <c r="D3013" i="8"/>
  <c r="D3014" i="8"/>
  <c r="D3015" i="8"/>
  <c r="D3016" i="8"/>
  <c r="D3017" i="8"/>
  <c r="D3018" i="8"/>
  <c r="D3019" i="8"/>
  <c r="D3020" i="8"/>
  <c r="D3021" i="8"/>
  <c r="D3022" i="8"/>
  <c r="D3023" i="8"/>
  <c r="D3024" i="8"/>
  <c r="D3025" i="8"/>
  <c r="D3026" i="8"/>
  <c r="D3027" i="8"/>
  <c r="D3028" i="8"/>
  <c r="D3029" i="8"/>
  <c r="D3030" i="8"/>
  <c r="D3031" i="8"/>
  <c r="D3032" i="8"/>
  <c r="D3033" i="8"/>
  <c r="D3034" i="8"/>
  <c r="D3035" i="8"/>
  <c r="D3036" i="8"/>
  <c r="D3037" i="8"/>
  <c r="D3038" i="8"/>
  <c r="D3039" i="8"/>
  <c r="D3040" i="8"/>
  <c r="D3041" i="8"/>
  <c r="D3042" i="8"/>
  <c r="D3043" i="8"/>
  <c r="D3044" i="8"/>
  <c r="D3045" i="8"/>
  <c r="D3046" i="8"/>
  <c r="D3047" i="8"/>
  <c r="D3048" i="8"/>
  <c r="D3049" i="8"/>
  <c r="D3050" i="8"/>
  <c r="D3051" i="8"/>
  <c r="D3052" i="8"/>
  <c r="D3053" i="8"/>
  <c r="D3054" i="8"/>
  <c r="D3055" i="8"/>
  <c r="D3056" i="8"/>
  <c r="D3057" i="8"/>
  <c r="D3058" i="8"/>
  <c r="D3059" i="8"/>
  <c r="D3060" i="8"/>
  <c r="D3061" i="8"/>
  <c r="D3062" i="8"/>
  <c r="D3063" i="8"/>
  <c r="D3064" i="8"/>
  <c r="D3065" i="8"/>
  <c r="D3066" i="8"/>
  <c r="D3067" i="8"/>
  <c r="D3068" i="8"/>
  <c r="D3069" i="8"/>
  <c r="D3070" i="8"/>
  <c r="D3071" i="8"/>
  <c r="D3072" i="8"/>
  <c r="D3073" i="8"/>
  <c r="D3074" i="8"/>
  <c r="D3075" i="8"/>
  <c r="D3076" i="8"/>
  <c r="D3077" i="8"/>
  <c r="D3078" i="8"/>
  <c r="D3079" i="8"/>
  <c r="D3080" i="8"/>
  <c r="D3081" i="8"/>
  <c r="D3082" i="8"/>
  <c r="D3083" i="8"/>
  <c r="D3084" i="8"/>
  <c r="D3085" i="8"/>
  <c r="D3086" i="8"/>
  <c r="D3087" i="8"/>
  <c r="D3088" i="8"/>
  <c r="D3089" i="8"/>
  <c r="D3090" i="8"/>
  <c r="D3091" i="8"/>
  <c r="D3092" i="8"/>
  <c r="D3093" i="8"/>
  <c r="D3094" i="8"/>
  <c r="D3095" i="8"/>
  <c r="D3096" i="8"/>
  <c r="D3097" i="8"/>
  <c r="D3098" i="8"/>
  <c r="D3099" i="8"/>
  <c r="D3100" i="8"/>
  <c r="D3101" i="8"/>
  <c r="D3102" i="8"/>
  <c r="D3103" i="8"/>
  <c r="D3104" i="8"/>
  <c r="D3105" i="8"/>
  <c r="D3106" i="8"/>
  <c r="D3107" i="8"/>
  <c r="D3108" i="8"/>
  <c r="D3109" i="8"/>
  <c r="D3110" i="8"/>
  <c r="D3111" i="8"/>
  <c r="D3112" i="8"/>
  <c r="D3113" i="8"/>
  <c r="D3114" i="8"/>
  <c r="D3115" i="8"/>
  <c r="D3116" i="8"/>
  <c r="D3117" i="8"/>
  <c r="D3118" i="8"/>
  <c r="D3119" i="8"/>
  <c r="D3120" i="8"/>
  <c r="D3121" i="8"/>
  <c r="D3122" i="8"/>
  <c r="D3123" i="8"/>
  <c r="D3124" i="8"/>
  <c r="D3125" i="8"/>
  <c r="D3126" i="8"/>
  <c r="D3127" i="8"/>
  <c r="D3128" i="8"/>
  <c r="D3129" i="8"/>
  <c r="D3130" i="8"/>
  <c r="D3131" i="8"/>
  <c r="D3132" i="8"/>
  <c r="D3133" i="8"/>
  <c r="D3134" i="8"/>
  <c r="D3135" i="8"/>
  <c r="D3136" i="8"/>
  <c r="D3137" i="8"/>
  <c r="D3138" i="8"/>
  <c r="D3139" i="8"/>
  <c r="D3140" i="8"/>
  <c r="D3141" i="8"/>
  <c r="D3142" i="8"/>
  <c r="D3143" i="8"/>
  <c r="D3144" i="8"/>
  <c r="D3145" i="8"/>
  <c r="D3146" i="8"/>
  <c r="D3147" i="8"/>
  <c r="D3148" i="8"/>
  <c r="D3149" i="8"/>
  <c r="D3150" i="8"/>
  <c r="D3151" i="8"/>
  <c r="D3152" i="8"/>
  <c r="D3153" i="8"/>
  <c r="D3154" i="8"/>
  <c r="D3155" i="8"/>
  <c r="D3156" i="8"/>
  <c r="D3157" i="8"/>
  <c r="D3158" i="8"/>
  <c r="D3159" i="8"/>
  <c r="D3160" i="8"/>
  <c r="D3161" i="8"/>
  <c r="D3162" i="8"/>
  <c r="D3163" i="8"/>
  <c r="D3164" i="8"/>
  <c r="D3165" i="8"/>
  <c r="D3166" i="8"/>
  <c r="D3167" i="8"/>
  <c r="D3168" i="8"/>
  <c r="D3169" i="8"/>
  <c r="D3170" i="8"/>
  <c r="D3171" i="8"/>
  <c r="D3172" i="8"/>
  <c r="D3173" i="8"/>
  <c r="D3174" i="8"/>
  <c r="D3175" i="8"/>
  <c r="D3176" i="8"/>
  <c r="D3177" i="8"/>
  <c r="D3178" i="8"/>
  <c r="D3179" i="8"/>
  <c r="D3180" i="8"/>
  <c r="D3181" i="8"/>
  <c r="D3182" i="8"/>
  <c r="D3183" i="8"/>
  <c r="D3184" i="8"/>
  <c r="D3185" i="8"/>
  <c r="D3186" i="8"/>
  <c r="D3187" i="8"/>
  <c r="D3188" i="8"/>
  <c r="D3189" i="8"/>
  <c r="D3190" i="8"/>
  <c r="D3191" i="8"/>
  <c r="D3192" i="8"/>
  <c r="D3193" i="8"/>
  <c r="D3194" i="8"/>
  <c r="D3195" i="8"/>
  <c r="D3196" i="8"/>
  <c r="D3197" i="8"/>
  <c r="D3198" i="8"/>
  <c r="D3199" i="8"/>
  <c r="D3200" i="8"/>
  <c r="D3201" i="8"/>
  <c r="D3202" i="8"/>
  <c r="D3203" i="8"/>
  <c r="D3204" i="8"/>
  <c r="D3205" i="8"/>
  <c r="D3206" i="8"/>
  <c r="D3207" i="8"/>
  <c r="D3208" i="8"/>
  <c r="D3209" i="8"/>
  <c r="D3210" i="8"/>
  <c r="D3211" i="8"/>
  <c r="D3212" i="8"/>
  <c r="D3213" i="8"/>
  <c r="D3214" i="8"/>
  <c r="D3215" i="8"/>
  <c r="D3216" i="8"/>
  <c r="D3217" i="8"/>
  <c r="D3218" i="8"/>
  <c r="D3219" i="8"/>
  <c r="D3220" i="8"/>
  <c r="D3221" i="8"/>
  <c r="D3222" i="8"/>
  <c r="D3223" i="8"/>
  <c r="D3224" i="8"/>
  <c r="D3225" i="8"/>
  <c r="D3226" i="8"/>
  <c r="D3227" i="8"/>
  <c r="D3228" i="8"/>
  <c r="D3229" i="8"/>
  <c r="D3230" i="8"/>
  <c r="D3231" i="8"/>
  <c r="D3232" i="8"/>
  <c r="D3233" i="8"/>
  <c r="D3234" i="8"/>
  <c r="D3235" i="8"/>
  <c r="D3236" i="8"/>
  <c r="D3237" i="8"/>
  <c r="D3238" i="8"/>
  <c r="D3239" i="8"/>
  <c r="D3240" i="8"/>
  <c r="D3241" i="8"/>
  <c r="D3242" i="8"/>
  <c r="D3243" i="8"/>
  <c r="D3244" i="8"/>
  <c r="D3245" i="8"/>
  <c r="D3246" i="8"/>
  <c r="D3247" i="8"/>
  <c r="D3248" i="8"/>
  <c r="D3249" i="8"/>
  <c r="D3250" i="8"/>
  <c r="D3251" i="8"/>
  <c r="D3252" i="8"/>
  <c r="D3253" i="8"/>
  <c r="D3254" i="8"/>
  <c r="D3255" i="8"/>
  <c r="D3256" i="8"/>
  <c r="D3257" i="8"/>
  <c r="D3258" i="8"/>
  <c r="D3259" i="8"/>
  <c r="D3260" i="8"/>
  <c r="D3261" i="8"/>
  <c r="D3262" i="8"/>
  <c r="D3263" i="8"/>
  <c r="D3264" i="8"/>
  <c r="D3265" i="8"/>
  <c r="D3266" i="8"/>
  <c r="D3267" i="8"/>
  <c r="D3268" i="8"/>
  <c r="D3269" i="8"/>
  <c r="D3270" i="8"/>
  <c r="D3271" i="8"/>
  <c r="D3272" i="8"/>
  <c r="D3273" i="8"/>
  <c r="D3274" i="8"/>
  <c r="D3275" i="8"/>
  <c r="D3276" i="8"/>
  <c r="D3277" i="8"/>
  <c r="D3278" i="8"/>
  <c r="D3279" i="8"/>
  <c r="D3280" i="8"/>
  <c r="D3281" i="8"/>
  <c r="D3282" i="8"/>
  <c r="D3283" i="8"/>
  <c r="D3284" i="8"/>
  <c r="D3285" i="8"/>
  <c r="D3286" i="8"/>
  <c r="D3287" i="8"/>
  <c r="D3288" i="8"/>
  <c r="D3289" i="8"/>
  <c r="D3290" i="8"/>
  <c r="D3291" i="8"/>
  <c r="D3292" i="8"/>
  <c r="D3293" i="8"/>
  <c r="D3294" i="8"/>
  <c r="D3295" i="8"/>
  <c r="D3296" i="8"/>
  <c r="D3297" i="8"/>
  <c r="D3298" i="8"/>
  <c r="D3299" i="8"/>
  <c r="D3300" i="8"/>
  <c r="D3301" i="8"/>
  <c r="D3302" i="8"/>
  <c r="C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11" i="8"/>
  <c r="C1012" i="8"/>
  <c r="C1013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59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5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216" i="8"/>
  <c r="C1217" i="8"/>
  <c r="C1218" i="8"/>
  <c r="C1219" i="8"/>
  <c r="C1220" i="8"/>
  <c r="C1221" i="8"/>
  <c r="C1222" i="8"/>
  <c r="C1223" i="8"/>
  <c r="C1224" i="8"/>
  <c r="C1225" i="8"/>
  <c r="C1226" i="8"/>
  <c r="C1227" i="8"/>
  <c r="C1228" i="8"/>
  <c r="C1229" i="8"/>
  <c r="C1230" i="8"/>
  <c r="C1231" i="8"/>
  <c r="C1232" i="8"/>
  <c r="C1233" i="8"/>
  <c r="C1234" i="8"/>
  <c r="C1235" i="8"/>
  <c r="C1236" i="8"/>
  <c r="C1237" i="8"/>
  <c r="C1238" i="8"/>
  <c r="C1239" i="8"/>
  <c r="C1240" i="8"/>
  <c r="C1241" i="8"/>
  <c r="C1242" i="8"/>
  <c r="C1243" i="8"/>
  <c r="C1244" i="8"/>
  <c r="C1245" i="8"/>
  <c r="C1246" i="8"/>
  <c r="C1247" i="8"/>
  <c r="C1248" i="8"/>
  <c r="C1249" i="8"/>
  <c r="C1250" i="8"/>
  <c r="C1251" i="8"/>
  <c r="C1252" i="8"/>
  <c r="C1253" i="8"/>
  <c r="C1254" i="8"/>
  <c r="C1255" i="8"/>
  <c r="C1256" i="8"/>
  <c r="C1257" i="8"/>
  <c r="C1258" i="8"/>
  <c r="C1259" i="8"/>
  <c r="C1260" i="8"/>
  <c r="C1261" i="8"/>
  <c r="C1262" i="8"/>
  <c r="C1263" i="8"/>
  <c r="C1264" i="8"/>
  <c r="C1265" i="8"/>
  <c r="C1266" i="8"/>
  <c r="C1267" i="8"/>
  <c r="C1268" i="8"/>
  <c r="C1269" i="8"/>
  <c r="C1270" i="8"/>
  <c r="C1271" i="8"/>
  <c r="C1272" i="8"/>
  <c r="C1273" i="8"/>
  <c r="C1274" i="8"/>
  <c r="C1275" i="8"/>
  <c r="C1276" i="8"/>
  <c r="C1277" i="8"/>
  <c r="C1278" i="8"/>
  <c r="C1279" i="8"/>
  <c r="C1280" i="8"/>
  <c r="C1281" i="8"/>
  <c r="C1282" i="8"/>
  <c r="C1283" i="8"/>
  <c r="C1284" i="8"/>
  <c r="C1285" i="8"/>
  <c r="C1286" i="8"/>
  <c r="C1287" i="8"/>
  <c r="C1288" i="8"/>
  <c r="C1289" i="8"/>
  <c r="C1290" i="8"/>
  <c r="C1291" i="8"/>
  <c r="C1292" i="8"/>
  <c r="C1293" i="8"/>
  <c r="C1294" i="8"/>
  <c r="C1295" i="8"/>
  <c r="C1296" i="8"/>
  <c r="C1297" i="8"/>
  <c r="C1298" i="8"/>
  <c r="C1299" i="8"/>
  <c r="C1300" i="8"/>
  <c r="C1301" i="8"/>
  <c r="C1302" i="8"/>
  <c r="C1303" i="8"/>
  <c r="C1304" i="8"/>
  <c r="C1305" i="8"/>
  <c r="C1306" i="8"/>
  <c r="C1307" i="8"/>
  <c r="C1308" i="8"/>
  <c r="C1309" i="8"/>
  <c r="C1310" i="8"/>
  <c r="C1311" i="8"/>
  <c r="C1312" i="8"/>
  <c r="C1313" i="8"/>
  <c r="C1314" i="8"/>
  <c r="C1315" i="8"/>
  <c r="C1316" i="8"/>
  <c r="C1317" i="8"/>
  <c r="C1318" i="8"/>
  <c r="C1319" i="8"/>
  <c r="C1320" i="8"/>
  <c r="C1321" i="8"/>
  <c r="C1322" i="8"/>
  <c r="C1323" i="8"/>
  <c r="C1324" i="8"/>
  <c r="C1325" i="8"/>
  <c r="C1326" i="8"/>
  <c r="C1327" i="8"/>
  <c r="C1328" i="8"/>
  <c r="C1329" i="8"/>
  <c r="C1330" i="8"/>
  <c r="C1331" i="8"/>
  <c r="C1332" i="8"/>
  <c r="C1333" i="8"/>
  <c r="C1334" i="8"/>
  <c r="C1335" i="8"/>
  <c r="C1336" i="8"/>
  <c r="C1337" i="8"/>
  <c r="C1338" i="8"/>
  <c r="C1339" i="8"/>
  <c r="C1340" i="8"/>
  <c r="C1341" i="8"/>
  <c r="C1342" i="8"/>
  <c r="C1343" i="8"/>
  <c r="C1344" i="8"/>
  <c r="C1345" i="8"/>
  <c r="C1346" i="8"/>
  <c r="C1347" i="8"/>
  <c r="C1348" i="8"/>
  <c r="C1349" i="8"/>
  <c r="C1350" i="8"/>
  <c r="C1351" i="8"/>
  <c r="C1352" i="8"/>
  <c r="C1353" i="8"/>
  <c r="C1354" i="8"/>
  <c r="C1355" i="8"/>
  <c r="C1356" i="8"/>
  <c r="C1357" i="8"/>
  <c r="C1358" i="8"/>
  <c r="C1359" i="8"/>
  <c r="C1360" i="8"/>
  <c r="C1361" i="8"/>
  <c r="C1362" i="8"/>
  <c r="C1363" i="8"/>
  <c r="C1364" i="8"/>
  <c r="C1365" i="8"/>
  <c r="C1366" i="8"/>
  <c r="C1367" i="8"/>
  <c r="C1368" i="8"/>
  <c r="C1369" i="8"/>
  <c r="C1370" i="8"/>
  <c r="C1371" i="8"/>
  <c r="C1372" i="8"/>
  <c r="C1373" i="8"/>
  <c r="C1374" i="8"/>
  <c r="C1375" i="8"/>
  <c r="C1376" i="8"/>
  <c r="C1377" i="8"/>
  <c r="C1378" i="8"/>
  <c r="C1379" i="8"/>
  <c r="C1380" i="8"/>
  <c r="C1381" i="8"/>
  <c r="C1382" i="8"/>
  <c r="C1383" i="8"/>
  <c r="C1384" i="8"/>
  <c r="C1385" i="8"/>
  <c r="C1386" i="8"/>
  <c r="C1387" i="8"/>
  <c r="C1388" i="8"/>
  <c r="C1389" i="8"/>
  <c r="C1390" i="8"/>
  <c r="C1391" i="8"/>
  <c r="C1392" i="8"/>
  <c r="C1393" i="8"/>
  <c r="C1394" i="8"/>
  <c r="C1395" i="8"/>
  <c r="C1396" i="8"/>
  <c r="C1397" i="8"/>
  <c r="C1398" i="8"/>
  <c r="C1399" i="8"/>
  <c r="C1400" i="8"/>
  <c r="C1401" i="8"/>
  <c r="C1402" i="8"/>
  <c r="C1403" i="8"/>
  <c r="C1404" i="8"/>
  <c r="C1405" i="8"/>
  <c r="C1406" i="8"/>
  <c r="C1407" i="8"/>
  <c r="C1408" i="8"/>
  <c r="C1409" i="8"/>
  <c r="C1410" i="8"/>
  <c r="C1411" i="8"/>
  <c r="C1412" i="8"/>
  <c r="C1413" i="8"/>
  <c r="C1414" i="8"/>
  <c r="C1415" i="8"/>
  <c r="C1416" i="8"/>
  <c r="C1417" i="8"/>
  <c r="C1418" i="8"/>
  <c r="C1419" i="8"/>
  <c r="C1420" i="8"/>
  <c r="C1421" i="8"/>
  <c r="C1422" i="8"/>
  <c r="C1423" i="8"/>
  <c r="C1424" i="8"/>
  <c r="C1425" i="8"/>
  <c r="C1426" i="8"/>
  <c r="C1427" i="8"/>
  <c r="C1428" i="8"/>
  <c r="C1429" i="8"/>
  <c r="C1430" i="8"/>
  <c r="C1431" i="8"/>
  <c r="C1432" i="8"/>
  <c r="C1433" i="8"/>
  <c r="C1434" i="8"/>
  <c r="C1435" i="8"/>
  <c r="C1436" i="8"/>
  <c r="C1437" i="8"/>
  <c r="C1438" i="8"/>
  <c r="C1439" i="8"/>
  <c r="C1440" i="8"/>
  <c r="C1441" i="8"/>
  <c r="C1442" i="8"/>
  <c r="C1443" i="8"/>
  <c r="C1444" i="8"/>
  <c r="C1445" i="8"/>
  <c r="C1446" i="8"/>
  <c r="C1447" i="8"/>
  <c r="C1448" i="8"/>
  <c r="C1449" i="8"/>
  <c r="C1450" i="8"/>
  <c r="C1451" i="8"/>
  <c r="C1452" i="8"/>
  <c r="C1453" i="8"/>
  <c r="C1454" i="8"/>
  <c r="C1455" i="8"/>
  <c r="C1456" i="8"/>
  <c r="C1457" i="8"/>
  <c r="C1458" i="8"/>
  <c r="C1459" i="8"/>
  <c r="C1460" i="8"/>
  <c r="C1461" i="8"/>
  <c r="C1462" i="8"/>
  <c r="C1463" i="8"/>
  <c r="C1464" i="8"/>
  <c r="C1465" i="8"/>
  <c r="C1466" i="8"/>
  <c r="C1467" i="8"/>
  <c r="C1468" i="8"/>
  <c r="C1469" i="8"/>
  <c r="C1470" i="8"/>
  <c r="C1471" i="8"/>
  <c r="C1472" i="8"/>
  <c r="C1473" i="8"/>
  <c r="C1474" i="8"/>
  <c r="C1475" i="8"/>
  <c r="C1476" i="8"/>
  <c r="C1477" i="8"/>
  <c r="C1478" i="8"/>
  <c r="C1479" i="8"/>
  <c r="C1480" i="8"/>
  <c r="C1481" i="8"/>
  <c r="C1482" i="8"/>
  <c r="C1483" i="8"/>
  <c r="C1484" i="8"/>
  <c r="C1485" i="8"/>
  <c r="C1486" i="8"/>
  <c r="C1487" i="8"/>
  <c r="C1488" i="8"/>
  <c r="C1489" i="8"/>
  <c r="C1490" i="8"/>
  <c r="C1491" i="8"/>
  <c r="C1492" i="8"/>
  <c r="C1493" i="8"/>
  <c r="C1494" i="8"/>
  <c r="C1495" i="8"/>
  <c r="C1496" i="8"/>
  <c r="C1497" i="8"/>
  <c r="C1498" i="8"/>
  <c r="C1499" i="8"/>
  <c r="C1500" i="8"/>
  <c r="C1501" i="8"/>
  <c r="C1502" i="8"/>
  <c r="C1503" i="8"/>
  <c r="C1504" i="8"/>
  <c r="C1505" i="8"/>
  <c r="C1506" i="8"/>
  <c r="C1507" i="8"/>
  <c r="C1508" i="8"/>
  <c r="C1509" i="8"/>
  <c r="C1510" i="8"/>
  <c r="C1511" i="8"/>
  <c r="C1512" i="8"/>
  <c r="C1513" i="8"/>
  <c r="C1514" i="8"/>
  <c r="C1515" i="8"/>
  <c r="C1516" i="8"/>
  <c r="C1517" i="8"/>
  <c r="C1518" i="8"/>
  <c r="C1519" i="8"/>
  <c r="C1520" i="8"/>
  <c r="C1521" i="8"/>
  <c r="C1522" i="8"/>
  <c r="C1523" i="8"/>
  <c r="C1524" i="8"/>
  <c r="C1525" i="8"/>
  <c r="C1526" i="8"/>
  <c r="C1527" i="8"/>
  <c r="C1528" i="8"/>
  <c r="C1529" i="8"/>
  <c r="C1530" i="8"/>
  <c r="C1531" i="8"/>
  <c r="C1532" i="8"/>
  <c r="C1533" i="8"/>
  <c r="C1534" i="8"/>
  <c r="C1535" i="8"/>
  <c r="C1536" i="8"/>
  <c r="C1537" i="8"/>
  <c r="C1538" i="8"/>
  <c r="C1539" i="8"/>
  <c r="C1540" i="8"/>
  <c r="C1541" i="8"/>
  <c r="C1542" i="8"/>
  <c r="C1543" i="8"/>
  <c r="C1544" i="8"/>
  <c r="C1545" i="8"/>
  <c r="C1546" i="8"/>
  <c r="C1547" i="8"/>
  <c r="C1548" i="8"/>
  <c r="C1549" i="8"/>
  <c r="C1550" i="8"/>
  <c r="C1551" i="8"/>
  <c r="C1552" i="8"/>
  <c r="C1553" i="8"/>
  <c r="C1554" i="8"/>
  <c r="C1555" i="8"/>
  <c r="C1556" i="8"/>
  <c r="C1557" i="8"/>
  <c r="C1558" i="8"/>
  <c r="C1559" i="8"/>
  <c r="C1560" i="8"/>
  <c r="C1561" i="8"/>
  <c r="C1562" i="8"/>
  <c r="C1563" i="8"/>
  <c r="C1564" i="8"/>
  <c r="C1565" i="8"/>
  <c r="C1566" i="8"/>
  <c r="C1567" i="8"/>
  <c r="C1568" i="8"/>
  <c r="C1569" i="8"/>
  <c r="C1570" i="8"/>
  <c r="C1571" i="8"/>
  <c r="C1572" i="8"/>
  <c r="C1573" i="8"/>
  <c r="C1574" i="8"/>
  <c r="C1575" i="8"/>
  <c r="C1576" i="8"/>
  <c r="C1577" i="8"/>
  <c r="C1578" i="8"/>
  <c r="C1579" i="8"/>
  <c r="C1580" i="8"/>
  <c r="C1581" i="8"/>
  <c r="C1582" i="8"/>
  <c r="C1583" i="8"/>
  <c r="C1584" i="8"/>
  <c r="C1585" i="8"/>
  <c r="C1586" i="8"/>
  <c r="C1587" i="8"/>
  <c r="C1588" i="8"/>
  <c r="C1589" i="8"/>
  <c r="C1590" i="8"/>
  <c r="C1591" i="8"/>
  <c r="C1592" i="8"/>
  <c r="C1593" i="8"/>
  <c r="C1594" i="8"/>
  <c r="C1595" i="8"/>
  <c r="C1596" i="8"/>
  <c r="C1597" i="8"/>
  <c r="C1598" i="8"/>
  <c r="C1599" i="8"/>
  <c r="C1600" i="8"/>
  <c r="C1601" i="8"/>
  <c r="C1602" i="8"/>
  <c r="C1603" i="8"/>
  <c r="C1604" i="8"/>
  <c r="C1605" i="8"/>
  <c r="C1606" i="8"/>
  <c r="C1607" i="8"/>
  <c r="C1608" i="8"/>
  <c r="C1609" i="8"/>
  <c r="C1610" i="8"/>
  <c r="C1611" i="8"/>
  <c r="C1612" i="8"/>
  <c r="C1613" i="8"/>
  <c r="C1614" i="8"/>
  <c r="C1615" i="8"/>
  <c r="C1616" i="8"/>
  <c r="C1617" i="8"/>
  <c r="C1618" i="8"/>
  <c r="C1619" i="8"/>
  <c r="C1620" i="8"/>
  <c r="C1621" i="8"/>
  <c r="C1622" i="8"/>
  <c r="C1623" i="8"/>
  <c r="C1624" i="8"/>
  <c r="C1625" i="8"/>
  <c r="C1626" i="8"/>
  <c r="C1627" i="8"/>
  <c r="C1628" i="8"/>
  <c r="C1629" i="8"/>
  <c r="C1630" i="8"/>
  <c r="C1631" i="8"/>
  <c r="C1632" i="8"/>
  <c r="C1633" i="8"/>
  <c r="C1634" i="8"/>
  <c r="C1635" i="8"/>
  <c r="C1636" i="8"/>
  <c r="C1637" i="8"/>
  <c r="C1638" i="8"/>
  <c r="C1639" i="8"/>
  <c r="C1640" i="8"/>
  <c r="C1641" i="8"/>
  <c r="C1642" i="8"/>
  <c r="C1643" i="8"/>
  <c r="C1644" i="8"/>
  <c r="C1645" i="8"/>
  <c r="C1646" i="8"/>
  <c r="C1647" i="8"/>
  <c r="C1648" i="8"/>
  <c r="C1649" i="8"/>
  <c r="C1650" i="8"/>
  <c r="C1651" i="8"/>
  <c r="C1652" i="8"/>
  <c r="C1653" i="8"/>
  <c r="C1654" i="8"/>
  <c r="C1655" i="8"/>
  <c r="C1656" i="8"/>
  <c r="C1657" i="8"/>
  <c r="C1658" i="8"/>
  <c r="C1659" i="8"/>
  <c r="C1660" i="8"/>
  <c r="C1661" i="8"/>
  <c r="C1662" i="8"/>
  <c r="C1663" i="8"/>
  <c r="C1664" i="8"/>
  <c r="C1665" i="8"/>
  <c r="C1666" i="8"/>
  <c r="C1667" i="8"/>
  <c r="C1668" i="8"/>
  <c r="C1669" i="8"/>
  <c r="C1670" i="8"/>
  <c r="C1671" i="8"/>
  <c r="C1672" i="8"/>
  <c r="C1673" i="8"/>
  <c r="C1674" i="8"/>
  <c r="C1675" i="8"/>
  <c r="C1676" i="8"/>
  <c r="C1677" i="8"/>
  <c r="C1678" i="8"/>
  <c r="C1679" i="8"/>
  <c r="C1680" i="8"/>
  <c r="C1681" i="8"/>
  <c r="C1682" i="8"/>
  <c r="C1683" i="8"/>
  <c r="C1684" i="8"/>
  <c r="C1685" i="8"/>
  <c r="C1686" i="8"/>
  <c r="C1687" i="8"/>
  <c r="C1688" i="8"/>
  <c r="C1689" i="8"/>
  <c r="C1690" i="8"/>
  <c r="C1691" i="8"/>
  <c r="C1692" i="8"/>
  <c r="C1693" i="8"/>
  <c r="C1694" i="8"/>
  <c r="C1695" i="8"/>
  <c r="C1696" i="8"/>
  <c r="C1697" i="8"/>
  <c r="C1698" i="8"/>
  <c r="C1699" i="8"/>
  <c r="C1700" i="8"/>
  <c r="C1701" i="8"/>
  <c r="C1702" i="8"/>
  <c r="C1703" i="8"/>
  <c r="C1704" i="8"/>
  <c r="C1705" i="8"/>
  <c r="C1706" i="8"/>
  <c r="C1707" i="8"/>
  <c r="C1708" i="8"/>
  <c r="C1709" i="8"/>
  <c r="C1710" i="8"/>
  <c r="C1711" i="8"/>
  <c r="C1712" i="8"/>
  <c r="C1713" i="8"/>
  <c r="C1714" i="8"/>
  <c r="C1715" i="8"/>
  <c r="C1716" i="8"/>
  <c r="C1717" i="8"/>
  <c r="C1718" i="8"/>
  <c r="C1719" i="8"/>
  <c r="C1720" i="8"/>
  <c r="C1721" i="8"/>
  <c r="C1722" i="8"/>
  <c r="C1723" i="8"/>
  <c r="C1724" i="8"/>
  <c r="C1725" i="8"/>
  <c r="C1726" i="8"/>
  <c r="C1727" i="8"/>
  <c r="C1728" i="8"/>
  <c r="C1729" i="8"/>
  <c r="C1730" i="8"/>
  <c r="C1731" i="8"/>
  <c r="C1732" i="8"/>
  <c r="C1733" i="8"/>
  <c r="C1734" i="8"/>
  <c r="C1735" i="8"/>
  <c r="C1736" i="8"/>
  <c r="C1737" i="8"/>
  <c r="C1738" i="8"/>
  <c r="C1739" i="8"/>
  <c r="C1740" i="8"/>
  <c r="C1741" i="8"/>
  <c r="C1742" i="8"/>
  <c r="C1743" i="8"/>
  <c r="C1744" i="8"/>
  <c r="C1745" i="8"/>
  <c r="C1746" i="8"/>
  <c r="C1747" i="8"/>
  <c r="C1748" i="8"/>
  <c r="C1749" i="8"/>
  <c r="C1750" i="8"/>
  <c r="C1751" i="8"/>
  <c r="C1752" i="8"/>
  <c r="C1753" i="8"/>
  <c r="C1754" i="8"/>
  <c r="C1755" i="8"/>
  <c r="C1756" i="8"/>
  <c r="C1757" i="8"/>
  <c r="C1758" i="8"/>
  <c r="C1759" i="8"/>
  <c r="C1760" i="8"/>
  <c r="C1761" i="8"/>
  <c r="C1762" i="8"/>
  <c r="C1763" i="8"/>
  <c r="C1764" i="8"/>
  <c r="C1765" i="8"/>
  <c r="C1766" i="8"/>
  <c r="C1767" i="8"/>
  <c r="C1768" i="8"/>
  <c r="C1769" i="8"/>
  <c r="C1770" i="8"/>
  <c r="C1771" i="8"/>
  <c r="C1772" i="8"/>
  <c r="C1773" i="8"/>
  <c r="C1774" i="8"/>
  <c r="C1775" i="8"/>
  <c r="C1776" i="8"/>
  <c r="C1777" i="8"/>
  <c r="C1778" i="8"/>
  <c r="C1779" i="8"/>
  <c r="C1780" i="8"/>
  <c r="C1781" i="8"/>
  <c r="C1782" i="8"/>
  <c r="C1783" i="8"/>
  <c r="C1784" i="8"/>
  <c r="C1785" i="8"/>
  <c r="C1786" i="8"/>
  <c r="C1787" i="8"/>
  <c r="C1788" i="8"/>
  <c r="C1789" i="8"/>
  <c r="C1790" i="8"/>
  <c r="C1791" i="8"/>
  <c r="C1792" i="8"/>
  <c r="C1793" i="8"/>
  <c r="C1794" i="8"/>
  <c r="C1795" i="8"/>
  <c r="C1796" i="8"/>
  <c r="C1797" i="8"/>
  <c r="C1798" i="8"/>
  <c r="C1799" i="8"/>
  <c r="C1800" i="8"/>
  <c r="C1801" i="8"/>
  <c r="C1802" i="8"/>
  <c r="C1803" i="8"/>
  <c r="C1804" i="8"/>
  <c r="C1805" i="8"/>
  <c r="C1806" i="8"/>
  <c r="C1807" i="8"/>
  <c r="C1808" i="8"/>
  <c r="C1809" i="8"/>
  <c r="C1810" i="8"/>
  <c r="C1811" i="8"/>
  <c r="C1812" i="8"/>
  <c r="C1813" i="8"/>
  <c r="C1814" i="8"/>
  <c r="C1815" i="8"/>
  <c r="C1816" i="8"/>
  <c r="C1817" i="8"/>
  <c r="C1818" i="8"/>
  <c r="C1819" i="8"/>
  <c r="C1820" i="8"/>
  <c r="C1821" i="8"/>
  <c r="C1822" i="8"/>
  <c r="C1823" i="8"/>
  <c r="C1824" i="8"/>
  <c r="C1825" i="8"/>
  <c r="C1826" i="8"/>
  <c r="C1827" i="8"/>
  <c r="C1828" i="8"/>
  <c r="C1829" i="8"/>
  <c r="C1830" i="8"/>
  <c r="C1831" i="8"/>
  <c r="C1832" i="8"/>
  <c r="C1833" i="8"/>
  <c r="C1834" i="8"/>
  <c r="C1835" i="8"/>
  <c r="C1836" i="8"/>
  <c r="C1837" i="8"/>
  <c r="C1838" i="8"/>
  <c r="C1839" i="8"/>
  <c r="C1840" i="8"/>
  <c r="C1841" i="8"/>
  <c r="C1842" i="8"/>
  <c r="C1843" i="8"/>
  <c r="C1844" i="8"/>
  <c r="C1845" i="8"/>
  <c r="C1846" i="8"/>
  <c r="C1847" i="8"/>
  <c r="C1848" i="8"/>
  <c r="C1849" i="8"/>
  <c r="C1850" i="8"/>
  <c r="C1851" i="8"/>
  <c r="C1852" i="8"/>
  <c r="C1853" i="8"/>
  <c r="C1854" i="8"/>
  <c r="C1855" i="8"/>
  <c r="C1856" i="8"/>
  <c r="C1857" i="8"/>
  <c r="C1858" i="8"/>
  <c r="C1859" i="8"/>
  <c r="C1860" i="8"/>
  <c r="C1861" i="8"/>
  <c r="C1862" i="8"/>
  <c r="C1863" i="8"/>
  <c r="C1864" i="8"/>
  <c r="C1865" i="8"/>
  <c r="C1866" i="8"/>
  <c r="C1867" i="8"/>
  <c r="C1868" i="8"/>
  <c r="C1869" i="8"/>
  <c r="C1870" i="8"/>
  <c r="C1871" i="8"/>
  <c r="C1872" i="8"/>
  <c r="C1873" i="8"/>
  <c r="C1874" i="8"/>
  <c r="C1875" i="8"/>
  <c r="C1876" i="8"/>
  <c r="C1877" i="8"/>
  <c r="C1878" i="8"/>
  <c r="C1879" i="8"/>
  <c r="C1880" i="8"/>
  <c r="C1881" i="8"/>
  <c r="C1882" i="8"/>
  <c r="C1883" i="8"/>
  <c r="C1884" i="8"/>
  <c r="C1885" i="8"/>
  <c r="C1886" i="8"/>
  <c r="C1887" i="8"/>
  <c r="C1888" i="8"/>
  <c r="C1889" i="8"/>
  <c r="C1890" i="8"/>
  <c r="C1891" i="8"/>
  <c r="C1892" i="8"/>
  <c r="C1893" i="8"/>
  <c r="C1894" i="8"/>
  <c r="C1895" i="8"/>
  <c r="C1896" i="8"/>
  <c r="C1897" i="8"/>
  <c r="C1898" i="8"/>
  <c r="C1899" i="8"/>
  <c r="C1900" i="8"/>
  <c r="C1901" i="8"/>
  <c r="C1902" i="8"/>
  <c r="C1903" i="8"/>
  <c r="C1904" i="8"/>
  <c r="C1905" i="8"/>
  <c r="C1906" i="8"/>
  <c r="C1907" i="8"/>
  <c r="C1908" i="8"/>
  <c r="C1909" i="8"/>
  <c r="C1910" i="8"/>
  <c r="C1911" i="8"/>
  <c r="C1912" i="8"/>
  <c r="C1913" i="8"/>
  <c r="C1914" i="8"/>
  <c r="C1915" i="8"/>
  <c r="C1916" i="8"/>
  <c r="C1917" i="8"/>
  <c r="C1918" i="8"/>
  <c r="C1919" i="8"/>
  <c r="C1920" i="8"/>
  <c r="C1921" i="8"/>
  <c r="C1922" i="8"/>
  <c r="C1923" i="8"/>
  <c r="C1924" i="8"/>
  <c r="C1925" i="8"/>
  <c r="C1926" i="8"/>
  <c r="C1927" i="8"/>
  <c r="C1928" i="8"/>
  <c r="C1929" i="8"/>
  <c r="C1930" i="8"/>
  <c r="C1931" i="8"/>
  <c r="C1932" i="8"/>
  <c r="C1933" i="8"/>
  <c r="C1934" i="8"/>
  <c r="C1935" i="8"/>
  <c r="C1936" i="8"/>
  <c r="C1937" i="8"/>
  <c r="C1938" i="8"/>
  <c r="C1939" i="8"/>
  <c r="C1940" i="8"/>
  <c r="C1941" i="8"/>
  <c r="C1942" i="8"/>
  <c r="C1943" i="8"/>
  <c r="C1944" i="8"/>
  <c r="C1945" i="8"/>
  <c r="C1946" i="8"/>
  <c r="C1947" i="8"/>
  <c r="C1948" i="8"/>
  <c r="C1949" i="8"/>
  <c r="C1950" i="8"/>
  <c r="C1951" i="8"/>
  <c r="C1952" i="8"/>
  <c r="C1953" i="8"/>
  <c r="C1954" i="8"/>
  <c r="C1955" i="8"/>
  <c r="C1956" i="8"/>
  <c r="C1957" i="8"/>
  <c r="C1958" i="8"/>
  <c r="C1959" i="8"/>
  <c r="C1960" i="8"/>
  <c r="C1961" i="8"/>
  <c r="C1962" i="8"/>
  <c r="C1963" i="8"/>
  <c r="C1964" i="8"/>
  <c r="C1965" i="8"/>
  <c r="C1966" i="8"/>
  <c r="C1967" i="8"/>
  <c r="C1968" i="8"/>
  <c r="C1969" i="8"/>
  <c r="C1970" i="8"/>
  <c r="C1971" i="8"/>
  <c r="C1972" i="8"/>
  <c r="C1973" i="8"/>
  <c r="C1974" i="8"/>
  <c r="C1975" i="8"/>
  <c r="C1976" i="8"/>
  <c r="C1977" i="8"/>
  <c r="C1978" i="8"/>
  <c r="C1979" i="8"/>
  <c r="C1980" i="8"/>
  <c r="C1981" i="8"/>
  <c r="C1982" i="8"/>
  <c r="C1983" i="8"/>
  <c r="C1984" i="8"/>
  <c r="C1985" i="8"/>
  <c r="C1986" i="8"/>
  <c r="C1987" i="8"/>
  <c r="C1988" i="8"/>
  <c r="C1989" i="8"/>
  <c r="C1990" i="8"/>
  <c r="C1991" i="8"/>
  <c r="C1992" i="8"/>
  <c r="C1993" i="8"/>
  <c r="C1994" i="8"/>
  <c r="C1995" i="8"/>
  <c r="C1996" i="8"/>
  <c r="C1997" i="8"/>
  <c r="C1998" i="8"/>
  <c r="C1999" i="8"/>
  <c r="C2000" i="8"/>
  <c r="C2001" i="8"/>
  <c r="C2002" i="8"/>
  <c r="C2003" i="8"/>
  <c r="C2004" i="8"/>
  <c r="C2005" i="8"/>
  <c r="C2006" i="8"/>
  <c r="C2007" i="8"/>
  <c r="C2008" i="8"/>
  <c r="C2009" i="8"/>
  <c r="C2010" i="8"/>
  <c r="C2011" i="8"/>
  <c r="C2012" i="8"/>
  <c r="C2013" i="8"/>
  <c r="C2014" i="8"/>
  <c r="C2015" i="8"/>
  <c r="C2016" i="8"/>
  <c r="C2017" i="8"/>
  <c r="C2018" i="8"/>
  <c r="C2019" i="8"/>
  <c r="C2020" i="8"/>
  <c r="C2021" i="8"/>
  <c r="C2022" i="8"/>
  <c r="C2023" i="8"/>
  <c r="C2024" i="8"/>
  <c r="C2025" i="8"/>
  <c r="C2026" i="8"/>
  <c r="C2027" i="8"/>
  <c r="C2028" i="8"/>
  <c r="C2029" i="8"/>
  <c r="C2030" i="8"/>
  <c r="C2031" i="8"/>
  <c r="C2032" i="8"/>
  <c r="C2033" i="8"/>
  <c r="C2034" i="8"/>
  <c r="C2035" i="8"/>
  <c r="C2036" i="8"/>
  <c r="C2037" i="8"/>
  <c r="C2038" i="8"/>
  <c r="C2039" i="8"/>
  <c r="C2040" i="8"/>
  <c r="C2041" i="8"/>
  <c r="C2042" i="8"/>
  <c r="C2043" i="8"/>
  <c r="C2044" i="8"/>
  <c r="C2045" i="8"/>
  <c r="C2046" i="8"/>
  <c r="C2047" i="8"/>
  <c r="C2048" i="8"/>
  <c r="C2049" i="8"/>
  <c r="C2050" i="8"/>
  <c r="C2051" i="8"/>
  <c r="C2052" i="8"/>
  <c r="C2053" i="8"/>
  <c r="C2054" i="8"/>
  <c r="C2055" i="8"/>
  <c r="C2056" i="8"/>
  <c r="C2057" i="8"/>
  <c r="C2058" i="8"/>
  <c r="C2059" i="8"/>
  <c r="C2060" i="8"/>
  <c r="C2061" i="8"/>
  <c r="C2062" i="8"/>
  <c r="C2063" i="8"/>
  <c r="C2064" i="8"/>
  <c r="C2065" i="8"/>
  <c r="C2066" i="8"/>
  <c r="C2067" i="8"/>
  <c r="C2068" i="8"/>
  <c r="C2069" i="8"/>
  <c r="C2070" i="8"/>
  <c r="C2071" i="8"/>
  <c r="C2072" i="8"/>
  <c r="C2073" i="8"/>
  <c r="C2074" i="8"/>
  <c r="C2075" i="8"/>
  <c r="C2076" i="8"/>
  <c r="C2077" i="8"/>
  <c r="C2078" i="8"/>
  <c r="C2079" i="8"/>
  <c r="C2080" i="8"/>
  <c r="C2081" i="8"/>
  <c r="C2082" i="8"/>
  <c r="C2083" i="8"/>
  <c r="C2084" i="8"/>
  <c r="C2085" i="8"/>
  <c r="C2086" i="8"/>
  <c r="C2087" i="8"/>
  <c r="C2088" i="8"/>
  <c r="C2089" i="8"/>
  <c r="C2090" i="8"/>
  <c r="C2091" i="8"/>
  <c r="C2092" i="8"/>
  <c r="C2093" i="8"/>
  <c r="C2094" i="8"/>
  <c r="C2095" i="8"/>
  <c r="C2096" i="8"/>
  <c r="C2097" i="8"/>
  <c r="C2098" i="8"/>
  <c r="C2099" i="8"/>
  <c r="C2100" i="8"/>
  <c r="C2101" i="8"/>
  <c r="C2102" i="8"/>
  <c r="C2103" i="8"/>
  <c r="C2104" i="8"/>
  <c r="C2105" i="8"/>
  <c r="C2106" i="8"/>
  <c r="C2107" i="8"/>
  <c r="C2108" i="8"/>
  <c r="C2109" i="8"/>
  <c r="C2110" i="8"/>
  <c r="C2111" i="8"/>
  <c r="C2112" i="8"/>
  <c r="C2113" i="8"/>
  <c r="C2114" i="8"/>
  <c r="C2115" i="8"/>
  <c r="C2116" i="8"/>
  <c r="C2117" i="8"/>
  <c r="C2118" i="8"/>
  <c r="C2119" i="8"/>
  <c r="C2120" i="8"/>
  <c r="C2121" i="8"/>
  <c r="C2122" i="8"/>
  <c r="C2123" i="8"/>
  <c r="C2124" i="8"/>
  <c r="C2125" i="8"/>
  <c r="C2126" i="8"/>
  <c r="C2127" i="8"/>
  <c r="C2128" i="8"/>
  <c r="C2129" i="8"/>
  <c r="C2130" i="8"/>
  <c r="C2131" i="8"/>
  <c r="C2132" i="8"/>
  <c r="C2133" i="8"/>
  <c r="C2134" i="8"/>
  <c r="C2135" i="8"/>
  <c r="C2136" i="8"/>
  <c r="C2137" i="8"/>
  <c r="C2138" i="8"/>
  <c r="C2139" i="8"/>
  <c r="C2140" i="8"/>
  <c r="C2141" i="8"/>
  <c r="C2142" i="8"/>
  <c r="C2143" i="8"/>
  <c r="C2144" i="8"/>
  <c r="C2145" i="8"/>
  <c r="C2146" i="8"/>
  <c r="C2147" i="8"/>
  <c r="C2148" i="8"/>
  <c r="C2149" i="8"/>
  <c r="C2150" i="8"/>
  <c r="C2151" i="8"/>
  <c r="C2152" i="8"/>
  <c r="C2153" i="8"/>
  <c r="C2154" i="8"/>
  <c r="C2155" i="8"/>
  <c r="C2156" i="8"/>
  <c r="C2157" i="8"/>
  <c r="C2158" i="8"/>
  <c r="C2159" i="8"/>
  <c r="C2160" i="8"/>
  <c r="C2161" i="8"/>
  <c r="C2162" i="8"/>
  <c r="C2163" i="8"/>
  <c r="C2164" i="8"/>
  <c r="C2165" i="8"/>
  <c r="C2166" i="8"/>
  <c r="C2167" i="8"/>
  <c r="C2168" i="8"/>
  <c r="C2169" i="8"/>
  <c r="C2170" i="8"/>
  <c r="C2171" i="8"/>
  <c r="C2172" i="8"/>
  <c r="C2173" i="8"/>
  <c r="C2174" i="8"/>
  <c r="C2175" i="8"/>
  <c r="C2176" i="8"/>
  <c r="C2177" i="8"/>
  <c r="C2178" i="8"/>
  <c r="C2179" i="8"/>
  <c r="C2180" i="8"/>
  <c r="C2181" i="8"/>
  <c r="C2182" i="8"/>
  <c r="C2183" i="8"/>
  <c r="C2184" i="8"/>
  <c r="C2185" i="8"/>
  <c r="C2186" i="8"/>
  <c r="C2187" i="8"/>
  <c r="C2188" i="8"/>
  <c r="C2189" i="8"/>
  <c r="C2190" i="8"/>
  <c r="C2191" i="8"/>
  <c r="C2192" i="8"/>
  <c r="C2193" i="8"/>
  <c r="C2194" i="8"/>
  <c r="C2195" i="8"/>
  <c r="C2196" i="8"/>
  <c r="C2197" i="8"/>
  <c r="C2198" i="8"/>
  <c r="C2199" i="8"/>
  <c r="C2200" i="8"/>
  <c r="C2201" i="8"/>
  <c r="C2202" i="8"/>
  <c r="C2203" i="8"/>
  <c r="C2204" i="8"/>
  <c r="C2205" i="8"/>
  <c r="C2206" i="8"/>
  <c r="C2207" i="8"/>
  <c r="C2208" i="8"/>
  <c r="C2209" i="8"/>
  <c r="C2210" i="8"/>
  <c r="C2211" i="8"/>
  <c r="C2212" i="8"/>
  <c r="C2213" i="8"/>
  <c r="C2214" i="8"/>
  <c r="C2215" i="8"/>
  <c r="C2216" i="8"/>
  <c r="C2217" i="8"/>
  <c r="C2218" i="8"/>
  <c r="C2219" i="8"/>
  <c r="C2220" i="8"/>
  <c r="C2221" i="8"/>
  <c r="C2222" i="8"/>
  <c r="C2223" i="8"/>
  <c r="C2224" i="8"/>
  <c r="C2225" i="8"/>
  <c r="C2226" i="8"/>
  <c r="C2227" i="8"/>
  <c r="C2228" i="8"/>
  <c r="C2229" i="8"/>
  <c r="C2230" i="8"/>
  <c r="C2231" i="8"/>
  <c r="C2232" i="8"/>
  <c r="C2233" i="8"/>
  <c r="C2234" i="8"/>
  <c r="C2235" i="8"/>
  <c r="C2236" i="8"/>
  <c r="C2237" i="8"/>
  <c r="C2238" i="8"/>
  <c r="C2239" i="8"/>
  <c r="C2240" i="8"/>
  <c r="C2241" i="8"/>
  <c r="C2242" i="8"/>
  <c r="C2243" i="8"/>
  <c r="C2244" i="8"/>
  <c r="C2245" i="8"/>
  <c r="C2246" i="8"/>
  <c r="C2247" i="8"/>
  <c r="C2248" i="8"/>
  <c r="C2249" i="8"/>
  <c r="C2250" i="8"/>
  <c r="C2251" i="8"/>
  <c r="C2252" i="8"/>
  <c r="C2253" i="8"/>
  <c r="C2254" i="8"/>
  <c r="C2255" i="8"/>
  <c r="C2256" i="8"/>
  <c r="C2257" i="8"/>
  <c r="C2258" i="8"/>
  <c r="C2259" i="8"/>
  <c r="C2260" i="8"/>
  <c r="C2261" i="8"/>
  <c r="C2262" i="8"/>
  <c r="C2263" i="8"/>
  <c r="C2264" i="8"/>
  <c r="C2265" i="8"/>
  <c r="C2266" i="8"/>
  <c r="C2267" i="8"/>
  <c r="C2268" i="8"/>
  <c r="C2269" i="8"/>
  <c r="C2270" i="8"/>
  <c r="C2271" i="8"/>
  <c r="C2272" i="8"/>
  <c r="C2273" i="8"/>
  <c r="C2274" i="8"/>
  <c r="C2275" i="8"/>
  <c r="C2276" i="8"/>
  <c r="C2277" i="8"/>
  <c r="C2278" i="8"/>
  <c r="C2279" i="8"/>
  <c r="C2280" i="8"/>
  <c r="C2281" i="8"/>
  <c r="C2282" i="8"/>
  <c r="C2283" i="8"/>
  <c r="C2284" i="8"/>
  <c r="C2285" i="8"/>
  <c r="C2286" i="8"/>
  <c r="C2287" i="8"/>
  <c r="C2288" i="8"/>
  <c r="C2289" i="8"/>
  <c r="C2290" i="8"/>
  <c r="C2291" i="8"/>
  <c r="C2292" i="8"/>
  <c r="C2293" i="8"/>
  <c r="C2294" i="8"/>
  <c r="C2295" i="8"/>
  <c r="C2296" i="8"/>
  <c r="C2297" i="8"/>
  <c r="C2298" i="8"/>
  <c r="C2299" i="8"/>
  <c r="C2300" i="8"/>
  <c r="C2301" i="8"/>
  <c r="C2302" i="8"/>
  <c r="C2303" i="8"/>
  <c r="C2304" i="8"/>
  <c r="C2305" i="8"/>
  <c r="C2306" i="8"/>
  <c r="C2307" i="8"/>
  <c r="C2308" i="8"/>
  <c r="C2309" i="8"/>
  <c r="C2310" i="8"/>
  <c r="C2311" i="8"/>
  <c r="C2312" i="8"/>
  <c r="C2313" i="8"/>
  <c r="C2314" i="8"/>
  <c r="C2315" i="8"/>
  <c r="C2316" i="8"/>
  <c r="C2317" i="8"/>
  <c r="C2318" i="8"/>
  <c r="C2319" i="8"/>
  <c r="C2320" i="8"/>
  <c r="C2321" i="8"/>
  <c r="C2322" i="8"/>
  <c r="C2323" i="8"/>
  <c r="C2324" i="8"/>
  <c r="C2325" i="8"/>
  <c r="C2326" i="8"/>
  <c r="C2327" i="8"/>
  <c r="C2328" i="8"/>
  <c r="C2329" i="8"/>
  <c r="C2330" i="8"/>
  <c r="C2331" i="8"/>
  <c r="C2332" i="8"/>
  <c r="C2333" i="8"/>
  <c r="C2334" i="8"/>
  <c r="C2335" i="8"/>
  <c r="C2336" i="8"/>
  <c r="C2337" i="8"/>
  <c r="C2338" i="8"/>
  <c r="C2339" i="8"/>
  <c r="C2340" i="8"/>
  <c r="C2341" i="8"/>
  <c r="C2342" i="8"/>
  <c r="C2343" i="8"/>
  <c r="C2344" i="8"/>
  <c r="C2345" i="8"/>
  <c r="C2346" i="8"/>
  <c r="C2347" i="8"/>
  <c r="C2348" i="8"/>
  <c r="C2349" i="8"/>
  <c r="C2350" i="8"/>
  <c r="C2351" i="8"/>
  <c r="C2352" i="8"/>
  <c r="C2353" i="8"/>
  <c r="C2354" i="8"/>
  <c r="C2355" i="8"/>
  <c r="C2356" i="8"/>
  <c r="C2357" i="8"/>
  <c r="C2358" i="8"/>
  <c r="C2359" i="8"/>
  <c r="C2360" i="8"/>
  <c r="C2361" i="8"/>
  <c r="C2362" i="8"/>
  <c r="C2363" i="8"/>
  <c r="C2364" i="8"/>
  <c r="C2365" i="8"/>
  <c r="C2366" i="8"/>
  <c r="C2367" i="8"/>
  <c r="C2368" i="8"/>
  <c r="C2369" i="8"/>
  <c r="C2370" i="8"/>
  <c r="C2371" i="8"/>
  <c r="C2372" i="8"/>
  <c r="C2373" i="8"/>
  <c r="C2374" i="8"/>
  <c r="C2375" i="8"/>
  <c r="C2376" i="8"/>
  <c r="C2377" i="8"/>
  <c r="C2378" i="8"/>
  <c r="C2379" i="8"/>
  <c r="C2380" i="8"/>
  <c r="C2381" i="8"/>
  <c r="C2382" i="8"/>
  <c r="C2383" i="8"/>
  <c r="C2384" i="8"/>
  <c r="C2385" i="8"/>
  <c r="C2386" i="8"/>
  <c r="C2387" i="8"/>
  <c r="C2388" i="8"/>
  <c r="C2389" i="8"/>
  <c r="C2390" i="8"/>
  <c r="C2391" i="8"/>
  <c r="C2392" i="8"/>
  <c r="C2393" i="8"/>
  <c r="C2394" i="8"/>
  <c r="C2395" i="8"/>
  <c r="C2396" i="8"/>
  <c r="C2397" i="8"/>
  <c r="C2398" i="8"/>
  <c r="C2399" i="8"/>
  <c r="C2400" i="8"/>
  <c r="C2401" i="8"/>
  <c r="C2402" i="8"/>
  <c r="C2403" i="8"/>
  <c r="C2404" i="8"/>
  <c r="C2405" i="8"/>
  <c r="C2406" i="8"/>
  <c r="C2407" i="8"/>
  <c r="C2408" i="8"/>
  <c r="C2409" i="8"/>
  <c r="C2410" i="8"/>
  <c r="C2411" i="8"/>
  <c r="C2412" i="8"/>
  <c r="C2413" i="8"/>
  <c r="C2414" i="8"/>
  <c r="C2415" i="8"/>
  <c r="C2416" i="8"/>
  <c r="C2417" i="8"/>
  <c r="C2418" i="8"/>
  <c r="C2419" i="8"/>
  <c r="C2420" i="8"/>
  <c r="C2421" i="8"/>
  <c r="C2422" i="8"/>
  <c r="C2423" i="8"/>
  <c r="C2424" i="8"/>
  <c r="C2425" i="8"/>
  <c r="C2426" i="8"/>
  <c r="C2427" i="8"/>
  <c r="C2428" i="8"/>
  <c r="C2429" i="8"/>
  <c r="C2430" i="8"/>
  <c r="C2431" i="8"/>
  <c r="C2432" i="8"/>
  <c r="C2433" i="8"/>
  <c r="C2434" i="8"/>
  <c r="C2435" i="8"/>
  <c r="C2436" i="8"/>
  <c r="C2437" i="8"/>
  <c r="C2438" i="8"/>
  <c r="C2439" i="8"/>
  <c r="C2440" i="8"/>
  <c r="C2441" i="8"/>
  <c r="C2442" i="8"/>
  <c r="C2443" i="8"/>
  <c r="C2444" i="8"/>
  <c r="C2445" i="8"/>
  <c r="C2446" i="8"/>
  <c r="C2447" i="8"/>
  <c r="C2448" i="8"/>
  <c r="C2449" i="8"/>
  <c r="C2450" i="8"/>
  <c r="C2451" i="8"/>
  <c r="C2452" i="8"/>
  <c r="C2453" i="8"/>
  <c r="C2454" i="8"/>
  <c r="C2455" i="8"/>
  <c r="C2456" i="8"/>
  <c r="C2457" i="8"/>
  <c r="C2458" i="8"/>
  <c r="C2459" i="8"/>
  <c r="C2460" i="8"/>
  <c r="C2461" i="8"/>
  <c r="C2462" i="8"/>
  <c r="C2463" i="8"/>
  <c r="C2464" i="8"/>
  <c r="C2465" i="8"/>
  <c r="C2466" i="8"/>
  <c r="C2467" i="8"/>
  <c r="C2468" i="8"/>
  <c r="C2469" i="8"/>
  <c r="C2470" i="8"/>
  <c r="C2471" i="8"/>
  <c r="C2472" i="8"/>
  <c r="C2473" i="8"/>
  <c r="C2474" i="8"/>
  <c r="C2475" i="8"/>
  <c r="C2476" i="8"/>
  <c r="C2477" i="8"/>
  <c r="C2478" i="8"/>
  <c r="C2479" i="8"/>
  <c r="C2480" i="8"/>
  <c r="C2481" i="8"/>
  <c r="C2482" i="8"/>
  <c r="C2483" i="8"/>
  <c r="C2484" i="8"/>
  <c r="C2485" i="8"/>
  <c r="C2486" i="8"/>
  <c r="C2487" i="8"/>
  <c r="C2488" i="8"/>
  <c r="C2489" i="8"/>
  <c r="C2490" i="8"/>
  <c r="C2491" i="8"/>
  <c r="C2492" i="8"/>
  <c r="C2493" i="8"/>
  <c r="C2494" i="8"/>
  <c r="C2495" i="8"/>
  <c r="C2496" i="8"/>
  <c r="C2497" i="8"/>
  <c r="C2498" i="8"/>
  <c r="C2499" i="8"/>
  <c r="C2500" i="8"/>
  <c r="C2501" i="8"/>
  <c r="C2502" i="8"/>
  <c r="C2503" i="8"/>
  <c r="C2504" i="8"/>
  <c r="C2505" i="8"/>
  <c r="C2506" i="8"/>
  <c r="C2507" i="8"/>
  <c r="C2508" i="8"/>
  <c r="C2509" i="8"/>
  <c r="C2510" i="8"/>
  <c r="C2511" i="8"/>
  <c r="C2512" i="8"/>
  <c r="C2513" i="8"/>
  <c r="C2514" i="8"/>
  <c r="C2515" i="8"/>
  <c r="C2516" i="8"/>
  <c r="C2517" i="8"/>
  <c r="C2518" i="8"/>
  <c r="C2519" i="8"/>
  <c r="C2520" i="8"/>
  <c r="C2521" i="8"/>
  <c r="C2522" i="8"/>
  <c r="C2523" i="8"/>
  <c r="C2524" i="8"/>
  <c r="C2525" i="8"/>
  <c r="C2526" i="8"/>
  <c r="C2527" i="8"/>
  <c r="C2528" i="8"/>
  <c r="C2529" i="8"/>
  <c r="C2530" i="8"/>
  <c r="C2531" i="8"/>
  <c r="C2532" i="8"/>
  <c r="C2533" i="8"/>
  <c r="C2534" i="8"/>
  <c r="C2535" i="8"/>
  <c r="C2536" i="8"/>
  <c r="C2537" i="8"/>
  <c r="C2538" i="8"/>
  <c r="C2539" i="8"/>
  <c r="C2540" i="8"/>
  <c r="C2541" i="8"/>
  <c r="C2542" i="8"/>
  <c r="C2543" i="8"/>
  <c r="C2544" i="8"/>
  <c r="C2545" i="8"/>
  <c r="C2546" i="8"/>
  <c r="C2547" i="8"/>
  <c r="C2548" i="8"/>
  <c r="C2549" i="8"/>
  <c r="C2550" i="8"/>
  <c r="C2551" i="8"/>
  <c r="C2552" i="8"/>
  <c r="C2553" i="8"/>
  <c r="C2554" i="8"/>
  <c r="C2555" i="8"/>
  <c r="C2556" i="8"/>
  <c r="C2557" i="8"/>
  <c r="C2558" i="8"/>
  <c r="C2559" i="8"/>
  <c r="C2560" i="8"/>
  <c r="C2561" i="8"/>
  <c r="C2562" i="8"/>
  <c r="C2563" i="8"/>
  <c r="C2564" i="8"/>
  <c r="C2565" i="8"/>
  <c r="C2566" i="8"/>
  <c r="C2567" i="8"/>
  <c r="C2568" i="8"/>
  <c r="C2569" i="8"/>
  <c r="C2570" i="8"/>
  <c r="C2571" i="8"/>
  <c r="C2572" i="8"/>
  <c r="C2573" i="8"/>
  <c r="C2574" i="8"/>
  <c r="C2575" i="8"/>
  <c r="C2576" i="8"/>
  <c r="C2577" i="8"/>
  <c r="C2578" i="8"/>
  <c r="C2579" i="8"/>
  <c r="C2580" i="8"/>
  <c r="C2581" i="8"/>
  <c r="C2582" i="8"/>
  <c r="C2583" i="8"/>
  <c r="C2584" i="8"/>
  <c r="C2585" i="8"/>
  <c r="C2586" i="8"/>
  <c r="C2587" i="8"/>
  <c r="C2588" i="8"/>
  <c r="C2589" i="8"/>
  <c r="C2590" i="8"/>
  <c r="C2591" i="8"/>
  <c r="C2592" i="8"/>
  <c r="C2593" i="8"/>
  <c r="C2594" i="8"/>
  <c r="C2595" i="8"/>
  <c r="C2596" i="8"/>
  <c r="C2597" i="8"/>
  <c r="C2598" i="8"/>
  <c r="C2599" i="8"/>
  <c r="C2600" i="8"/>
  <c r="C2601" i="8"/>
  <c r="C2602" i="8"/>
  <c r="C2603" i="8"/>
  <c r="C2604" i="8"/>
  <c r="C2605" i="8"/>
  <c r="C2606" i="8"/>
  <c r="C2607" i="8"/>
  <c r="C2608" i="8"/>
  <c r="C2609" i="8"/>
  <c r="C2610" i="8"/>
  <c r="C2611" i="8"/>
  <c r="C2612" i="8"/>
  <c r="C2613" i="8"/>
  <c r="C2614" i="8"/>
  <c r="C2615" i="8"/>
  <c r="C2616" i="8"/>
  <c r="C2617" i="8"/>
  <c r="C2618" i="8"/>
  <c r="C2619" i="8"/>
  <c r="C2620" i="8"/>
  <c r="C2621" i="8"/>
  <c r="C2622" i="8"/>
  <c r="C2623" i="8"/>
  <c r="C2624" i="8"/>
  <c r="C2625" i="8"/>
  <c r="C2626" i="8"/>
  <c r="C2627" i="8"/>
  <c r="C2628" i="8"/>
  <c r="C2629" i="8"/>
  <c r="C2630" i="8"/>
  <c r="C2631" i="8"/>
  <c r="C2632" i="8"/>
  <c r="C2633" i="8"/>
  <c r="C2634" i="8"/>
  <c r="C2635" i="8"/>
  <c r="C2636" i="8"/>
  <c r="C2637" i="8"/>
  <c r="C2638" i="8"/>
  <c r="C2639" i="8"/>
  <c r="C2640" i="8"/>
  <c r="C2641" i="8"/>
  <c r="C2642" i="8"/>
  <c r="C2643" i="8"/>
  <c r="C2644" i="8"/>
  <c r="C2645" i="8"/>
  <c r="C2646" i="8"/>
  <c r="C2647" i="8"/>
  <c r="C2648" i="8"/>
  <c r="C2649" i="8"/>
  <c r="C2650" i="8"/>
  <c r="C2651" i="8"/>
  <c r="C2652" i="8"/>
  <c r="C2653" i="8"/>
  <c r="C2654" i="8"/>
  <c r="C2655" i="8"/>
  <c r="C2656" i="8"/>
  <c r="C2657" i="8"/>
  <c r="C2658" i="8"/>
  <c r="C2659" i="8"/>
  <c r="C2660" i="8"/>
  <c r="C2661" i="8"/>
  <c r="C2662" i="8"/>
  <c r="C2663" i="8"/>
  <c r="C2664" i="8"/>
  <c r="C2665" i="8"/>
  <c r="C2666" i="8"/>
  <c r="C2667" i="8"/>
  <c r="C2668" i="8"/>
  <c r="C2669" i="8"/>
  <c r="C2670" i="8"/>
  <c r="C2671" i="8"/>
  <c r="C2672" i="8"/>
  <c r="C2673" i="8"/>
  <c r="C2674" i="8"/>
  <c r="C2675" i="8"/>
  <c r="C2676" i="8"/>
  <c r="C2677" i="8"/>
  <c r="C2678" i="8"/>
  <c r="C2679" i="8"/>
  <c r="C2680" i="8"/>
  <c r="C2681" i="8"/>
  <c r="C2682" i="8"/>
  <c r="C2683" i="8"/>
  <c r="C2684" i="8"/>
  <c r="C2685" i="8"/>
  <c r="C2686" i="8"/>
  <c r="C2687" i="8"/>
  <c r="C2688" i="8"/>
  <c r="C2689" i="8"/>
  <c r="C2690" i="8"/>
  <c r="C2691" i="8"/>
  <c r="C2692" i="8"/>
  <c r="C2693" i="8"/>
  <c r="C2694" i="8"/>
  <c r="C2695" i="8"/>
  <c r="C2696" i="8"/>
  <c r="C2697" i="8"/>
  <c r="C2698" i="8"/>
  <c r="C2699" i="8"/>
  <c r="C2700" i="8"/>
  <c r="C2701" i="8"/>
  <c r="C2702" i="8"/>
  <c r="C2703" i="8"/>
  <c r="C2704" i="8"/>
  <c r="C2705" i="8"/>
  <c r="C2706" i="8"/>
  <c r="C2707" i="8"/>
  <c r="C2708" i="8"/>
  <c r="C2709" i="8"/>
  <c r="C2710" i="8"/>
  <c r="C2711" i="8"/>
  <c r="C2712" i="8"/>
  <c r="C2713" i="8"/>
  <c r="C2714" i="8"/>
  <c r="C2715" i="8"/>
  <c r="C2716" i="8"/>
  <c r="C2717" i="8"/>
  <c r="C2718" i="8"/>
  <c r="C2719" i="8"/>
  <c r="C2720" i="8"/>
  <c r="C2721" i="8"/>
  <c r="C2722" i="8"/>
  <c r="C2723" i="8"/>
  <c r="C2724" i="8"/>
  <c r="C2725" i="8"/>
  <c r="C2726" i="8"/>
  <c r="C2727" i="8"/>
  <c r="C2728" i="8"/>
  <c r="C2729" i="8"/>
  <c r="C2730" i="8"/>
  <c r="C2731" i="8"/>
  <c r="C2732" i="8"/>
  <c r="C2733" i="8"/>
  <c r="C2734" i="8"/>
  <c r="C2735" i="8"/>
  <c r="C2736" i="8"/>
  <c r="C2737" i="8"/>
  <c r="C2738" i="8"/>
  <c r="C2739" i="8"/>
  <c r="C2740" i="8"/>
  <c r="C2741" i="8"/>
  <c r="C2742" i="8"/>
  <c r="C2743" i="8"/>
  <c r="C2744" i="8"/>
  <c r="C2745" i="8"/>
  <c r="C2746" i="8"/>
  <c r="C2747" i="8"/>
  <c r="C2748" i="8"/>
  <c r="C2749" i="8"/>
  <c r="C2750" i="8"/>
  <c r="C2751" i="8"/>
  <c r="C2752" i="8"/>
  <c r="C2753" i="8"/>
  <c r="C2754" i="8"/>
  <c r="C2755" i="8"/>
  <c r="C2756" i="8"/>
  <c r="C2757" i="8"/>
  <c r="C2758" i="8"/>
  <c r="C2759" i="8"/>
  <c r="C2760" i="8"/>
  <c r="C2761" i="8"/>
  <c r="C2762" i="8"/>
  <c r="C2763" i="8"/>
  <c r="C2764" i="8"/>
  <c r="C2765" i="8"/>
  <c r="C2766" i="8"/>
  <c r="C2767" i="8"/>
  <c r="C2768" i="8"/>
  <c r="C2769" i="8"/>
  <c r="C2770" i="8"/>
  <c r="C2771" i="8"/>
  <c r="C2772" i="8"/>
  <c r="C2773" i="8"/>
  <c r="C2774" i="8"/>
  <c r="C2775" i="8"/>
  <c r="C2776" i="8"/>
  <c r="C2777" i="8"/>
  <c r="C2778" i="8"/>
  <c r="C2779" i="8"/>
  <c r="C2780" i="8"/>
  <c r="C2781" i="8"/>
  <c r="C2782" i="8"/>
  <c r="C2783" i="8"/>
  <c r="C2784" i="8"/>
  <c r="C2785" i="8"/>
  <c r="C2786" i="8"/>
  <c r="C2787" i="8"/>
  <c r="C2788" i="8"/>
  <c r="C2789" i="8"/>
  <c r="C2790" i="8"/>
  <c r="C2791" i="8"/>
  <c r="C2792" i="8"/>
  <c r="C2793" i="8"/>
  <c r="C2794" i="8"/>
  <c r="C2795" i="8"/>
  <c r="C2796" i="8"/>
  <c r="C2797" i="8"/>
  <c r="C2798" i="8"/>
  <c r="C2799" i="8"/>
  <c r="C2800" i="8"/>
  <c r="C2801" i="8"/>
  <c r="C2802" i="8"/>
  <c r="C2803" i="8"/>
  <c r="C2804" i="8"/>
  <c r="C2805" i="8"/>
  <c r="C2806" i="8"/>
  <c r="C2807" i="8"/>
  <c r="C2808" i="8"/>
  <c r="C2809" i="8"/>
  <c r="C2810" i="8"/>
  <c r="C2811" i="8"/>
  <c r="C2812" i="8"/>
  <c r="C2813" i="8"/>
  <c r="C2814" i="8"/>
  <c r="C2815" i="8"/>
  <c r="C2816" i="8"/>
  <c r="C2817" i="8"/>
  <c r="C2818" i="8"/>
  <c r="C2819" i="8"/>
  <c r="C2820" i="8"/>
  <c r="C2821" i="8"/>
  <c r="C2822" i="8"/>
  <c r="C2823" i="8"/>
  <c r="C2824" i="8"/>
  <c r="C2825" i="8"/>
  <c r="C2826" i="8"/>
  <c r="C2827" i="8"/>
  <c r="C2828" i="8"/>
  <c r="C2829" i="8"/>
  <c r="C2830" i="8"/>
  <c r="C2831" i="8"/>
  <c r="C2832" i="8"/>
  <c r="C2833" i="8"/>
  <c r="C2834" i="8"/>
  <c r="C2835" i="8"/>
  <c r="C2836" i="8"/>
  <c r="C2837" i="8"/>
  <c r="C2838" i="8"/>
  <c r="C2839" i="8"/>
  <c r="C2840" i="8"/>
  <c r="C2841" i="8"/>
  <c r="C2842" i="8"/>
  <c r="C2843" i="8"/>
  <c r="C2844" i="8"/>
  <c r="C2845" i="8"/>
  <c r="C2846" i="8"/>
  <c r="C2847" i="8"/>
  <c r="C2848" i="8"/>
  <c r="C2849" i="8"/>
  <c r="C2850" i="8"/>
  <c r="C2851" i="8"/>
  <c r="C2852" i="8"/>
  <c r="C2853" i="8"/>
  <c r="C2854" i="8"/>
  <c r="C2855" i="8"/>
  <c r="C2856" i="8"/>
  <c r="C2857" i="8"/>
  <c r="C2858" i="8"/>
  <c r="C2859" i="8"/>
  <c r="C2860" i="8"/>
  <c r="C2861" i="8"/>
  <c r="C2862" i="8"/>
  <c r="C2863" i="8"/>
  <c r="C2864" i="8"/>
  <c r="C2865" i="8"/>
  <c r="C2866" i="8"/>
  <c r="C2867" i="8"/>
  <c r="C2868" i="8"/>
  <c r="C2869" i="8"/>
  <c r="C2870" i="8"/>
  <c r="C2871" i="8"/>
  <c r="C2872" i="8"/>
  <c r="C2873" i="8"/>
  <c r="C2874" i="8"/>
  <c r="C2875" i="8"/>
  <c r="C2876" i="8"/>
  <c r="C2877" i="8"/>
  <c r="C2878" i="8"/>
  <c r="C2879" i="8"/>
  <c r="C2880" i="8"/>
  <c r="C2881" i="8"/>
  <c r="C2882" i="8"/>
  <c r="C2883" i="8"/>
  <c r="C2884" i="8"/>
  <c r="C2885" i="8"/>
  <c r="C2886" i="8"/>
  <c r="C2887" i="8"/>
  <c r="C2888" i="8"/>
  <c r="C2889" i="8"/>
  <c r="C2890" i="8"/>
  <c r="C2891" i="8"/>
  <c r="C2892" i="8"/>
  <c r="C2893" i="8"/>
  <c r="C2894" i="8"/>
  <c r="C2895" i="8"/>
  <c r="C2896" i="8"/>
  <c r="C2897" i="8"/>
  <c r="C2898" i="8"/>
  <c r="C2899" i="8"/>
  <c r="C2900" i="8"/>
  <c r="C2901" i="8"/>
  <c r="C2902" i="8"/>
  <c r="C2903" i="8"/>
  <c r="C2904" i="8"/>
  <c r="C2905" i="8"/>
  <c r="C2906" i="8"/>
  <c r="C2907" i="8"/>
  <c r="C2908" i="8"/>
  <c r="C2909" i="8"/>
  <c r="C2910" i="8"/>
  <c r="C2911" i="8"/>
  <c r="C2912" i="8"/>
  <c r="C2913" i="8"/>
  <c r="C2914" i="8"/>
  <c r="C2915" i="8"/>
  <c r="C2916" i="8"/>
  <c r="C2917" i="8"/>
  <c r="C2918" i="8"/>
  <c r="C2919" i="8"/>
  <c r="C2920" i="8"/>
  <c r="C2921" i="8"/>
  <c r="C2922" i="8"/>
  <c r="C2923" i="8"/>
  <c r="C2924" i="8"/>
  <c r="C2925" i="8"/>
  <c r="C2926" i="8"/>
  <c r="C2927" i="8"/>
  <c r="C2928" i="8"/>
  <c r="C2929" i="8"/>
  <c r="C2930" i="8"/>
  <c r="C2931" i="8"/>
  <c r="C2932" i="8"/>
  <c r="C2933" i="8"/>
  <c r="C2934" i="8"/>
  <c r="C2935" i="8"/>
  <c r="C2936" i="8"/>
  <c r="C2937" i="8"/>
  <c r="C2938" i="8"/>
  <c r="C2939" i="8"/>
  <c r="C2940" i="8"/>
  <c r="C2941" i="8"/>
  <c r="C2942" i="8"/>
  <c r="C2943" i="8"/>
  <c r="C2944" i="8"/>
  <c r="C2945" i="8"/>
  <c r="C2946" i="8"/>
  <c r="C2947" i="8"/>
  <c r="C2948" i="8"/>
  <c r="C2949" i="8"/>
  <c r="C2950" i="8"/>
  <c r="C2951" i="8"/>
  <c r="C2952" i="8"/>
  <c r="C2953" i="8"/>
  <c r="C2954" i="8"/>
  <c r="C2955" i="8"/>
  <c r="C2956" i="8"/>
  <c r="C2957" i="8"/>
  <c r="C2958" i="8"/>
  <c r="C2959" i="8"/>
  <c r="C2960" i="8"/>
  <c r="C2961" i="8"/>
  <c r="C2962" i="8"/>
  <c r="C2963" i="8"/>
  <c r="C2964" i="8"/>
  <c r="C2965" i="8"/>
  <c r="C2966" i="8"/>
  <c r="C2967" i="8"/>
  <c r="C2968" i="8"/>
  <c r="C2969" i="8"/>
  <c r="C2970" i="8"/>
  <c r="C2971" i="8"/>
  <c r="C2972" i="8"/>
  <c r="C2973" i="8"/>
  <c r="C2974" i="8"/>
  <c r="C2975" i="8"/>
  <c r="C2976" i="8"/>
  <c r="C2977" i="8"/>
  <c r="C2978" i="8"/>
  <c r="C2979" i="8"/>
  <c r="C2980" i="8"/>
  <c r="C2981" i="8"/>
  <c r="C2982" i="8"/>
  <c r="C2983" i="8"/>
  <c r="C2984" i="8"/>
  <c r="C2985" i="8"/>
  <c r="C2986" i="8"/>
  <c r="C2987" i="8"/>
  <c r="C2988" i="8"/>
  <c r="C2989" i="8"/>
  <c r="C2990" i="8"/>
  <c r="C2991" i="8"/>
  <c r="C2992" i="8"/>
  <c r="C2993" i="8"/>
  <c r="C2994" i="8"/>
  <c r="C2995" i="8"/>
  <c r="C2996" i="8"/>
  <c r="C2997" i="8"/>
  <c r="C2998" i="8"/>
  <c r="C2999" i="8"/>
  <c r="C3000" i="8"/>
  <c r="C3001" i="8"/>
  <c r="C3002" i="8"/>
  <c r="C3003" i="8"/>
  <c r="C3004" i="8"/>
  <c r="C3005" i="8"/>
  <c r="C3006" i="8"/>
  <c r="C3007" i="8"/>
  <c r="C3008" i="8"/>
  <c r="C3009" i="8"/>
  <c r="C3010" i="8"/>
  <c r="C3011" i="8"/>
  <c r="C3012" i="8"/>
  <c r="C3013" i="8"/>
  <c r="C3014" i="8"/>
  <c r="C3015" i="8"/>
  <c r="C3016" i="8"/>
  <c r="C3017" i="8"/>
  <c r="C3018" i="8"/>
  <c r="C3019" i="8"/>
  <c r="C3020" i="8"/>
  <c r="C3021" i="8"/>
  <c r="C3022" i="8"/>
  <c r="C3023" i="8"/>
  <c r="C3024" i="8"/>
  <c r="C3025" i="8"/>
  <c r="C3026" i="8"/>
  <c r="C3027" i="8"/>
  <c r="C3028" i="8"/>
  <c r="C3029" i="8"/>
  <c r="C3030" i="8"/>
  <c r="C3031" i="8"/>
  <c r="C3032" i="8"/>
  <c r="C3033" i="8"/>
  <c r="C3034" i="8"/>
  <c r="C3035" i="8"/>
  <c r="C3036" i="8"/>
  <c r="C3037" i="8"/>
  <c r="C3038" i="8"/>
  <c r="C3039" i="8"/>
  <c r="C3040" i="8"/>
  <c r="C3041" i="8"/>
  <c r="C3042" i="8"/>
  <c r="C3043" i="8"/>
  <c r="C3044" i="8"/>
  <c r="C3045" i="8"/>
  <c r="C3046" i="8"/>
  <c r="C3047" i="8"/>
  <c r="C3048" i="8"/>
  <c r="C3049" i="8"/>
  <c r="C3050" i="8"/>
  <c r="C3051" i="8"/>
  <c r="C3052" i="8"/>
  <c r="C3053" i="8"/>
  <c r="C3054" i="8"/>
  <c r="C3055" i="8"/>
  <c r="C3056" i="8"/>
  <c r="C3057" i="8"/>
  <c r="C3058" i="8"/>
  <c r="C3059" i="8"/>
  <c r="C3060" i="8"/>
  <c r="C3061" i="8"/>
  <c r="C3062" i="8"/>
  <c r="C3063" i="8"/>
  <c r="C3064" i="8"/>
  <c r="C3065" i="8"/>
  <c r="C3066" i="8"/>
  <c r="C3067" i="8"/>
  <c r="C3068" i="8"/>
  <c r="C3069" i="8"/>
  <c r="C3070" i="8"/>
  <c r="C3071" i="8"/>
  <c r="C3072" i="8"/>
  <c r="C3073" i="8"/>
  <c r="C3074" i="8"/>
  <c r="C3075" i="8"/>
  <c r="C3076" i="8"/>
  <c r="C3077" i="8"/>
  <c r="C3078" i="8"/>
  <c r="C3079" i="8"/>
  <c r="C3080" i="8"/>
  <c r="C3081" i="8"/>
  <c r="C3082" i="8"/>
  <c r="C3083" i="8"/>
  <c r="C3084" i="8"/>
  <c r="C3085" i="8"/>
  <c r="C3086" i="8"/>
  <c r="C3087" i="8"/>
  <c r="C3088" i="8"/>
  <c r="C3089" i="8"/>
  <c r="C3090" i="8"/>
  <c r="C3091" i="8"/>
  <c r="C3092" i="8"/>
  <c r="C3093" i="8"/>
  <c r="C3094" i="8"/>
  <c r="C3095" i="8"/>
  <c r="C3096" i="8"/>
  <c r="C3097" i="8"/>
  <c r="C3098" i="8"/>
  <c r="C3099" i="8"/>
  <c r="C3100" i="8"/>
  <c r="C3101" i="8"/>
  <c r="C3102" i="8"/>
  <c r="C3103" i="8"/>
  <c r="C3104" i="8"/>
  <c r="C3105" i="8"/>
  <c r="C3106" i="8"/>
  <c r="C3107" i="8"/>
  <c r="C3108" i="8"/>
  <c r="C3109" i="8"/>
  <c r="C3110" i="8"/>
  <c r="C3111" i="8"/>
  <c r="C3112" i="8"/>
  <c r="C3113" i="8"/>
  <c r="C3114" i="8"/>
  <c r="C3115" i="8"/>
  <c r="C3116" i="8"/>
  <c r="C3117" i="8"/>
  <c r="C3118" i="8"/>
  <c r="C3119" i="8"/>
  <c r="C3120" i="8"/>
  <c r="C3121" i="8"/>
  <c r="C3122" i="8"/>
  <c r="C3123" i="8"/>
  <c r="C3124" i="8"/>
  <c r="C3125" i="8"/>
  <c r="C3126" i="8"/>
  <c r="C3127" i="8"/>
  <c r="C3128" i="8"/>
  <c r="C3129" i="8"/>
  <c r="C3130" i="8"/>
  <c r="C3131" i="8"/>
  <c r="C3132" i="8"/>
  <c r="C3133" i="8"/>
  <c r="C3134" i="8"/>
  <c r="C3135" i="8"/>
  <c r="C3136" i="8"/>
  <c r="C3137" i="8"/>
  <c r="C3138" i="8"/>
  <c r="C3139" i="8"/>
  <c r="C3140" i="8"/>
  <c r="C3141" i="8"/>
  <c r="C3142" i="8"/>
  <c r="C3143" i="8"/>
  <c r="C3144" i="8"/>
  <c r="C3145" i="8"/>
  <c r="C3146" i="8"/>
  <c r="C3147" i="8"/>
  <c r="C3148" i="8"/>
  <c r="C3149" i="8"/>
  <c r="C3150" i="8"/>
  <c r="C3151" i="8"/>
  <c r="C3152" i="8"/>
  <c r="C3153" i="8"/>
  <c r="C3154" i="8"/>
  <c r="C3155" i="8"/>
  <c r="C3156" i="8"/>
  <c r="C3157" i="8"/>
  <c r="C3158" i="8"/>
  <c r="C3159" i="8"/>
  <c r="C3160" i="8"/>
  <c r="C3161" i="8"/>
  <c r="C3162" i="8"/>
  <c r="C3163" i="8"/>
  <c r="C3164" i="8"/>
  <c r="C3165" i="8"/>
  <c r="C3166" i="8"/>
  <c r="C3167" i="8"/>
  <c r="C3168" i="8"/>
  <c r="C3169" i="8"/>
  <c r="C3170" i="8"/>
  <c r="C3171" i="8"/>
  <c r="C3172" i="8"/>
  <c r="C3173" i="8"/>
  <c r="C3174" i="8"/>
  <c r="C3175" i="8"/>
  <c r="C3176" i="8"/>
  <c r="C3177" i="8"/>
  <c r="C3178" i="8"/>
  <c r="C3179" i="8"/>
  <c r="C3180" i="8"/>
  <c r="C3181" i="8"/>
  <c r="C3182" i="8"/>
  <c r="C3183" i="8"/>
  <c r="C3184" i="8"/>
  <c r="C3185" i="8"/>
  <c r="C3186" i="8"/>
  <c r="C3187" i="8"/>
  <c r="C3188" i="8"/>
  <c r="C3189" i="8"/>
  <c r="C3190" i="8"/>
  <c r="C3191" i="8"/>
  <c r="C3192" i="8"/>
  <c r="C3193" i="8"/>
  <c r="C3194" i="8"/>
  <c r="C3195" i="8"/>
  <c r="C3196" i="8"/>
  <c r="C3197" i="8"/>
  <c r="C3198" i="8"/>
  <c r="C3199" i="8"/>
  <c r="C3200" i="8"/>
  <c r="C3201" i="8"/>
  <c r="C3202" i="8"/>
  <c r="C3203" i="8"/>
  <c r="C3204" i="8"/>
  <c r="C3205" i="8"/>
  <c r="C3206" i="8"/>
  <c r="C3207" i="8"/>
  <c r="C3208" i="8"/>
  <c r="C3209" i="8"/>
  <c r="C3210" i="8"/>
  <c r="C3211" i="8"/>
  <c r="C3212" i="8"/>
  <c r="C3213" i="8"/>
  <c r="C3214" i="8"/>
  <c r="C3215" i="8"/>
  <c r="C3216" i="8"/>
  <c r="C3217" i="8"/>
  <c r="C3218" i="8"/>
  <c r="C3219" i="8"/>
  <c r="C3220" i="8"/>
  <c r="C3221" i="8"/>
  <c r="C3222" i="8"/>
  <c r="C3223" i="8"/>
  <c r="C3224" i="8"/>
  <c r="C3225" i="8"/>
  <c r="C3226" i="8"/>
  <c r="C3227" i="8"/>
  <c r="C3228" i="8"/>
  <c r="C3229" i="8"/>
  <c r="C3230" i="8"/>
  <c r="C3231" i="8"/>
  <c r="C3232" i="8"/>
  <c r="C3233" i="8"/>
  <c r="C3234" i="8"/>
  <c r="C3235" i="8"/>
  <c r="C3236" i="8"/>
  <c r="C3237" i="8"/>
  <c r="C3238" i="8"/>
  <c r="C3239" i="8"/>
  <c r="C3240" i="8"/>
  <c r="C3241" i="8"/>
  <c r="C3242" i="8"/>
  <c r="C3243" i="8"/>
  <c r="C3244" i="8"/>
  <c r="C3245" i="8"/>
  <c r="C3246" i="8"/>
  <c r="C3247" i="8"/>
  <c r="C3248" i="8"/>
  <c r="C3249" i="8"/>
  <c r="C3250" i="8"/>
  <c r="C3251" i="8"/>
  <c r="C3252" i="8"/>
  <c r="C3253" i="8"/>
  <c r="C3254" i="8"/>
  <c r="C3255" i="8"/>
  <c r="C3256" i="8"/>
  <c r="C3257" i="8"/>
  <c r="C3258" i="8"/>
  <c r="C3259" i="8"/>
  <c r="C3260" i="8"/>
  <c r="C3261" i="8"/>
  <c r="C3262" i="8"/>
  <c r="C3263" i="8"/>
  <c r="C3264" i="8"/>
  <c r="C3265" i="8"/>
  <c r="C3266" i="8"/>
  <c r="C3267" i="8"/>
  <c r="C3268" i="8"/>
  <c r="C3269" i="8"/>
  <c r="C3270" i="8"/>
  <c r="C3271" i="8"/>
  <c r="C3272" i="8"/>
  <c r="C3273" i="8"/>
  <c r="C3274" i="8"/>
  <c r="C3275" i="8"/>
  <c r="C3276" i="8"/>
  <c r="C3277" i="8"/>
  <c r="C3278" i="8"/>
  <c r="C3279" i="8"/>
  <c r="C3280" i="8"/>
  <c r="C3281" i="8"/>
  <c r="C3282" i="8"/>
  <c r="C3283" i="8"/>
  <c r="C3284" i="8"/>
  <c r="C3285" i="8"/>
  <c r="C3286" i="8"/>
  <c r="C3287" i="8"/>
  <c r="C3288" i="8"/>
  <c r="C3289" i="8"/>
  <c r="C3290" i="8"/>
  <c r="C3291" i="8"/>
  <c r="C3292" i="8"/>
  <c r="C3293" i="8"/>
  <c r="C3294" i="8"/>
  <c r="C3295" i="8"/>
  <c r="C3296" i="8"/>
  <c r="C3297" i="8"/>
  <c r="C3298" i="8"/>
  <c r="C3299" i="8"/>
  <c r="C3300" i="8"/>
  <c r="C3301" i="8"/>
  <c r="C3302" i="8"/>
  <c r="G8" i="11" l="1"/>
  <c r="G10" i="11"/>
  <c r="H9" i="11" s="1"/>
  <c r="F15" i="11" s="1"/>
  <c r="K5" i="11"/>
  <c r="L8" i="11" s="1"/>
  <c r="M6" i="11"/>
  <c r="M8" i="11"/>
  <c r="L9" i="11"/>
  <c r="F8" i="11"/>
  <c r="H8" i="11" l="1"/>
  <c r="F14" i="11" s="1"/>
  <c r="M9" i="11"/>
  <c r="N9" i="11" s="1"/>
  <c r="M5" i="11"/>
  <c r="L16" i="11" s="1"/>
  <c r="L13" i="11"/>
  <c r="N6" i="11"/>
  <c r="N8" i="11"/>
  <c r="L14" i="11" s="1"/>
  <c r="O8" i="11"/>
  <c r="L15" i="11"/>
  <c r="O9" i="11"/>
  <c r="H6" i="11"/>
  <c r="I9" i="11" s="1"/>
  <c r="F16" i="11"/>
  <c r="I8" i="11" l="1"/>
</calcChain>
</file>

<file path=xl/connections.xml><?xml version="1.0" encoding="utf-8"?>
<connections xmlns="http://schemas.openxmlformats.org/spreadsheetml/2006/main">
  <connection id="1" keepAlive="1" name="Consulta - analisis productividad (4)" description="Conexión a la consulta 'analisis productividad (4)' en el libro." type="5" refreshedVersion="6" background="1" saveData="1">
    <dbPr connection="Provider=Microsoft.Mashup.OleDb.1;Data Source=$Workbook$;Location=analisis productividad (4);Extended Properties=&quot;&quot;" command="SELECT * FROM [analisis productividad (4)]"/>
  </connection>
  <connection id="2" keepAlive="1" name="Consulta - analisis productividad3" description="Conexión a la consulta 'analisis productividad3' en el libro." type="5" refreshedVersion="6" background="1" saveData="1">
    <dbPr connection="Provider=Microsoft.Mashup.OleDb.1;Data Source=$Workbook$;Location=analisis productividad3;Extended Properties=&quot;&quot;" command="SELECT * FROM [analisis productividad3]"/>
  </connection>
  <connection id="3" keepAlive="1" name="Consulta - analisis velocidad1" description="Conexión a la consulta 'analisis velocidad1' en el libro." type="5" refreshedVersion="6" background="1" saveData="1">
    <dbPr connection="Provider=Microsoft.Mashup.OleDb.1;Data Source=$Workbook$;Location=analisis velocidad1;Extended Properties=&quot;&quot;" command="SELECT * FROM [analisis velocidad1]"/>
  </connection>
  <connection id="4" keepAlive="1" name="Consulta - analisis velocidad1 (2)" description="Conexión a la consulta 'analisis velocidad1 (2)' en el libro." type="5" refreshedVersion="6" background="1" saveData="1">
    <dbPr connection="Provider=Microsoft.Mashup.OleDb.1;Data Source=$Workbook$;Location=analisis velocidad1 (2);Extended Properties=&quot;&quot;" command="SELECT * FROM [analisis velocidad1 (2)]"/>
  </connection>
  <connection id="5" keepAlive="1" name="Consulta - analisis velocidad2" description="Conexión a la consulta 'analisis velocidad2' en el libro." type="5" refreshedVersion="6" background="1" saveData="1">
    <dbPr connection="Provider=Microsoft.Mashup.OleDb.1;Data Source=$Workbook$;Location=analisis velocidad2;Extended Properties=&quot;&quot;" command="SELECT * FROM [analisis velocidad2]"/>
  </connection>
</connections>
</file>

<file path=xl/sharedStrings.xml><?xml version="1.0" encoding="utf-8"?>
<sst xmlns="http://schemas.openxmlformats.org/spreadsheetml/2006/main" count="13863" uniqueCount="389">
  <si>
    <t>Tienda</t>
  </si>
  <si>
    <t>Periodo</t>
  </si>
  <si>
    <t>GOS</t>
  </si>
  <si>
    <t>GOR</t>
  </si>
  <si>
    <t>Prod</t>
  </si>
  <si>
    <t>VtaNeta</t>
  </si>
  <si>
    <t>JEq</t>
  </si>
  <si>
    <t>ProdMeta</t>
  </si>
  <si>
    <t>P193 Trujillo Mansiche - PVS</t>
  </si>
  <si>
    <t>Fátima L</t>
  </si>
  <si>
    <t>P126 Santa Clara - PVH</t>
  </si>
  <si>
    <t>Sebastián S</t>
  </si>
  <si>
    <t>Rodolfo O</t>
  </si>
  <si>
    <t>P119 Puente Piedra - PVH</t>
  </si>
  <si>
    <t>Vik E</t>
  </si>
  <si>
    <t>SO04 Jaen - PVO</t>
  </si>
  <si>
    <t>Sofía V</t>
  </si>
  <si>
    <t>José A</t>
  </si>
  <si>
    <t>P104 Arequipa - PVH</t>
  </si>
  <si>
    <t>Joe H</t>
  </si>
  <si>
    <t>P102 Chiclayo - PVH</t>
  </si>
  <si>
    <t>Melany A</t>
  </si>
  <si>
    <t>P769 Chiclayo Aventura - PVH</t>
  </si>
  <si>
    <t>P333 Ves Placita - PVH</t>
  </si>
  <si>
    <t>P145 Piura - PVH</t>
  </si>
  <si>
    <t>P147 Juliaca - PVH</t>
  </si>
  <si>
    <t>1593 Aventura SJL - PVH</t>
  </si>
  <si>
    <t>P114 Pro - PVH</t>
  </si>
  <si>
    <t>P225 Cajamarca - PVH</t>
  </si>
  <si>
    <t>P146 Tacna - PVH</t>
  </si>
  <si>
    <t>P223 Cusco Mall - PVH</t>
  </si>
  <si>
    <t>P465 Sucre - PVH</t>
  </si>
  <si>
    <t>P125 SJ Lurigancho - PVH</t>
  </si>
  <si>
    <t>P216 Proceres - PVS</t>
  </si>
  <si>
    <t>Hernán P</t>
  </si>
  <si>
    <t>Daniel R</t>
  </si>
  <si>
    <t>SO03 Huanuco - PVO</t>
  </si>
  <si>
    <t>P115 Huancayo - PVH</t>
  </si>
  <si>
    <t>P010 Caminos del Inca - PVS</t>
  </si>
  <si>
    <t>SO02 Pucallpa - PVO</t>
  </si>
  <si>
    <t>P117 Izaguirre - PVH</t>
  </si>
  <si>
    <t>P236 Pisco - PVH</t>
  </si>
  <si>
    <t>P516 Ilo - PVH</t>
  </si>
  <si>
    <t>P291 La Curva - PVH</t>
  </si>
  <si>
    <t>P202 LurIn - PVH</t>
  </si>
  <si>
    <t>P199 Grifo Kio - PVS</t>
  </si>
  <si>
    <t>P231 Ventanilla - PVH</t>
  </si>
  <si>
    <t>P089 Risso - PVH</t>
  </si>
  <si>
    <t>P226 Paita - PVH</t>
  </si>
  <si>
    <t>P130 Chimbote - PVH</t>
  </si>
  <si>
    <t>P139 Alameda Sur - PVS</t>
  </si>
  <si>
    <t>P064 Miraflores - PVH</t>
  </si>
  <si>
    <t>Johanna V</t>
  </si>
  <si>
    <t>P133 Guardia Civil - PVH</t>
  </si>
  <si>
    <t>P048 Higuereta - PVH</t>
  </si>
  <si>
    <t>P143 Nvo Chimbote - PVH</t>
  </si>
  <si>
    <t>P724 Tumbes - PVH</t>
  </si>
  <si>
    <t>P122 Ica - PVH</t>
  </si>
  <si>
    <t>P132 El Ejercito - PVS</t>
  </si>
  <si>
    <t>P723 Puruchuco - PVH</t>
  </si>
  <si>
    <t>P084 Comas - PVH</t>
  </si>
  <si>
    <t>P229 Salaverry - PVH</t>
  </si>
  <si>
    <t>P221 Barranca - PVH</t>
  </si>
  <si>
    <t>SO05 Tarapoto - PVO</t>
  </si>
  <si>
    <t>P123 El Chacarero - PVH</t>
  </si>
  <si>
    <t>P259 Moquegua - PVH</t>
  </si>
  <si>
    <t>P080 Bolichera - PVH</t>
  </si>
  <si>
    <t>P172 Puno - PVH</t>
  </si>
  <si>
    <t>P061 Cortijo - PVH</t>
  </si>
  <si>
    <t>P227 San Isidro - PVH</t>
  </si>
  <si>
    <t>P203 Rimac Alcazar - PVH</t>
  </si>
  <si>
    <t>1198 Cusco Wanchaq - PVH</t>
  </si>
  <si>
    <t>P001 Los Olivos - PVH</t>
  </si>
  <si>
    <t>P192 Sullana - PVH</t>
  </si>
  <si>
    <t>P142 Chincha - PVH</t>
  </si>
  <si>
    <t>P081 La Molina - PVH</t>
  </si>
  <si>
    <t>P224 Brena - PVH</t>
  </si>
  <si>
    <t>P262 Talara Municipalidad - PVH</t>
  </si>
  <si>
    <t>P134 Centro Civico - PVH</t>
  </si>
  <si>
    <t>P066 Ate - PVH</t>
  </si>
  <si>
    <t>P144 Huacho - PVH</t>
  </si>
  <si>
    <t>P106 Valle Hermoso - PVH</t>
  </si>
  <si>
    <t>P112 Ceres - PVH</t>
  </si>
  <si>
    <t>P201 Huaral - PVH</t>
  </si>
  <si>
    <t>P195 San Borja - PVH</t>
  </si>
  <si>
    <t>P059 Callao - PVH</t>
  </si>
  <si>
    <t>P120 Universitaria - PVH</t>
  </si>
  <si>
    <t>P219 La Perla - PVS</t>
  </si>
  <si>
    <t>P215 Magdalena - PVS</t>
  </si>
  <si>
    <t>P206 La Paz - PVS</t>
  </si>
  <si>
    <t>1199 San Miguel - PVH</t>
  </si>
  <si>
    <t>P141 Chosica - PVH</t>
  </si>
  <si>
    <t>P135 Colonial - PVH</t>
  </si>
  <si>
    <t>SO06 Tarapoto 2 - PVO</t>
  </si>
  <si>
    <t>P037 Jockey Plaza - PVH</t>
  </si>
  <si>
    <t>P191 Cine Rimac - PVS</t>
  </si>
  <si>
    <t>2638 SJB Ayacucho - PVH</t>
  </si>
  <si>
    <t>P068 Primavera - PVH</t>
  </si>
  <si>
    <t>P052 Brasil - PVH</t>
  </si>
  <si>
    <t>P238 Grifo Mexico - PVH</t>
  </si>
  <si>
    <t>P105 Salamanca - PVS</t>
  </si>
  <si>
    <t>X210 Santa Cruz - PVE</t>
  </si>
  <si>
    <t>P261 El Agustino - PVH</t>
  </si>
  <si>
    <t>V095 Monterrico - VIV</t>
  </si>
  <si>
    <t>María R</t>
  </si>
  <si>
    <t>P107 Mercaderes - PVS</t>
  </si>
  <si>
    <t>P108 Ayacucho - PVS</t>
  </si>
  <si>
    <t>P109 Dasso - PVS</t>
  </si>
  <si>
    <t>P118 Alfonso Ugarte - PVH</t>
  </si>
  <si>
    <t>P208 La Victoria PVS</t>
  </si>
  <si>
    <t>P110 Corpac - PVS</t>
  </si>
  <si>
    <t>P158 Villa el Salvador - PVS</t>
  </si>
  <si>
    <t>P156 El Tambo Huancayo - PVS</t>
  </si>
  <si>
    <t>P207 Villa Marina - PVS</t>
  </si>
  <si>
    <t>P220 Trujillo Valcarcel - PVS</t>
  </si>
  <si>
    <t>P096 San Jorge - PVS</t>
  </si>
  <si>
    <t>P198 Chorrillos Iglesias - PVS</t>
  </si>
  <si>
    <t>V090 Pezet - VIV</t>
  </si>
  <si>
    <t>P258 Chaclacayo - PVS</t>
  </si>
  <si>
    <t>P177 Talara - PVH</t>
  </si>
  <si>
    <t>P181 Supermercados SKA - PVE</t>
  </si>
  <si>
    <t>P159 Acho - PVH</t>
  </si>
  <si>
    <t>V290 Asia - VIV</t>
  </si>
  <si>
    <t>X209 Bolognesi - PVE</t>
  </si>
  <si>
    <t>P180 Centro Trujillo - PVE</t>
  </si>
  <si>
    <t>V140 Libertadores - VIV</t>
  </si>
  <si>
    <t>V094 Benavides - VIV</t>
  </si>
  <si>
    <t>V116 Javier Prado - VIV</t>
  </si>
  <si>
    <t>V093 Dos de Mayo - VIV</t>
  </si>
  <si>
    <t>P422 Art Express - PVS</t>
  </si>
  <si>
    <t>P138 Jiron de la Union - PVE</t>
  </si>
  <si>
    <t>P075 Trujillo - PVH</t>
  </si>
  <si>
    <t>CAPO *</t>
  </si>
  <si>
    <t>CAPE *</t>
  </si>
  <si>
    <t>Etiquetas de fila</t>
  </si>
  <si>
    <t>Total general</t>
  </si>
  <si>
    <t>año</t>
  </si>
  <si>
    <t>mes</t>
  </si>
  <si>
    <t>Etiquetas de columna</t>
  </si>
  <si>
    <t>2024</t>
  </si>
  <si>
    <t>2025</t>
  </si>
  <si>
    <t>2026</t>
  </si>
  <si>
    <t>Suma de VtaNeta</t>
  </si>
  <si>
    <t>Suma de JEq</t>
  </si>
  <si>
    <t>Suma de ProdMeta</t>
  </si>
  <si>
    <t>VtaNetaMeta</t>
  </si>
  <si>
    <t>JEqMeta</t>
  </si>
  <si>
    <t>ProdAA</t>
  </si>
  <si>
    <t>VtaNetaAA</t>
  </si>
  <si>
    <t>JEqAA</t>
  </si>
  <si>
    <t>(Varios elementos)</t>
  </si>
  <si>
    <t>Suma de VtaNetaMeta</t>
  </si>
  <si>
    <t>Suma de JEqMeta</t>
  </si>
  <si>
    <t>Suma de prodcreal</t>
  </si>
  <si>
    <t>Suma de prodmeta2</t>
  </si>
  <si>
    <t>ENERO MAYO</t>
  </si>
  <si>
    <t>Real</t>
  </si>
  <si>
    <t>Meta</t>
  </si>
  <si>
    <t>supervisor</t>
  </si>
  <si>
    <t>Daniel Rodríguez</t>
  </si>
  <si>
    <t>Joe Huamancondor</t>
  </si>
  <si>
    <t>Johanna Vilca</t>
  </si>
  <si>
    <t>José Aramburu</t>
  </si>
  <si>
    <t>María Rojas</t>
  </si>
  <si>
    <t>Melany Alvarado</t>
  </si>
  <si>
    <t>Rodolfo Olivry</t>
  </si>
  <si>
    <t>Vik Enciso</t>
  </si>
  <si>
    <t>Suma de Prod</t>
  </si>
  <si>
    <t>Suma de JEqAA</t>
  </si>
  <si>
    <t>Suma de ProdAA</t>
  </si>
  <si>
    <t>Suma de VtaNetaAA</t>
  </si>
  <si>
    <t>Valores</t>
  </si>
  <si>
    <t>venta</t>
  </si>
  <si>
    <t>productividad</t>
  </si>
  <si>
    <t>Impacto venta</t>
  </si>
  <si>
    <t>impacto Jeq</t>
  </si>
  <si>
    <t>Jeq</t>
  </si>
  <si>
    <t>Prod 2025</t>
  </si>
  <si>
    <t>Impacto Venta</t>
  </si>
  <si>
    <t>Impacto Jeq</t>
  </si>
  <si>
    <t>Prod 2026</t>
  </si>
  <si>
    <t>Prod Meta</t>
  </si>
  <si>
    <t>Mes</t>
  </si>
  <si>
    <t>Ene</t>
  </si>
  <si>
    <t>Feb</t>
  </si>
  <si>
    <t>Mar</t>
  </si>
  <si>
    <t>Abr</t>
  </si>
  <si>
    <t>May</t>
  </si>
  <si>
    <t>Jun</t>
  </si>
  <si>
    <t>Cump</t>
  </si>
  <si>
    <t>Suma de cumplimiento</t>
  </si>
  <si>
    <t>Vta</t>
  </si>
  <si>
    <t>Vta AA</t>
  </si>
  <si>
    <t>Vta Ppto</t>
  </si>
  <si>
    <t>Prod AA</t>
  </si>
  <si>
    <t>Suma de cump</t>
  </si>
  <si>
    <t>nombre</t>
  </si>
  <si>
    <t>El Chacarero - PVH</t>
  </si>
  <si>
    <t>Caminos del Inca - PVS</t>
  </si>
  <si>
    <t>Piura - PVH</t>
  </si>
  <si>
    <t>Trujillo - PVH</t>
  </si>
  <si>
    <t>San Borja - PVH</t>
  </si>
  <si>
    <t>Miraflores - PVH</t>
  </si>
  <si>
    <t>La Molina - PVH</t>
  </si>
  <si>
    <t>Higuereta - PVH</t>
  </si>
  <si>
    <t>Huancayo - PVH</t>
  </si>
  <si>
    <t>Chiclayo - PVH</t>
  </si>
  <si>
    <t>Valle Hermoso - PVH</t>
  </si>
  <si>
    <t>Asia - VIV</t>
  </si>
  <si>
    <t>Cortijo - PVH</t>
  </si>
  <si>
    <t>Puente Piedra - PVH</t>
  </si>
  <si>
    <t>Tacna - PVH</t>
  </si>
  <si>
    <t>Santa Clara - PVH</t>
  </si>
  <si>
    <t>Salaverry - PVH</t>
  </si>
  <si>
    <t>Puruchuco - PVH</t>
  </si>
  <si>
    <t>Tarapoto - PVO</t>
  </si>
  <si>
    <t>Juliaca - PVH</t>
  </si>
  <si>
    <t>Cusco Mall - PVH</t>
  </si>
  <si>
    <t>Pucallpa - PVO</t>
  </si>
  <si>
    <t>Sucre - PVH</t>
  </si>
  <si>
    <t>Pro - PVH</t>
  </si>
  <si>
    <t>Monterrico - VIV</t>
  </si>
  <si>
    <t>Dasso - PVS</t>
  </si>
  <si>
    <t>Bolichera - PVH</t>
  </si>
  <si>
    <t>San Miguel - PVH</t>
  </si>
  <si>
    <t>La Curva - PVH</t>
  </si>
  <si>
    <t>Guardia Civil - PVH</t>
  </si>
  <si>
    <t>Huanuco - PVO</t>
  </si>
  <si>
    <t>LurIn - PVH</t>
  </si>
  <si>
    <t>Centro Civico - PVH</t>
  </si>
  <si>
    <t>Puno - PVH</t>
  </si>
  <si>
    <t>Comas - PVH</t>
  </si>
  <si>
    <t>Izaguirre - PVH</t>
  </si>
  <si>
    <t>Brena - PVH</t>
  </si>
  <si>
    <t>Ventanilla - PVH</t>
  </si>
  <si>
    <t>Arequipa - PVH</t>
  </si>
  <si>
    <t>Jockey Plaza - PVH</t>
  </si>
  <si>
    <t>Universitaria - PVH</t>
  </si>
  <si>
    <t>Chimbote - PVH</t>
  </si>
  <si>
    <t>Moquegua - PVH</t>
  </si>
  <si>
    <t>San Isidro - PVH</t>
  </si>
  <si>
    <t>Ica - PVH</t>
  </si>
  <si>
    <t>Tumbes - PVH</t>
  </si>
  <si>
    <t>Alameda Sur - PVS</t>
  </si>
  <si>
    <t>Ate - PVH</t>
  </si>
  <si>
    <t>Colonial - PVH</t>
  </si>
  <si>
    <t>Pezet - VIV</t>
  </si>
  <si>
    <t>Ilo - PVH</t>
  </si>
  <si>
    <t>Los Olivos - PVH</t>
  </si>
  <si>
    <t>Ves Placita - PVH</t>
  </si>
  <si>
    <t>Primavera - PVH</t>
  </si>
  <si>
    <t>Cajamarca - PVH</t>
  </si>
  <si>
    <t>SJ Lurigancho - PVH</t>
  </si>
  <si>
    <t>Talara Municipalidad - PVH</t>
  </si>
  <si>
    <t>Dos de Mayo - VIV</t>
  </si>
  <si>
    <t>Chiclayo Aventura - PVH</t>
  </si>
  <si>
    <t>Jaen - PVO</t>
  </si>
  <si>
    <t>Rimac Alcazar - PVH</t>
  </si>
  <si>
    <t>Benavides - VIV</t>
  </si>
  <si>
    <t>Aventura SJL - PVH</t>
  </si>
  <si>
    <t>Callao - PVH</t>
  </si>
  <si>
    <t>Risso - PVH</t>
  </si>
  <si>
    <t>Chosica - PVH</t>
  </si>
  <si>
    <t>Paita - PVH</t>
  </si>
  <si>
    <t>Ceres - PVH</t>
  </si>
  <si>
    <t>Pisco - PVH</t>
  </si>
  <si>
    <t>Huacho - PVH</t>
  </si>
  <si>
    <t>Huaral - PVH</t>
  </si>
  <si>
    <t>Brasil - PVH</t>
  </si>
  <si>
    <t>Libertadores - VIV</t>
  </si>
  <si>
    <t>San Jorge - PVS</t>
  </si>
  <si>
    <t>Javier Prado - VIV</t>
  </si>
  <si>
    <t>Nvo Chimbote - PVH</t>
  </si>
  <si>
    <t>Talara - PVH</t>
  </si>
  <si>
    <t>Alfonso Ugarte - PVH</t>
  </si>
  <si>
    <t>Chincha - PVH</t>
  </si>
  <si>
    <t>El Ejercito - PVS</t>
  </si>
  <si>
    <t>Ayacucho - PVS</t>
  </si>
  <si>
    <t>Mercaderes - PVS</t>
  </si>
  <si>
    <t>Sullana - PVH</t>
  </si>
  <si>
    <t>Villa el Salvador - PVS</t>
  </si>
  <si>
    <t>Corpac - PVS</t>
  </si>
  <si>
    <t>Salamanca - PVS</t>
  </si>
  <si>
    <t>Cusco Wanchaq - PVH</t>
  </si>
  <si>
    <t>Acho - PVH</t>
  </si>
  <si>
    <t>El Agustino - PVH</t>
  </si>
  <si>
    <t>Barranca - PVH</t>
  </si>
  <si>
    <t>El Tambo Huancayo - PVS</t>
  </si>
  <si>
    <t>Grifo Mexico - PVH</t>
  </si>
  <si>
    <t>Grifo Kio - PVS</t>
  </si>
  <si>
    <t>Trujillo Mansiche - PVS</t>
  </si>
  <si>
    <t>Trujillo Valcarcel - PVS</t>
  </si>
  <si>
    <t>'--</t>
  </si>
  <si>
    <t>Multiplaza - PVS</t>
  </si>
  <si>
    <t>Centro Trujillo - PVE</t>
  </si>
  <si>
    <t>Chaclacayo - PVS</t>
  </si>
  <si>
    <t>Magdalena - PVS</t>
  </si>
  <si>
    <t>Proceres - PVS</t>
  </si>
  <si>
    <t>La Paz - PVS</t>
  </si>
  <si>
    <t>Chorrillos Iglesias - PVS</t>
  </si>
  <si>
    <t>Supermercados SKA - PVE</t>
  </si>
  <si>
    <t>La Perla - PVS</t>
  </si>
  <si>
    <t>Bolognesi - PVE</t>
  </si>
  <si>
    <t>Cine Rimac - PVS</t>
  </si>
  <si>
    <t>Villa Marina - PVS</t>
  </si>
  <si>
    <t>La Victoria PVS</t>
  </si>
  <si>
    <t>Art Express - PVS</t>
  </si>
  <si>
    <t>Santa Cruz - PVE</t>
  </si>
  <si>
    <t>Jiron de la Union - PVE</t>
  </si>
  <si>
    <t>Back Office Plaza Vea</t>
  </si>
  <si>
    <t>Back Office Vivanda</t>
  </si>
  <si>
    <t>Destinos del Sabor - VIV</t>
  </si>
  <si>
    <t>E-Commerce Non Food</t>
  </si>
  <si>
    <t>Retail Media - Pv</t>
  </si>
  <si>
    <t>SJB Ayacucho - PVH</t>
  </si>
  <si>
    <t>Tarapoto 2 - PVO</t>
  </si>
  <si>
    <t>Pardo - VIV</t>
  </si>
  <si>
    <t>Suma de product1</t>
  </si>
  <si>
    <t>Suma de product2</t>
  </si>
  <si>
    <t>Asia, Pardo, Jv Prado</t>
  </si>
  <si>
    <t>Suma de Vta</t>
  </si>
  <si>
    <t>Venta</t>
  </si>
  <si>
    <t>Productividad</t>
  </si>
  <si>
    <t>Total</t>
  </si>
  <si>
    <t>Unid x Minuto</t>
  </si>
  <si>
    <t>Cumplimiento</t>
  </si>
  <si>
    <t>MonthNameShort</t>
  </si>
  <si>
    <t>99.07 %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</si>
  <si>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</si>
  <si>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</si>
  <si>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</si>
  <si>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</si>
  <si>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</si>
  <si>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</si>
  <si>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</si>
  <si>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</si>
  <si>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</si>
  <si>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</si>
  <si>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</si>
  <si>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</si>
  <si>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Fátima León</t>
  </si>
  <si>
    <t>94.34 %</t>
  </si>
  <si>
    <t>MELANY ALVARADO</t>
  </si>
  <si>
    <t>94.11 %</t>
  </si>
  <si>
    <t>DANIEL RODRIGUEZ</t>
  </si>
  <si>
    <t>93.38 %</t>
  </si>
  <si>
    <t>JOE HUAMANCONDOR</t>
  </si>
  <si>
    <t>92.46 %</t>
  </si>
  <si>
    <t>PEPE ARAMBURU</t>
  </si>
  <si>
    <t>91.97 %</t>
  </si>
  <si>
    <t>VIK ENCISO</t>
  </si>
  <si>
    <t>91.91 %</t>
  </si>
  <si>
    <t>RODOLFO OLIVRY</t>
  </si>
  <si>
    <t>89.77 %</t>
  </si>
  <si>
    <t>JOHANNA VILCA</t>
  </si>
  <si>
    <t>85.80 %</t>
  </si>
  <si>
    <t>Suma de Cumplimiento</t>
  </si>
  <si>
    <t>Año</t>
  </si>
  <si>
    <t>Meta Promedio</t>
  </si>
  <si>
    <t>Unid x Minuto AA</t>
  </si>
  <si>
    <t>GOR PPT</t>
  </si>
  <si>
    <t>enero</t>
  </si>
  <si>
    <t>DANIEL R</t>
  </si>
  <si>
    <t>JOE H</t>
  </si>
  <si>
    <t>JOHANNA V</t>
  </si>
  <si>
    <t>MELANY A</t>
  </si>
  <si>
    <t>PEPE A</t>
  </si>
  <si>
    <t>RODOLFO O</t>
  </si>
  <si>
    <t>VIK E</t>
  </si>
  <si>
    <t>febrero</t>
  </si>
  <si>
    <t>marzo</t>
  </si>
  <si>
    <t>abril</t>
  </si>
  <si>
    <t>mayo</t>
  </si>
  <si>
    <t>junio</t>
  </si>
  <si>
    <t>Suma de Unid x Minuto</t>
  </si>
  <si>
    <t>Suma de Cumpl</t>
  </si>
  <si>
    <t>Veloc. Jun</t>
  </si>
  <si>
    <t>FATIMA L</t>
  </si>
  <si>
    <t>MARIA R</t>
  </si>
  <si>
    <t>TOTAL</t>
  </si>
  <si>
    <t>Promedio de Meta Promedio</t>
  </si>
  <si>
    <t>Cusco Wanchaq-PVH</t>
  </si>
  <si>
    <t>SJL Aventura - PVH</t>
  </si>
  <si>
    <t>GOR PPT2</t>
  </si>
  <si>
    <t>FÁTIMA L</t>
  </si>
  <si>
    <t>MARÍA R</t>
  </si>
  <si>
    <t>% Cump</t>
  </si>
  <si>
    <t>Tiendas Bottom</t>
  </si>
  <si>
    <t xml:space="preserve">GOR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</si>
</sst>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0.0%"/>
    <numFmt numFmtId="167" formatCode="_-* #,##0.0000000_-;\-* #,##0.0000000_-;_-* &quot;-&quot;??_-;_-@_-"/>
    <numFmt numFmtId="169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1" tint="4.9989318521683403E-2"/>
        <bgColor theme="4" tint="0.79998168889431442"/>
      </patternFill>
    </fill>
    <fill>
      <patternFill patternType="solid">
        <fgColor theme="1"/>
        <bgColor theme="4" tint="0.79998168889431442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165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/>
    <xf numFmtId="43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2" fillId="2" borderId="1" xfId="0" applyNumberFormat="1" applyFont="1" applyFill="1" applyBorder="1"/>
    <xf numFmtId="9" fontId="0" fillId="0" borderId="0" xfId="2" applyFont="1"/>
    <xf numFmtId="166" fontId="0" fillId="0" borderId="0" xfId="2" applyNumberFormat="1" applyFont="1"/>
    <xf numFmtId="165" fontId="0" fillId="0" borderId="0" xfId="0" pivotButton="1" applyNumberFormat="1"/>
    <xf numFmtId="167" fontId="0" fillId="0" borderId="0" xfId="1" applyNumberFormat="1" applyFont="1"/>
    <xf numFmtId="0" fontId="2" fillId="0" borderId="0" xfId="0" applyFont="1" applyAlignment="1">
      <alignment horizontal="center" vertical="center"/>
    </xf>
    <xf numFmtId="0" fontId="2" fillId="3" borderId="0" xfId="0" applyFont="1" applyFill="1"/>
    <xf numFmtId="165" fontId="2" fillId="3" borderId="0" xfId="1" applyNumberFormat="1" applyFont="1" applyFill="1" applyAlignment="1">
      <alignment vertical="center"/>
    </xf>
    <xf numFmtId="165" fontId="0" fillId="0" borderId="0" xfId="1" applyNumberFormat="1" applyFont="1" applyAlignment="1">
      <alignment vertical="center"/>
    </xf>
    <xf numFmtId="0" fontId="0" fillId="0" borderId="0" xfId="0" applyAlignment="1">
      <alignment horizontal="left" indent="1"/>
    </xf>
    <xf numFmtId="43" fontId="0" fillId="0" borderId="0" xfId="0" applyNumberFormat="1" applyAlignment="1">
      <alignment horizontal="center" vertical="center"/>
    </xf>
    <xf numFmtId="166" fontId="0" fillId="0" borderId="0" xfId="2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0" xfId="0" applyNumberFormat="1"/>
    <xf numFmtId="165" fontId="0" fillId="0" borderId="0" xfId="1" applyNumberFormat="1" applyFont="1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5" fontId="4" fillId="0" borderId="1" xfId="1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9" fontId="4" fillId="2" borderId="2" xfId="0" applyNumberFormat="1" applyFont="1" applyFill="1" applyBorder="1" applyAlignment="1">
      <alignment horizontal="center" vertical="center"/>
    </xf>
    <xf numFmtId="0" fontId="0" fillId="0" borderId="0" xfId="0" applyNumberFormat="1"/>
    <xf numFmtId="166" fontId="0" fillId="0" borderId="0" xfId="0" applyNumberFormat="1"/>
    <xf numFmtId="169" fontId="0" fillId="0" borderId="0" xfId="0" applyNumberFormat="1"/>
    <xf numFmtId="169" fontId="0" fillId="0" borderId="0" xfId="0" applyNumberFormat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9" fontId="8" fillId="5" borderId="1" xfId="0" applyNumberFormat="1" applyFont="1" applyFill="1" applyBorder="1" applyAlignment="1">
      <alignment horizontal="center" vertical="center"/>
    </xf>
    <xf numFmtId="9" fontId="8" fillId="5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169" fontId="9" fillId="0" borderId="0" xfId="0" applyNumberFormat="1" applyFont="1" applyAlignment="1">
      <alignment horizontal="center" vertical="center"/>
    </xf>
    <xf numFmtId="9" fontId="9" fillId="0" borderId="0" xfId="0" applyNumberFormat="1" applyFont="1" applyAlignment="1">
      <alignment horizontal="center" vertical="center"/>
    </xf>
    <xf numFmtId="0" fontId="9" fillId="0" borderId="0" xfId="0" applyFont="1" applyBorder="1" applyAlignment="1">
      <alignment horizontal="left"/>
    </xf>
    <xf numFmtId="169" fontId="9" fillId="0" borderId="0" xfId="0" applyNumberFormat="1" applyFont="1" applyBorder="1" applyAlignment="1">
      <alignment horizontal="center" vertical="center"/>
    </xf>
    <xf numFmtId="9" fontId="9" fillId="0" borderId="0" xfId="0" applyNumberFormat="1" applyFont="1" applyBorder="1" applyAlignment="1">
      <alignment horizontal="center" vertical="center"/>
    </xf>
    <xf numFmtId="0" fontId="9" fillId="0" borderId="0" xfId="0" applyFont="1"/>
    <xf numFmtId="0" fontId="8" fillId="5" borderId="2" xfId="0" applyFont="1" applyFill="1" applyBorder="1" applyAlignment="1">
      <alignment horizontal="left"/>
    </xf>
    <xf numFmtId="169" fontId="10" fillId="5" borderId="2" xfId="0" applyNumberFormat="1" applyFont="1" applyFill="1" applyBorder="1" applyAlignment="1">
      <alignment horizontal="center" vertical="center"/>
    </xf>
    <xf numFmtId="9" fontId="10" fillId="5" borderId="2" xfId="0" applyNumberFormat="1" applyFont="1" applyFill="1" applyBorder="1" applyAlignment="1">
      <alignment horizontal="center" vertical="center"/>
    </xf>
    <xf numFmtId="10" fontId="0" fillId="0" borderId="0" xfId="0" applyNumberFormat="1"/>
    <xf numFmtId="0" fontId="7" fillId="6" borderId="0" xfId="0" applyFont="1" applyFill="1"/>
    <xf numFmtId="0" fontId="6" fillId="6" borderId="0" xfId="0" applyFont="1" applyFill="1"/>
    <xf numFmtId="166" fontId="6" fillId="6" borderId="0" xfId="0" applyNumberFormat="1" applyFont="1" applyFill="1" applyAlignment="1">
      <alignment horizontal="center" vertical="center"/>
    </xf>
    <xf numFmtId="166" fontId="7" fillId="6" borderId="0" xfId="0" applyNumberFormat="1" applyFont="1" applyFill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3">
    <cellStyle name="Millares" xfId="1" builtinId="3"/>
    <cellStyle name="Normal" xfId="0" builtinId="0"/>
    <cellStyle name="Porcentaje" xfId="2" builtinId="5"/>
  </cellStyles>
  <dxfs count="571"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ont>
        <color theme="0"/>
      </font>
    </dxf>
    <dxf>
      <font>
        <b/>
      </font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ont>
        <color theme="0"/>
      </font>
    </dxf>
    <dxf>
      <font>
        <b/>
      </font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ont>
        <color theme="0"/>
      </font>
    </dxf>
    <dxf>
      <font>
        <b/>
      </font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ont>
        <color theme="0"/>
      </font>
    </dxf>
    <dxf>
      <font>
        <b/>
      </font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ont>
        <color theme="0"/>
      </font>
    </dxf>
    <dxf>
      <font>
        <b/>
      </font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ont>
        <color theme="0"/>
      </font>
    </dxf>
    <dxf>
      <font>
        <b/>
      </font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ont>
        <color theme="0"/>
      </font>
    </dxf>
    <dxf>
      <font>
        <b/>
      </font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ont>
        <color theme="0"/>
      </font>
    </dxf>
    <dxf>
      <font>
        <b/>
      </font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ont>
        <color theme="0"/>
      </font>
    </dxf>
    <dxf>
      <font>
        <b/>
      </font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ont>
        <color theme="0"/>
      </font>
    </dxf>
    <dxf>
      <font>
        <b/>
      </font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ont>
        <color theme="0"/>
      </font>
    </dxf>
    <dxf>
      <font>
        <b/>
      </font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ont>
        <color theme="0"/>
      </font>
    </dxf>
    <dxf>
      <font>
        <b/>
      </font>
    </dxf>
    <dxf>
      <font>
        <b/>
      </font>
    </dxf>
    <dxf>
      <font>
        <color theme="0"/>
      </font>
    </dxf>
    <dxf>
      <fill>
        <patternFill patternType="solid">
          <bgColor theme="1"/>
        </patternFill>
      </fill>
    </dxf>
    <dxf>
      <font>
        <b/>
      </font>
    </dxf>
    <dxf>
      <font>
        <color theme="0"/>
      </font>
    </dxf>
    <dxf>
      <fill>
        <patternFill patternType="solid">
          <bgColor theme="1"/>
        </patternFill>
      </fill>
    </dxf>
    <dxf>
      <font>
        <b/>
      </font>
    </dxf>
    <dxf>
      <font>
        <color theme="0"/>
      </font>
    </dxf>
    <dxf>
      <fill>
        <patternFill patternType="solid">
          <bgColor theme="1"/>
        </patternFill>
      </fill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0" formatCode="General"/>
    </dxf>
    <dxf>
      <numFmt numFmtId="35" formatCode="_-* #,##0.00_-;\-* #,##0.00_-;_-* &quot;-&quot;??_-;_-@_-"/>
    </dxf>
    <dxf>
      <numFmt numFmtId="2" formatCode="0.00"/>
    </dxf>
    <dxf>
      <numFmt numFmtId="169" formatCode="0.0"/>
    </dxf>
    <dxf>
      <alignment vertical="center" readingOrder="0"/>
    </dxf>
    <dxf>
      <alignment horizontal="center" readingOrder="0"/>
    </dxf>
    <dxf>
      <numFmt numFmtId="13" formatCode="0%"/>
    </dxf>
    <dxf>
      <numFmt numFmtId="2" formatCode="0.00"/>
    </dxf>
    <dxf>
      <numFmt numFmtId="169" formatCode="0.0"/>
    </dxf>
    <dxf>
      <numFmt numFmtId="169" formatCode="0.0"/>
    </dxf>
    <dxf>
      <numFmt numFmtId="2" formatCode="0.00"/>
    </dxf>
    <dxf>
      <numFmt numFmtId="35" formatCode="_-* #,##0.00_-;\-* #,##0.00_-;_-* &quot;-&quot;??_-;_-@_-"/>
    </dxf>
    <dxf>
      <numFmt numFmtId="2" formatCode="0.00"/>
    </dxf>
    <dxf>
      <numFmt numFmtId="169" formatCode="0.0"/>
    </dxf>
    <dxf>
      <alignment vertical="center" readingOrder="0"/>
    </dxf>
    <dxf>
      <alignment horizontal="center" readingOrder="0"/>
    </dxf>
    <dxf>
      <numFmt numFmtId="13" formatCode="0%"/>
    </dxf>
    <dxf>
      <numFmt numFmtId="13" formatCode="0%"/>
    </dxf>
    <dxf>
      <alignment horizontal="center" readingOrder="0"/>
    </dxf>
    <dxf>
      <alignment vertical="center" readingOrder="0"/>
    </dxf>
    <dxf>
      <numFmt numFmtId="169" formatCode="0.0"/>
    </dxf>
    <dxf>
      <numFmt numFmtId="2" formatCode="0.00"/>
    </dxf>
    <dxf>
      <numFmt numFmtId="35" formatCode="_-* #,##0.00_-;\-* #,##0.00_-;_-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0.0%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5" formatCode="_-* #,##0.00_-;\-* #,##0.00_-;_-* &quot;-&quot;??_-;_-@_-"/>
    </dxf>
    <dxf>
      <alignment horizontal="center" vertical="center"/>
    </dxf>
    <dxf>
      <numFmt numFmtId="13" formatCode="0%"/>
    </dxf>
    <dxf>
      <numFmt numFmtId="165" formatCode="_-* #,##0_-;\-* #,##0_-;_-* &quot;-&quot;??_-;_-@_-"/>
    </dxf>
    <dxf>
      <numFmt numFmtId="13" formatCode="0%"/>
    </dxf>
    <dxf>
      <numFmt numFmtId="13" formatCode="0%"/>
    </dxf>
    <dxf>
      <alignment horizontal="center" vertical="center"/>
    </dxf>
    <dxf>
      <numFmt numFmtId="13" formatCode="0%"/>
    </dxf>
    <dxf>
      <numFmt numFmtId="13" formatCode="0%"/>
    </dxf>
    <dxf>
      <numFmt numFmtId="166" formatCode="0.0%"/>
    </dxf>
    <dxf>
      <alignment horizontal="center" vertical="center"/>
    </dxf>
    <dxf>
      <numFmt numFmtId="35" formatCode="_-* #,##0.00_-;\-* #,##0.00_-;_-* &quot;-&quot;??_-;_-@_-"/>
    </dxf>
    <dxf>
      <alignment horizontal="center" vertical="center"/>
    </dxf>
    <dxf>
      <numFmt numFmtId="13" formatCode="0%"/>
    </dxf>
    <dxf>
      <numFmt numFmtId="13" formatCode="0%"/>
    </dxf>
    <dxf>
      <numFmt numFmtId="13" formatCode="0%"/>
    </dxf>
    <dxf>
      <alignment horizontal="center"/>
    </dxf>
    <dxf>
      <alignment vertical="center"/>
    </dxf>
    <dxf>
      <numFmt numFmtId="165" formatCode="_-* #,##0_-;\-* #,##0_-;_-* &quot;-&quot;??_-;_-@_-"/>
    </dxf>
    <dxf>
      <alignment horizontal="center" vertical="center"/>
    </dxf>
    <dxf>
      <numFmt numFmtId="13" formatCode="0%"/>
    </dxf>
    <dxf>
      <alignment horizontal="center" vertical="center"/>
    </dxf>
    <dxf>
      <numFmt numFmtId="13" formatCode="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_-* #,##0_-;\-* #,##0_-;_-* &quot;-&quot;??_-;_-@_-"/>
    </dxf>
    <dxf>
      <alignment horizontal="center" vertical="center"/>
    </dxf>
    <dxf>
      <numFmt numFmtId="13" formatCode="0%"/>
    </dxf>
    <dxf>
      <alignment horizontal="center" vertical="center"/>
    </dxf>
    <dxf>
      <numFmt numFmtId="13" formatCode="0%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</dxfs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</cx:chartData>
  <cx:chart>
    <cx:title pos="t" align="ctr" overlay="0">
      <cx:tx>
        <cx:txData>
          <cx:v>Productividad</cx:v>
        </cx:txData>
      </cx:tx>
      <cx:txPr>
        <a:bodyPr rot="0" spcFirstLastPara="1" vertOverflow="ellipsis" vert="horz" wrap="square" lIns="0" tIns="0" rIns="0" bIns="0" anchor="ctr" anchorCtr="1"/>
        <a:lstStyle/>
        <a:p>
          <a:pPr algn="ctr">
            <a:defRPr b="1">
              <a:solidFill>
                <a:sysClr val="windowText" lastClr="000000"/>
              </a:solidFill>
            </a:defRPr>
          </a:pPr>
          <a:r>
            <a:rPr lang="es-PE" b="1">
              <a:solidFill>
                <a:sysClr val="windowText" lastClr="000000"/>
              </a:solidFill>
            </a:rPr>
            <a:t>Productividad</a:t>
          </a:r>
        </a:p>
      </cx:txPr>
    </cx:title>
    <cx:plotArea>
      <cx:plotAreaRegion>
        <cx:series layoutId="boxWhisker" uniqueId="{278073D7-A2F7-4374-B309-CFDAC5211AD0}">
          <cx:tx>
            <cx:txData>
              <cx:f>_xlchart.v1.0</cx:f>
              <cx:v> 2024 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900" b="1" i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s-PE" b="1">
                  <a:solidFill>
                    <a:sysClr val="windowText" lastClr="000000"/>
                  </a:solidFill>
                </a:endParaRPr>
              </a:p>
            </cx:txPr>
            <cx:visibility seriesName="0" categoryName="0" value="1"/>
            <cx:dataLabelHidden idx="0"/>
            <cx:dataLabelHidden idx="3190"/>
            <cx:dataLabelHidden idx="3192"/>
            <cx:dataLabelHidden idx="3193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BB150168-4576-4D95-845A-996342F30B0C}">
          <cx:tx>
            <cx:txData>
              <cx:f>_xlchart.v1.2</cx:f>
              <cx:v> 2025 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900" b="1" i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s-PE" b="1">
                  <a:solidFill>
                    <a:sysClr val="windowText" lastClr="000000"/>
                  </a:solidFill>
                </a:endParaRPr>
              </a:p>
            </cx:txPr>
            <cx:visibility seriesName="0" categoryName="0" value="1"/>
            <cx:dataLabelHidden idx="0"/>
            <cx:dataLabelHidden idx="3190"/>
            <cx:dataLabelHidden idx="3192"/>
            <cx:dataLabelHidden idx="3193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7E0C044-FEBF-45E2-B3C0-7B8DC63C9D6A}">
          <cx:tx>
            <cx:txData>
              <cx:f>_xlchart.v1.4</cx:f>
              <cx:v> 2026 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900" b="1" i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s-PE" b="1">
                  <a:solidFill>
                    <a:sysClr val="windowText" lastClr="000000"/>
                  </a:solidFill>
                </a:endParaRPr>
              </a:p>
            </cx:txPr>
            <cx:visibility seriesName="0" categoryName="0" value="1"/>
            <cx:dataLabelHidden idx="3190"/>
            <cx:dataLabelHidden idx="3192"/>
            <cx:dataLabelHidden idx="3193"/>
          </cx:dataLabels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PE">
              <a:solidFill>
                <a:sysClr val="windowText" lastClr="000000"/>
              </a:solidFill>
            </a:endParaRPr>
          </a:p>
        </cx:txPr>
      </cx:axis>
      <cx:axis id="1" hidden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PE">
              <a:solidFill>
                <a:sysClr val="windowText" lastClr="000000"/>
              </a:solidFill>
            </a:endParaRPr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900" b="0" i="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s-PE">
            <a:solidFill>
              <a:sysClr val="windowText" lastClr="000000"/>
            </a:solidFill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  <cx:data id="1">
      <cx:numDim type="val">
        <cx:f>_xlchart.v1.15</cx:f>
      </cx:numDim>
    </cx:data>
  </cx:chartData>
  <cx:chart>
    <cx:title pos="t" align="ctr" overlay="0">
      <cx:tx>
        <cx:txData>
          <cx:v>Productividad 2026</cx:v>
        </cx:txData>
      </cx:tx>
      <cx:txPr>
        <a:bodyPr rot="0" spcFirstLastPara="1" vertOverflow="ellipsis" vert="horz" wrap="square" lIns="0" tIns="0" rIns="0" bIns="0" anchor="ctr" anchorCtr="1"/>
        <a:lstStyle/>
        <a:p>
          <a:pPr algn="ctr">
            <a:defRPr b="1">
              <a:solidFill>
                <a:sysClr val="windowText" lastClr="000000"/>
              </a:solidFill>
            </a:defRPr>
          </a:pPr>
          <a:r>
            <a:rPr lang="es-PE" b="1">
              <a:solidFill>
                <a:sysClr val="windowText" lastClr="000000"/>
              </a:solidFill>
            </a:rPr>
            <a:t>Productividad 2026</a:t>
          </a:r>
        </a:p>
      </cx:txPr>
    </cx:title>
    <cx:plotArea>
      <cx:plotAreaRegion>
        <cx:series layoutId="boxWhisker" uniqueId="{9EAF95E5-7373-436E-A78F-973518895025}">
          <cx:tx>
            <cx:txData>
              <cx:f>_xlchart.v1.12</cx:f>
              <cx:v>Real</cx:v>
            </cx:txData>
          </cx:tx>
          <cx:dataLabels>
            <cx:spPr>
              <a:solidFill>
                <a:schemeClr val="accent1">
                  <a:lumMod val="20000"/>
                  <a:lumOff val="80000"/>
                </a:schemeClr>
              </a:solidFill>
            </cx:spPr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ysClr val="windowText" lastClr="000000"/>
                    </a:solidFill>
                  </a:defRPr>
                </a:pPr>
                <a:endParaRPr lang="es-ES" sz="90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txPr>
            <cx:visibility seriesName="0" categoryName="0" value="1"/>
            <cx:dataLabelHidden idx="3193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E36749F-E34C-4A2B-BAF7-82AA8D0E1AF4}">
          <cx:tx>
            <cx:txData>
              <cx:f>_xlchart.v1.14</cx:f>
              <cx:v> Meta </cx:v>
            </cx:txData>
          </cx:tx>
          <cx:dataLabels>
            <cx:spPr>
              <a:solidFill>
                <a:schemeClr val="accent2">
                  <a:lumMod val="20000"/>
                  <a:lumOff val="80000"/>
                </a:schemeClr>
              </a:solidFill>
            </cx:spPr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ysClr val="windowText" lastClr="000000"/>
                    </a:solidFill>
                  </a:defRPr>
                </a:pPr>
                <a:endParaRPr lang="es-ES" sz="90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txPr>
            <cx:visibility seriesName="0" categoryName="0" value="1"/>
            <cx:dataLabelHidden idx="0"/>
            <cx:dataLabelHidden idx="3193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/>
        <cx:tickLabels/>
      </cx:axis>
    </cx:plotArea>
    <cx:legend pos="t" align="ctr" overlay="0">
      <cx:txPr>
        <a:bodyPr spcFirstLastPara="1" vertOverflow="ellipsis" wrap="square" lIns="0" tIns="0" rIns="0" bIns="0" anchor="ctr" anchorCtr="1"/>
        <a:lstStyle/>
        <a:p>
          <a:pPr>
            <a:defRPr sz="1000">
              <a:solidFill>
                <a:sysClr val="windowText" lastClr="000000"/>
              </a:solidFill>
            </a:defRPr>
          </a:pPr>
          <a:endParaRPr lang="es-PE" sz="1000">
            <a:solidFill>
              <a:sysClr val="windowText" lastClr="000000"/>
            </a:solidFill>
          </a:endParaRPr>
        </a:p>
      </cx:txPr>
    </cx:legend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_xlchart.v1.16</cx:f>
      </cx:strDim>
      <cx:numDim type="val">
        <cx:f>_xlchart.v1.17</cx:f>
      </cx:numDim>
    </cx:data>
  </cx:chartData>
  <cx:chart>
    <cx:title pos="t" align="ctr" overlay="0">
      <cx:tx>
        <cx:txData>
          <cx:v>Variación produc 2025 vs 2026</cx:v>
        </cx:txData>
      </cx:tx>
      <cx:txPr>
        <a:bodyPr spcFirstLastPara="1" vertOverflow="ellipsis" wrap="square" lIns="0" tIns="0" rIns="0" bIns="0" anchor="ctr" anchorCtr="1"/>
        <a:lstStyle/>
        <a:p>
          <a:pPr algn="ctr">
            <a:defRPr b="1"/>
          </a:pPr>
          <a:r>
            <a:rPr lang="es-PE" b="1">
              <a:solidFill>
                <a:sysClr val="windowText" lastClr="000000"/>
              </a:solidFill>
            </a:rPr>
            <a:t>Variación produc 2025 vs 2026</a:t>
          </a:r>
        </a:p>
      </cx:txPr>
    </cx:title>
    <cx:plotArea>
      <cx:plotAreaRegion>
        <cx:series layoutId="waterfall" uniqueId="{C27BE5A2-4E61-4D8B-AFA1-991C96A812C7}">
          <cx:dataLabels pos="outEnd">
            <cx:visibility seriesName="0" categoryName="0" value="1"/>
          </cx:dataLabels>
          <cx:dataId val="0"/>
          <cx:layoutPr>
            <cx:subtotals>
              <cx:idx val="3"/>
            </cx:subtotals>
          </cx:layoutPr>
        </cx:series>
      </cx:plotAreaRegion>
      <cx:axis id="0">
        <cx:catScaling gapWidth="0.5"/>
        <cx:tickLabels/>
      </cx:axis>
      <cx:axis id="1">
        <cx:valScaling min="60000"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_xlchart.v1.18</cx:f>
      </cx:strDim>
      <cx:numDim type="val">
        <cx:f>_xlchart.v1.19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 sz="1400" b="1">
                <a:solidFill>
                  <a:sysClr val="windowText" lastClr="000000"/>
                </a:solidFill>
              </a:defRPr>
            </a:pPr>
            <a:r>
              <a:rPr lang="es-PE" sz="1400" b="1">
                <a:solidFill>
                  <a:sysClr val="windowText" lastClr="000000"/>
                </a:solidFill>
              </a:rPr>
              <a:t>Variación productividad Meta vs 2026</a:t>
            </a:r>
            <a:endParaRPr lang="es-PE" b="1">
              <a:solidFill>
                <a:sysClr val="windowText" lastClr="000000"/>
              </a:solidFill>
            </a:endParaRPr>
          </a:p>
        </cx:rich>
      </cx:tx>
    </cx:title>
    <cx:plotArea>
      <cx:plotAreaRegion>
        <cx:series layoutId="waterfall" uniqueId="{162CA794-8DEC-4AEC-BA3A-3091B2B8C2B1}">
          <cx:dataLabels pos="outEnd">
            <cx:visibility seriesName="0" categoryName="0" value="1"/>
          </cx:dataLabels>
          <cx:dataId val="0"/>
          <cx:layoutPr>
            <cx:subtotals>
              <cx:idx val="3"/>
            </cx:subtotals>
          </cx:layoutPr>
        </cx:series>
      </cx:plotAreaRegion>
      <cx:axis id="0">
        <cx:catScaling gapWidth="0.5"/>
        <cx:tickLabels/>
      </cx:axis>
      <cx:axis id="1">
        <cx:valScaling min="60000"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4/relationships/chartEx" Target="../charts/chartEx4.xml"/><Relationship Id="rId1" Type="http://schemas.microsoft.com/office/2014/relationships/chartEx" Target="../charts/chartEx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15874</xdr:colOff>
      <xdr:row>1</xdr:row>
      <xdr:rowOff>53974</xdr:rowOff>
    </xdr:from>
    <xdr:to>
      <xdr:col>11</xdr:col>
      <xdr:colOff>1005840</xdr:colOff>
      <xdr:row>24</xdr:row>
      <xdr:rowOff>76200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2" name="Rectángulo 1"/>
            <xdr:cNvSpPr>
              <a:spLocks noTextEdit="1"/>
            </xdr:cNvSpPr>
          </xdr:nvSpPr>
          <xdr:spPr>
            <a:xfrm>
              <a:off x="8931274" y="236854"/>
              <a:ext cx="5264786" cy="42284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567055</xdr:colOff>
      <xdr:row>1</xdr:row>
      <xdr:rowOff>160020</xdr:rowOff>
    </xdr:from>
    <xdr:to>
      <xdr:col>19</xdr:col>
      <xdr:colOff>152400</xdr:colOff>
      <xdr:row>23</xdr:row>
      <xdr:rowOff>45720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2" name="Rectángulo 1"/>
            <xdr:cNvSpPr>
              <a:spLocks noTextEdit="1"/>
            </xdr:cNvSpPr>
          </xdr:nvSpPr>
          <xdr:spPr>
            <a:xfrm>
              <a:off x="16210915" y="342900"/>
              <a:ext cx="5132705" cy="39090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16</xdr:row>
      <xdr:rowOff>142875</xdr:rowOff>
    </xdr:from>
    <xdr:to>
      <xdr:col>8</xdr:col>
      <xdr:colOff>82549</xdr:colOff>
      <xdr:row>30</xdr:row>
      <xdr:rowOff>44450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00000000-0008-0000-02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2" name="Rectángulo 1"/>
            <xdr:cNvSpPr>
              <a:spLocks noTextEdit="1"/>
            </xdr:cNvSpPr>
          </xdr:nvSpPr>
          <xdr:spPr>
            <a:xfrm>
              <a:off x="3550920" y="3068955"/>
              <a:ext cx="4951729" cy="24618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8</xdr:col>
      <xdr:colOff>273050</xdr:colOff>
      <xdr:row>16</xdr:row>
      <xdr:rowOff>142875</xdr:rowOff>
    </xdr:from>
    <xdr:to>
      <xdr:col>13</xdr:col>
      <xdr:colOff>596899</xdr:colOff>
      <xdr:row>30</xdr:row>
      <xdr:rowOff>76200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3" name="Rectángulo 2"/>
            <xdr:cNvSpPr>
              <a:spLocks noTextEdit="1"/>
            </xdr:cNvSpPr>
          </xdr:nvSpPr>
          <xdr:spPr>
            <a:xfrm>
              <a:off x="8693150" y="3068955"/>
              <a:ext cx="5284469" cy="24936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944880</xdr:colOff>
      <xdr:row>40</xdr:row>
      <xdr:rowOff>144780</xdr:rowOff>
    </xdr:from>
    <xdr:to>
      <xdr:col>18</xdr:col>
      <xdr:colOff>152038</xdr:colOff>
      <xdr:row>77</xdr:row>
      <xdr:rowOff>77141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7360" y="7459980"/>
          <a:ext cx="15757798" cy="6698921"/>
        </a:xfrm>
        <a:prstGeom prst="rect">
          <a:avLst/>
        </a:prstGeom>
      </xdr:spPr>
    </xdr:pic>
    <xdr:clientData/>
  </xdr:twoCellAnchor>
  <xdr:twoCellAnchor editAs="oneCell">
    <xdr:from>
      <xdr:col>5</xdr:col>
      <xdr:colOff>906780</xdr:colOff>
      <xdr:row>32</xdr:row>
      <xdr:rowOff>15240</xdr:rowOff>
    </xdr:from>
    <xdr:to>
      <xdr:col>12</xdr:col>
      <xdr:colOff>38931</xdr:colOff>
      <xdr:row>39</xdr:row>
      <xdr:rowOff>114300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2AB967B-8F6F-3C04-51EE-4CBBB261C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81700" y="5867400"/>
          <a:ext cx="6515931" cy="137922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nrique Paredes" refreshedDate="46195.710228356482" createdVersion="6" refreshedVersion="6" minRefreshableVersion="3" recordCount="3301">
  <cacheSource type="worksheet">
    <worksheetSource name="analisis_productividad__4"/>
  </cacheSource>
  <cacheFields count="16">
    <cacheField name="Tienda" numFmtId="0">
      <sharedItems count="112">
        <s v="P193 Trujillo Mansiche - PVS"/>
        <s v="SO04 Jaen - PVO"/>
        <s v="SO03 Huanuco - PVO"/>
        <s v="P126 Santa Clara - PVH"/>
        <s v="P115 Huancayo - PVH"/>
        <s v="P333 Ves Placita - PVH"/>
        <s v="P119 Puente Piedra - PVH"/>
        <s v="1593 Aventura SJL - PVH"/>
        <s v="P114 Pro - PVH"/>
        <s v="P104 Arequipa - PVH"/>
        <s v="P145 Piura - PVH"/>
        <s v="SO05 Tarapoto - PVO"/>
        <s v="P102 Chiclayo - PVH"/>
        <s v="P202 LurIn - PVH"/>
        <s v="P769 Chiclayo Aventura - PVH"/>
        <s v="P223 Cusco Mall - PVH"/>
        <s v="P225 Cajamarca - PVH"/>
        <s v="P147 Juliaca - PVH"/>
        <s v="P142 Chincha - PVH"/>
        <s v="P236 Pisco - PVH"/>
        <s v="P146 Tacna - PVH"/>
        <s v="P291 La Curva - PVH"/>
        <s v="P229 Salaverry - PVH"/>
        <s v="P723 Puruchuco - PVH"/>
        <s v="P122 Ica - PVH"/>
        <s v="P231 Ventanilla - PVH"/>
        <s v="P143 Nvo Chimbote - PVH"/>
        <s v="P516 Ilo - PVH"/>
        <s v="P125 SJ Lurigancho - PVH"/>
        <s v="P117 Izaguirre - PVH"/>
        <s v="P465 Sucre - PVH"/>
        <s v="P075 Trujillo - PVH"/>
        <s v="P130 Chimbote - PVH"/>
        <s v="SO02 Pucallpa - PVO"/>
        <s v="P216 Proceres - PVS"/>
        <s v="P010 Caminos del Inca - PVS"/>
        <s v="P133 Guardia Civil - PVH"/>
        <s v="P724 Tumbes - PVH"/>
        <s v="P226 Paita - PVH"/>
        <s v="P262 Talara Municipalidad - PVH"/>
        <s v="P048 Higuereta - PVH"/>
        <s v="P066 Ate - PVH"/>
        <s v="P199 Grifo Kio - PVS"/>
        <s v="P221 Barranca - PVH"/>
        <s v="P064 Miraflores - PVH"/>
        <s v="P259 Moquegua - PVH"/>
        <s v="P144 Huacho - PVH"/>
        <s v="P089 Risso - PVH"/>
        <s v="P139 Alameda Sur - PVS"/>
        <s v="P001 Los Olivos - PVH"/>
        <s v="P084 Comas - PVH"/>
        <s v="P192 Sullana - PVH"/>
        <s v="P224 Brena - PVH"/>
        <s v="P227 San Isidro - PVH"/>
        <s v="P080 Bolichera - PVH"/>
        <s v="P120 Universitaria - PVH"/>
        <s v="P172 Puno - PVH"/>
        <s v="P132 El Ejercito - PVS"/>
        <s v="P068 Primavera - PVH"/>
        <s v="P081 La Molina - PVH"/>
        <s v="P123 El Chacarero - PVH"/>
        <s v="1198 Cusco Wanchaq - PVH"/>
        <s v="P203 Rimac Alcazar - PVH"/>
        <s v="P195 San Borja - PVH"/>
        <s v="P037 Jockey Plaza - PVH"/>
        <s v="P061 Cortijo - PVH"/>
        <s v="P141 Chosica - PVH"/>
        <s v="P215 Magdalena - PVS"/>
        <s v="P201 Huaral - PVH"/>
        <s v="SO06 Tarapoto 2 - PVO"/>
        <s v="P059 Callao - PVH"/>
        <s v="P112 Ceres - PVH"/>
        <s v="P134 Centro Civico - PVH"/>
        <s v="P219 La Perla - PVS"/>
        <s v="P238 Grifo Mexico - PVH"/>
        <s v="P156 El Tambo Huancayo - PVS"/>
        <s v="P106 Valle Hermoso - PVH"/>
        <s v="P206 La Paz - PVS"/>
        <s v="P135 Colonial - PVH"/>
        <s v="1199 San Miguel - PVH"/>
        <s v="P208 La Victoria PVS"/>
        <s v="P181 Supermercados SKA - PVE"/>
        <s v="P052 Brasil - PVH"/>
        <s v="P108 Ayacucho - PVS"/>
        <s v="P177 Talara - PVH"/>
        <s v="P105 Salamanca - PVS"/>
        <s v="P159 Acho - PVH"/>
        <s v="P191 Cine Rimac - PVS"/>
        <s v="2638 SJB Ayacucho - PVH"/>
        <s v="P261 El Agustino - PVH"/>
        <s v="P118 Alfonso Ugarte - PVH"/>
        <s v="P258 Chaclacayo - PVS"/>
        <s v="P207 Villa Marina - PVS"/>
        <s v="P158 Villa el Salvador - PVS"/>
        <s v="P107 Mercaderes - PVS"/>
        <s v="X210 Santa Cruz - PVE"/>
        <s v="P198 Chorrillos Iglesias - PVS"/>
        <s v="V095 Monterrico - VIV"/>
        <s v="P109 Dasso - PVS"/>
        <s v="P096 San Jorge - PVS"/>
        <s v="P110 Corpac - PVS"/>
        <s v="P220 Trujillo Valcarcel - PVS"/>
        <s v="P180 Centro Trujillo - PVE"/>
        <s v="V090 Pezet - VIV"/>
        <s v="X209 Bolognesi - PVE"/>
        <s v="V116 Javier Prado - VIV"/>
        <s v="V094 Benavides - VIV"/>
        <s v="V093 Dos de Mayo - VIV"/>
        <s v="V290 Asia - VIV"/>
        <s v="V140 Libertadores - VIV"/>
        <s v="P422 Art Express - PVS"/>
        <s v="P138 Jiron de la Union - PVE"/>
      </sharedItems>
    </cacheField>
    <cacheField name="Periodo" numFmtId="0">
      <sharedItems containsSemiMixedTypes="0" containsString="0" containsNumber="1" containsInteger="1" minValue="202401" maxValue="202606"/>
    </cacheField>
    <cacheField name="año" numFmtId="0">
      <sharedItems count="3">
        <s v="2026"/>
        <s v="2025"/>
        <s v="2024"/>
      </sharedItems>
    </cacheField>
    <cacheField name="mes" numFmtId="0">
      <sharedItems count="12">
        <s v="03"/>
        <s v="12"/>
        <s v="02"/>
        <s v="05"/>
        <s v="09"/>
        <s v="08"/>
        <s v="07"/>
        <s v="11"/>
        <s v="10"/>
        <s v="04"/>
        <s v="01"/>
        <s v="06"/>
      </sharedItems>
    </cacheField>
    <cacheField name="GOS" numFmtId="0">
      <sharedItems/>
    </cacheField>
    <cacheField name="GOR" numFmtId="0">
      <sharedItems/>
    </cacheField>
    <cacheField name="Prod" numFmtId="0">
      <sharedItems containsString="0" containsBlank="1" containsNumber="1" containsInteger="1" minValue="13301" maxValue="231397"/>
    </cacheField>
    <cacheField name="VtaNeta" numFmtId="0">
      <sharedItems containsSemiMixedTypes="0" containsString="0" containsNumber="1" containsInteger="1" minValue="76" maxValue="16134149"/>
    </cacheField>
    <cacheField name="JEq" numFmtId="0">
      <sharedItems containsString="0" containsBlank="1" containsNumber="1" minValue="4.3155376344086021" maxValue="139.05227150537627"/>
    </cacheField>
    <cacheField name="ProdMeta" numFmtId="0">
      <sharedItems containsString="0" containsBlank="1" containsNumber="1" minValue="0" maxValue="196971.94955803169"/>
    </cacheField>
    <cacheField name="CAPO *" numFmtId="0">
      <sharedItems containsSemiMixedTypes="0" containsString="0" containsNumber="1" minValue="7" maxValue="140.5"/>
    </cacheField>
    <cacheField name="CAPE *" numFmtId="0">
      <sharedItems containsSemiMixedTypes="0" containsString="0" containsNumber="1" minValue="6.5" maxValue="125.5"/>
    </cacheField>
    <cacheField name="JEqMeta" numFmtId="0">
      <sharedItems containsString="0" containsBlank="1" containsNumber="1" minValue="6.5823753560915674E-4" maxValue="131.78669168047247"/>
    </cacheField>
    <cacheField name="VtaNetaMeta" numFmtId="0">
      <sharedItems containsString="0" containsBlank="1" containsNumber="1" containsInteger="1" minValue="0" maxValue="15246951"/>
    </cacheField>
    <cacheField name="prodcreal" numFmtId="0" formula="VtaNeta/JEq" databaseField="0"/>
    <cacheField name="prodmeta2" numFmtId="0" formula="VtaNetaMeta/JEqMeta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Enrique Paredes" refreshedDate="46195.742990509258" createdVersion="6" refreshedVersion="6" minRefreshableVersion="3" recordCount="8">
  <cacheSource type="worksheet">
    <worksheetSource name="analisis_productividad3"/>
  </cacheSource>
  <cacheFields count="10">
    <cacheField name="JEq" numFmtId="0">
      <sharedItems containsSemiMixedTypes="0" containsString="0" containsNumber="1" minValue="1615.6433060035827" maxValue="5818.1903073476115"/>
    </cacheField>
    <cacheField name="JEqMeta" numFmtId="0">
      <sharedItems containsSemiMixedTypes="0" containsString="0" containsNumber="1" minValue="1651.8700631748877" maxValue="6459.1281249987333"/>
    </cacheField>
    <cacheField name="Prod" numFmtId="0">
      <sharedItems containsSemiMixedTypes="0" containsString="0" containsNumber="1" containsInteger="1" minValue="65012" maxValue="100894"/>
    </cacheField>
    <cacheField name="ProdMeta" numFmtId="0">
      <sharedItems containsSemiMixedTypes="0" containsString="0" containsNumber="1" minValue="73507.187861516213" maxValue="101097.07580239847"/>
    </cacheField>
    <cacheField name="VtaNeta" numFmtId="0">
      <sharedItems containsSemiMixedTypes="0" containsString="0" containsNumber="1" containsInteger="1" minValue="149540197" maxValue="549955374"/>
    </cacheField>
    <cacheField name="VtaNetaMeta" numFmtId="0">
      <sharedItems containsSemiMixedTypes="0" containsString="0" containsNumber="1" containsInteger="1" minValue="144489567" maxValue="543158219"/>
    </cacheField>
    <cacheField name="supervisor" numFmtId="0">
      <sharedItems/>
    </cacheField>
    <cacheField name="JEqAA" numFmtId="0">
      <sharedItems containsSemiMixedTypes="0" containsString="0" containsNumber="1" minValue="1669.0197200940822" maxValue="6456.2685566756363"/>
    </cacheField>
    <cacheField name="ProdAA" numFmtId="0">
      <sharedItems containsSemiMixedTypes="0" containsString="0" containsNumber="1" containsInteger="1" minValue="65743" maxValue="92967"/>
    </cacheField>
    <cacheField name="VtaNetaAA" numFmtId="0">
      <sharedItems containsSemiMixedTypes="0" containsString="0" containsNumber="1" containsInteger="1" minValue="130368763" maxValue="5353491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USUARIO" refreshedDate="46195.953297569446" createdVersion="8" refreshedVersion="8" minRefreshableVersion="3" recordCount="48">
  <cacheSource type="worksheet">
    <worksheetSource ref="A1:E49" sheet="graf4"/>
  </cacheSource>
  <cacheFields count="6">
    <cacheField name="supervisor" numFmtId="0">
      <sharedItems count="8">
        <s v="Daniel Rodríguez"/>
        <s v="Joe Huamancondor"/>
        <s v="Johanna Vilca"/>
        <s v="José Aramburu"/>
        <s v="María Rojas"/>
        <s v="Melany Alvarado"/>
        <s v="Rodolfo Olivry"/>
        <s v="Vik Enciso"/>
      </sharedItems>
    </cacheField>
    <cacheField name="Mes" numFmtId="0">
      <sharedItems count="6">
        <s v="Ene"/>
        <s v="Feb"/>
        <s v="Mar"/>
        <s v="Abr"/>
        <s v="May"/>
        <s v="Jun"/>
      </sharedItems>
    </cacheField>
    <cacheField name="Cump" numFmtId="166">
      <sharedItems containsSemiMixedTypes="0" containsString="0" containsNumber="1" minValue="-0.16213638948905562" maxValue="0.1863156926820837"/>
    </cacheField>
    <cacheField name="Prod" numFmtId="165">
      <sharedItems containsSemiMixedTypes="0" containsString="0" containsNumber="1" containsInteger="1" minValue="62584" maxValue="110937"/>
    </cacheField>
    <cacheField name="ProdMeta" numFmtId="165">
      <sharedItems containsSemiMixedTypes="0" containsString="0" containsNumber="1" minValue="68399.532146972502" maxValue="118836.21046997901"/>
    </cacheField>
    <cacheField name="cumplimiento" numFmtId="0" formula="Prod/ProdMeta-1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USUARIO" refreshedDate="46195.959213657407" createdVersion="8" refreshedVersion="8" minRefreshableVersion="3" recordCount="54">
  <cacheSource type="worksheet">
    <worksheetSource ref="P1:AA55" sheet="graf4"/>
  </cacheSource>
  <cacheFields count="11">
    <cacheField name="GOR" numFmtId="0">
      <sharedItems count="9">
        <s v="Daniel R"/>
        <s v="Fátima L"/>
        <s v="Joe H"/>
        <s v="Johanna V"/>
        <s v="José A"/>
        <s v="María R"/>
        <s v="Melany A"/>
        <s v="Rodolfo O"/>
        <s v="Vik E"/>
      </sharedItems>
    </cacheField>
    <cacheField name="Mes" numFmtId="0">
      <sharedItems count="6">
        <s v="Ene"/>
        <s v="Feb"/>
        <s v="Mar"/>
        <s v="Abr"/>
        <s v="May"/>
        <s v="Jun"/>
      </sharedItems>
    </cacheField>
    <cacheField name="Vta" numFmtId="165">
      <sharedItems containsSemiMixedTypes="0" containsString="0" containsNumber="1" containsInteger="1" minValue="8389021" maxValue="121448579"/>
    </cacheField>
    <cacheField name="Vta AA" numFmtId="165">
      <sharedItems containsSemiMixedTypes="0" containsString="0" containsNumber="1" containsInteger="1" minValue="7777885" maxValue="119783664"/>
    </cacheField>
    <cacheField name="Vta Ppto" numFmtId="165">
      <sharedItems containsSemiMixedTypes="0" containsString="0" containsNumber="1" containsInteger="1" minValue="8242586" maxValue="119038808"/>
    </cacheField>
    <cacheField name="Prod" numFmtId="165">
      <sharedItems containsSemiMixedTypes="0" containsString="0" containsNumber="1" containsInteger="1" minValue="48621" maxValue="116601"/>
    </cacheField>
    <cacheField name="ProdMeta" numFmtId="165">
      <sharedItems containsSemiMixedTypes="0" containsString="0" containsNumber="1" minValue="57940.215084195101" maxValue="119793.75673547"/>
    </cacheField>
    <cacheField name="Prod AA" numFmtId="165">
      <sharedItems containsSemiMixedTypes="0" containsString="0" containsNumber="1" containsInteger="1" minValue="50502" maxValue="106386"/>
    </cacheField>
    <cacheField name="JEq" numFmtId="165">
      <sharedItems containsSemiMixedTypes="0" containsString="0" containsNumber="1" minValue="127.518951388891" maxValue="1162.9430241935399"/>
    </cacheField>
    <cacheField name="JEqAA" numFmtId="165">
      <sharedItems containsSemiMixedTypes="0" containsString="0" containsNumber="1" minValue="138.00090725806399" maxValue="1180.10186827957"/>
    </cacheField>
    <cacheField name="cump" numFmtId="0" formula="Prod/ProdMeta-1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USUARIO" refreshedDate="46195.981986805557" createdVersion="8" refreshedVersion="8" minRefreshableVersion="3" recordCount="722">
  <cacheSource type="worksheet">
    <worksheetSource ref="AD1:AO1048576" sheet="graf4"/>
  </cacheSource>
  <cacheFields count="15">
    <cacheField name="GOR" numFmtId="0">
      <sharedItems containsBlank="1" count="11">
        <s v="Melany A"/>
        <s v="Daniel R"/>
        <s v="Johanna V"/>
        <s v="José A"/>
        <s v="María R"/>
        <s v="Vik E"/>
        <s v="Joe H"/>
        <s v="Rodolfo O"/>
        <m/>
        <s v="Fátima L"/>
        <s v="'--"/>
      </sharedItems>
    </cacheField>
    <cacheField name="nombre" numFmtId="0">
      <sharedItems containsBlank="1" count="120">
        <s v="El Chacarero - PVH"/>
        <s v="Caminos del Inca - PVS"/>
        <s v="Piura - PVH"/>
        <s v="Trujillo - PVH"/>
        <s v="San Borja - PVH"/>
        <s v="Miraflores - PVH"/>
        <s v="La Molina - PVH"/>
        <s v="Higuereta - PVH"/>
        <s v="Huancayo - PVH"/>
        <s v="Chiclayo - PVH"/>
        <s v="Valle Hermoso - PVH"/>
        <s v="Asia - VIV"/>
        <s v="Cortijo - PVH"/>
        <s v="Puente Piedra - PVH"/>
        <s v="Tacna - PVH"/>
        <s v="Santa Clara - PVH"/>
        <s v="Salaverry - PVH"/>
        <s v="Puruchuco - PVH"/>
        <s v="Tarapoto - PVO"/>
        <s v="Juliaca - PVH"/>
        <s v="Cusco Mall - PVH"/>
        <s v="Pucallpa - PVO"/>
        <s v="Sucre - PVH"/>
        <s v="Pro - PVH"/>
        <s v="Monterrico - VIV"/>
        <s v="Dasso - PVS"/>
        <s v="Bolichera - PVH"/>
        <s v="San Miguel - PVH"/>
        <s v="La Curva - PVH"/>
        <s v="Guardia Civil - PVH"/>
        <s v="Huanuco - PVO"/>
        <s v="LurIn - PVH"/>
        <s v="Centro Civico - PVH"/>
        <s v="Puno - PVH"/>
        <s v="Comas - PVH"/>
        <s v="Izaguirre - PVH"/>
        <s v="Brena - PVH"/>
        <s v="Ventanilla - PVH"/>
        <s v="Arequipa - PVH"/>
        <s v="Jockey Plaza - PVH"/>
        <s v="Universitaria - PVH"/>
        <s v="Chimbote - PVH"/>
        <s v="Moquegua - PVH"/>
        <s v="San Isidro - PVH"/>
        <s v="Ica - PVH"/>
        <s v="Tumbes - PVH"/>
        <s v="Alameda Sur - PVS"/>
        <s v="Ate - PVH"/>
        <s v="Colonial - PVH"/>
        <s v="Pezet - VIV"/>
        <s v="Ilo - PVH"/>
        <s v="Los Olivos - PVH"/>
        <s v="Ves Placita - PVH"/>
        <s v="Primavera - PVH"/>
        <s v="Cajamarca - PVH"/>
        <s v="SJ Lurigancho - PVH"/>
        <s v="Talara Municipalidad - PVH"/>
        <s v="Dos de Mayo - VIV"/>
        <s v="Chiclayo Aventura - PVH"/>
        <s v="Jaen - PVO"/>
        <s v="Rimac Alcazar - PVH"/>
        <s v="Benavides - VIV"/>
        <s v="Aventura SJL - PVH"/>
        <s v="Callao - PVH"/>
        <s v="Risso - PVH"/>
        <s v="Chosica - PVH"/>
        <s v="Paita - PVH"/>
        <s v="Ceres - PVH"/>
        <s v="Pisco - PVH"/>
        <s v="Huacho - PVH"/>
        <s v="Huaral - PVH"/>
        <s v="Brasil - PVH"/>
        <s v="Libertadores - VIV"/>
        <s v="San Jorge - PVS"/>
        <s v="Javier Prado - VIV"/>
        <m/>
        <s v="Nvo Chimbote - PVH"/>
        <s v="Talara - PVH"/>
        <s v="Alfonso Ugarte - PVH"/>
        <s v="Chincha - PVH"/>
        <s v="El Ejercito - PVS"/>
        <s v="Ayacucho - PVS"/>
        <s v="Mercaderes - PVS"/>
        <s v="Sullana - PVH"/>
        <s v="Villa el Salvador - PVS"/>
        <s v="Corpac - PVS"/>
        <s v="Salamanca - PVS"/>
        <s v="Cusco Wanchaq - PVH"/>
        <s v="Acho - PVH"/>
        <s v="El Agustino - PVH"/>
        <s v="Barranca - PVH"/>
        <s v="El Tambo Huancayo - PVS"/>
        <s v="Grifo Mexico - PVH"/>
        <s v="Grifo Kio - PVS"/>
        <s v="Trujillo Mansiche - PVS"/>
        <s v="Trujillo Valcarcel - PVS"/>
        <s v="Multiplaza - PVS"/>
        <s v="Centro Trujillo - PVE"/>
        <s v="Chaclacayo - PVS"/>
        <s v="Magdalena - PVS"/>
        <s v="Proceres - PVS"/>
        <s v="La Paz - PVS"/>
        <s v="Chorrillos Iglesias - PVS"/>
        <s v="Supermercados SKA - PVE"/>
        <s v="La Perla - PVS"/>
        <s v="Bolognesi - PVE"/>
        <s v="Cine Rimac - PVS"/>
        <s v="Villa Marina - PVS"/>
        <s v="La Victoria PVS"/>
        <s v="Art Express - PVS"/>
        <s v="Santa Cruz - PVE"/>
        <s v="Jiron de la Union - PVE"/>
        <s v="Back Office Plaza Vea"/>
        <s v="Back Office Vivanda"/>
        <s v="Destinos del Sabor - VIV"/>
        <s v="E-Commerce Non Food"/>
        <s v="Retail Media - Pv"/>
        <s v="SJB Ayacucho - PVH"/>
        <s v="Tarapoto 2 - PVO"/>
        <s v="Pardo - VIV"/>
      </sharedItems>
    </cacheField>
    <cacheField name="Mes" numFmtId="0">
      <sharedItems containsBlank="1" count="7">
        <s v="May"/>
        <s v="Abr"/>
        <s v="Jun"/>
        <s v="Mar"/>
        <s v="Ene"/>
        <s v="Feb"/>
        <m/>
      </sharedItems>
    </cacheField>
    <cacheField name="Vta" numFmtId="0">
      <sharedItems containsString="0" containsBlank="1" containsNumber="1" containsInteger="1" minValue="0" maxValue="14434788"/>
    </cacheField>
    <cacheField name="Vta AA" numFmtId="0">
      <sharedItems containsString="0" containsBlank="1" containsNumber="1" containsInteger="1" minValue="76" maxValue="13946827"/>
    </cacheField>
    <cacheField name="Vta Ppto" numFmtId="0">
      <sharedItems containsString="0" containsBlank="1" containsNumber="1" containsInteger="1" minValue="0" maxValue="13918447"/>
    </cacheField>
    <cacheField name="Prod" numFmtId="0">
      <sharedItems containsString="0" containsBlank="1" containsNumber="1" containsInteger="1" minValue="0" maxValue="231397"/>
    </cacheField>
    <cacheField name="ProdMeta" numFmtId="0">
      <sharedItems containsString="0" containsBlank="1" containsNumber="1" minValue="0" maxValue="196971.94955803099"/>
    </cacheField>
    <cacheField name="Prod AA" numFmtId="0">
      <sharedItems containsString="0" containsBlank="1" containsNumber="1" containsInteger="1" minValue="20334" maxValue="135059"/>
    </cacheField>
    <cacheField name="JEq" numFmtId="0">
      <sharedItems containsString="0" containsBlank="1" containsNumber="1" minValue="1.6483854166666601" maxValue="119.345530913978"/>
    </cacheField>
    <cacheField name="JEqAA" numFmtId="0">
      <sharedItems containsString="0" containsBlank="1" containsNumber="1" minValue="1.8229166666666598E-2" maxValue="135.31649193548299"/>
    </cacheField>
    <cacheField name="JEqMeta" numFmtId="0">
      <sharedItems containsString="0" containsBlank="1" containsNumber="1" minValue="6.4427386872759902" maxValue="117.188975024697"/>
    </cacheField>
    <cacheField name="product1" numFmtId="0" formula="Vta/JEq" databaseField="0"/>
    <cacheField name="product2" numFmtId="0" formula="'Vta Ppto'/JEqMeta" databaseField="0"/>
    <cacheField name="cump" numFmtId="0" formula="product1/product2-1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Enrique Paredes" refreshedDate="46196.391117476851" createdVersion="6" refreshedVersion="6" minRefreshableVersion="3" recordCount="108">
  <cacheSource type="worksheet">
    <worksheetSource name="analisis_velocidad1"/>
  </cacheSource>
  <cacheFields count="4">
    <cacheField name="GOR" numFmtId="0">
      <sharedItems count="9">
        <s v="María Rojas"/>
        <s v="Fátima León"/>
        <s v="MELANY ALVARADO"/>
        <s v="DANIEL RODRIGUEZ"/>
        <s v="JOE HUAMANCONDOR"/>
        <s v="PEPE ARAMBURU"/>
        <s v="VIK ENCISO"/>
        <s v="RODOLFO OLIVRY"/>
        <s v="JOHANNA VILCA"/>
      </sharedItems>
    </cacheField>
    <cacheField name="Unid x Minuto" numFmtId="0">
      <sharedItems containsSemiMixedTypes="0" containsString="0" containsNumber="1" minValue="9.06" maxValue="14.19"/>
    </cacheField>
    <cacheField name="Cumplimiento" numFmtId="0">
      <sharedItems/>
    </cacheField>
    <cacheField name="MonthNameShort" numFmtId="0">
      <sharedItems count="12">
        <s v="ene"/>
        <s v="feb"/>
        <s v="mar"/>
        <s v="abr"/>
        <s v="may"/>
        <s v="jun"/>
        <s v="jul"/>
        <s v="ago"/>
        <s v="sep"/>
        <s v="oct"/>
        <s v="nov"/>
        <s v="di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Enrique Paredes" refreshedDate="46196.393298958334" createdVersion="6" refreshedVersion="6" minRefreshableVersion="3" recordCount="54">
  <cacheSource type="worksheet">
    <worksheetSource name="analisis_velocidad1__2"/>
  </cacheSource>
  <cacheFields count="7">
    <cacheField name="Año" numFmtId="0">
      <sharedItems containsSemiMixedTypes="0" containsString="0" containsNumber="1" containsInteger="1" minValue="2026" maxValue="2026"/>
    </cacheField>
    <cacheField name="Mes" numFmtId="0">
      <sharedItems count="6">
        <s v="enero"/>
        <s v="febrero"/>
        <s v="marzo"/>
        <s v="abril"/>
        <s v="mayo"/>
        <s v="junio"/>
      </sharedItems>
    </cacheField>
    <cacheField name="Meta Promedio" numFmtId="0">
      <sharedItems containsSemiMixedTypes="0" containsString="0" containsNumber="1" minValue="9.14" maxValue="15.08"/>
    </cacheField>
    <cacheField name="Unid x Minuto" numFmtId="0">
      <sharedItems containsSemiMixedTypes="0" containsString="0" containsNumber="1" minValue="8.93" maxValue="14.52"/>
    </cacheField>
    <cacheField name="Unid x Minuto AA" numFmtId="0">
      <sharedItems containsSemiMixedTypes="0" containsString="0" containsNumber="1" minValue="8.6199999999999992" maxValue="14.75"/>
    </cacheField>
    <cacheField name="GOR PPT" numFmtId="0">
      <sharedItems count="9">
        <s v="DANIEL R"/>
        <s v="Fátima L"/>
        <s v="JOE H"/>
        <s v="JOHANNA V"/>
        <s v="María R"/>
        <s v="MELANY A"/>
        <s v="PEPE A"/>
        <s v="RODOLFO O"/>
        <s v="VIK E"/>
      </sharedItems>
    </cacheField>
    <cacheField name="Cumpl" numFmtId="0" formula="'Unid x Minuto'/'Meta Promedio' -1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r:id="rId1" refreshedBy="Enrique Paredes" refreshedDate="46196.406754398151" createdVersion="6" refreshedVersion="6" minRefreshableVersion="3" recordCount="111">
  <cacheSource type="worksheet">
    <worksheetSource name="analisis_velocidad2"/>
  </cacheSource>
  <cacheFields count="5">
    <cacheField name="nombre" numFmtId="0">
      <sharedItems count="111">
        <s v="Villa Marina - PVS"/>
        <s v="La Victoria PVS"/>
        <s v="Paita - PVH"/>
        <s v="El Ejercito - PVS"/>
        <s v="El Agustino - PVH"/>
        <s v="Libertadores - VIV"/>
        <s v="El Tambo Huancayo - PVS"/>
        <s v="Jiron de la Union - PVE"/>
        <s v="SJL Aventura - PVH"/>
        <s v="Cine Rimac - PVS"/>
        <s v="Salamanca - PVS"/>
        <s v="Huaral - PVH"/>
        <s v="El Chacarero - PVH"/>
        <s v="Benavides - VIV"/>
        <s v="La Perla - PVS"/>
        <s v="Jaen - PVO"/>
        <s v="Talara Municipalidad - PVH"/>
        <s v="Chincha - PVH"/>
        <s v="Comas - PVH"/>
        <s v="Ventanilla - PVH"/>
        <s v="Villa el Salvador - PVS"/>
        <s v="Moquegua - PVH"/>
        <s v="Asia - VIV"/>
        <s v="Pro - PVH"/>
        <s v="Pezet - VIV"/>
        <s v="Monterrico - VIV"/>
        <s v="Acho - PVH"/>
        <s v="Ayacucho - PVS"/>
        <s v="Puente Piedra - PVH"/>
        <s v="Huacho - PVH"/>
        <s v="Tacna - PVH"/>
        <s v="Piura - PVH"/>
        <s v="Los Olivos - PVH"/>
        <s v="Cajamarca - PVH"/>
        <s v="Tumbes - PVH"/>
        <s v="SJB Ayacucho - PVH"/>
        <s v="Alameda Sur - PVS"/>
        <s v="San Jorge - PVS"/>
        <s v="Dos de Mayo - VIV"/>
        <s v="Cusco Wanchaq-PVH"/>
        <s v="Proceres - PVS"/>
        <s v="Huanuco - PVO"/>
        <s v="Chimbote - PVH"/>
        <s v="Ves Placita - PVH"/>
        <s v="Pisco - PVH"/>
        <s v="Chaclacayo - PVS"/>
        <s v="Mercaderes - PVS"/>
        <s v="Grifo Kio - PVS"/>
        <s v="Tarapoto 2 - PVO"/>
        <s v="Trujillo Valcarcel - PVS"/>
        <s v="Rimac Alcazar - PVH"/>
        <s v="Izaguirre - PVH"/>
        <s v="Caminos del Inca - PVS"/>
        <s v="Chosica - PVH"/>
        <s v="Chiclayo Aventura - PVH"/>
        <s v="Grifo Mexico - PVH"/>
        <s v="Ilo - PVH"/>
        <s v="LurIn - PVH"/>
        <s v="Dasso - PVS"/>
        <s v="SJ Lurigancho - PVH"/>
        <s v="Cusco Mall - PVH"/>
        <s v="Nvo Chimbote - PVH"/>
        <s v="La Curva - PVH"/>
        <s v="Bolognesi - PVE"/>
        <s v="La Paz - PVS"/>
        <s v="Puruchuco - PVH"/>
        <s v="San Miguel - PVH"/>
        <s v="Chiclayo - PVH"/>
        <s v="Universitaria - PVH"/>
        <s v="Juliaca - PVH"/>
        <s v="Valle Hermoso - PVH"/>
        <s v="San Borja - PVH"/>
        <s v="Callao - PVH"/>
        <s v="Talara - PVH"/>
        <s v="Puno - PVH"/>
        <s v="Ceres - PVH"/>
        <s v="Barranca - PVH"/>
        <s v="Art Express - PVS"/>
        <s v="Magdalena - PVS"/>
        <s v="Chorrillos Iglesias - PVS"/>
        <s v="Bolichera - PVH"/>
        <s v="Javier Prado - VIV"/>
        <s v="Colonial - PVH"/>
        <s v="Santa Clara - PVH"/>
        <s v="Guardia Civil - PVH"/>
        <s v="Salaverry - PVH"/>
        <s v="Ate - PVH"/>
        <s v="Brasil - PVH"/>
        <s v="Centro Trujillo - PVE"/>
        <s v="Huancayo - PVH"/>
        <s v="Santa Cruz - PVE"/>
        <s v="Supermercados SKA - PVE"/>
        <s v="Ica - PVH"/>
        <s v="Pucallpa - PVO"/>
        <s v="Sucre - PVH"/>
        <s v="Higuereta - PVH"/>
        <s v="Tarapoto - PVO"/>
        <s v="Miraflores - PVH"/>
        <s v="Brena - PVH"/>
        <s v="Arequipa - PVH"/>
        <s v="Centro Civico - PVH"/>
        <s v="Jockey Plaza - PVH"/>
        <s v="San Isidro - PVH"/>
        <s v="La Molina - PVH"/>
        <s v="Risso - PVH"/>
        <s v="Cortijo - PVH"/>
        <s v="Corpac - PVS"/>
        <s v="Trujillo Mansiche - PVS"/>
        <s v="Sullana - PVH"/>
        <s v="Primavera - PVH"/>
        <s v="Alfonso Ugarte - PVH"/>
      </sharedItems>
    </cacheField>
    <cacheField name="Cumplimiento" numFmtId="10">
      <sharedItems containsSemiMixedTypes="0" containsString="0" containsNumber="1" minValue="0.75219999999999998" maxValue="1.2376"/>
    </cacheField>
    <cacheField name="Unid x Minuto" numFmtId="0">
      <sharedItems containsSemiMixedTypes="0" containsString="0" containsNumber="1" minValue="7.95" maxValue="22.72"/>
    </cacheField>
    <cacheField name="GOR PPT" numFmtId="0">
      <sharedItems/>
    </cacheField>
    <cacheField name="GOR PPT2" numFmtId="0">
      <sharedItems count="9">
        <s v="FÁTIMA L"/>
        <s v="MELANY A"/>
        <s v="DANIEL R"/>
        <s v="RODOLFO O"/>
        <s v="MARÍA R"/>
        <s v="PEPE A"/>
        <s v="JOE H"/>
        <s v="VIK E"/>
        <s v="JOHANNA V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301">
  <r>
    <x v="0"/>
    <n v="202603"/>
    <x v="0"/>
    <x v="0"/>
    <s v="Fátima L"/>
    <s v="Fátima L"/>
    <n v="231397"/>
    <n v="2819804"/>
    <n v="12.185974462365591"/>
    <n v="196971.94955803169"/>
    <n v="13.5"/>
    <n v="12.5"/>
    <n v="11.712938172043014"/>
    <n v="2307120"/>
  </r>
  <r>
    <x v="1"/>
    <n v="202512"/>
    <x v="1"/>
    <x v="1"/>
    <s v="Sofía V"/>
    <s v="José A"/>
    <n v="168662"/>
    <n v="11242205"/>
    <n v="66.655194892473148"/>
    <n v="165116.40032409818"/>
    <n v="61"/>
    <n v="60"/>
    <n v="68.08654317762057"/>
    <n v="10874860"/>
  </r>
  <r>
    <x v="1"/>
    <n v="202412"/>
    <x v="2"/>
    <x v="1"/>
    <s v="Sofía V"/>
    <s v="José A"/>
    <n v="157254"/>
    <n v="10216673"/>
    <n v="64.969361559139784"/>
    <n v="0"/>
    <n v="61"/>
    <n v="60"/>
    <m/>
    <n v="0"/>
  </r>
  <r>
    <x v="0"/>
    <n v="202602"/>
    <x v="0"/>
    <x v="2"/>
    <s v="Fátima L"/>
    <s v="Fátima L"/>
    <n v="156793"/>
    <n v="2231847"/>
    <n v="14.234375"/>
    <n v="112215.14865819039"/>
    <n v="13.5"/>
    <n v="12.5"/>
    <n v="11.712938172043014"/>
    <n v="1314369"/>
  </r>
  <r>
    <x v="2"/>
    <n v="202512"/>
    <x v="1"/>
    <x v="1"/>
    <s v="Sofía V"/>
    <s v="José A"/>
    <n v="152023"/>
    <n v="12410132"/>
    <n v="81.63312499999995"/>
    <n v="155721.15773041456"/>
    <n v="76.5"/>
    <n v="80"/>
    <n v="79.694578764206838"/>
    <n v="12395481"/>
  </r>
  <r>
    <x v="3"/>
    <n v="202512"/>
    <x v="1"/>
    <x v="1"/>
    <s v="Sebastián S"/>
    <s v="Rodolfo O"/>
    <n v="149997"/>
    <n v="14846040"/>
    <n v="98.975813172042976"/>
    <n v="137436.16986313357"/>
    <n v="98.5"/>
    <n v="96.5"/>
    <n v="108.02134870889154"/>
    <n v="13004058"/>
  </r>
  <r>
    <x v="2"/>
    <n v="202412"/>
    <x v="2"/>
    <x v="1"/>
    <s v="Sofía V"/>
    <s v="José A"/>
    <n v="148306"/>
    <n v="11554754"/>
    <n v="77.911646505376254"/>
    <n v="0"/>
    <n v="76.5"/>
    <n v="80"/>
    <m/>
    <n v="0"/>
  </r>
  <r>
    <x v="4"/>
    <n v="202512"/>
    <x v="1"/>
    <x v="1"/>
    <s v="Sofía V"/>
    <s v="José A"/>
    <n v="148172"/>
    <n v="14947539"/>
    <n v="100.87969086021506"/>
    <n v="128117.49505500619"/>
    <n v="107.5"/>
    <n v="102.5"/>
    <n v="116.67054919847129"/>
    <n v="15172611"/>
  </r>
  <r>
    <x v="5"/>
    <n v="202512"/>
    <x v="1"/>
    <x v="1"/>
    <s v="Sebastián S"/>
    <s v="Rodolfo O"/>
    <n v="146609"/>
    <n v="9800042"/>
    <n v="66.844543010752645"/>
    <n v="141844.29871168037"/>
    <n v="68.5"/>
    <n v="66"/>
    <n v="69.090137700353011"/>
    <n v="9481770"/>
  </r>
  <r>
    <x v="3"/>
    <n v="202605"/>
    <x v="0"/>
    <x v="3"/>
    <s v="Sebastián S"/>
    <s v="Rodolfo O"/>
    <n v="145442"/>
    <n v="12491601"/>
    <n v="85.887224462365523"/>
    <n v="126657.92363845374"/>
    <n v="98.5"/>
    <n v="96.5"/>
    <n v="87.166669283279759"/>
    <n v="11040349"/>
  </r>
  <r>
    <x v="1"/>
    <n v="202509"/>
    <x v="1"/>
    <x v="4"/>
    <s v="Sofía V"/>
    <s v="José A"/>
    <n v="144974"/>
    <n v="7417710"/>
    <n v="51.165625000000034"/>
    <n v="129361.03705071122"/>
    <n v="61"/>
    <n v="60"/>
    <n v="57.341144050137444"/>
    <n v="6777060"/>
  </r>
  <r>
    <x v="6"/>
    <n v="202603"/>
    <x v="0"/>
    <x v="0"/>
    <s v="Sebastián S"/>
    <s v="Vik E"/>
    <n v="144485"/>
    <n v="13261296"/>
    <n v="91.782983870967811"/>
    <n v="142204.97606273938"/>
    <n v="100"/>
    <n v="98"/>
    <n v="86.393284871267369"/>
    <n v="12285555"/>
  </r>
  <r>
    <x v="1"/>
    <n v="202508"/>
    <x v="1"/>
    <x v="5"/>
    <s v="Sofía V"/>
    <s v="José A"/>
    <n v="143232"/>
    <n v="7863466"/>
    <n v="54.90013440860217"/>
    <n v="142027.06213820679"/>
    <n v="61"/>
    <n v="60"/>
    <n v="55.365969073894171"/>
    <n v="7682985"/>
  </r>
  <r>
    <x v="1"/>
    <n v="202603"/>
    <x v="0"/>
    <x v="0"/>
    <s v="Sofía V"/>
    <s v="José A"/>
    <n v="142561"/>
    <n v="8567236"/>
    <n v="60.095282258064557"/>
    <n v="147717.36571248787"/>
    <n v="61"/>
    <n v="60"/>
    <n v="53.7842448352594"/>
    <n v="7944867"/>
  </r>
  <r>
    <x v="7"/>
    <n v="202512"/>
    <x v="1"/>
    <x v="1"/>
    <s v="Sebastián S"/>
    <s v="Rodolfo O"/>
    <n v="142272"/>
    <n v="9289009"/>
    <n v="65.290665322580622"/>
    <n v="138025.28509040302"/>
    <n v="65.5"/>
    <n v="63"/>
    <n v="67.29932507595214"/>
    <n v="7052136"/>
  </r>
  <r>
    <x v="8"/>
    <n v="202512"/>
    <x v="1"/>
    <x v="1"/>
    <s v="Sebastián S"/>
    <s v="Vik E"/>
    <n v="141763"/>
    <n v="12739505"/>
    <n v="89.864946236559049"/>
    <n v="136681.66059027638"/>
    <n v="88"/>
    <n v="84"/>
    <n v="93.205661790930137"/>
    <n v="13496921"/>
  </r>
  <r>
    <x v="1"/>
    <n v="202605"/>
    <x v="0"/>
    <x v="3"/>
    <s v="Sofía V"/>
    <s v="José A"/>
    <n v="140094"/>
    <n v="7723581"/>
    <n v="55.131397849462871"/>
    <n v="135865.92528876505"/>
    <n v="61"/>
    <n v="60"/>
    <n v="53.7842448352594"/>
    <n v="7307446"/>
  </r>
  <r>
    <x v="1"/>
    <n v="202407"/>
    <x v="2"/>
    <x v="6"/>
    <s v="Sofía V"/>
    <s v="José A"/>
    <n v="139767"/>
    <n v="7797596"/>
    <n v="55.790000000000006"/>
    <n v="0"/>
    <n v="61"/>
    <n v="60"/>
    <m/>
    <n v="0"/>
  </r>
  <r>
    <x v="6"/>
    <n v="202512"/>
    <x v="1"/>
    <x v="1"/>
    <s v="Sebastián S"/>
    <s v="Vik E"/>
    <n v="139743"/>
    <n v="14990129"/>
    <n v="107.26902553763429"/>
    <n v="137467.68227681305"/>
    <n v="100"/>
    <n v="98"/>
    <n v="109.04475038587607"/>
    <n v="15246951"/>
  </r>
  <r>
    <x v="9"/>
    <n v="202603"/>
    <x v="0"/>
    <x v="0"/>
    <s v="Sofía V"/>
    <s v="Joe H"/>
    <n v="138702"/>
    <n v="8306917"/>
    <n v="59.890456989247348"/>
    <n v="125686.31718572693"/>
    <n v="70.5"/>
    <n v="69.5"/>
    <n v="63.576561684054447"/>
    <n v="7990704"/>
  </r>
  <r>
    <x v="1"/>
    <n v="202507"/>
    <x v="1"/>
    <x v="6"/>
    <s v="Sofía V"/>
    <s v="José A"/>
    <n v="138080"/>
    <n v="7376685"/>
    <n v="53.42321908602154"/>
    <n v="146755.26361355084"/>
    <n v="61"/>
    <n v="60"/>
    <n v="50.265215218616973"/>
    <n v="8133696"/>
  </r>
  <r>
    <x v="10"/>
    <n v="202512"/>
    <x v="1"/>
    <x v="1"/>
    <s v="Sofía V"/>
    <s v="Melany A"/>
    <n v="136861"/>
    <n v="14816568"/>
    <n v="108.26012768817195"/>
    <n v="128218.17010726522"/>
    <n v="125"/>
    <n v="118.5"/>
    <n v="115.55747252986609"/>
    <n v="15107192"/>
  </r>
  <r>
    <x v="11"/>
    <n v="202412"/>
    <x v="2"/>
    <x v="1"/>
    <s v="Sofía V"/>
    <s v="José A"/>
    <n v="136657"/>
    <n v="14497463"/>
    <n v="106.08636424731168"/>
    <n v="0"/>
    <n v="86.5"/>
    <n v="81.5"/>
    <m/>
    <n v="0"/>
  </r>
  <r>
    <x v="12"/>
    <n v="202603"/>
    <x v="0"/>
    <x v="0"/>
    <s v="Sofía V"/>
    <s v="Melany A"/>
    <n v="136369"/>
    <n v="12134655"/>
    <n v="88.983924731182839"/>
    <n v="132233.08198363351"/>
    <n v="96.5"/>
    <n v="94"/>
    <n v="87.753564014610347"/>
    <n v="11603924"/>
  </r>
  <r>
    <x v="13"/>
    <n v="202512"/>
    <x v="1"/>
    <x v="1"/>
    <s v="Sebastián S"/>
    <s v="Rodolfo O"/>
    <n v="136155"/>
    <n v="9463729"/>
    <n v="69.507224462365571"/>
    <n v="116901.40322684984"/>
    <n v="78"/>
    <n v="74.5"/>
    <n v="80.954797964532673"/>
    <n v="9808455"/>
  </r>
  <r>
    <x v="1"/>
    <n v="202511"/>
    <x v="1"/>
    <x v="7"/>
    <s v="Sofía V"/>
    <s v="José A"/>
    <n v="135504"/>
    <n v="8069043"/>
    <n v="59.548465277777844"/>
    <n v="124375.41237906319"/>
    <n v="61"/>
    <n v="60"/>
    <n v="64.876511326914866"/>
    <n v="6920773"/>
  </r>
  <r>
    <x v="1"/>
    <n v="202408"/>
    <x v="2"/>
    <x v="5"/>
    <s v="Sofía V"/>
    <s v="José A"/>
    <n v="135264"/>
    <n v="7458412"/>
    <n v="55.139724462365592"/>
    <n v="0"/>
    <n v="61"/>
    <n v="60"/>
    <m/>
    <n v="0"/>
  </r>
  <r>
    <x v="5"/>
    <n v="202412"/>
    <x v="2"/>
    <x v="1"/>
    <s v="Sebastián S"/>
    <s v="Rodolfo O"/>
    <n v="135090"/>
    <n v="9229774"/>
    <n v="68.32324596774194"/>
    <n v="0"/>
    <n v="68.5"/>
    <n v="66"/>
    <m/>
    <n v="0"/>
  </r>
  <r>
    <x v="10"/>
    <n v="202503"/>
    <x v="1"/>
    <x v="0"/>
    <s v="Sofía V"/>
    <s v="Melany A"/>
    <n v="135059"/>
    <n v="13946827"/>
    <n v="103.26453629032257"/>
    <n v="116707.79387038908"/>
    <n v="125"/>
    <n v="118.5"/>
    <n v="119.5021088779108"/>
    <n v="12287047"/>
  </r>
  <r>
    <x v="1"/>
    <n v="202503"/>
    <x v="1"/>
    <x v="0"/>
    <s v="Sofía V"/>
    <s v="José A"/>
    <n v="134198"/>
    <n v="7813520"/>
    <n v="58.22391129032259"/>
    <n v="137745.89217380836"/>
    <n v="61"/>
    <n v="60"/>
    <n v="56.724157843784319"/>
    <n v="7814540"/>
  </r>
  <r>
    <x v="14"/>
    <n v="202603"/>
    <x v="0"/>
    <x v="0"/>
    <s v="Sofía V"/>
    <s v="Melany A"/>
    <n v="133870"/>
    <n v="7190444"/>
    <n v="53.71229838709678"/>
    <n v="117597.86308581386"/>
    <n v="59.5"/>
    <n v="55.5"/>
    <n v="53.278949580299148"/>
    <n v="6265491"/>
  </r>
  <r>
    <x v="5"/>
    <n v="202603"/>
    <x v="0"/>
    <x v="0"/>
    <s v="Sebastián S"/>
    <s v="Rodolfo O"/>
    <n v="133828"/>
    <n v="8284520"/>
    <n v="61.904415322580654"/>
    <n v="130985.91720224862"/>
    <n v="68.5"/>
    <n v="66"/>
    <n v="59.179400136818131"/>
    <n v="7751668"/>
  </r>
  <r>
    <x v="15"/>
    <n v="202512"/>
    <x v="1"/>
    <x v="1"/>
    <s v="Sofía V"/>
    <s v="Joe H"/>
    <n v="133795"/>
    <n v="13331425"/>
    <n v="99.640483870967742"/>
    <n v="133894.99616413773"/>
    <n v="101"/>
    <n v="105"/>
    <n v="99.566270226091348"/>
    <n v="14809485"/>
  </r>
  <r>
    <x v="10"/>
    <n v="202603"/>
    <x v="0"/>
    <x v="0"/>
    <s v="Sofía V"/>
    <s v="Melany A"/>
    <n v="133787"/>
    <n v="14434788"/>
    <n v="107.89403897849465"/>
    <n v="135161.88911431489"/>
    <n v="125"/>
    <n v="118.5"/>
    <n v="102.97612103755296"/>
    <n v="13918447"/>
  </r>
  <r>
    <x v="16"/>
    <n v="202512"/>
    <x v="1"/>
    <x v="1"/>
    <s v="Sofía V"/>
    <s v="José A"/>
    <n v="133335"/>
    <n v="7963820"/>
    <n v="59.727782258064487"/>
    <n v="124728.47840832385"/>
    <n v="64"/>
    <n v="67"/>
    <n v="63.849254088780171"/>
    <n v="7190640"/>
  </r>
  <r>
    <x v="17"/>
    <n v="202603"/>
    <x v="0"/>
    <x v="0"/>
    <s v="Sofía V"/>
    <s v="Joe H"/>
    <n v="133202"/>
    <n v="11875178"/>
    <n v="89.151444892473123"/>
    <n v="145442.73742128012"/>
    <n v="94"/>
    <n v="92"/>
    <n v="81.933174564661712"/>
    <n v="11916585"/>
  </r>
  <r>
    <x v="18"/>
    <n v="202512"/>
    <x v="1"/>
    <x v="1"/>
    <s v="Sofía V"/>
    <s v="Joe H"/>
    <n v="132662"/>
    <n v="6200250"/>
    <n v="46.737231182795661"/>
    <n v="123985.54153282326"/>
    <n v="50.5"/>
    <n v="51.5"/>
    <n v="50.007844248182593"/>
    <n v="6398965"/>
  </r>
  <r>
    <x v="19"/>
    <n v="202512"/>
    <x v="1"/>
    <x v="1"/>
    <s v="Sofía V"/>
    <s v="Joe H"/>
    <n v="132388"/>
    <n v="7649494"/>
    <n v="57.780672043010718"/>
    <n v="118325.17652019947"/>
    <n v="57.5"/>
    <n v="56.5"/>
    <n v="64.648065905856825"/>
    <n v="6945554"/>
  </r>
  <r>
    <x v="1"/>
    <n v="202510"/>
    <x v="1"/>
    <x v="8"/>
    <s v="Sofía V"/>
    <s v="José A"/>
    <n v="132315"/>
    <n v="7040091"/>
    <n v="53.207244623655917"/>
    <n v="138035.41472134975"/>
    <n v="61"/>
    <n v="60"/>
    <n v="51.002065985832253"/>
    <n v="7217127"/>
  </r>
  <r>
    <x v="20"/>
    <n v="202512"/>
    <x v="1"/>
    <x v="1"/>
    <s v="Sofía V"/>
    <s v="Joe H"/>
    <n v="132272"/>
    <n v="12935574"/>
    <n v="97.795456989247256"/>
    <n v="133969.4129861962"/>
    <n v="96.5"/>
    <n v="96"/>
    <n v="96.556174589888215"/>
    <n v="13121848"/>
  </r>
  <r>
    <x v="7"/>
    <n v="202603"/>
    <x v="0"/>
    <x v="0"/>
    <s v="Sebastián S"/>
    <s v="Rodolfo O"/>
    <n v="132061"/>
    <n v="7976528"/>
    <n v="60.400403225806478"/>
    <n v="132938.74719643427"/>
    <n v="65.5"/>
    <n v="63"/>
    <n v="55.389519717073902"/>
    <n v="7363413"/>
  </r>
  <r>
    <x v="17"/>
    <n v="202604"/>
    <x v="0"/>
    <x v="9"/>
    <s v="Sofía V"/>
    <s v="Joe H"/>
    <n v="131512"/>
    <n v="10854676"/>
    <n v="82.537777777780263"/>
    <n v="120535.44440910162"/>
    <n v="94"/>
    <n v="92"/>
    <n v="81.933174564661712"/>
    <n v="9875852"/>
  </r>
  <r>
    <x v="1"/>
    <n v="202410"/>
    <x v="2"/>
    <x v="8"/>
    <s v="Sofía V"/>
    <s v="José A"/>
    <n v="131462"/>
    <n v="6476118"/>
    <n v="49.262170698924741"/>
    <n v="0"/>
    <n v="61"/>
    <n v="60"/>
    <m/>
    <n v="0"/>
  </r>
  <r>
    <x v="7"/>
    <n v="202412"/>
    <x v="2"/>
    <x v="1"/>
    <s v="Sebastián S"/>
    <s v="Rodolfo O"/>
    <n v="131453"/>
    <n v="8612401"/>
    <n v="65.517130376344085"/>
    <n v="0"/>
    <n v="65.5"/>
    <n v="63"/>
    <m/>
    <n v="0"/>
  </r>
  <r>
    <x v="3"/>
    <n v="202603"/>
    <x v="0"/>
    <x v="0"/>
    <s v="Sebastián S"/>
    <s v="Rodolfo O"/>
    <n v="131416"/>
    <n v="13056379"/>
    <n v="99.351686827957053"/>
    <n v="147423.75780515181"/>
    <n v="98.5"/>
    <n v="96.5"/>
    <n v="87.166669283279759"/>
    <n v="12850438"/>
  </r>
  <r>
    <x v="21"/>
    <n v="202512"/>
    <x v="1"/>
    <x v="1"/>
    <s v="Sebastián S"/>
    <s v="Rodolfo O"/>
    <n v="131238"/>
    <n v="10438795"/>
    <n v="79.54098118279569"/>
    <n v="127290.11778703475"/>
    <n v="84.5"/>
    <n v="86.5"/>
    <n v="82.007901174738763"/>
    <n v="10551779"/>
  </r>
  <r>
    <x v="1"/>
    <n v="202601"/>
    <x v="0"/>
    <x v="10"/>
    <s v="Sofía V"/>
    <s v="José A"/>
    <n v="131193"/>
    <n v="7338438"/>
    <n v="55.936397849462381"/>
    <n v="128448.95748858717"/>
    <n v="61"/>
    <n v="60"/>
    <n v="53.7842448352594"/>
    <n v="6908530"/>
  </r>
  <r>
    <x v="1"/>
    <n v="202403"/>
    <x v="2"/>
    <x v="0"/>
    <s v="Sofía V"/>
    <s v="José A"/>
    <n v="131187"/>
    <n v="7377360"/>
    <n v="56.2356384408602"/>
    <n v="0"/>
    <n v="61"/>
    <n v="60"/>
    <m/>
    <n v="0"/>
  </r>
  <r>
    <x v="3"/>
    <n v="202604"/>
    <x v="0"/>
    <x v="9"/>
    <s v="Sebastián S"/>
    <s v="Rodolfo O"/>
    <n v="131009"/>
    <n v="11515132"/>
    <n v="87.895597222224737"/>
    <n v="117718.12212822818"/>
    <n v="98.5"/>
    <n v="96.5"/>
    <n v="87.166669283279759"/>
    <n v="10261097"/>
  </r>
  <r>
    <x v="6"/>
    <n v="202503"/>
    <x v="1"/>
    <x v="0"/>
    <s v="Sebastián S"/>
    <s v="Vik E"/>
    <n v="130998"/>
    <n v="12324134"/>
    <n v="94.079153225806394"/>
    <n v="130235.38404095279"/>
    <n v="100"/>
    <n v="98"/>
    <n v="94.629692158965412"/>
    <n v="12419340"/>
  </r>
  <r>
    <x v="14"/>
    <n v="202512"/>
    <x v="1"/>
    <x v="1"/>
    <s v="Sofía V"/>
    <s v="Melany A"/>
    <n v="130925"/>
    <n v="7165230"/>
    <n v="54.727909946236551"/>
    <n v="113679.87611412382"/>
    <n v="59.5"/>
    <n v="55.5"/>
    <n v="63.029890293043493"/>
    <n v="7578216"/>
  </r>
  <r>
    <x v="6"/>
    <n v="202412"/>
    <x v="2"/>
    <x v="1"/>
    <s v="Sebastián S"/>
    <s v="Vik E"/>
    <n v="130922"/>
    <n v="14189301"/>
    <n v="108.38013440860205"/>
    <n v="0"/>
    <n v="100"/>
    <n v="98"/>
    <m/>
    <n v="0"/>
  </r>
  <r>
    <x v="3"/>
    <n v="202412"/>
    <x v="2"/>
    <x v="1"/>
    <s v="Sebastián S"/>
    <s v="Rodolfo O"/>
    <n v="130892"/>
    <n v="14083464"/>
    <n v="107.59639784946228"/>
    <n v="0"/>
    <n v="98.5"/>
    <n v="96.5"/>
    <m/>
    <n v="0"/>
  </r>
  <r>
    <x v="17"/>
    <n v="202606"/>
    <x v="0"/>
    <x v="11"/>
    <s v="Sofía V"/>
    <s v="Joe H"/>
    <n v="130603"/>
    <n v="10084889"/>
    <n v="77.21797222222439"/>
    <n v="107771.33651194388"/>
    <n v="94"/>
    <n v="92"/>
    <n v="81.933174564661712"/>
    <n v="8830048"/>
  </r>
  <r>
    <x v="22"/>
    <n v="202512"/>
    <x v="1"/>
    <x v="1"/>
    <s v="Sebastián S"/>
    <s v="Johanna V"/>
    <n v="130474"/>
    <n v="12340823"/>
    <n v="94.584771505376295"/>
    <n v="117388.48187554927"/>
    <n v="104.5"/>
    <n v="99"/>
    <n v="105.12805287901469"/>
    <n v="12977898"/>
  </r>
  <r>
    <x v="16"/>
    <n v="202503"/>
    <x v="1"/>
    <x v="0"/>
    <s v="Sofía V"/>
    <s v="José A"/>
    <n v="130467"/>
    <n v="7621814"/>
    <n v="58.419657258064504"/>
    <n v="125725.39363261302"/>
    <n v="64"/>
    <n v="67"/>
    <n v="60.622705563141778"/>
    <n v="7169293"/>
  </r>
  <r>
    <x v="8"/>
    <n v="202603"/>
    <x v="0"/>
    <x v="0"/>
    <s v="Sebastián S"/>
    <s v="Vik E"/>
    <n v="130369"/>
    <n v="10730113"/>
    <n v="82.30546370967744"/>
    <n v="131418.00764482588"/>
    <n v="88"/>
    <n v="84"/>
    <n v="78.31726123421582"/>
    <n v="10292298"/>
  </r>
  <r>
    <x v="16"/>
    <n v="202603"/>
    <x v="0"/>
    <x v="0"/>
    <s v="Sofía V"/>
    <s v="José A"/>
    <n v="130225"/>
    <n v="8228752"/>
    <n v="63.188783602150551"/>
    <n v="159358.70456777766"/>
    <n v="64"/>
    <n v="67"/>
    <n v="56.429371630436094"/>
    <n v="8992512"/>
  </r>
  <r>
    <x v="23"/>
    <n v="202512"/>
    <x v="1"/>
    <x v="1"/>
    <s v="Sebastián S"/>
    <s v="Rodolfo O"/>
    <n v="130182"/>
    <n v="13559046"/>
    <n v="104.15459005376336"/>
    <n v="116061.3987072179"/>
    <n v="94.5"/>
    <n v="97"/>
    <n v="116.82648978067812"/>
    <n v="13272640"/>
  </r>
  <r>
    <x v="8"/>
    <n v="202412"/>
    <x v="2"/>
    <x v="1"/>
    <s v="Sebastián S"/>
    <s v="Vik E"/>
    <n v="130173"/>
    <n v="11944605"/>
    <n v="91.759462365591361"/>
    <n v="0"/>
    <n v="88"/>
    <n v="84"/>
    <m/>
    <n v="0"/>
  </r>
  <r>
    <x v="12"/>
    <n v="202512"/>
    <x v="1"/>
    <x v="1"/>
    <s v="Sofía V"/>
    <s v="Melany A"/>
    <n v="129749"/>
    <n v="11551133"/>
    <n v="89.02673387096776"/>
    <n v="128738.64115334203"/>
    <n v="96.5"/>
    <n v="94"/>
    <n v="89.725456137456987"/>
    <n v="12884560"/>
  </r>
  <r>
    <x v="24"/>
    <n v="202412"/>
    <x v="2"/>
    <x v="1"/>
    <s v="Sofía V"/>
    <s v="Joe H"/>
    <n v="129512"/>
    <n v="9251370"/>
    <n v="71.432553763440851"/>
    <n v="0"/>
    <n v="71"/>
    <n v="74.5"/>
    <m/>
    <n v="0"/>
  </r>
  <r>
    <x v="25"/>
    <n v="202512"/>
    <x v="1"/>
    <x v="1"/>
    <s v="Sebastián S"/>
    <s v="Vik E"/>
    <n v="129135"/>
    <n v="10304516"/>
    <n v="79.796424731182753"/>
    <n v="131522.44317868221"/>
    <n v="77"/>
    <n v="79"/>
    <n v="78.34796640753251"/>
    <n v="10234741"/>
  </r>
  <r>
    <x v="26"/>
    <n v="202512"/>
    <x v="1"/>
    <x v="1"/>
    <s v="Sofía V"/>
    <s v="Melany A"/>
    <n v="129095"/>
    <n v="6714796"/>
    <n v="52.014469086021478"/>
    <n v="122695.83886303795"/>
    <n v="55"/>
    <n v="50.5"/>
    <n v="54.727168681698679"/>
    <n v="7258824"/>
  </r>
  <r>
    <x v="1"/>
    <n v="202606"/>
    <x v="0"/>
    <x v="11"/>
    <s v="Sofía V"/>
    <s v="José A"/>
    <n v="128989"/>
    <n v="6904548"/>
    <n v="53.528319444444215"/>
    <n v="128418.64270393242"/>
    <n v="61"/>
    <n v="60"/>
    <n v="53.7842448352594"/>
    <n v="6906900"/>
  </r>
  <r>
    <x v="1"/>
    <n v="202406"/>
    <x v="2"/>
    <x v="11"/>
    <s v="Sofía V"/>
    <s v="José A"/>
    <n v="128464"/>
    <n v="6523081"/>
    <n v="50.777465277777814"/>
    <n v="0"/>
    <n v="61"/>
    <n v="60"/>
    <m/>
    <n v="0"/>
  </r>
  <r>
    <x v="5"/>
    <n v="202503"/>
    <x v="1"/>
    <x v="0"/>
    <s v="Sebastián S"/>
    <s v="Rodolfo O"/>
    <n v="128455"/>
    <n v="7573634"/>
    <n v="58.959475806451643"/>
    <n v="114921.40252296934"/>
    <n v="68.5"/>
    <n v="66"/>
    <n v="65.902732421719776"/>
    <n v="7200893"/>
  </r>
  <r>
    <x v="27"/>
    <n v="202512"/>
    <x v="1"/>
    <x v="1"/>
    <s v="Sofía V"/>
    <s v="Joe H"/>
    <n v="128376"/>
    <n v="7571145"/>
    <n v="58.976129032258029"/>
    <n v="111278.41452496637"/>
    <n v="62"/>
    <n v="58"/>
    <n v="68.037858306305594"/>
    <n v="7683578"/>
  </r>
  <r>
    <x v="20"/>
    <n v="202603"/>
    <x v="0"/>
    <x v="0"/>
    <s v="Sofía V"/>
    <s v="Joe H"/>
    <n v="128144"/>
    <n v="11511184"/>
    <n v="89.829758064516142"/>
    <n v="152834.02529188822"/>
    <n v="96.5"/>
    <n v="96"/>
    <n v="83.321494048065787"/>
    <n v="12734359"/>
  </r>
  <r>
    <x v="6"/>
    <n v="202604"/>
    <x v="0"/>
    <x v="9"/>
    <s v="Sebastián S"/>
    <s v="Vik E"/>
    <n v="127978"/>
    <n v="10559330"/>
    <n v="82.509048611113272"/>
    <n v="114140.67346893487"/>
    <n v="100"/>
    <n v="98"/>
    <n v="86.393284871267369"/>
    <n v="9860988"/>
  </r>
  <r>
    <x v="1"/>
    <n v="202505"/>
    <x v="1"/>
    <x v="3"/>
    <s v="Sofía V"/>
    <s v="José A"/>
    <n v="127882"/>
    <n v="6896889"/>
    <n v="53.931518817204321"/>
    <n v="126213.86713109347"/>
    <n v="61"/>
    <n v="60"/>
    <n v="54.644466228393654"/>
    <n v="6606230"/>
  </r>
  <r>
    <x v="10"/>
    <n v="202602"/>
    <x v="0"/>
    <x v="2"/>
    <s v="Sofía V"/>
    <s v="Melany A"/>
    <n v="127786"/>
    <n v="11615479"/>
    <n v="90.897916666666632"/>
    <n v="100101.63634092303"/>
    <n v="125"/>
    <n v="118.5"/>
    <n v="102.97612103755296"/>
    <n v="10308078"/>
  </r>
  <r>
    <x v="1"/>
    <n v="202604"/>
    <x v="0"/>
    <x v="9"/>
    <s v="Sofía V"/>
    <s v="José A"/>
    <n v="127766"/>
    <n v="6934665"/>
    <n v="54.276104166667338"/>
    <n v="118760.1376177097"/>
    <n v="61"/>
    <n v="60"/>
    <n v="53.7842448352594"/>
    <n v="6387424"/>
  </r>
  <r>
    <x v="11"/>
    <n v="202503"/>
    <x v="1"/>
    <x v="0"/>
    <s v="Sofía V"/>
    <s v="José A"/>
    <n v="127747"/>
    <n v="11605448"/>
    <n v="90.846780913978407"/>
    <n v="120362.81754982284"/>
    <n v="86.5"/>
    <n v="81.5"/>
    <n v="96.420540713879987"/>
    <n v="11190755"/>
  </r>
  <r>
    <x v="20"/>
    <n v="202412"/>
    <x v="2"/>
    <x v="1"/>
    <s v="Sofía V"/>
    <s v="Joe H"/>
    <n v="127590"/>
    <n v="13512958"/>
    <n v="105.90929435483868"/>
    <n v="0"/>
    <n v="96.5"/>
    <n v="96"/>
    <m/>
    <n v="0"/>
  </r>
  <r>
    <x v="15"/>
    <n v="202412"/>
    <x v="2"/>
    <x v="1"/>
    <s v="Sofía V"/>
    <s v="Joe H"/>
    <n v="127519"/>
    <n v="13269636"/>
    <n v="104.06003360215061"/>
    <n v="0"/>
    <n v="101"/>
    <n v="105"/>
    <m/>
    <n v="0"/>
  </r>
  <r>
    <x v="28"/>
    <n v="202512"/>
    <x v="1"/>
    <x v="1"/>
    <s v="Sebastián S"/>
    <s v="Rodolfo O"/>
    <n v="126924"/>
    <n v="8524849"/>
    <n v="67.164811827956953"/>
    <n v="131799.54296563487"/>
    <n v="65.5"/>
    <n v="66"/>
    <n v="64.680413817692411"/>
    <n v="9503499"/>
  </r>
  <r>
    <x v="7"/>
    <n v="202503"/>
    <x v="1"/>
    <x v="0"/>
    <s v="Sebastián S"/>
    <s v="Rodolfo O"/>
    <n v="126906"/>
    <n v="7302910"/>
    <n v="57.545739247311815"/>
    <n v="87374.703451916896"/>
    <n v="65.5"/>
    <n v="63"/>
    <n v="83.581516062241732"/>
    <n v="6251125"/>
  </r>
  <r>
    <x v="29"/>
    <n v="202412"/>
    <x v="2"/>
    <x v="1"/>
    <s v="Sebastián S"/>
    <s v="Vik E"/>
    <n v="126753"/>
    <n v="10508272"/>
    <n v="82.903662634408661"/>
    <n v="0"/>
    <n v="76.5"/>
    <n v="75.5"/>
    <m/>
    <n v="0"/>
  </r>
  <r>
    <x v="17"/>
    <n v="202512"/>
    <x v="1"/>
    <x v="1"/>
    <s v="Sofía V"/>
    <s v="Joe H"/>
    <n v="126695"/>
    <n v="12604025"/>
    <n v="99.482842741935372"/>
    <n v="120876.51435617114"/>
    <n v="94"/>
    <n v="92"/>
    <n v="104.27190622705547"/>
    <n v="11782917"/>
  </r>
  <r>
    <x v="30"/>
    <n v="202503"/>
    <x v="1"/>
    <x v="0"/>
    <s v="Sebastián S"/>
    <s v="Vik E"/>
    <n v="126391"/>
    <n v="10527945"/>
    <n v="83.296848118279499"/>
    <n v="123712.96027798795"/>
    <n v="101.5"/>
    <n v="97.5"/>
    <n v="85.099777794850951"/>
    <n v="10494519"/>
  </r>
  <r>
    <x v="15"/>
    <n v="202604"/>
    <x v="0"/>
    <x v="9"/>
    <s v="Sofía V"/>
    <s v="Joe H"/>
    <n v="126182"/>
    <n v="10790778"/>
    <n v="85.517687500002026"/>
    <n v="101835.25469292338"/>
    <n v="101"/>
    <n v="105"/>
    <n v="90.439897606894348"/>
    <n v="9209970"/>
  </r>
  <r>
    <x v="1"/>
    <n v="202602"/>
    <x v="0"/>
    <x v="2"/>
    <s v="Sofía V"/>
    <s v="José A"/>
    <n v="125714"/>
    <n v="7240401"/>
    <n v="57.594375000000007"/>
    <n v="123082.36956708538"/>
    <n v="61"/>
    <n v="60"/>
    <n v="53.7842448352594"/>
    <n v="6619892"/>
  </r>
  <r>
    <x v="8"/>
    <n v="202503"/>
    <x v="1"/>
    <x v="0"/>
    <s v="Sebastián S"/>
    <s v="Vik E"/>
    <n v="125699"/>
    <n v="10029563"/>
    <n v="79.790120967741913"/>
    <n v="115153.94616053592"/>
    <n v="88"/>
    <n v="84"/>
    <n v="87.097000010905489"/>
    <n v="9742404"/>
  </r>
  <r>
    <x v="14"/>
    <n v="202605"/>
    <x v="0"/>
    <x v="3"/>
    <s v="Sofía V"/>
    <s v="Melany A"/>
    <n v="125623"/>
    <n v="6281220"/>
    <n v="50.000463709677327"/>
    <n v="100701.16609400834"/>
    <n v="59.5"/>
    <n v="55.5"/>
    <n v="53.278949580299148"/>
    <n v="5365252"/>
  </r>
  <r>
    <x v="17"/>
    <n v="202605"/>
    <x v="0"/>
    <x v="3"/>
    <s v="Sofía V"/>
    <s v="Joe H"/>
    <n v="125614"/>
    <n v="10527717"/>
    <n v="83.809946236558275"/>
    <n v="121236.94174037661"/>
    <n v="94"/>
    <n v="92"/>
    <n v="81.933174564661712"/>
    <n v="9933328"/>
  </r>
  <r>
    <x v="28"/>
    <n v="202412"/>
    <x v="2"/>
    <x v="1"/>
    <s v="Sebastián S"/>
    <s v="Rodolfo O"/>
    <n v="125523"/>
    <n v="8758233"/>
    <n v="69.773723118279591"/>
    <n v="0"/>
    <n v="65.5"/>
    <n v="66"/>
    <m/>
    <n v="0"/>
  </r>
  <r>
    <x v="29"/>
    <n v="202512"/>
    <x v="1"/>
    <x v="1"/>
    <s v="Sebastián S"/>
    <s v="Vik E"/>
    <n v="125437"/>
    <n v="10564461"/>
    <n v="84.221055107526752"/>
    <n v="133090.45014279668"/>
    <n v="76.5"/>
    <n v="75.5"/>
    <n v="79.37805085688025"/>
    <n v="11910918"/>
  </r>
  <r>
    <x v="31"/>
    <n v="202403"/>
    <x v="2"/>
    <x v="0"/>
    <s v="Sofía V"/>
    <s v="Melany A"/>
    <n v="125360"/>
    <n v="15304566"/>
    <n v="122.08522177419353"/>
    <n v="0"/>
    <n v="99"/>
    <n v="32.5"/>
    <m/>
    <n v="0"/>
  </r>
  <r>
    <x v="8"/>
    <n v="202605"/>
    <x v="0"/>
    <x v="3"/>
    <s v="Sebastián S"/>
    <s v="Vik E"/>
    <n v="125355"/>
    <n v="9640271"/>
    <n v="76.90370295698871"/>
    <n v="112556.34636325599"/>
    <n v="88"/>
    <n v="84"/>
    <n v="78.31726123421582"/>
    <n v="8815105"/>
  </r>
  <r>
    <x v="11"/>
    <n v="202407"/>
    <x v="2"/>
    <x v="6"/>
    <s v="Sofía V"/>
    <s v="José A"/>
    <n v="125261"/>
    <n v="11655660"/>
    <n v="93.051122311827825"/>
    <n v="0"/>
    <n v="86.5"/>
    <n v="81.5"/>
    <m/>
    <n v="0"/>
  </r>
  <r>
    <x v="25"/>
    <n v="202412"/>
    <x v="2"/>
    <x v="1"/>
    <s v="Sebastián S"/>
    <s v="Vik E"/>
    <n v="125259"/>
    <n v="9604739"/>
    <n v="76.678743279569943"/>
    <n v="0"/>
    <n v="77"/>
    <n v="79"/>
    <m/>
    <n v="0"/>
  </r>
  <r>
    <x v="24"/>
    <n v="202512"/>
    <x v="1"/>
    <x v="1"/>
    <s v="Sofía V"/>
    <s v="Joe H"/>
    <n v="125209"/>
    <n v="9113625"/>
    <n v="72.787345430107493"/>
    <n v="135987.55497625214"/>
    <n v="71"/>
    <n v="74.5"/>
    <n v="67.018083320871085"/>
    <n v="9685862"/>
  </r>
  <r>
    <x v="11"/>
    <n v="202512"/>
    <x v="1"/>
    <x v="1"/>
    <s v="Sofía V"/>
    <s v="José A"/>
    <n v="125025"/>
    <n v="10485945"/>
    <n v="83.870584677419288"/>
    <n v="143490.03677808429"/>
    <n v="86.5"/>
    <n v="81.5"/>
    <n v="73.077858473317747"/>
    <n v="14761073"/>
  </r>
  <r>
    <x v="32"/>
    <n v="202512"/>
    <x v="1"/>
    <x v="1"/>
    <s v="Sofía V"/>
    <s v="Melany A"/>
    <n v="124674"/>
    <n v="8072732"/>
    <n v="64.750799731182781"/>
    <n v="115243.46339574222"/>
    <n v="75.5"/>
    <n v="68"/>
    <n v="70.04936976146324"/>
    <n v="8703573"/>
  </r>
  <r>
    <x v="3"/>
    <n v="202601"/>
    <x v="0"/>
    <x v="10"/>
    <s v="Sebastián S"/>
    <s v="Rodolfo O"/>
    <n v="124635"/>
    <n v="10522432"/>
    <n v="84.426303763440899"/>
    <n v="112747.5089768649"/>
    <n v="98.5"/>
    <n v="96.5"/>
    <n v="87.166669283279759"/>
    <n v="9827825"/>
  </r>
  <r>
    <x v="30"/>
    <n v="202603"/>
    <x v="0"/>
    <x v="0"/>
    <s v="Sebastián S"/>
    <s v="Vik E"/>
    <n v="124619"/>
    <n v="10444114"/>
    <n v="83.808158602150556"/>
    <n v="114740.99096575812"/>
    <n v="101.5"/>
    <n v="97.5"/>
    <n v="87.689184144336366"/>
    <n v="10061544"/>
  </r>
  <r>
    <x v="8"/>
    <n v="202604"/>
    <x v="0"/>
    <x v="9"/>
    <s v="Sebastián S"/>
    <s v="Vik E"/>
    <n v="124487"/>
    <n v="9202315"/>
    <n v="73.922041666668335"/>
    <n v="107035.70151324039"/>
    <n v="88"/>
    <n v="84"/>
    <n v="78.31726123421582"/>
    <n v="8382743"/>
  </r>
  <r>
    <x v="2"/>
    <n v="202511"/>
    <x v="1"/>
    <x v="7"/>
    <s v="Sofía V"/>
    <s v="José A"/>
    <n v="124332"/>
    <n v="8649497"/>
    <n v="69.567555555555586"/>
    <n v="118493.87584226183"/>
    <n v="76.5"/>
    <n v="80"/>
    <n v="72.995310588997413"/>
    <n v="7853374"/>
  </r>
  <r>
    <x v="14"/>
    <n v="202604"/>
    <x v="0"/>
    <x v="9"/>
    <s v="Sofía V"/>
    <s v="Melany A"/>
    <n v="124230"/>
    <n v="6000820"/>
    <n v="48.304131944445061"/>
    <n v="94792.233174347115"/>
    <n v="59.5"/>
    <n v="55.5"/>
    <n v="53.278949580299148"/>
    <n v="5050431"/>
  </r>
  <r>
    <x v="7"/>
    <n v="202606"/>
    <x v="0"/>
    <x v="11"/>
    <s v="Sebastián S"/>
    <s v="Rodolfo O"/>
    <n v="124183"/>
    <n v="6254351"/>
    <n v="50.364173611111141"/>
    <n v="108383.53646979666"/>
    <n v="65.5"/>
    <n v="63"/>
    <n v="55.389519717073902"/>
    <n v="6003312"/>
  </r>
  <r>
    <x v="11"/>
    <n v="202507"/>
    <x v="1"/>
    <x v="6"/>
    <s v="Sofía V"/>
    <s v="José A"/>
    <n v="124052"/>
    <n v="10864044"/>
    <n v="87.57639784946241"/>
    <n v="131523.8636777233"/>
    <n v="86.5"/>
    <n v="81.5"/>
    <n v="82.601312539148623"/>
    <n v="12214398"/>
  </r>
  <r>
    <x v="6"/>
    <n v="202403"/>
    <x v="2"/>
    <x v="0"/>
    <s v="Sebastián S"/>
    <s v="Vik E"/>
    <n v="124034"/>
    <n v="11647939"/>
    <n v="93.909469086021531"/>
    <n v="0"/>
    <n v="100"/>
    <n v="98"/>
    <m/>
    <n v="0"/>
  </r>
  <r>
    <x v="1"/>
    <n v="202501"/>
    <x v="1"/>
    <x v="10"/>
    <s v="Sofía V"/>
    <s v="José A"/>
    <n v="123974"/>
    <n v="6603868"/>
    <n v="53.268306451612915"/>
    <n v="122760.96726608487"/>
    <n v="61"/>
    <n v="60"/>
    <n v="53.794527015139025"/>
    <n v="6651407"/>
  </r>
  <r>
    <x v="7"/>
    <n v="202605"/>
    <x v="0"/>
    <x v="3"/>
    <s v="Sebastián S"/>
    <s v="Rodolfo O"/>
    <n v="123778"/>
    <n v="6998744"/>
    <n v="56.542923387096927"/>
    <n v="115011.4737867334"/>
    <n v="65.5"/>
    <n v="63"/>
    <n v="55.389519717073902"/>
    <n v="6370430"/>
  </r>
  <r>
    <x v="4"/>
    <n v="202511"/>
    <x v="1"/>
    <x v="7"/>
    <s v="Sofía V"/>
    <s v="José A"/>
    <n v="123664"/>
    <n v="10619792"/>
    <n v="85.876486111111163"/>
    <n v="100564.50922543666"/>
    <n v="107.5"/>
    <n v="102.5"/>
    <n v="105.6017906495569"/>
    <n v="9832946"/>
  </r>
  <r>
    <x v="28"/>
    <n v="202503"/>
    <x v="1"/>
    <x v="0"/>
    <s v="Sebastián S"/>
    <s v="Rodolfo O"/>
    <n v="123658"/>
    <n v="7417542"/>
    <n v="59.984495967741957"/>
    <n v="125470.23393001349"/>
    <n v="65.5"/>
    <n v="66"/>
    <n v="59.11794413436305"/>
    <n v="7764161"/>
  </r>
  <r>
    <x v="33"/>
    <n v="202512"/>
    <x v="1"/>
    <x v="1"/>
    <s v="Sofía V"/>
    <s v="José A"/>
    <n v="123594"/>
    <n v="12145136"/>
    <n v="98.266592741935341"/>
    <n v="120594.04085445596"/>
    <n v="93.5"/>
    <n v="94"/>
    <n v="100.71091609458442"/>
    <n v="11941678"/>
  </r>
  <r>
    <x v="30"/>
    <n v="202512"/>
    <x v="1"/>
    <x v="1"/>
    <s v="Sebastián S"/>
    <s v="Vik E"/>
    <n v="123536"/>
    <n v="10770884"/>
    <n v="87.188293010752673"/>
    <n v="116064.59778662221"/>
    <n v="101.5"/>
    <n v="97.5"/>
    <n v="92.800768497915442"/>
    <n v="12764237"/>
  </r>
  <r>
    <x v="3"/>
    <n v="202606"/>
    <x v="0"/>
    <x v="11"/>
    <s v="Sebastián S"/>
    <s v="Rodolfo O"/>
    <n v="123365"/>
    <n v="10402007"/>
    <n v="84.319277777780243"/>
    <n v="115349.41384445751"/>
    <n v="98.5"/>
    <n v="96.5"/>
    <n v="87.166669283279759"/>
    <n v="10054624"/>
  </r>
  <r>
    <x v="1"/>
    <n v="202409"/>
    <x v="2"/>
    <x v="4"/>
    <s v="Sofía V"/>
    <s v="José A"/>
    <n v="123201"/>
    <n v="6618254"/>
    <n v="53.719166666666695"/>
    <n v="0"/>
    <n v="61"/>
    <n v="60"/>
    <m/>
    <n v="0"/>
  </r>
  <r>
    <x v="28"/>
    <n v="202603"/>
    <x v="0"/>
    <x v="0"/>
    <s v="Sebastián S"/>
    <s v="Rodolfo O"/>
    <n v="123057"/>
    <n v="7688902"/>
    <n v="62.48252688172046"/>
    <n v="131553.57762963322"/>
    <n v="65.5"/>
    <n v="66"/>
    <n v="55.812340478272937"/>
    <n v="7342313"/>
  </r>
  <r>
    <x v="11"/>
    <n v="202509"/>
    <x v="1"/>
    <x v="4"/>
    <s v="Sofía V"/>
    <s v="José A"/>
    <n v="122960"/>
    <n v="9606492"/>
    <n v="78.126951388888855"/>
    <n v="119798.6733219189"/>
    <n v="86.5"/>
    <n v="81.5"/>
    <n v="80.188631757096061"/>
    <n v="9754738"/>
  </r>
  <r>
    <x v="6"/>
    <n v="202602"/>
    <x v="0"/>
    <x v="2"/>
    <s v="Sebastián S"/>
    <s v="Vik E"/>
    <n v="122901"/>
    <n v="10786735"/>
    <n v="87.767968749999994"/>
    <n v="114540.39380543392"/>
    <n v="100"/>
    <n v="98"/>
    <n v="86.393284871267369"/>
    <n v="9895521"/>
  </r>
  <r>
    <x v="15"/>
    <n v="202511"/>
    <x v="1"/>
    <x v="7"/>
    <s v="Sofía V"/>
    <s v="Joe H"/>
    <n v="122790"/>
    <n v="10610599"/>
    <n v="86.412326388888928"/>
    <n v="109492.04868205982"/>
    <n v="101"/>
    <n v="105"/>
    <n v="96.907484769152362"/>
    <n v="10457442"/>
  </r>
  <r>
    <x v="5"/>
    <n v="202605"/>
    <x v="0"/>
    <x v="3"/>
    <s v="Sebastián S"/>
    <s v="Rodolfo O"/>
    <n v="122732"/>
    <n v="7362386"/>
    <n v="59.987365591397605"/>
    <n v="114648.54931131439"/>
    <n v="68.5"/>
    <n v="66"/>
    <n v="59.179400136818131"/>
    <n v="6784832"/>
  </r>
  <r>
    <x v="15"/>
    <n v="202507"/>
    <x v="1"/>
    <x v="6"/>
    <s v="Sofía V"/>
    <s v="Joe H"/>
    <n v="122706"/>
    <n v="9625076"/>
    <n v="78.440362903225818"/>
    <n v="127414.52709941164"/>
    <n v="101"/>
    <n v="105"/>
    <n v="75.541435965855769"/>
    <n v="11419719"/>
  </r>
  <r>
    <x v="12"/>
    <n v="202412"/>
    <x v="2"/>
    <x v="1"/>
    <s v="Sofía V"/>
    <s v="Melany A"/>
    <n v="122608"/>
    <n v="12278448"/>
    <n v="100.14375000000003"/>
    <n v="0"/>
    <n v="96.5"/>
    <n v="94"/>
    <m/>
    <n v="0"/>
  </r>
  <r>
    <x v="10"/>
    <n v="202412"/>
    <x v="2"/>
    <x v="1"/>
    <s v="Sofía V"/>
    <s v="Melany A"/>
    <n v="122113"/>
    <n v="14393863"/>
    <n v="117.87374327956984"/>
    <n v="0"/>
    <n v="125"/>
    <n v="118.5"/>
    <m/>
    <n v="0"/>
  </r>
  <r>
    <x v="34"/>
    <n v="202606"/>
    <x v="0"/>
    <x v="11"/>
    <s v="Hernán P"/>
    <s v="Daniel R"/>
    <n v="122028"/>
    <n v="1165952"/>
    <n v="9.5547569444444491"/>
    <n v="73326.784872190285"/>
    <n v="15"/>
    <n v="15"/>
    <n v="13.971887755419019"/>
    <n v="1024514"/>
  </r>
  <r>
    <x v="4"/>
    <n v="202412"/>
    <x v="2"/>
    <x v="1"/>
    <s v="Sofía V"/>
    <s v="José A"/>
    <n v="122017"/>
    <n v="14932341"/>
    <n v="122.37952284946229"/>
    <n v="0"/>
    <n v="107.5"/>
    <n v="102.5"/>
    <m/>
    <n v="0"/>
  </r>
  <r>
    <x v="2"/>
    <n v="202603"/>
    <x v="0"/>
    <x v="0"/>
    <s v="Sofía V"/>
    <s v="José A"/>
    <n v="121962"/>
    <n v="9334129"/>
    <n v="76.532956989247296"/>
    <n v="138625.43672875984"/>
    <n v="76.5"/>
    <n v="80"/>
    <n v="67.450733277005639"/>
    <n v="9350387"/>
  </r>
  <r>
    <x v="4"/>
    <n v="202603"/>
    <x v="0"/>
    <x v="0"/>
    <s v="Sofía V"/>
    <s v="José A"/>
    <n v="121745"/>
    <n v="11745132"/>
    <n v="96.473595430107508"/>
    <n v="115386.39285004592"/>
    <n v="107.5"/>
    <n v="102.5"/>
    <n v="96.70800932222366"/>
    <n v="11158788"/>
  </r>
  <r>
    <x v="35"/>
    <n v="202605"/>
    <x v="0"/>
    <x v="3"/>
    <s v="Hernán P"/>
    <s v="Daniel R"/>
    <n v="121694"/>
    <n v="12787907"/>
    <n v="105.08274865591315"/>
    <n v="103846.49919956453"/>
    <n v="140.5"/>
    <n v="125.5"/>
    <n v="117.18897502469719"/>
    <n v="12169665"/>
  </r>
  <r>
    <x v="15"/>
    <n v="202503"/>
    <x v="1"/>
    <x v="0"/>
    <s v="Sofía V"/>
    <s v="Joe H"/>
    <n v="121503"/>
    <n v="10544498"/>
    <n v="86.784005376344055"/>
    <n v="121842.77484750219"/>
    <n v="101"/>
    <n v="105"/>
    <n v="86.541842905313359"/>
    <n v="10553386"/>
  </r>
  <r>
    <x v="15"/>
    <n v="202407"/>
    <x v="2"/>
    <x v="6"/>
    <s v="Sofía V"/>
    <s v="Joe H"/>
    <n v="121347"/>
    <n v="10506378"/>
    <n v="86.58115591397852"/>
    <n v="0"/>
    <n v="101"/>
    <n v="105"/>
    <m/>
    <n v="0"/>
  </r>
  <r>
    <x v="36"/>
    <n v="202512"/>
    <x v="1"/>
    <x v="1"/>
    <s v="Sebastián S"/>
    <s v="Rodolfo O"/>
    <n v="121234"/>
    <n v="9232864"/>
    <n v="76.157130376344043"/>
    <n v="116350.807573667"/>
    <n v="81"/>
    <n v="77"/>
    <n v="79.353671732396478"/>
    <n v="10159534"/>
  </r>
  <r>
    <x v="21"/>
    <n v="202412"/>
    <x v="2"/>
    <x v="1"/>
    <s v="Sebastián S"/>
    <s v="Rodolfo O"/>
    <n v="121229"/>
    <n v="10322704"/>
    <n v="85.150672043010744"/>
    <n v="0"/>
    <n v="84.5"/>
    <n v="86.5"/>
    <m/>
    <n v="0"/>
  </r>
  <r>
    <x v="11"/>
    <n v="202505"/>
    <x v="1"/>
    <x v="3"/>
    <s v="Sofía V"/>
    <s v="José A"/>
    <n v="120971"/>
    <n v="10406454"/>
    <n v="86.024590053763376"/>
    <n v="108260.06488602018"/>
    <n v="86.5"/>
    <n v="81.5"/>
    <n v="96.124590549213693"/>
    <n v="10085642"/>
  </r>
  <r>
    <x v="3"/>
    <n v="202503"/>
    <x v="1"/>
    <x v="0"/>
    <s v="Sebastián S"/>
    <s v="Rodolfo O"/>
    <n v="120956"/>
    <n v="11059698"/>
    <n v="91.435336021505307"/>
    <n v="120896.88741263513"/>
    <n v="98.5"/>
    <n v="96.5"/>
    <n v="91.480416549120633"/>
    <n v="12315081"/>
  </r>
  <r>
    <x v="33"/>
    <n v="202603"/>
    <x v="0"/>
    <x v="0"/>
    <s v="Sofía V"/>
    <s v="José A"/>
    <n v="120904"/>
    <n v="10383142"/>
    <n v="85.879038978494563"/>
    <n v="117800.62719711983"/>
    <n v="93.5"/>
    <n v="94"/>
    <n v="84.619508156945685"/>
    <n v="9968231"/>
  </r>
  <r>
    <x v="29"/>
    <n v="202603"/>
    <x v="0"/>
    <x v="0"/>
    <s v="Sebastián S"/>
    <s v="Vik E"/>
    <n v="120499"/>
    <n v="8437311"/>
    <n v="70.019899193548412"/>
    <n v="118051.21856134386"/>
    <n v="76.5"/>
    <n v="75.5"/>
    <n v="67.697971575339096"/>
    <n v="7991828"/>
  </r>
  <r>
    <x v="20"/>
    <n v="202601"/>
    <x v="0"/>
    <x v="10"/>
    <s v="Sofía V"/>
    <s v="Joe H"/>
    <n v="120493"/>
    <n v="10143449"/>
    <n v="84.183232526881724"/>
    <n v="129912.11464541998"/>
    <n v="96.5"/>
    <n v="96"/>
    <n v="83.321494048065787"/>
    <n v="10824471"/>
  </r>
  <r>
    <x v="8"/>
    <n v="202511"/>
    <x v="1"/>
    <x v="7"/>
    <s v="Sebastián S"/>
    <s v="Vik E"/>
    <n v="120361"/>
    <n v="9580151"/>
    <n v="79.594861111111172"/>
    <n v="98943.671012343766"/>
    <n v="88"/>
    <n v="84"/>
    <n v="96.824289941746983"/>
    <n v="8608878"/>
  </r>
  <r>
    <x v="37"/>
    <n v="202503"/>
    <x v="1"/>
    <x v="0"/>
    <s v="Sofía V"/>
    <s v="Melany A"/>
    <n v="120289"/>
    <n v="7107254"/>
    <n v="59.084845430107499"/>
    <n v="102617.39737322778"/>
    <n v="72.5"/>
    <n v="68.5"/>
    <n v="69.259741836467953"/>
    <n v="6868134"/>
  </r>
  <r>
    <x v="1"/>
    <n v="202405"/>
    <x v="2"/>
    <x v="3"/>
    <s v="Sofía V"/>
    <s v="José A"/>
    <n v="120204"/>
    <n v="6091120"/>
    <n v="50.673319892473131"/>
    <n v="0"/>
    <n v="61"/>
    <n v="60"/>
    <m/>
    <n v="0"/>
  </r>
  <r>
    <x v="0"/>
    <n v="202503"/>
    <x v="1"/>
    <x v="0"/>
    <s v="Fátima L"/>
    <s v="Fátima L"/>
    <n v="120140"/>
    <n v="3107812"/>
    <n v="25.868245967741938"/>
    <n v="76191.686301223745"/>
    <n v="13.5"/>
    <n v="12.5"/>
    <n v="40.789379141882634"/>
    <n v="941378"/>
  </r>
  <r>
    <x v="19"/>
    <n v="202603"/>
    <x v="0"/>
    <x v="0"/>
    <s v="Sofía V"/>
    <s v="Joe H"/>
    <n v="120071"/>
    <n v="6484451"/>
    <n v="54.005282258064511"/>
    <n v="132658.56321990382"/>
    <n v="57.5"/>
    <n v="56.5"/>
    <n v="50.698263574219922"/>
    <n v="6725559"/>
  </r>
  <r>
    <x v="29"/>
    <n v="202403"/>
    <x v="2"/>
    <x v="0"/>
    <s v="Sebastián S"/>
    <s v="Vik E"/>
    <n v="119878"/>
    <n v="9145975"/>
    <n v="76.293790322580648"/>
    <n v="0"/>
    <n v="76.5"/>
    <n v="75.5"/>
    <m/>
    <n v="0"/>
  </r>
  <r>
    <x v="20"/>
    <n v="202605"/>
    <x v="0"/>
    <x v="3"/>
    <s v="Sofía V"/>
    <s v="Joe H"/>
    <n v="119824"/>
    <n v="10442437"/>
    <n v="87.148212365590808"/>
    <n v="132364.57245519134"/>
    <n v="96.5"/>
    <n v="96"/>
    <n v="83.321494048065787"/>
    <n v="11028814"/>
  </r>
  <r>
    <x v="1"/>
    <n v="202506"/>
    <x v="1"/>
    <x v="11"/>
    <s v="Sofía V"/>
    <s v="José A"/>
    <n v="119743"/>
    <n v="6420726"/>
    <n v="53.620826388888894"/>
    <n v="134887.29141029992"/>
    <n v="61"/>
    <n v="60"/>
    <n v="47.600675963382244"/>
    <n v="6662679"/>
  </r>
  <r>
    <x v="16"/>
    <n v="202403"/>
    <x v="2"/>
    <x v="0"/>
    <s v="Sofía V"/>
    <s v="José A"/>
    <n v="119738"/>
    <n v="7077844"/>
    <n v="59.110860215053783"/>
    <n v="0"/>
    <n v="64"/>
    <n v="67"/>
    <m/>
    <n v="0"/>
  </r>
  <r>
    <x v="20"/>
    <n v="202604"/>
    <x v="0"/>
    <x v="9"/>
    <s v="Sofía V"/>
    <s v="Joe H"/>
    <n v="119706"/>
    <n v="10206022"/>
    <n v="85.258881944446841"/>
    <n v="141890.44670970403"/>
    <n v="96.5"/>
    <n v="96"/>
    <n v="83.321494048065787"/>
    <n v="11822524"/>
  </r>
  <r>
    <x v="27"/>
    <n v="202603"/>
    <x v="0"/>
    <x v="0"/>
    <s v="Sofía V"/>
    <s v="Joe H"/>
    <n v="119695"/>
    <n v="6432504"/>
    <n v="53.740665322580661"/>
    <n v="107383.13805009029"/>
    <n v="62"/>
    <n v="58"/>
    <n v="54.66595376698497"/>
    <n v="5870202"/>
  </r>
  <r>
    <x v="6"/>
    <n v="202511"/>
    <x v="1"/>
    <x v="7"/>
    <s v="Sebastián S"/>
    <s v="Vik E"/>
    <n v="119583"/>
    <n v="10277193"/>
    <n v="85.941819444444505"/>
    <n v="103626.71771521609"/>
    <n v="100"/>
    <n v="98"/>
    <n v="99.175124587497606"/>
    <n v="9287877"/>
  </r>
  <r>
    <x v="2"/>
    <n v="202507"/>
    <x v="1"/>
    <x v="6"/>
    <s v="Sofía V"/>
    <s v="José A"/>
    <n v="119561"/>
    <n v="8149070"/>
    <n v="68.15826612903227"/>
    <n v="124122.63882738908"/>
    <n v="76.5"/>
    <n v="80"/>
    <n v="65.653372317780722"/>
    <n v="8471773"/>
  </r>
  <r>
    <x v="14"/>
    <n v="202503"/>
    <x v="1"/>
    <x v="0"/>
    <s v="Sofía V"/>
    <s v="Melany A"/>
    <n v="119551"/>
    <n v="6436913"/>
    <n v="53.842325268817198"/>
    <n v="111379.65905814184"/>
    <n v="59.5"/>
    <n v="55.5"/>
    <n v="57.792538731330069"/>
    <n v="6168236"/>
  </r>
  <r>
    <x v="3"/>
    <n v="202511"/>
    <x v="1"/>
    <x v="7"/>
    <s v="Sebastián S"/>
    <s v="Rodolfo O"/>
    <n v="119548"/>
    <n v="10556503"/>
    <n v="88.303444444444509"/>
    <n v="109455.43166215495"/>
    <n v="98.5"/>
    <n v="96.5"/>
    <n v="96.445677566588913"/>
    <n v="8535997"/>
  </r>
  <r>
    <x v="28"/>
    <n v="202403"/>
    <x v="2"/>
    <x v="0"/>
    <s v="Sebastián S"/>
    <s v="Rodolfo O"/>
    <n v="119495"/>
    <n v="7545730"/>
    <n v="63.146586021505392"/>
    <n v="0"/>
    <n v="65.5"/>
    <n v="66"/>
    <m/>
    <n v="0"/>
  </r>
  <r>
    <x v="6"/>
    <n v="202605"/>
    <x v="0"/>
    <x v="3"/>
    <s v="Sebastián S"/>
    <s v="Vik E"/>
    <n v="119407"/>
    <n v="11118522"/>
    <n v="93.114771505377036"/>
    <n v="120228.60825326118"/>
    <n v="100"/>
    <n v="98"/>
    <n v="86.393284871267369"/>
    <n v="10386944"/>
  </r>
  <r>
    <x v="35"/>
    <n v="202606"/>
    <x v="0"/>
    <x v="11"/>
    <s v="Hernán P"/>
    <s v="Daniel R"/>
    <n v="119394"/>
    <n v="12302365"/>
    <n v="103.04038888889117"/>
    <n v="100554.75198683646"/>
    <n v="140.5"/>
    <n v="125.5"/>
    <n v="117.18897502469719"/>
    <n v="11783908"/>
  </r>
  <r>
    <x v="11"/>
    <n v="202408"/>
    <x v="2"/>
    <x v="5"/>
    <s v="Sofía V"/>
    <s v="José A"/>
    <n v="119257"/>
    <n v="11255898"/>
    <n v="94.383897849462286"/>
    <n v="0"/>
    <n v="86.5"/>
    <n v="81.5"/>
    <m/>
    <n v="0"/>
  </r>
  <r>
    <x v="38"/>
    <n v="202512"/>
    <x v="1"/>
    <x v="1"/>
    <s v="Sofía V"/>
    <s v="Melany A"/>
    <n v="119238"/>
    <n v="6746518"/>
    <n v="56.580463709677375"/>
    <n v="94928.500299965861"/>
    <n v="56"/>
    <n v="60"/>
    <n v="71.069468902190451"/>
    <n v="6482598"/>
  </r>
  <r>
    <x v="6"/>
    <n v="202601"/>
    <x v="0"/>
    <x v="10"/>
    <s v="Sebastián S"/>
    <s v="Vik E"/>
    <n v="119201"/>
    <n v="10454554"/>
    <n v="87.704966397849461"/>
    <n v="113159.87525613092"/>
    <n v="100"/>
    <n v="98"/>
    <n v="86.393284871267369"/>
    <n v="9776253"/>
  </r>
  <r>
    <x v="15"/>
    <n v="202603"/>
    <x v="0"/>
    <x v="0"/>
    <s v="Sofía V"/>
    <s v="Joe H"/>
    <n v="119167"/>
    <n v="11426947"/>
    <n v="95.890356182795671"/>
    <n v="119568.63339234533"/>
    <n v="101"/>
    <n v="105"/>
    <n v="90.439897606894348"/>
    <n v="10813775"/>
  </r>
  <r>
    <x v="3"/>
    <n v="202602"/>
    <x v="0"/>
    <x v="2"/>
    <s v="Sebastián S"/>
    <s v="Rodolfo O"/>
    <n v="119002"/>
    <n v="10786907"/>
    <n v="90.644739583333319"/>
    <n v="108284.24193226044"/>
    <n v="98.5"/>
    <n v="96.5"/>
    <n v="87.166669283279759"/>
    <n v="9438777"/>
  </r>
  <r>
    <x v="16"/>
    <n v="202412"/>
    <x v="2"/>
    <x v="1"/>
    <s v="Sofía V"/>
    <s v="José A"/>
    <n v="118789"/>
    <n v="7583514"/>
    <n v="63.840188172043028"/>
    <n v="0"/>
    <n v="64"/>
    <n v="67"/>
    <m/>
    <n v="0"/>
  </r>
  <r>
    <x v="17"/>
    <n v="202511"/>
    <x v="1"/>
    <x v="7"/>
    <s v="Sofía V"/>
    <s v="Joe H"/>
    <n v="118727"/>
    <n v="10659761"/>
    <n v="89.783798611111166"/>
    <n v="111048.84603336702"/>
    <n v="94"/>
    <n v="92"/>
    <n v="95.99164035254401"/>
    <n v="8225214"/>
  </r>
  <r>
    <x v="11"/>
    <n v="202411"/>
    <x v="2"/>
    <x v="7"/>
    <s v="Sofía V"/>
    <s v="José A"/>
    <n v="118646"/>
    <n v="10489145"/>
    <n v="88.406986111111095"/>
    <n v="0"/>
    <n v="86.5"/>
    <n v="81.5"/>
    <m/>
    <n v="0"/>
  </r>
  <r>
    <x v="9"/>
    <n v="202503"/>
    <x v="1"/>
    <x v="0"/>
    <s v="Sofía V"/>
    <s v="Joe H"/>
    <n v="118554"/>
    <n v="8040097"/>
    <n v="67.818192204301084"/>
    <n v="115289.11671409696"/>
    <n v="70.5"/>
    <n v="69.5"/>
    <n v="69.738561966247588"/>
    <n v="7462734"/>
  </r>
  <r>
    <x v="39"/>
    <n v="202512"/>
    <x v="1"/>
    <x v="1"/>
    <s v="Sofía V"/>
    <s v="Melany A"/>
    <n v="118455"/>
    <n v="6905514"/>
    <n v="58.296639784946194"/>
    <n v="107532.26084819695"/>
    <n v="60.5"/>
    <n v="60.5"/>
    <n v="64.218066239195878"/>
    <n v="7271704"/>
  </r>
  <r>
    <x v="15"/>
    <n v="202508"/>
    <x v="1"/>
    <x v="5"/>
    <s v="Sofía V"/>
    <s v="Joe H"/>
    <n v="118453"/>
    <n v="9312635"/>
    <n v="78.618561827957024"/>
    <n v="116313.42723881087"/>
    <n v="101"/>
    <n v="105"/>
    <n v="80.065006689894901"/>
    <n v="10376580"/>
  </r>
  <r>
    <x v="1"/>
    <n v="202411"/>
    <x v="2"/>
    <x v="7"/>
    <s v="Sofía V"/>
    <s v="José A"/>
    <n v="118453"/>
    <n v="6827657"/>
    <n v="57.64033333333338"/>
    <n v="0"/>
    <n v="61"/>
    <n v="60"/>
    <m/>
    <n v="0"/>
  </r>
  <r>
    <x v="2"/>
    <n v="202503"/>
    <x v="1"/>
    <x v="0"/>
    <s v="Sofía V"/>
    <s v="José A"/>
    <n v="118438"/>
    <n v="8592178"/>
    <n v="72.546014784946152"/>
    <n v="123490.80790383094"/>
    <n v="76.5"/>
    <n v="80"/>
    <n v="69.577469658237248"/>
    <n v="8974387"/>
  </r>
  <r>
    <x v="21"/>
    <n v="202603"/>
    <x v="0"/>
    <x v="0"/>
    <s v="Sebastián S"/>
    <s v="Rodolfo O"/>
    <n v="118321"/>
    <n v="8836273"/>
    <n v="74.680544354838759"/>
    <n v="117130.57290755016"/>
    <n v="84.5"/>
    <n v="86.5"/>
    <n v="71.456708642637324"/>
    <n v="8369765"/>
  </r>
  <r>
    <x v="2"/>
    <n v="202407"/>
    <x v="2"/>
    <x v="6"/>
    <s v="Sofía V"/>
    <s v="José A"/>
    <n v="118212"/>
    <n v="8187367"/>
    <n v="69.260013440860163"/>
    <n v="0"/>
    <n v="76.5"/>
    <n v="80"/>
    <m/>
    <n v="0"/>
  </r>
  <r>
    <x v="18"/>
    <n v="202412"/>
    <x v="2"/>
    <x v="1"/>
    <s v="Sofía V"/>
    <s v="Joe H"/>
    <n v="118081"/>
    <n v="5984047"/>
    <n v="50.677271505376346"/>
    <n v="0"/>
    <n v="50.5"/>
    <n v="51.5"/>
    <m/>
    <n v="0"/>
  </r>
  <r>
    <x v="2"/>
    <n v="202510"/>
    <x v="1"/>
    <x v="8"/>
    <s v="Sofía V"/>
    <s v="José A"/>
    <n v="118047"/>
    <n v="7592238"/>
    <n v="64.315463709677431"/>
    <n v="115564.13045130158"/>
    <n v="76.5"/>
    <n v="80"/>
    <n v="65.697182857265119"/>
    <n v="8106898"/>
  </r>
  <r>
    <x v="30"/>
    <n v="202403"/>
    <x v="2"/>
    <x v="0"/>
    <s v="Sebastián S"/>
    <s v="Vik E"/>
    <n v="117822"/>
    <n v="10971023"/>
    <n v="93.115336021505414"/>
    <n v="0"/>
    <n v="101.5"/>
    <n v="97.5"/>
    <m/>
    <n v="0"/>
  </r>
  <r>
    <x v="15"/>
    <n v="202605"/>
    <x v="0"/>
    <x v="3"/>
    <s v="Sofía V"/>
    <s v="Joe H"/>
    <n v="117692"/>
    <n v="10615489"/>
    <n v="90.196975806452315"/>
    <n v="105834.63492411494"/>
    <n v="101"/>
    <n v="105"/>
    <n v="90.439897606894348"/>
    <n v="9571674"/>
  </r>
  <r>
    <x v="2"/>
    <n v="202403"/>
    <x v="2"/>
    <x v="0"/>
    <s v="Sofía V"/>
    <s v="José A"/>
    <n v="117610"/>
    <n v="8684015"/>
    <n v="73.837204301075232"/>
    <n v="0"/>
    <n v="76.5"/>
    <n v="80"/>
    <m/>
    <n v="0"/>
  </r>
  <r>
    <x v="14"/>
    <n v="202511"/>
    <x v="1"/>
    <x v="7"/>
    <s v="Sofía V"/>
    <s v="Melany A"/>
    <n v="117561"/>
    <n v="5623041"/>
    <n v="47.830708333333334"/>
    <n v="93253.860877661529"/>
    <n v="59.5"/>
    <n v="55.5"/>
    <n v="60.298206713143912"/>
    <n v="4704036"/>
  </r>
  <r>
    <x v="29"/>
    <n v="202503"/>
    <x v="1"/>
    <x v="0"/>
    <s v="Sebastián S"/>
    <s v="Vik E"/>
    <n v="117534"/>
    <n v="8296699"/>
    <n v="70.589872311827904"/>
    <n v="125872.28994517167"/>
    <n v="76.5"/>
    <n v="75.5"/>
    <n v="65.913627960641207"/>
    <n v="9278367"/>
  </r>
  <r>
    <x v="40"/>
    <n v="202508"/>
    <x v="1"/>
    <x v="5"/>
    <s v="Sebastián S"/>
    <s v="Johanna V"/>
    <n v="117483"/>
    <n v="8604126"/>
    <n v="73.237452956989245"/>
    <n v="94205.301583426175"/>
    <n v="106"/>
    <n v="102.5"/>
    <n v="91.333777774495758"/>
    <n v="9314915"/>
  </r>
  <r>
    <x v="1"/>
    <n v="202401"/>
    <x v="2"/>
    <x v="10"/>
    <s v="Sofía V"/>
    <s v="José A"/>
    <n v="116915"/>
    <n v="6136360"/>
    <n v="52.485557795698924"/>
    <n v="0"/>
    <n v="61"/>
    <n v="60"/>
    <m/>
    <n v="0"/>
  </r>
  <r>
    <x v="41"/>
    <n v="202512"/>
    <x v="1"/>
    <x v="1"/>
    <s v="Sebastián S"/>
    <s v="Rodolfo O"/>
    <n v="116902"/>
    <n v="7631973"/>
    <n v="65.285208333333301"/>
    <n v="107276.66120107195"/>
    <n v="64.5"/>
    <n v="64"/>
    <n v="71.142899998492297"/>
    <n v="7792391"/>
  </r>
  <r>
    <x v="13"/>
    <n v="202603"/>
    <x v="0"/>
    <x v="0"/>
    <s v="Sebastián S"/>
    <s v="Rodolfo O"/>
    <n v="116890"/>
    <n v="8104568"/>
    <n v="69.334905913978503"/>
    <n v="105733.12795942808"/>
    <n v="78"/>
    <n v="74.5"/>
    <n v="66.954795775232199"/>
    <n v="7079340"/>
  </r>
  <r>
    <x v="26"/>
    <n v="202412"/>
    <x v="2"/>
    <x v="1"/>
    <s v="Sofía V"/>
    <s v="Melany A"/>
    <n v="116853"/>
    <n v="6508195"/>
    <n v="55.695490591397878"/>
    <n v="0"/>
    <n v="55"/>
    <n v="50.5"/>
    <m/>
    <n v="0"/>
  </r>
  <r>
    <x v="20"/>
    <n v="202511"/>
    <x v="1"/>
    <x v="7"/>
    <s v="Sofía V"/>
    <s v="Joe H"/>
    <n v="116846"/>
    <n v="10162513"/>
    <n v="86.97329861111119"/>
    <n v="118678.29156180941"/>
    <n v="96.5"/>
    <n v="96"/>
    <n v="85.630767651447101"/>
    <n v="8809430"/>
  </r>
  <r>
    <x v="30"/>
    <n v="202604"/>
    <x v="0"/>
    <x v="9"/>
    <s v="Sebastián S"/>
    <s v="Vik E"/>
    <n v="116627"/>
    <n v="9248364"/>
    <n v="79.298381944446263"/>
    <n v="104803.34241077057"/>
    <n v="101.5"/>
    <n v="97.5"/>
    <n v="87.689184144336366"/>
    <n v="9190120"/>
  </r>
  <r>
    <x v="42"/>
    <n v="202601"/>
    <x v="0"/>
    <x v="10"/>
    <s v="Hernán P"/>
    <s v="Daniel R"/>
    <n v="116590"/>
    <n v="2915277"/>
    <n v="25.004583333333343"/>
    <n v="124095.04450175312"/>
    <n v="22.5"/>
    <n v="21"/>
    <n v="19.647967156057994"/>
    <n v="2438215"/>
  </r>
  <r>
    <x v="20"/>
    <n v="202602"/>
    <x v="0"/>
    <x v="2"/>
    <s v="Sofía V"/>
    <s v="Joe H"/>
    <n v="116566"/>
    <n v="9772019"/>
    <n v="83.832552083333312"/>
    <n v="123172.34068534133"/>
    <n v="96.5"/>
    <n v="96"/>
    <n v="83.321494048065787"/>
    <n v="10262903"/>
  </r>
  <r>
    <x v="2"/>
    <n v="202508"/>
    <x v="1"/>
    <x v="5"/>
    <s v="Sofía V"/>
    <s v="José A"/>
    <n v="116469"/>
    <n v="8030241"/>
    <n v="68.94717741935483"/>
    <n v="119206.4188914056"/>
    <n v="76.5"/>
    <n v="80"/>
    <n v="67.364168680508484"/>
    <n v="8065606"/>
  </r>
  <r>
    <x v="30"/>
    <n v="202505"/>
    <x v="1"/>
    <x v="3"/>
    <s v="Sebastián S"/>
    <s v="Vik E"/>
    <n v="116346"/>
    <n v="9108123"/>
    <n v="78.284509408602119"/>
    <n v="102349.65532694815"/>
    <n v="101.5"/>
    <n v="97.5"/>
    <n v="88.99026763602474"/>
    <n v="9344925"/>
  </r>
  <r>
    <x v="43"/>
    <n v="202512"/>
    <x v="1"/>
    <x v="1"/>
    <s v="Sofía V"/>
    <s v="José A"/>
    <n v="116250"/>
    <n v="3709388"/>
    <n v="31.90880376344084"/>
    <n v="113939.94261671984"/>
    <n v="32.5"/>
    <n v="32"/>
    <n v="32.555645498944408"/>
    <n v="3613824"/>
  </r>
  <r>
    <x v="12"/>
    <n v="202403"/>
    <x v="2"/>
    <x v="0"/>
    <s v="Sofía V"/>
    <s v="Melany A"/>
    <n v="116074"/>
    <n v="10869841"/>
    <n v="93.645416666666662"/>
    <n v="0"/>
    <n v="96.5"/>
    <n v="94"/>
    <m/>
    <n v="0"/>
  </r>
  <r>
    <x v="15"/>
    <n v="202403"/>
    <x v="2"/>
    <x v="0"/>
    <s v="Sofía V"/>
    <s v="Joe H"/>
    <n v="116041"/>
    <n v="10374754"/>
    <n v="89.406135752688186"/>
    <n v="0"/>
    <n v="101"/>
    <n v="105"/>
    <m/>
    <n v="0"/>
  </r>
  <r>
    <x v="31"/>
    <n v="202412"/>
    <x v="2"/>
    <x v="1"/>
    <s v="Sofía V"/>
    <s v="Melany A"/>
    <n v="116029"/>
    <n v="16134149"/>
    <n v="139.05227150537627"/>
    <n v="0"/>
    <n v="99"/>
    <n v="32.5"/>
    <m/>
    <n v="0"/>
  </r>
  <r>
    <x v="2"/>
    <n v="202601"/>
    <x v="0"/>
    <x v="10"/>
    <s v="Sofía V"/>
    <s v="José A"/>
    <n v="115835"/>
    <n v="8570756"/>
    <n v="73.991317204301012"/>
    <n v="130159.94548710033"/>
    <n v="76.5"/>
    <n v="80"/>
    <n v="67.450733277005639"/>
    <n v="8779384"/>
  </r>
  <r>
    <x v="5"/>
    <n v="202601"/>
    <x v="0"/>
    <x v="10"/>
    <s v="Sebastián S"/>
    <s v="Rodolfo O"/>
    <n v="115829"/>
    <n v="6665892"/>
    <n v="57.54936155913979"/>
    <n v="108205.02870923988"/>
    <n v="68.5"/>
    <n v="66"/>
    <n v="59.179400136818131"/>
    <n v="6403509"/>
  </r>
  <r>
    <x v="9"/>
    <n v="202512"/>
    <x v="1"/>
    <x v="1"/>
    <s v="Sofía V"/>
    <s v="Joe H"/>
    <n v="115820"/>
    <n v="7787355"/>
    <n v="67.236740591397862"/>
    <n v="112402.42309663267"/>
    <n v="70.5"/>
    <n v="69.5"/>
    <n v="69.281024692013872"/>
    <n v="8072411"/>
  </r>
  <r>
    <x v="4"/>
    <n v="202605"/>
    <x v="0"/>
    <x v="3"/>
    <s v="Sofía V"/>
    <s v="José A"/>
    <n v="115778"/>
    <n v="10633331"/>
    <n v="91.842493279568345"/>
    <n v="99185.695008362978"/>
    <n v="107.5"/>
    <n v="102.5"/>
    <n v="96.70800932222366"/>
    <n v="9592051"/>
  </r>
  <r>
    <x v="20"/>
    <n v="202503"/>
    <x v="1"/>
    <x v="0"/>
    <s v="Sofía V"/>
    <s v="Joe H"/>
    <n v="115557"/>
    <n v="10777878"/>
    <n v="93.268743279569861"/>
    <n v="116629.38891095745"/>
    <n v="96.5"/>
    <n v="96"/>
    <n v="92.411334918581645"/>
    <n v="10232435"/>
  </r>
  <r>
    <x v="11"/>
    <n v="202508"/>
    <x v="1"/>
    <x v="5"/>
    <s v="Sofía V"/>
    <s v="José A"/>
    <n v="115552"/>
    <n v="10790023"/>
    <n v="93.377741935483797"/>
    <n v="125219.37791073471"/>
    <n v="86.5"/>
    <n v="81.5"/>
    <n v="86.168952681524217"/>
    <n v="11717909"/>
  </r>
  <r>
    <x v="5"/>
    <n v="202606"/>
    <x v="0"/>
    <x v="11"/>
    <s v="Sebastián S"/>
    <s v="Rodolfo O"/>
    <n v="115441"/>
    <n v="6738012"/>
    <n v="58.367409722223101"/>
    <n v="106743.32737228795"/>
    <n v="68.5"/>
    <n v="66"/>
    <n v="59.179400136818131"/>
    <n v="6317006"/>
  </r>
  <r>
    <x v="1"/>
    <n v="202402"/>
    <x v="2"/>
    <x v="2"/>
    <s v="Sofía V"/>
    <s v="José A"/>
    <n v="115420"/>
    <n v="6169302"/>
    <n v="53.450833333333343"/>
    <n v="0"/>
    <n v="61"/>
    <n v="60"/>
    <m/>
    <n v="0"/>
  </r>
  <r>
    <x v="11"/>
    <n v="202510"/>
    <x v="1"/>
    <x v="8"/>
    <s v="Sofía V"/>
    <s v="José A"/>
    <n v="115349"/>
    <n v="9854178"/>
    <n v="85.429354838709671"/>
    <n v="119773.46061499079"/>
    <n v="86.5"/>
    <n v="81.5"/>
    <n v="82.273469008932139"/>
    <n v="9961736"/>
  </r>
  <r>
    <x v="3"/>
    <n v="202505"/>
    <x v="1"/>
    <x v="3"/>
    <s v="Sebastián S"/>
    <s v="Rodolfo O"/>
    <n v="115304"/>
    <n v="10640804"/>
    <n v="92.28469758064513"/>
    <n v="104108.57598034492"/>
    <n v="98.5"/>
    <n v="96.5"/>
    <n v="102.20871508230906"/>
    <n v="10280494"/>
  </r>
  <r>
    <x v="3"/>
    <n v="202403"/>
    <x v="2"/>
    <x v="0"/>
    <s v="Sebastián S"/>
    <s v="Rodolfo O"/>
    <n v="115140"/>
    <n v="11348128"/>
    <n v="98.559482526881709"/>
    <n v="0"/>
    <n v="98.5"/>
    <n v="96.5"/>
    <m/>
    <n v="0"/>
  </r>
  <r>
    <x v="12"/>
    <n v="202604"/>
    <x v="0"/>
    <x v="9"/>
    <s v="Sofía V"/>
    <s v="Melany A"/>
    <n v="115132"/>
    <n v="9436243"/>
    <n v="81.960034722224805"/>
    <n v="101730.10039471094"/>
    <n v="96.5"/>
    <n v="94"/>
    <n v="87.753564014610347"/>
    <n v="8927179"/>
  </r>
  <r>
    <x v="17"/>
    <n v="202412"/>
    <x v="2"/>
    <x v="1"/>
    <s v="Sofía V"/>
    <s v="Joe H"/>
    <n v="115120"/>
    <n v="11595524"/>
    <n v="100.72510752688173"/>
    <n v="0"/>
    <n v="94"/>
    <n v="92"/>
    <m/>
    <n v="0"/>
  </r>
  <r>
    <x v="2"/>
    <n v="202605"/>
    <x v="0"/>
    <x v="3"/>
    <s v="Sofía V"/>
    <s v="José A"/>
    <n v="115114"/>
    <n v="8596435"/>
    <n v="74.677815860214878"/>
    <n v="123777.23603853211"/>
    <n v="76.5"/>
    <n v="80"/>
    <n v="67.450733277005639"/>
    <n v="8348865"/>
  </r>
  <r>
    <x v="30"/>
    <n v="202501"/>
    <x v="1"/>
    <x v="10"/>
    <s v="Sebastián S"/>
    <s v="Vik E"/>
    <n v="114960"/>
    <n v="9130389"/>
    <n v="79.422197580645104"/>
    <n v="106061.04696379416"/>
    <n v="101.5"/>
    <n v="97.5"/>
    <n v="86.086164820877372"/>
    <n v="9123322"/>
  </r>
  <r>
    <x v="8"/>
    <n v="202606"/>
    <x v="0"/>
    <x v="11"/>
    <s v="Sebastián S"/>
    <s v="Vik E"/>
    <n v="114958"/>
    <n v="8419492"/>
    <n v="73.239979166668491"/>
    <n v="105648.84895751612"/>
    <n v="88"/>
    <n v="84"/>
    <n v="78.31726123421582"/>
    <n v="8274129"/>
  </r>
  <r>
    <x v="30"/>
    <n v="202511"/>
    <x v="1"/>
    <x v="7"/>
    <s v="Sebastián S"/>
    <s v="Vik E"/>
    <n v="114898"/>
    <n v="9049452"/>
    <n v="78.761034722222234"/>
    <n v="113502.83713522171"/>
    <n v="101.5"/>
    <n v="97.5"/>
    <n v="79.728864655770025"/>
    <n v="9891318"/>
  </r>
  <r>
    <x v="33"/>
    <n v="202412"/>
    <x v="2"/>
    <x v="1"/>
    <s v="Sofía V"/>
    <s v="José A"/>
    <n v="114851"/>
    <n v="11542001"/>
    <n v="100.49502016129014"/>
    <n v="0"/>
    <n v="93.5"/>
    <n v="94"/>
    <m/>
    <n v="0"/>
  </r>
  <r>
    <x v="11"/>
    <n v="202403"/>
    <x v="2"/>
    <x v="0"/>
    <s v="Sofía V"/>
    <s v="José A"/>
    <n v="114631"/>
    <n v="10851679"/>
    <n v="94.665967741935546"/>
    <n v="0"/>
    <n v="86.5"/>
    <n v="81.5"/>
    <m/>
    <n v="0"/>
  </r>
  <r>
    <x v="27"/>
    <n v="202601"/>
    <x v="0"/>
    <x v="10"/>
    <s v="Sofía V"/>
    <s v="Joe H"/>
    <n v="114577"/>
    <n v="6102849"/>
    <n v="53.264072580645177"/>
    <n v="105686.55735389813"/>
    <n v="62"/>
    <n v="58"/>
    <n v="54.66595376698497"/>
    <n v="5777456"/>
  </r>
  <r>
    <x v="2"/>
    <n v="202604"/>
    <x v="0"/>
    <x v="9"/>
    <s v="Sofía V"/>
    <s v="José A"/>
    <n v="114559"/>
    <n v="8231659"/>
    <n v="71.855097222222895"/>
    <n v="115190.70502008517"/>
    <n v="76.5"/>
    <n v="80"/>
    <n v="67.450733277005639"/>
    <n v="7769698"/>
  </r>
  <r>
    <x v="30"/>
    <n v="202504"/>
    <x v="1"/>
    <x v="9"/>
    <s v="Sebastián S"/>
    <s v="Vik E"/>
    <n v="114473"/>
    <n v="8834966"/>
    <n v="77.179375000000036"/>
    <n v="107439.33305773434"/>
    <n v="101.5"/>
    <n v="97.5"/>
    <n v="82.232135834763454"/>
    <n v="9640378"/>
  </r>
  <r>
    <x v="12"/>
    <n v="202602"/>
    <x v="0"/>
    <x v="2"/>
    <s v="Sofía V"/>
    <s v="Melany A"/>
    <n v="114376"/>
    <n v="10208666"/>
    <n v="89.255052083333339"/>
    <n v="107826.18398865969"/>
    <n v="96.5"/>
    <n v="94"/>
    <n v="87.753564014610347"/>
    <n v="9462132"/>
  </r>
  <r>
    <x v="27"/>
    <n v="202602"/>
    <x v="0"/>
    <x v="2"/>
    <s v="Sofía V"/>
    <s v="Joe H"/>
    <n v="114256"/>
    <n v="5908629"/>
    <n v="51.713854166666657"/>
    <n v="101009.50801547768"/>
    <n v="62"/>
    <n v="58"/>
    <n v="54.66595376698497"/>
    <n v="5521781"/>
  </r>
  <r>
    <x v="44"/>
    <n v="202512"/>
    <x v="1"/>
    <x v="1"/>
    <s v="Sebastián S"/>
    <s v="Johanna V"/>
    <n v="114202"/>
    <n v="12076142"/>
    <n v="105.74346774193535"/>
    <n v="112573.49857848899"/>
    <n v="117.5"/>
    <n v="99"/>
    <n v="107.27340202170426"/>
    <n v="11484073"/>
  </r>
  <r>
    <x v="4"/>
    <n v="202604"/>
    <x v="0"/>
    <x v="9"/>
    <s v="Sofía V"/>
    <s v="José A"/>
    <n v="114189"/>
    <n v="10424061"/>
    <n v="91.287437500002099"/>
    <n v="97644.282781550224"/>
    <n v="107.5"/>
    <n v="102.5"/>
    <n v="96.70800932222366"/>
    <n v="9442984"/>
  </r>
  <r>
    <x v="45"/>
    <n v="202512"/>
    <x v="1"/>
    <x v="1"/>
    <s v="Sofía V"/>
    <s v="Joe H"/>
    <n v="114186"/>
    <n v="7893106"/>
    <n v="69.124858870967685"/>
    <n v="107320.04919763489"/>
    <n v="68"/>
    <n v="68.5"/>
    <n v="73.547354469289104"/>
    <n v="7560103"/>
  </r>
  <r>
    <x v="25"/>
    <n v="202603"/>
    <x v="0"/>
    <x v="0"/>
    <s v="Sebastián S"/>
    <s v="Vik E"/>
    <n v="114164"/>
    <n v="8308574"/>
    <n v="72.777278225806484"/>
    <n v="123815.08932177197"/>
    <n v="77"/>
    <n v="79"/>
    <n v="66.09086292651952"/>
    <n v="8183046"/>
  </r>
  <r>
    <x v="11"/>
    <n v="202409"/>
    <x v="2"/>
    <x v="4"/>
    <s v="Sofía V"/>
    <s v="José A"/>
    <n v="114094"/>
    <n v="10320356"/>
    <n v="90.45487499999993"/>
    <n v="0"/>
    <n v="86.5"/>
    <n v="81.5"/>
    <m/>
    <n v="0"/>
  </r>
  <r>
    <x v="11"/>
    <n v="202410"/>
    <x v="2"/>
    <x v="8"/>
    <s v="Sofía V"/>
    <s v="José A"/>
    <n v="114070"/>
    <n v="10230129"/>
    <n v="89.68293682795688"/>
    <n v="0"/>
    <n v="86.5"/>
    <n v="81.5"/>
    <m/>
    <n v="0"/>
  </r>
  <r>
    <x v="20"/>
    <n v="202606"/>
    <x v="0"/>
    <x v="11"/>
    <s v="Sofía V"/>
    <s v="Joe H"/>
    <n v="113900"/>
    <n v="9759385"/>
    <n v="85.684083333335607"/>
    <n v="125461.29316247745"/>
    <n v="96.5"/>
    <n v="96"/>
    <n v="83.321494048065787"/>
    <n v="10453622"/>
  </r>
  <r>
    <x v="46"/>
    <n v="202412"/>
    <x v="2"/>
    <x v="1"/>
    <s v="Sofía V"/>
    <s v="José A"/>
    <n v="113878"/>
    <n v="6913636"/>
    <n v="60.710981182795706"/>
    <n v="0"/>
    <n v="58"/>
    <n v="58.5"/>
    <m/>
    <n v="0"/>
  </r>
  <r>
    <x v="47"/>
    <n v="202605"/>
    <x v="0"/>
    <x v="3"/>
    <s v="Sebastián S"/>
    <s v="Vik E"/>
    <n v="113845"/>
    <n v="4505835"/>
    <n v="39.578649193548237"/>
    <n v="87459.384834373748"/>
    <n v="61.5"/>
    <n v="48.5"/>
    <n v="53.715920394326645"/>
    <n v="4697961"/>
  </r>
  <r>
    <x v="30"/>
    <n v="202508"/>
    <x v="1"/>
    <x v="5"/>
    <s v="Sebastián S"/>
    <s v="Vik E"/>
    <n v="113819"/>
    <n v="8708722"/>
    <n v="76.513998655914008"/>
    <n v="116893.381312774"/>
    <n v="101.5"/>
    <n v="97.5"/>
    <n v="74.501415240080149"/>
    <n v="9381613"/>
  </r>
  <r>
    <x v="46"/>
    <n v="202512"/>
    <x v="1"/>
    <x v="1"/>
    <s v="Sofía V"/>
    <s v="José A"/>
    <n v="113816"/>
    <n v="6577991"/>
    <n v="57.795161290322547"/>
    <n v="119571.73802944807"/>
    <n v="58"/>
    <n v="58.5"/>
    <n v="55.012923441657897"/>
    <n v="7340783"/>
  </r>
  <r>
    <x v="37"/>
    <n v="202412"/>
    <x v="2"/>
    <x v="1"/>
    <s v="Sofía V"/>
    <s v="Melany A"/>
    <n v="113802"/>
    <n v="8856171"/>
    <n v="77.821041666666659"/>
    <n v="0"/>
    <n v="72.5"/>
    <n v="68.5"/>
    <m/>
    <n v="0"/>
  </r>
  <r>
    <x v="33"/>
    <n v="202605"/>
    <x v="0"/>
    <x v="3"/>
    <s v="Sofía V"/>
    <s v="José A"/>
    <n v="113745"/>
    <n v="9421685"/>
    <n v="82.831922043010792"/>
    <n v="108438.12906216738"/>
    <n v="93.5"/>
    <n v="94"/>
    <n v="84.619508156945685"/>
    <n v="9175981"/>
  </r>
  <r>
    <x v="32"/>
    <n v="202503"/>
    <x v="1"/>
    <x v="0"/>
    <s v="Sofía V"/>
    <s v="Melany A"/>
    <n v="113640"/>
    <n v="7510713"/>
    <n v="66.091948924731128"/>
    <n v="95306.852716712892"/>
    <n v="75.5"/>
    <n v="68"/>
    <n v="78.80559032123962"/>
    <n v="6833724"/>
  </r>
  <r>
    <x v="7"/>
    <n v="202604"/>
    <x v="0"/>
    <x v="9"/>
    <s v="Sebastián S"/>
    <s v="Rodolfo O"/>
    <n v="113601"/>
    <n v="6454839"/>
    <n v="56.82006944444543"/>
    <n v="108045.81832211188"/>
    <n v="65.5"/>
    <n v="63"/>
    <n v="55.389519717073902"/>
    <n v="5984606"/>
  </r>
  <r>
    <x v="16"/>
    <n v="202602"/>
    <x v="0"/>
    <x v="2"/>
    <s v="Sofía V"/>
    <s v="José A"/>
    <n v="113574"/>
    <n v="6425457"/>
    <n v="56.57531250000001"/>
    <n v="114589.300985807"/>
    <n v="64"/>
    <n v="67"/>
    <n v="56.429371630436094"/>
    <n v="6466202"/>
  </r>
  <r>
    <x v="2"/>
    <n v="202409"/>
    <x v="2"/>
    <x v="4"/>
    <s v="Sofía V"/>
    <s v="José A"/>
    <n v="113546"/>
    <n v="7203165"/>
    <n v="63.438131944444457"/>
    <n v="0"/>
    <n v="76.5"/>
    <n v="80"/>
    <m/>
    <n v="0"/>
  </r>
  <r>
    <x v="48"/>
    <n v="202512"/>
    <x v="1"/>
    <x v="1"/>
    <s v="Hernán P"/>
    <s v="Daniel R"/>
    <n v="113531"/>
    <n v="7816020"/>
    <n v="68.844717741935526"/>
    <n v="114263.59947629497"/>
    <n v="79.5"/>
    <n v="72.5"/>
    <n v="68.403409973282905"/>
    <n v="7788591"/>
  </r>
  <r>
    <x v="2"/>
    <n v="202408"/>
    <x v="2"/>
    <x v="5"/>
    <s v="Sofía V"/>
    <s v="José A"/>
    <n v="113530"/>
    <n v="7838078"/>
    <n v="69.039758064516064"/>
    <n v="0"/>
    <n v="76.5"/>
    <n v="80"/>
    <m/>
    <n v="0"/>
  </r>
  <r>
    <x v="15"/>
    <n v="202510"/>
    <x v="1"/>
    <x v="8"/>
    <s v="Sofía V"/>
    <s v="Joe H"/>
    <n v="113507"/>
    <n v="9141348"/>
    <n v="80.535611559139824"/>
    <n v="105686.79949896064"/>
    <n v="101"/>
    <n v="105"/>
    <n v="86.494697287998548"/>
    <n v="10394525"/>
  </r>
  <r>
    <x v="25"/>
    <n v="202503"/>
    <x v="1"/>
    <x v="0"/>
    <s v="Sebastián S"/>
    <s v="Vik E"/>
    <n v="113423"/>
    <n v="7890988"/>
    <n v="69.571485215053769"/>
    <n v="116623.24429289803"/>
    <n v="77"/>
    <n v="79"/>
    <n v="67.662219893161847"/>
    <n v="7473181"/>
  </r>
  <r>
    <x v="49"/>
    <n v="202412"/>
    <x v="2"/>
    <x v="1"/>
    <s v="Sebastián S"/>
    <s v="Vik E"/>
    <n v="113417"/>
    <n v="7192880"/>
    <n v="63.419576612903235"/>
    <n v="0"/>
    <n v="66"/>
    <n v="64.5"/>
    <m/>
    <n v="0"/>
  </r>
  <r>
    <x v="38"/>
    <n v="202603"/>
    <x v="0"/>
    <x v="0"/>
    <s v="Sofía V"/>
    <s v="Melany A"/>
    <n v="113388"/>
    <n v="6308309"/>
    <n v="55.634616935483884"/>
    <n v="126513.57646179434"/>
    <n v="56"/>
    <n v="60"/>
    <n v="48.493991244906013"/>
    <n v="6135148"/>
  </r>
  <r>
    <x v="3"/>
    <n v="202407"/>
    <x v="2"/>
    <x v="6"/>
    <s v="Sebastián S"/>
    <s v="Rodolfo O"/>
    <n v="113273"/>
    <n v="11069671"/>
    <n v="97.725598118279592"/>
    <n v="0"/>
    <n v="98.5"/>
    <n v="96.5"/>
    <m/>
    <n v="0"/>
  </r>
  <r>
    <x v="40"/>
    <n v="202512"/>
    <x v="1"/>
    <x v="1"/>
    <s v="Sebastián S"/>
    <s v="Johanna V"/>
    <n v="113271"/>
    <n v="11925593"/>
    <n v="105.28338709677412"/>
    <n v="109906.54280138739"/>
    <n v="106"/>
    <n v="102.5"/>
    <n v="108.50667481690138"/>
    <n v="13582118"/>
  </r>
  <r>
    <x v="15"/>
    <n v="202406"/>
    <x v="2"/>
    <x v="11"/>
    <s v="Sofía V"/>
    <s v="Joe H"/>
    <n v="113231"/>
    <n v="9303796"/>
    <n v="82.166194444444443"/>
    <n v="0"/>
    <n v="101"/>
    <n v="105"/>
    <m/>
    <n v="0"/>
  </r>
  <r>
    <x v="25"/>
    <n v="202605"/>
    <x v="0"/>
    <x v="3"/>
    <s v="Sebastián S"/>
    <s v="Vik E"/>
    <n v="113228"/>
    <n v="7841199"/>
    <n v="69.251122311828112"/>
    <n v="108025.58602446713"/>
    <n v="77"/>
    <n v="79"/>
    <n v="66.09086292651952"/>
    <n v="7139504"/>
  </r>
  <r>
    <x v="5"/>
    <n v="202511"/>
    <x v="1"/>
    <x v="7"/>
    <s v="Sebastián S"/>
    <s v="Rodolfo O"/>
    <n v="113218"/>
    <n v="6664780"/>
    <n v="58.866840277777797"/>
    <n v="101986.27833970977"/>
    <n v="68.5"/>
    <n v="66"/>
    <n v="65.349771542795622"/>
    <n v="5482192"/>
  </r>
  <r>
    <x v="50"/>
    <n v="202512"/>
    <x v="1"/>
    <x v="1"/>
    <s v="Sebastián S"/>
    <s v="Vik E"/>
    <n v="113122"/>
    <n v="8279830"/>
    <n v="73.194126344086001"/>
    <n v="114418.82787974927"/>
    <n v="75.5"/>
    <n v="74"/>
    <n v="72.364230200835934"/>
    <n v="10680923"/>
  </r>
  <r>
    <x v="32"/>
    <n v="202603"/>
    <x v="0"/>
    <x v="0"/>
    <s v="Sofía V"/>
    <s v="Melany A"/>
    <n v="113038"/>
    <n v="7311690"/>
    <n v="64.683198924731201"/>
    <n v="109425.83890846046"/>
    <n v="75.5"/>
    <n v="68"/>
    <n v="66.56902434528007"/>
    <n v="7284371"/>
  </r>
  <r>
    <x v="20"/>
    <n v="202411"/>
    <x v="2"/>
    <x v="7"/>
    <s v="Sofía V"/>
    <s v="Joe H"/>
    <n v="113027"/>
    <n v="9877133"/>
    <n v="87.387416666666738"/>
    <n v="0"/>
    <n v="96.5"/>
    <n v="96"/>
    <m/>
    <n v="0"/>
  </r>
  <r>
    <x v="51"/>
    <n v="202512"/>
    <x v="1"/>
    <x v="1"/>
    <s v="Sofía V"/>
    <s v="Melany A"/>
    <n v="112935"/>
    <n v="4221961"/>
    <n v="37.383998655913963"/>
    <n v="96698.888088882144"/>
    <n v="43.5"/>
    <n v="41"/>
    <n v="43.660905760563921"/>
    <n v="4543170"/>
  </r>
  <r>
    <x v="2"/>
    <n v="202411"/>
    <x v="2"/>
    <x v="7"/>
    <s v="Sofía V"/>
    <s v="José A"/>
    <n v="112851"/>
    <n v="7632668"/>
    <n v="67.634729166666631"/>
    <n v="0"/>
    <n v="76.5"/>
    <n v="80"/>
    <m/>
    <n v="0"/>
  </r>
  <r>
    <x v="48"/>
    <n v="202603"/>
    <x v="0"/>
    <x v="0"/>
    <s v="Hernán P"/>
    <s v="Daniel R"/>
    <n v="112841"/>
    <n v="7288715"/>
    <n v="64.59301747311828"/>
    <n v="117601.53215495934"/>
    <n v="79.5"/>
    <n v="72.5"/>
    <n v="64.209802769832038"/>
    <n v="7551171"/>
  </r>
  <r>
    <x v="7"/>
    <n v="202602"/>
    <x v="0"/>
    <x v="2"/>
    <s v="Sebastián S"/>
    <s v="Rodolfo O"/>
    <n v="112809"/>
    <n v="6631508"/>
    <n v="58.785260416666652"/>
    <n v="95873.406646692165"/>
    <n v="65.5"/>
    <n v="63"/>
    <n v="55.389519717073902"/>
    <n v="5310382"/>
  </r>
  <r>
    <x v="35"/>
    <n v="202512"/>
    <x v="1"/>
    <x v="1"/>
    <s v="Hernán P"/>
    <s v="Daniel R"/>
    <n v="112766"/>
    <n v="14605856"/>
    <n v="129.52314516129019"/>
    <n v="110829.52287331934"/>
    <n v="140.5"/>
    <n v="125.5"/>
    <n v="131.78669168047247"/>
    <n v="15121050"/>
  </r>
  <r>
    <x v="19"/>
    <n v="202412"/>
    <x v="2"/>
    <x v="1"/>
    <s v="Sofía V"/>
    <s v="Joe H"/>
    <n v="112691"/>
    <n v="7326613"/>
    <n v="65.015275537634423"/>
    <n v="0"/>
    <n v="57.5"/>
    <n v="56.5"/>
    <m/>
    <n v="0"/>
  </r>
  <r>
    <x v="6"/>
    <n v="202606"/>
    <x v="0"/>
    <x v="11"/>
    <s v="Sebastián S"/>
    <s v="Vik E"/>
    <n v="112676"/>
    <n v="9874453"/>
    <n v="87.635576388891252"/>
    <n v="110012.30028771533"/>
    <n v="100"/>
    <n v="98"/>
    <n v="86.393284871267369"/>
    <n v="9504324"/>
  </r>
  <r>
    <x v="3"/>
    <n v="202507"/>
    <x v="1"/>
    <x v="6"/>
    <s v="Sebastián S"/>
    <s v="Rodolfo O"/>
    <n v="112663"/>
    <n v="10570689"/>
    <n v="93.825873655913981"/>
    <n v="118936.64682340669"/>
    <n v="98.5"/>
    <n v="96.5"/>
    <n v="88.876632495743877"/>
    <n v="11329608"/>
  </r>
  <r>
    <x v="30"/>
    <n v="202507"/>
    <x v="1"/>
    <x v="6"/>
    <s v="Sebastián S"/>
    <s v="Vik E"/>
    <n v="112646"/>
    <n v="8679367"/>
    <n v="77.050053763440872"/>
    <n v="116798.02756990527"/>
    <n v="101.5"/>
    <n v="97.5"/>
    <n v="74.310906447502063"/>
    <n v="10044018"/>
  </r>
  <r>
    <x v="52"/>
    <n v="202512"/>
    <x v="1"/>
    <x v="1"/>
    <s v="Sebastián S"/>
    <s v="Vik E"/>
    <n v="112637"/>
    <n v="8640643"/>
    <n v="76.712143817204236"/>
    <n v="114005.53612066893"/>
    <n v="80"/>
    <n v="78"/>
    <n v="75.791433416481894"/>
    <n v="9340407"/>
  </r>
  <r>
    <x v="11"/>
    <n v="202501"/>
    <x v="1"/>
    <x v="10"/>
    <s v="Sofía V"/>
    <s v="José A"/>
    <n v="112628"/>
    <n v="10022142"/>
    <n v="88.984583333333205"/>
    <n v="112155.22207329926"/>
    <n v="86.5"/>
    <n v="81.5"/>
    <n v="89.35956957447786"/>
    <n v="9614086"/>
  </r>
  <r>
    <x v="15"/>
    <n v="202505"/>
    <x v="1"/>
    <x v="3"/>
    <s v="Sofía V"/>
    <s v="Joe H"/>
    <n v="112608"/>
    <n v="9158754"/>
    <n v="81.33303763440864"/>
    <n v="107838.91998409382"/>
    <n v="101"/>
    <n v="105"/>
    <n v="84.929952853301117"/>
    <n v="9413634"/>
  </r>
  <r>
    <x v="11"/>
    <n v="202502"/>
    <x v="1"/>
    <x v="2"/>
    <s v="Sofía V"/>
    <s v="José A"/>
    <n v="112557"/>
    <n v="9340743"/>
    <n v="82.986666666666665"/>
    <n v="100220.17229747995"/>
    <n v="86.5"/>
    <n v="81.5"/>
    <n v="93.20222132799978"/>
    <n v="8812657"/>
  </r>
  <r>
    <x v="42"/>
    <n v="202602"/>
    <x v="0"/>
    <x v="2"/>
    <s v="Hernán P"/>
    <s v="Daniel R"/>
    <n v="112510"/>
    <n v="2639017"/>
    <n v="23.455937500000008"/>
    <n v="123027.24641692521"/>
    <n v="22.5"/>
    <n v="21"/>
    <n v="19.647967156057994"/>
    <n v="2417235"/>
  </r>
  <r>
    <x v="12"/>
    <n v="202503"/>
    <x v="1"/>
    <x v="0"/>
    <s v="Sofía V"/>
    <s v="Melany A"/>
    <n v="112300"/>
    <n v="11175328"/>
    <n v="99.512997311827988"/>
    <n v="121878.17850313014"/>
    <n v="96.5"/>
    <n v="94"/>
    <n v="91.692607382649655"/>
    <n v="10799054"/>
  </r>
  <r>
    <x v="44"/>
    <n v="202605"/>
    <x v="0"/>
    <x v="3"/>
    <s v="Sebastián S"/>
    <s v="Johanna V"/>
    <n v="112187"/>
    <n v="9852862"/>
    <n v="87.82506720430159"/>
    <n v="99247.099121789361"/>
    <n v="117.5"/>
    <n v="99"/>
    <n v="98.005014700369543"/>
    <n v="9726713"/>
  </r>
  <r>
    <x v="53"/>
    <n v="202512"/>
    <x v="1"/>
    <x v="1"/>
    <s v="Sebastián S"/>
    <s v="Johanna V"/>
    <n v="112175"/>
    <n v="6930340"/>
    <n v="61.781774193548337"/>
    <n v="107087.48614588447"/>
    <n v="68"/>
    <n v="60.5"/>
    <n v="64.716617593944193"/>
    <n v="7477236"/>
  </r>
  <r>
    <x v="35"/>
    <n v="202604"/>
    <x v="0"/>
    <x v="9"/>
    <s v="Hernán P"/>
    <s v="Daniel R"/>
    <n v="112023"/>
    <n v="12413583"/>
    <n v="110.81277083333538"/>
    <n v="104364.30202775045"/>
    <n v="140.5"/>
    <n v="125.5"/>
    <n v="117.18897502469719"/>
    <n v="12230346"/>
  </r>
  <r>
    <x v="8"/>
    <n v="202508"/>
    <x v="1"/>
    <x v="5"/>
    <s v="Sebastián S"/>
    <s v="Vik E"/>
    <n v="112009"/>
    <n v="8084035"/>
    <n v="72.173104838709719"/>
    <n v="102473.78464691582"/>
    <n v="88"/>
    <n v="84"/>
    <n v="78.888807882468555"/>
    <n v="7941669"/>
  </r>
  <r>
    <x v="6"/>
    <n v="202505"/>
    <x v="1"/>
    <x v="3"/>
    <s v="Sebastián S"/>
    <s v="Vik E"/>
    <n v="112007"/>
    <n v="9939149"/>
    <n v="88.736948924731195"/>
    <n v="110379.5220813425"/>
    <n v="100"/>
    <n v="98"/>
    <n v="90.045226982188723"/>
    <n v="10084544"/>
  </r>
  <r>
    <x v="3"/>
    <n v="202508"/>
    <x v="1"/>
    <x v="5"/>
    <s v="Sebastián S"/>
    <s v="Rodolfo O"/>
    <n v="111956"/>
    <n v="9998396"/>
    <n v="89.306310483870917"/>
    <n v="111137.79398593061"/>
    <n v="98.5"/>
    <n v="96.5"/>
    <n v="89.963957996734564"/>
    <n v="10154262"/>
  </r>
  <r>
    <x v="54"/>
    <n v="202503"/>
    <x v="1"/>
    <x v="0"/>
    <s v="Sebastián S"/>
    <s v="Rodolfo O"/>
    <n v="111907"/>
    <n v="8746879"/>
    <n v="78.161821236559135"/>
    <n v="96449.25833410272"/>
    <n v="80"/>
    <n v="80.5"/>
    <n v="90.688916649836628"/>
    <n v="7743438"/>
  </r>
  <r>
    <x v="55"/>
    <n v="202512"/>
    <x v="1"/>
    <x v="1"/>
    <s v="Sebastián S"/>
    <s v="Vik E"/>
    <n v="111879"/>
    <n v="6595512"/>
    <n v="58.951948924731155"/>
    <n v="116008.86282863523"/>
    <n v="69.5"/>
    <n v="59"/>
    <n v="56.853521439501499"/>
    <n v="8471976"/>
  </r>
  <r>
    <x v="22"/>
    <n v="202412"/>
    <x v="2"/>
    <x v="1"/>
    <s v="Sebastián S"/>
    <s v="Johanna V"/>
    <n v="111799"/>
    <n v="11909829"/>
    <n v="106.52936827956984"/>
    <n v="0"/>
    <n v="104.5"/>
    <n v="99"/>
    <m/>
    <n v="0"/>
  </r>
  <r>
    <x v="35"/>
    <n v="202503"/>
    <x v="1"/>
    <x v="0"/>
    <s v="Hernán P"/>
    <s v="Daniel R"/>
    <n v="111742"/>
    <n v="12988869"/>
    <n v="116.23979838709668"/>
    <n v="105012.76278606373"/>
    <n v="140.5"/>
    <n v="125.5"/>
    <n v="123.68847809919494"/>
    <n v="12488503"/>
  </r>
  <r>
    <x v="36"/>
    <n v="202603"/>
    <x v="0"/>
    <x v="0"/>
    <s v="Sebastián S"/>
    <s v="Rodolfo O"/>
    <n v="111742"/>
    <n v="8123887"/>
    <n v="72.702291666666682"/>
    <n v="107563.72139819503"/>
    <n v="81"/>
    <n v="77"/>
    <n v="69.978560745726568"/>
    <n v="7527154"/>
  </r>
  <r>
    <x v="37"/>
    <n v="202504"/>
    <x v="1"/>
    <x v="9"/>
    <s v="Sofía V"/>
    <s v="Melany A"/>
    <n v="111708"/>
    <n v="6293126"/>
    <n v="56.335659722222246"/>
    <n v="86279.360496622845"/>
    <n v="72.5"/>
    <n v="68.5"/>
    <n v="72.938949869086343"/>
    <n v="6005486"/>
  </r>
  <r>
    <x v="17"/>
    <n v="202503"/>
    <x v="1"/>
    <x v="0"/>
    <s v="Sofía V"/>
    <s v="Joe H"/>
    <n v="111589"/>
    <n v="9712754"/>
    <n v="87.040295698924751"/>
    <n v="110717.68015118259"/>
    <n v="94"/>
    <n v="92"/>
    <n v="87.725409950221533"/>
    <n v="8717409"/>
  </r>
  <r>
    <x v="7"/>
    <n v="202511"/>
    <x v="1"/>
    <x v="7"/>
    <s v="Sebastián S"/>
    <s v="Rodolfo O"/>
    <n v="111571"/>
    <n v="6420690"/>
    <n v="57.54777777777781"/>
    <n v="98049.065197058284"/>
    <n v="65.5"/>
    <n v="63"/>
    <n v="65.484455635510116"/>
    <n v="4412180"/>
  </r>
  <r>
    <x v="8"/>
    <n v="202601"/>
    <x v="0"/>
    <x v="10"/>
    <s v="Sebastián S"/>
    <s v="Vik E"/>
    <n v="111534"/>
    <n v="8810471"/>
    <n v="78.993588709677411"/>
    <n v="103102.31612864764"/>
    <n v="88"/>
    <n v="84"/>
    <n v="78.31726123421582"/>
    <n v="8074691"/>
  </r>
  <r>
    <x v="11"/>
    <n v="202506"/>
    <x v="1"/>
    <x v="11"/>
    <s v="Sofía V"/>
    <s v="José A"/>
    <n v="111464"/>
    <n v="10118432"/>
    <n v="90.777312499999979"/>
    <n v="116196.2081967853"/>
    <n v="86.5"/>
    <n v="81.5"/>
    <n v="87.080572912188543"/>
    <n v="10586056"/>
  </r>
  <r>
    <x v="16"/>
    <n v="202508"/>
    <x v="1"/>
    <x v="5"/>
    <s v="Sofía V"/>
    <s v="José A"/>
    <n v="111410"/>
    <n v="5937900"/>
    <n v="53.297802419354859"/>
    <n v="105731.88988755093"/>
    <n v="64"/>
    <n v="67"/>
    <n v="56.15996901516786"/>
    <n v="5555332"/>
  </r>
  <r>
    <x v="16"/>
    <n v="202402"/>
    <x v="2"/>
    <x v="2"/>
    <s v="Sofía V"/>
    <s v="José A"/>
    <n v="111390"/>
    <n v="5827306"/>
    <n v="52.314590517241385"/>
    <n v="0"/>
    <n v="64"/>
    <n v="67"/>
    <m/>
    <n v="0"/>
  </r>
  <r>
    <x v="13"/>
    <n v="202412"/>
    <x v="2"/>
    <x v="1"/>
    <s v="Sebastián S"/>
    <s v="Rodolfo O"/>
    <n v="111335"/>
    <n v="9277996"/>
    <n v="83.334294354838732"/>
    <n v="0"/>
    <n v="78"/>
    <n v="74.5"/>
    <m/>
    <n v="0"/>
  </r>
  <r>
    <x v="30"/>
    <n v="202408"/>
    <x v="2"/>
    <x v="5"/>
    <s v="Sebastián S"/>
    <s v="Vik E"/>
    <n v="111327"/>
    <n v="9098427"/>
    <n v="81.727022849462344"/>
    <n v="0"/>
    <n v="101.5"/>
    <n v="97.5"/>
    <m/>
    <n v="0"/>
  </r>
  <r>
    <x v="37"/>
    <n v="202407"/>
    <x v="2"/>
    <x v="6"/>
    <s v="Sofía V"/>
    <s v="Melany A"/>
    <n v="111280"/>
    <n v="6556586"/>
    <n v="58.919536290322583"/>
    <n v="0"/>
    <n v="72.5"/>
    <n v="68.5"/>
    <m/>
    <n v="0"/>
  </r>
  <r>
    <x v="30"/>
    <n v="202407"/>
    <x v="2"/>
    <x v="6"/>
    <s v="Sebastián S"/>
    <s v="Vik E"/>
    <n v="111236"/>
    <n v="9643425"/>
    <n v="86.693212365591421"/>
    <n v="0"/>
    <n v="101.5"/>
    <n v="97.5"/>
    <m/>
    <n v="0"/>
  </r>
  <r>
    <x v="12"/>
    <n v="202605"/>
    <x v="0"/>
    <x v="3"/>
    <s v="Sofía V"/>
    <s v="Melany A"/>
    <n v="111235"/>
    <n v="9115554"/>
    <n v="81.948877688171194"/>
    <n v="102554.75771447453"/>
    <n v="96.5"/>
    <n v="94"/>
    <n v="87.753564014610347"/>
    <n v="8999545"/>
  </r>
  <r>
    <x v="15"/>
    <n v="202606"/>
    <x v="0"/>
    <x v="11"/>
    <s v="Sofía V"/>
    <s v="Joe H"/>
    <n v="111213"/>
    <n v="9523313"/>
    <n v="85.631437500002036"/>
    <n v="98147.556110494057"/>
    <n v="101"/>
    <n v="105"/>
    <n v="90.439897606894348"/>
    <n v="8876455"/>
  </r>
  <r>
    <x v="2"/>
    <n v="202505"/>
    <x v="1"/>
    <x v="3"/>
    <s v="Sofía V"/>
    <s v="José A"/>
    <n v="111168"/>
    <n v="7799406"/>
    <n v="70.159005376344041"/>
    <n v="106664.00732659786"/>
    <n v="76.5"/>
    <n v="80"/>
    <n v="73.121253602621124"/>
    <n v="7767000"/>
  </r>
  <r>
    <x v="20"/>
    <n v="202501"/>
    <x v="1"/>
    <x v="10"/>
    <s v="Sofía V"/>
    <s v="Joe H"/>
    <n v="111167"/>
    <n v="9611332"/>
    <n v="86.458467741935451"/>
    <n v="111072.02177140661"/>
    <n v="96.5"/>
    <n v="96"/>
    <n v="86.532432620887562"/>
    <n v="9212826"/>
  </r>
  <r>
    <x v="10"/>
    <n v="202403"/>
    <x v="2"/>
    <x v="0"/>
    <s v="Sofía V"/>
    <s v="Melany A"/>
    <n v="111150"/>
    <n v="12471200"/>
    <n v="112.20125000000007"/>
    <n v="0"/>
    <n v="125"/>
    <n v="118.5"/>
    <m/>
    <n v="0"/>
  </r>
  <r>
    <x v="20"/>
    <n v="202403"/>
    <x v="2"/>
    <x v="0"/>
    <s v="Sofía V"/>
    <s v="Joe H"/>
    <n v="111076"/>
    <n v="10383992"/>
    <n v="93.485799731182766"/>
    <n v="0"/>
    <n v="96.5"/>
    <n v="96"/>
    <m/>
    <n v="0"/>
  </r>
  <r>
    <x v="25"/>
    <n v="202403"/>
    <x v="2"/>
    <x v="0"/>
    <s v="Sebastián S"/>
    <s v="Vik E"/>
    <n v="111070"/>
    <n v="7404395"/>
    <n v="66.664368279569885"/>
    <n v="0"/>
    <n v="77"/>
    <n v="79"/>
    <m/>
    <n v="0"/>
  </r>
  <r>
    <x v="17"/>
    <n v="202602"/>
    <x v="0"/>
    <x v="2"/>
    <s v="Sofía V"/>
    <s v="Joe H"/>
    <n v="111022"/>
    <n v="9209972"/>
    <n v="82.955937500000005"/>
    <n v="96949.833778636981"/>
    <n v="94"/>
    <n v="92"/>
    <n v="81.933174564661712"/>
    <n v="7943408"/>
  </r>
  <r>
    <x v="36"/>
    <n v="202605"/>
    <x v="0"/>
    <x v="3"/>
    <s v="Sebastián S"/>
    <s v="Rodolfo O"/>
    <n v="110956"/>
    <n v="7695273"/>
    <n v="69.354287634408436"/>
    <n v="93403.795211652076"/>
    <n v="81"/>
    <n v="77"/>
    <n v="69.978560745726568"/>
    <n v="6536263"/>
  </r>
  <r>
    <x v="34"/>
    <n v="202512"/>
    <x v="1"/>
    <x v="1"/>
    <s v="Hernán P"/>
    <s v="Daniel R"/>
    <n v="110948"/>
    <n v="1591718"/>
    <n v="14.346471774193535"/>
    <n v="109360.52258677871"/>
    <n v="15"/>
    <n v="15"/>
    <n v="14.554772438445104"/>
    <n v="1527267"/>
  </r>
  <r>
    <x v="36"/>
    <n v="202412"/>
    <x v="2"/>
    <x v="1"/>
    <s v="Sebastián S"/>
    <s v="Rodolfo O"/>
    <n v="110810"/>
    <n v="9158060"/>
    <n v="82.646290322580654"/>
    <n v="0"/>
    <n v="81"/>
    <n v="77"/>
    <m/>
    <n v="0"/>
  </r>
  <r>
    <x v="15"/>
    <n v="202408"/>
    <x v="2"/>
    <x v="5"/>
    <s v="Sofía V"/>
    <s v="Joe H"/>
    <n v="110775"/>
    <n v="9520567"/>
    <n v="85.945322580645168"/>
    <n v="0"/>
    <n v="101"/>
    <n v="105"/>
    <m/>
    <n v="0"/>
  </r>
  <r>
    <x v="25"/>
    <n v="202407"/>
    <x v="2"/>
    <x v="6"/>
    <s v="Sebastián S"/>
    <s v="Vik E"/>
    <n v="110770"/>
    <n v="7572535"/>
    <n v="68.362856182795724"/>
    <n v="0"/>
    <n v="77"/>
    <n v="79"/>
    <m/>
    <n v="0"/>
  </r>
  <r>
    <x v="40"/>
    <n v="202505"/>
    <x v="1"/>
    <x v="3"/>
    <s v="Sebastián S"/>
    <s v="Johanna V"/>
    <n v="110744"/>
    <n v="9124921"/>
    <n v="82.396586021505428"/>
    <n v="87833.923215744595"/>
    <n v="106"/>
    <n v="102.5"/>
    <n v="103.88834980747303"/>
    <n v="9644611"/>
  </r>
  <r>
    <x v="11"/>
    <n v="202504"/>
    <x v="1"/>
    <x v="9"/>
    <s v="Sofía V"/>
    <s v="José A"/>
    <n v="110725"/>
    <n v="9747705"/>
    <n v="88.035305555555553"/>
    <n v="102298.86971491559"/>
    <n v="86.5"/>
    <n v="81.5"/>
    <n v="95.286539012256014"/>
    <n v="10042147"/>
  </r>
  <r>
    <x v="8"/>
    <n v="202602"/>
    <x v="0"/>
    <x v="2"/>
    <s v="Sebastián S"/>
    <s v="Vik E"/>
    <n v="110701"/>
    <n v="8794025"/>
    <n v="79.439114583333321"/>
    <n v="103341.3836829127"/>
    <n v="88"/>
    <n v="84"/>
    <n v="78.31726123421582"/>
    <n v="8093414"/>
  </r>
  <r>
    <x v="2"/>
    <n v="202501"/>
    <x v="1"/>
    <x v="10"/>
    <s v="Sofía V"/>
    <s v="José A"/>
    <n v="110686"/>
    <n v="7809154"/>
    <n v="70.552096774193487"/>
    <n v="115958.24421871296"/>
    <n v="76.5"/>
    <n v="80"/>
    <n v="67.344532703262374"/>
    <n v="8028642"/>
  </r>
  <r>
    <x v="11"/>
    <n v="202406"/>
    <x v="2"/>
    <x v="11"/>
    <s v="Sofía V"/>
    <s v="José A"/>
    <n v="110663"/>
    <n v="10346385"/>
    <n v="93.494479166666622"/>
    <n v="0"/>
    <n v="86.5"/>
    <n v="81.5"/>
    <m/>
    <n v="0"/>
  </r>
  <r>
    <x v="5"/>
    <n v="202604"/>
    <x v="0"/>
    <x v="9"/>
    <s v="Sebastián S"/>
    <s v="Rodolfo O"/>
    <n v="110663"/>
    <n v="6763465"/>
    <n v="61.117826388890578"/>
    <n v="104982.59167440828"/>
    <n v="68.5"/>
    <n v="66"/>
    <n v="59.179400136818131"/>
    <n v="6212807"/>
  </r>
  <r>
    <x v="6"/>
    <n v="202504"/>
    <x v="1"/>
    <x v="9"/>
    <s v="Sebastián S"/>
    <s v="Vik E"/>
    <n v="110654"/>
    <n v="9508746"/>
    <n v="85.932000000000045"/>
    <n v="103125.87984484779"/>
    <n v="100"/>
    <n v="98"/>
    <n v="92.205239890373264"/>
    <n v="10359067"/>
  </r>
  <r>
    <x v="36"/>
    <n v="202606"/>
    <x v="0"/>
    <x v="11"/>
    <s v="Sebastián S"/>
    <s v="Rodolfo O"/>
    <n v="110583"/>
    <n v="6657495"/>
    <n v="60.203500000001135"/>
    <n v="86555.598595529693"/>
    <n v="81"/>
    <n v="77"/>
    <n v="69.978560745726568"/>
    <n v="6057036"/>
  </r>
  <r>
    <x v="30"/>
    <n v="202412"/>
    <x v="2"/>
    <x v="1"/>
    <s v="Sebastián S"/>
    <s v="Vik E"/>
    <n v="110538"/>
    <n v="10830091"/>
    <n v="97.976431451612797"/>
    <n v="0"/>
    <n v="101.5"/>
    <n v="97.5"/>
    <m/>
    <n v="0"/>
  </r>
  <r>
    <x v="23"/>
    <n v="202412"/>
    <x v="2"/>
    <x v="1"/>
    <s v="Sebastián S"/>
    <s v="Rodolfo O"/>
    <n v="110535"/>
    <n v="12374027"/>
    <n v="111.94702956989246"/>
    <n v="0"/>
    <n v="94.5"/>
    <n v="97"/>
    <m/>
    <n v="0"/>
  </r>
  <r>
    <x v="1"/>
    <n v="202502"/>
    <x v="1"/>
    <x v="2"/>
    <s v="Sofía V"/>
    <s v="José A"/>
    <n v="110485"/>
    <n v="6269034"/>
    <n v="56.741093750000005"/>
    <n v="121191.12840772673"/>
    <n v="61"/>
    <n v="60"/>
    <n v="51.728493350675883"/>
    <n v="6362513"/>
  </r>
  <r>
    <x v="55"/>
    <n v="202412"/>
    <x v="2"/>
    <x v="1"/>
    <s v="Sebastián S"/>
    <s v="Vik E"/>
    <n v="110485"/>
    <n v="7641850"/>
    <n v="69.166633064516162"/>
    <n v="0"/>
    <n v="69.5"/>
    <n v="59"/>
    <m/>
    <n v="0"/>
  </r>
  <r>
    <x v="2"/>
    <n v="202401"/>
    <x v="2"/>
    <x v="10"/>
    <s v="Sofía V"/>
    <s v="José A"/>
    <n v="110436"/>
    <n v="7572520"/>
    <n v="68.569045698924697"/>
    <n v="0"/>
    <n v="76.5"/>
    <n v="80"/>
    <m/>
    <n v="0"/>
  </r>
  <r>
    <x v="35"/>
    <n v="202603"/>
    <x v="0"/>
    <x v="0"/>
    <s v="Hernán P"/>
    <s v="Daniel R"/>
    <n v="110399"/>
    <n v="13175582"/>
    <n v="119.34553091397841"/>
    <n v="114549.61121360562"/>
    <n v="140.5"/>
    <n v="125.5"/>
    <n v="117.18897502469719"/>
    <n v="13423952"/>
  </r>
  <r>
    <x v="31"/>
    <n v="202406"/>
    <x v="2"/>
    <x v="11"/>
    <s v="Sofía V"/>
    <s v="Melany A"/>
    <n v="110237"/>
    <n v="11594317"/>
    <n v="105.17660416666673"/>
    <n v="0"/>
    <n v="99"/>
    <n v="32.5"/>
    <m/>
    <n v="0"/>
  </r>
  <r>
    <x v="40"/>
    <n v="202603"/>
    <x v="0"/>
    <x v="0"/>
    <s v="Sebastián S"/>
    <s v="Johanna V"/>
    <n v="110226"/>
    <n v="10091243"/>
    <n v="91.550591397849416"/>
    <n v="114056.08013723641"/>
    <n v="106"/>
    <n v="102.5"/>
    <n v="90.060822135394957"/>
    <n v="10271984"/>
  </r>
  <r>
    <x v="6"/>
    <n v="202507"/>
    <x v="1"/>
    <x v="6"/>
    <s v="Sebastián S"/>
    <s v="Vik E"/>
    <n v="110189"/>
    <n v="9776787"/>
    <n v="88.727352150537669"/>
    <n v="111263.55492807068"/>
    <n v="100"/>
    <n v="98"/>
    <n v="87.870526843407688"/>
    <n v="10189414"/>
  </r>
  <r>
    <x v="5"/>
    <n v="202602"/>
    <x v="0"/>
    <x v="2"/>
    <s v="Sebastián S"/>
    <s v="Rodolfo O"/>
    <n v="110154"/>
    <n v="6817105"/>
    <n v="61.886979166666691"/>
    <n v="103811.10089823078"/>
    <n v="68.5"/>
    <n v="66"/>
    <n v="59.179400136818131"/>
    <n v="6143479"/>
  </r>
  <r>
    <x v="2"/>
    <n v="202410"/>
    <x v="2"/>
    <x v="8"/>
    <s v="Sofía V"/>
    <s v="José A"/>
    <n v="110061"/>
    <n v="7260782"/>
    <n v="65.970483870967726"/>
    <n v="0"/>
    <n v="76.5"/>
    <n v="80"/>
    <m/>
    <n v="0"/>
  </r>
  <r>
    <x v="4"/>
    <n v="202606"/>
    <x v="0"/>
    <x v="11"/>
    <s v="Sofía V"/>
    <s v="José A"/>
    <n v="110050"/>
    <n v="9765595"/>
    <n v="88.738125000002739"/>
    <n v="93000.708306723303"/>
    <n v="107.5"/>
    <n v="102.5"/>
    <n v="96.70800932222366"/>
    <n v="8993913"/>
  </r>
  <r>
    <x v="15"/>
    <n v="202504"/>
    <x v="1"/>
    <x v="9"/>
    <s v="Sofía V"/>
    <s v="Joe H"/>
    <n v="110002"/>
    <n v="9071064"/>
    <n v="82.462527777777865"/>
    <n v="109637.28017857777"/>
    <n v="101"/>
    <n v="105"/>
    <n v="82.737035844240253"/>
    <n v="9802363"/>
  </r>
  <r>
    <x v="3"/>
    <n v="202509"/>
    <x v="1"/>
    <x v="4"/>
    <s v="Sebastián S"/>
    <s v="Rodolfo O"/>
    <n v="109969"/>
    <n v="8986833"/>
    <n v="81.721451388888951"/>
    <n v="103048.32384519652"/>
    <n v="98.5"/>
    <n v="96.5"/>
    <n v="87.209888377227728"/>
    <n v="9449895"/>
  </r>
  <r>
    <x v="12"/>
    <n v="202511"/>
    <x v="1"/>
    <x v="7"/>
    <s v="Sofía V"/>
    <s v="Melany A"/>
    <n v="109801"/>
    <n v="9055149"/>
    <n v="82.469090277777809"/>
    <n v="99988.056001644392"/>
    <n v="96.5"/>
    <n v="94"/>
    <n v="90.562307360501919"/>
    <n v="8241357"/>
  </r>
  <r>
    <x v="9"/>
    <n v="202403"/>
    <x v="2"/>
    <x v="0"/>
    <s v="Sofía V"/>
    <s v="Joe H"/>
    <n v="109799"/>
    <n v="7494314"/>
    <n v="68.254751344086031"/>
    <n v="0"/>
    <n v="70.5"/>
    <n v="69.5"/>
    <m/>
    <n v="0"/>
  </r>
  <r>
    <x v="32"/>
    <n v="202412"/>
    <x v="2"/>
    <x v="1"/>
    <s v="Sofía V"/>
    <s v="Melany A"/>
    <n v="109756"/>
    <n v="7967134"/>
    <n v="72.589717741935473"/>
    <n v="0"/>
    <n v="75.5"/>
    <n v="68"/>
    <m/>
    <n v="0"/>
  </r>
  <r>
    <x v="2"/>
    <n v="202606"/>
    <x v="0"/>
    <x v="11"/>
    <s v="Sofía V"/>
    <s v="José A"/>
    <n v="109674"/>
    <n v="7796493"/>
    <n v="71.087625000001495"/>
    <n v="121294.30267571435"/>
    <n v="76.5"/>
    <n v="80"/>
    <n v="67.450733277005639"/>
    <n v="8181390"/>
  </r>
  <r>
    <x v="8"/>
    <n v="202403"/>
    <x v="2"/>
    <x v="0"/>
    <s v="Sebastián S"/>
    <s v="Vik E"/>
    <n v="109670"/>
    <n v="9355427"/>
    <n v="85.30492607526881"/>
    <n v="0"/>
    <n v="88"/>
    <n v="84"/>
    <m/>
    <n v="0"/>
  </r>
  <r>
    <x v="47"/>
    <n v="202512"/>
    <x v="1"/>
    <x v="1"/>
    <s v="Sebastián S"/>
    <s v="Vik E"/>
    <n v="109665"/>
    <n v="5613454"/>
    <n v="51.18721774193547"/>
    <n v="98723.498187989404"/>
    <n v="61.5"/>
    <n v="48.5"/>
    <n v="56.860368028195808"/>
    <n v="6567747"/>
  </r>
  <r>
    <x v="4"/>
    <n v="202507"/>
    <x v="1"/>
    <x v="6"/>
    <s v="Sofía V"/>
    <s v="José A"/>
    <n v="109575"/>
    <n v="10512165"/>
    <n v="95.935893817204345"/>
    <n v="106631.81353985007"/>
    <n v="107.5"/>
    <n v="102.5"/>
    <n v="98.583759958949116"/>
    <n v="11151548"/>
  </r>
  <r>
    <x v="5"/>
    <n v="202403"/>
    <x v="2"/>
    <x v="0"/>
    <s v="Sebastián S"/>
    <s v="Rodolfo O"/>
    <n v="109449"/>
    <n v="6976996"/>
    <n v="63.746572580645157"/>
    <n v="0"/>
    <n v="68.5"/>
    <n v="66"/>
    <m/>
    <n v="0"/>
  </r>
  <r>
    <x v="3"/>
    <n v="202504"/>
    <x v="1"/>
    <x v="9"/>
    <s v="Sebastián S"/>
    <s v="Rodolfo O"/>
    <n v="109401"/>
    <n v="9825275"/>
    <n v="89.809562500000069"/>
    <n v="102565.80748755697"/>
    <n v="98.5"/>
    <n v="96.5"/>
    <n v="95.794840022021717"/>
    <n v="10896040"/>
  </r>
  <r>
    <x v="9"/>
    <n v="202602"/>
    <x v="0"/>
    <x v="2"/>
    <s v="Sofía V"/>
    <s v="Joe H"/>
    <n v="109324"/>
    <n v="6256659"/>
    <n v="57.23020833333333"/>
    <n v="83735.853013819302"/>
    <n v="70.5"/>
    <n v="69.5"/>
    <n v="63.576561684054447"/>
    <n v="5323638"/>
  </r>
  <r>
    <x v="6"/>
    <n v="202508"/>
    <x v="1"/>
    <x v="5"/>
    <s v="Sebastián S"/>
    <s v="Vik E"/>
    <n v="109283"/>
    <n v="9546020"/>
    <n v="87.351202956989241"/>
    <n v="105401.8628119015"/>
    <n v="100"/>
    <n v="98"/>
    <n v="90.56785255338113"/>
    <n v="9264086"/>
  </r>
  <r>
    <x v="8"/>
    <n v="202507"/>
    <x v="1"/>
    <x v="6"/>
    <s v="Sebastián S"/>
    <s v="Vik E"/>
    <n v="109240"/>
    <n v="8678149"/>
    <n v="79.441108870967753"/>
    <n v="113025.44549054602"/>
    <n v="88"/>
    <n v="84"/>
    <n v="76.780486308509012"/>
    <n v="8985639"/>
  </r>
  <r>
    <x v="3"/>
    <n v="202510"/>
    <x v="1"/>
    <x v="8"/>
    <s v="Sebastián S"/>
    <s v="Rodolfo O"/>
    <n v="109205"/>
    <n v="9214774"/>
    <n v="84.380625000000038"/>
    <n v="108936.98038214205"/>
    <n v="98.5"/>
    <n v="96.5"/>
    <n v="84.588120559935817"/>
    <n v="9115655"/>
  </r>
  <r>
    <x v="14"/>
    <n v="202606"/>
    <x v="0"/>
    <x v="11"/>
    <s v="Sofía V"/>
    <s v="Melany A"/>
    <n v="109201"/>
    <n v="5245173"/>
    <n v="48.032104166666819"/>
    <n v="88681.5792300662"/>
    <n v="59.5"/>
    <n v="55.5"/>
    <n v="53.278949580299148"/>
    <n v="4724861"/>
  </r>
  <r>
    <x v="9"/>
    <n v="202604"/>
    <x v="0"/>
    <x v="9"/>
    <s v="Sofía V"/>
    <s v="Joe H"/>
    <n v="109172"/>
    <n v="6572691"/>
    <n v="60.205152777779077"/>
    <n v="85212.529921365058"/>
    <n v="70.5"/>
    <n v="69.5"/>
    <n v="63.576561684054447"/>
    <n v="5417520"/>
  </r>
  <r>
    <x v="26"/>
    <n v="202603"/>
    <x v="0"/>
    <x v="0"/>
    <s v="Sofía V"/>
    <s v="Melany A"/>
    <n v="109158"/>
    <n v="5143510"/>
    <n v="47.119643817204299"/>
    <n v="112881.47564209858"/>
    <n v="55"/>
    <n v="50.5"/>
    <n v="48.493991244906027"/>
    <n v="5474073"/>
  </r>
  <r>
    <x v="5"/>
    <n v="202505"/>
    <x v="1"/>
    <x v="3"/>
    <s v="Sebastián S"/>
    <s v="Rodolfo O"/>
    <n v="109157"/>
    <n v="6405895"/>
    <n v="58.685309139784955"/>
    <n v="99663.778448527824"/>
    <n v="68.5"/>
    <n v="66"/>
    <n v="64.275058900244048"/>
    <n v="6228071"/>
  </r>
  <r>
    <x v="30"/>
    <n v="202605"/>
    <x v="0"/>
    <x v="3"/>
    <s v="Sebastián S"/>
    <s v="Vik E"/>
    <n v="109070"/>
    <n v="9696481"/>
    <n v="88.901081989247189"/>
    <n v="104797.06014454384"/>
    <n v="101.5"/>
    <n v="97.5"/>
    <n v="87.689184144336366"/>
    <n v="9189569"/>
  </r>
  <r>
    <x v="4"/>
    <n v="202508"/>
    <x v="1"/>
    <x v="5"/>
    <s v="Sofía V"/>
    <s v="José A"/>
    <n v="109030"/>
    <n v="10146125"/>
    <n v="93.058508064516147"/>
    <n v="104672.81663635101"/>
    <n v="107.5"/>
    <n v="102.5"/>
    <n v="96.931804130667047"/>
    <n v="10454639"/>
  </r>
  <r>
    <x v="2"/>
    <n v="202602"/>
    <x v="0"/>
    <x v="2"/>
    <s v="Sofía V"/>
    <s v="José A"/>
    <n v="109020"/>
    <n v="7937803"/>
    <n v="72.810312500000009"/>
    <n v="116004.55495073838"/>
    <n v="76.5"/>
    <n v="80"/>
    <n v="67.450733277005639"/>
    <n v="7824592"/>
  </r>
  <r>
    <x v="50"/>
    <n v="202412"/>
    <x v="2"/>
    <x v="1"/>
    <s v="Sebastián S"/>
    <s v="Vik E"/>
    <n v="108970"/>
    <n v="9268448"/>
    <n v="85.054798387096753"/>
    <n v="0"/>
    <n v="75.5"/>
    <n v="74"/>
    <m/>
    <n v="0"/>
  </r>
  <r>
    <x v="30"/>
    <n v="202406"/>
    <x v="2"/>
    <x v="11"/>
    <s v="Sebastián S"/>
    <s v="Vik E"/>
    <n v="108900"/>
    <n v="9368328"/>
    <n v="86.0269861111111"/>
    <n v="0"/>
    <n v="101.5"/>
    <n v="97.5"/>
    <m/>
    <n v="0"/>
  </r>
  <r>
    <x v="15"/>
    <n v="202401"/>
    <x v="2"/>
    <x v="10"/>
    <s v="Sofía V"/>
    <s v="Joe H"/>
    <n v="108831"/>
    <n v="8696416"/>
    <n v="79.907305107526838"/>
    <n v="0"/>
    <n v="101"/>
    <n v="105"/>
    <m/>
    <n v="0"/>
  </r>
  <r>
    <x v="48"/>
    <n v="202412"/>
    <x v="2"/>
    <x v="1"/>
    <s v="Hernán P"/>
    <s v="Daniel R"/>
    <n v="108822"/>
    <n v="7327512"/>
    <n v="67.334543010752668"/>
    <n v="0"/>
    <n v="79.5"/>
    <n v="72.5"/>
    <m/>
    <n v="0"/>
  </r>
  <r>
    <x v="3"/>
    <n v="202501"/>
    <x v="1"/>
    <x v="10"/>
    <s v="Sebastián S"/>
    <s v="Rodolfo O"/>
    <n v="108773"/>
    <n v="9602129"/>
    <n v="88.276538978494514"/>
    <n v="87350.543497883307"/>
    <n v="98.5"/>
    <n v="96.5"/>
    <n v="109.92637773607761"/>
    <n v="9867847"/>
  </r>
  <r>
    <x v="37"/>
    <n v="202605"/>
    <x v="0"/>
    <x v="3"/>
    <s v="Sofía V"/>
    <s v="Melany A"/>
    <n v="108634"/>
    <n v="6293447"/>
    <n v="57.932715053764007"/>
    <n v="118516.65281528508"/>
    <n v="72.5"/>
    <n v="68.5"/>
    <n v="63.042188618377821"/>
    <n v="7471549"/>
  </r>
  <r>
    <x v="52"/>
    <n v="202412"/>
    <x v="2"/>
    <x v="1"/>
    <s v="Sebastián S"/>
    <s v="Vik E"/>
    <n v="108577"/>
    <n v="8975065"/>
    <n v="82.661061827957013"/>
    <n v="0"/>
    <n v="80"/>
    <n v="78"/>
    <m/>
    <n v="0"/>
  </r>
  <r>
    <x v="24"/>
    <n v="202503"/>
    <x v="1"/>
    <x v="0"/>
    <s v="Sofía V"/>
    <s v="Joe H"/>
    <n v="108560"/>
    <n v="7136134"/>
    <n v="65.734516129032258"/>
    <n v="108805.40326338074"/>
    <n v="71"/>
    <n v="74.5"/>
    <n v="65.586213698651093"/>
    <n v="7045355"/>
  </r>
  <r>
    <x v="43"/>
    <n v="202412"/>
    <x v="2"/>
    <x v="1"/>
    <s v="Sofía V"/>
    <s v="José A"/>
    <n v="108514"/>
    <n v="3591365"/>
    <n v="33.095793010752701"/>
    <n v="0"/>
    <n v="32.5"/>
    <n v="32"/>
    <m/>
    <n v="0"/>
  </r>
  <r>
    <x v="10"/>
    <n v="202604"/>
    <x v="0"/>
    <x v="9"/>
    <s v="Sofía V"/>
    <s v="Melany A"/>
    <n v="108452"/>
    <n v="11096009"/>
    <n v="102.31268055555807"/>
    <n v="99505.456439394111"/>
    <n v="125"/>
    <n v="118.5"/>
    <n v="102.97612103755296"/>
    <n v="10246686"/>
  </r>
  <r>
    <x v="8"/>
    <n v="202505"/>
    <x v="1"/>
    <x v="3"/>
    <s v="Sebastián S"/>
    <s v="Vik E"/>
    <n v="108385"/>
    <n v="8610995"/>
    <n v="79.44807123655913"/>
    <n v="99620.645477740021"/>
    <n v="88"/>
    <n v="84"/>
    <n v="86.437859328306672"/>
    <n v="8374079"/>
  </r>
  <r>
    <x v="4"/>
    <n v="202601"/>
    <x v="0"/>
    <x v="10"/>
    <s v="Sofía V"/>
    <s v="José A"/>
    <n v="108357"/>
    <n v="9803963"/>
    <n v="90.478434139784994"/>
    <n v="103489.82257873937"/>
    <n v="107.5"/>
    <n v="102.5"/>
    <n v="96.70800932222366"/>
    <n v="10008295"/>
  </r>
  <r>
    <x v="20"/>
    <n v="202407"/>
    <x v="2"/>
    <x v="6"/>
    <s v="Sofía V"/>
    <s v="Joe H"/>
    <n v="108345"/>
    <n v="9805646"/>
    <n v="90.50426075268814"/>
    <n v="0"/>
    <n v="96.5"/>
    <n v="96"/>
    <m/>
    <n v="0"/>
  </r>
  <r>
    <x v="14"/>
    <n v="202412"/>
    <x v="2"/>
    <x v="1"/>
    <s v="Sofía V"/>
    <s v="Melany A"/>
    <n v="108267"/>
    <n v="7162352"/>
    <n v="66.154798387096761"/>
    <n v="0"/>
    <n v="59.5"/>
    <n v="55.5"/>
    <m/>
    <n v="0"/>
  </r>
  <r>
    <x v="2"/>
    <n v="202506"/>
    <x v="1"/>
    <x v="11"/>
    <s v="Sofía V"/>
    <s v="José A"/>
    <n v="108184"/>
    <n v="7435945"/>
    <n v="68.734458333333379"/>
    <n v="112384.57976399391"/>
    <n v="76.5"/>
    <n v="80"/>
    <n v="66.165167726883723"/>
    <n v="7565211"/>
  </r>
  <r>
    <x v="2"/>
    <n v="202509"/>
    <x v="1"/>
    <x v="4"/>
    <s v="Sofía V"/>
    <s v="José A"/>
    <n v="108136"/>
    <n v="7477486"/>
    <n v="69.148673611111178"/>
    <n v="119223.60769739456"/>
    <n v="76.5"/>
    <n v="80"/>
    <n v="62.718164081889384"/>
    <n v="7610625"/>
  </r>
  <r>
    <x v="30"/>
    <n v="202411"/>
    <x v="2"/>
    <x v="7"/>
    <s v="Sebastián S"/>
    <s v="Vik E"/>
    <n v="108098"/>
    <n v="9422543"/>
    <n v="87.166722222222234"/>
    <n v="0"/>
    <n v="101.5"/>
    <n v="97.5"/>
    <m/>
    <n v="0"/>
  </r>
  <r>
    <x v="54"/>
    <n v="202512"/>
    <x v="1"/>
    <x v="1"/>
    <s v="Sebastián S"/>
    <s v="Rodolfo O"/>
    <n v="107941"/>
    <n v="8484826"/>
    <n v="78.606189516129007"/>
    <n v="101372.15897226818"/>
    <n v="80"/>
    <n v="80.5"/>
    <n v="83.699765359847419"/>
    <n v="10051524"/>
  </r>
  <r>
    <x v="6"/>
    <n v="202510"/>
    <x v="1"/>
    <x v="8"/>
    <s v="Sebastián S"/>
    <s v="Vik E"/>
    <n v="107892"/>
    <n v="9021708"/>
    <n v="83.618104838709712"/>
    <n v="104564.68277775752"/>
    <n v="100"/>
    <n v="98"/>
    <n v="86.278727198692877"/>
    <n v="9671467"/>
  </r>
  <r>
    <x v="24"/>
    <n v="202603"/>
    <x v="0"/>
    <x v="0"/>
    <s v="Sofía V"/>
    <s v="Joe H"/>
    <n v="107881"/>
    <n v="7356206"/>
    <n v="68.187856182795727"/>
    <n v="109301.10356113937"/>
    <n v="71"/>
    <n v="74.5"/>
    <n v="62.681117153293116"/>
    <n v="6851115"/>
  </r>
  <r>
    <x v="37"/>
    <n v="202512"/>
    <x v="1"/>
    <x v="1"/>
    <s v="Sofía V"/>
    <s v="Melany A"/>
    <n v="107781"/>
    <n v="8432968"/>
    <n v="78.241935483870904"/>
    <n v="119491.83927440362"/>
    <n v="72.5"/>
    <n v="68.5"/>
    <n v="70.57358938658858"/>
    <n v="8386515"/>
  </r>
  <r>
    <x v="56"/>
    <n v="202512"/>
    <x v="1"/>
    <x v="1"/>
    <s v="Sofía V"/>
    <s v="Joe H"/>
    <n v="107755"/>
    <n v="8543718"/>
    <n v="79.28831317204299"/>
    <n v="100022.09602496725"/>
    <n v="79.5"/>
    <n v="81.5"/>
    <n v="85.418305849812782"/>
    <n v="9075372"/>
  </r>
  <r>
    <x v="57"/>
    <n v="202603"/>
    <x v="0"/>
    <x v="0"/>
    <s v="Hernán P"/>
    <s v="Daniel R"/>
    <n v="107730"/>
    <n v="4505513"/>
    <n v="41.82217741935483"/>
    <n v="106988.45546499165"/>
    <n v="53.5"/>
    <n v="52"/>
    <n v="43.483853774506514"/>
    <n v="4652270"/>
  </r>
  <r>
    <x v="8"/>
    <n v="202407"/>
    <x v="2"/>
    <x v="6"/>
    <s v="Sebastián S"/>
    <s v="Vik E"/>
    <n v="107643"/>
    <n v="8975410"/>
    <n v="83.381055107526933"/>
    <n v="0"/>
    <n v="88"/>
    <n v="84"/>
    <m/>
    <n v="0"/>
  </r>
  <r>
    <x v="1"/>
    <n v="202504"/>
    <x v="1"/>
    <x v="9"/>
    <s v="Sofía V"/>
    <s v="José A"/>
    <n v="107627"/>
    <n v="5907237"/>
    <n v="54.886270833333313"/>
    <n v="112655.66131259392"/>
    <n v="61"/>
    <n v="60"/>
    <n v="52.436222478058639"/>
    <n v="6501964"/>
  </r>
  <r>
    <x v="16"/>
    <n v="202511"/>
    <x v="1"/>
    <x v="7"/>
    <s v="Sofía V"/>
    <s v="José A"/>
    <n v="107622"/>
    <n v="6136504"/>
    <n v="57.018888888888895"/>
    <n v="107831.8428212568"/>
    <n v="64"/>
    <n v="67"/>
    <n v="56.908088830234824"/>
    <n v="4852398"/>
  </r>
  <r>
    <x v="3"/>
    <n v="202406"/>
    <x v="2"/>
    <x v="11"/>
    <s v="Sebastián S"/>
    <s v="Rodolfo O"/>
    <n v="107617"/>
    <n v="10246701"/>
    <n v="95.214777777777769"/>
    <n v="0"/>
    <n v="98.5"/>
    <n v="96.5"/>
    <m/>
    <n v="0"/>
  </r>
  <r>
    <x v="48"/>
    <n v="202606"/>
    <x v="0"/>
    <x v="11"/>
    <s v="Hernán P"/>
    <s v="Daniel R"/>
    <n v="107588"/>
    <n v="6418284"/>
    <n v="59.655993055557062"/>
    <n v="92906.652912237332"/>
    <n v="79.5"/>
    <n v="72.5"/>
    <n v="64.209802769832038"/>
    <n v="5965518"/>
  </r>
  <r>
    <x v="5"/>
    <n v="202508"/>
    <x v="1"/>
    <x v="5"/>
    <s v="Sebastián S"/>
    <s v="Rodolfo O"/>
    <n v="107568"/>
    <n v="6207557"/>
    <n v="57.708131720430089"/>
    <n v="106327.68283905581"/>
    <n v="68.5"/>
    <n v="66"/>
    <n v="58.381380504606156"/>
    <n v="6023653"/>
  </r>
  <r>
    <x v="58"/>
    <n v="202512"/>
    <x v="1"/>
    <x v="1"/>
    <s v="Sebastián S"/>
    <s v="Rodolfo O"/>
    <n v="107424"/>
    <n v="6359032"/>
    <n v="59.195537634408602"/>
    <n v="106043.42091129776"/>
    <n v="66.5"/>
    <n v="63.5"/>
    <n v="59.966306210728"/>
    <n v="6845366"/>
  </r>
  <r>
    <x v="15"/>
    <n v="202506"/>
    <x v="1"/>
    <x v="11"/>
    <s v="Sofía V"/>
    <s v="Joe H"/>
    <n v="107421"/>
    <n v="8509559"/>
    <n v="79.216958333333352"/>
    <n v="118893.00680835548"/>
    <n v="101"/>
    <n v="105"/>
    <n v="71.573248742178919"/>
    <n v="9799888"/>
  </r>
  <r>
    <x v="22"/>
    <n v="202505"/>
    <x v="1"/>
    <x v="3"/>
    <s v="Sebastián S"/>
    <s v="Johanna V"/>
    <n v="107420"/>
    <n v="9008388"/>
    <n v="83.861081989247239"/>
    <n v="94025.938743418563"/>
    <n v="104.5"/>
    <n v="99"/>
    <n v="95.807482279782633"/>
    <n v="9335897"/>
  </r>
  <r>
    <x v="59"/>
    <n v="202412"/>
    <x v="2"/>
    <x v="1"/>
    <s v="Sebastián S"/>
    <s v="Johanna V"/>
    <n v="107361"/>
    <n v="12342686"/>
    <n v="114.9640389784946"/>
    <n v="0"/>
    <n v="118"/>
    <n v="106"/>
    <m/>
    <n v="0"/>
  </r>
  <r>
    <x v="21"/>
    <n v="202511"/>
    <x v="1"/>
    <x v="7"/>
    <s v="Sebastián S"/>
    <s v="Rodolfo O"/>
    <n v="107341"/>
    <n v="7489290"/>
    <n v="69.770750000000035"/>
    <n v="93487.481008159462"/>
    <n v="84.5"/>
    <n v="86.5"/>
    <n v="80.110087888092139"/>
    <n v="6537255"/>
  </r>
  <r>
    <x v="3"/>
    <n v="202506"/>
    <x v="1"/>
    <x v="11"/>
    <s v="Sebastián S"/>
    <s v="Rodolfo O"/>
    <n v="107293"/>
    <n v="9844291"/>
    <n v="91.751868055555533"/>
    <n v="112997.54221566915"/>
    <n v="98.5"/>
    <n v="96.5"/>
    <n v="87.119511690006547"/>
    <n v="10265541"/>
  </r>
  <r>
    <x v="1"/>
    <n v="202404"/>
    <x v="2"/>
    <x v="9"/>
    <s v="Sofía V"/>
    <s v="José A"/>
    <n v="107291"/>
    <n v="5495693"/>
    <n v="51.222256944444482"/>
    <n v="0"/>
    <n v="61"/>
    <n v="60"/>
    <m/>
    <n v="0"/>
  </r>
  <r>
    <x v="44"/>
    <n v="202412"/>
    <x v="2"/>
    <x v="1"/>
    <s v="Sebastián S"/>
    <s v="Johanna V"/>
    <n v="107213"/>
    <n v="12610184"/>
    <n v="117.61820564516131"/>
    <n v="0"/>
    <n v="117.5"/>
    <n v="99"/>
    <m/>
    <n v="0"/>
  </r>
  <r>
    <x v="15"/>
    <n v="202509"/>
    <x v="1"/>
    <x v="4"/>
    <s v="Sofía V"/>
    <s v="Joe H"/>
    <n v="107076"/>
    <n v="8593179"/>
    <n v="80.252715277777824"/>
    <n v="102363.61310532382"/>
    <n v="101"/>
    <n v="105"/>
    <n v="83.947597581948571"/>
    <n v="9642057"/>
  </r>
  <r>
    <x v="29"/>
    <n v="202407"/>
    <x v="2"/>
    <x v="6"/>
    <s v="Sebastián S"/>
    <s v="Vik E"/>
    <n v="107069"/>
    <n v="6934056"/>
    <n v="64.76265456989249"/>
    <n v="0"/>
    <n v="76.5"/>
    <n v="75.5"/>
    <m/>
    <n v="0"/>
  </r>
  <r>
    <x v="9"/>
    <n v="202412"/>
    <x v="2"/>
    <x v="1"/>
    <s v="Sofía V"/>
    <s v="Joe H"/>
    <n v="107050"/>
    <n v="7859845"/>
    <n v="73.422237903225778"/>
    <n v="0"/>
    <n v="70.5"/>
    <n v="69.5"/>
    <m/>
    <n v="0"/>
  </r>
  <r>
    <x v="2"/>
    <n v="202406"/>
    <x v="2"/>
    <x v="11"/>
    <s v="Sofía V"/>
    <s v="José A"/>
    <n v="107033"/>
    <n v="7427294"/>
    <n v="69.392604166666615"/>
    <n v="0"/>
    <n v="76.5"/>
    <n v="80"/>
    <m/>
    <n v="0"/>
  </r>
  <r>
    <x v="60"/>
    <n v="202512"/>
    <x v="1"/>
    <x v="1"/>
    <s v="Sofía V"/>
    <s v="Melany A"/>
    <n v="106905"/>
    <n v="13089041"/>
    <n v="122.43663306451614"/>
    <n v="108625.67128443321"/>
    <n v="88.5"/>
    <n v="92.5"/>
    <n v="120.49675583340442"/>
    <n v="9905528"/>
  </r>
  <r>
    <x v="38"/>
    <n v="202503"/>
    <x v="1"/>
    <x v="0"/>
    <s v="Sofía V"/>
    <s v="Melany A"/>
    <n v="106836"/>
    <n v="5799927"/>
    <n v="54.288010752688159"/>
    <n v="85505.532722375516"/>
    <n v="56"/>
    <n v="60"/>
    <n v="67.831018945072842"/>
    <n v="5529759"/>
  </r>
  <r>
    <x v="44"/>
    <n v="202606"/>
    <x v="0"/>
    <x v="11"/>
    <s v="Sebastián S"/>
    <s v="Johanna V"/>
    <n v="106831"/>
    <n v="9332724"/>
    <n v="87.359756944446133"/>
    <n v="87868.82580374254"/>
    <n v="117.5"/>
    <n v="99"/>
    <n v="98.005014700369543"/>
    <n v="8611586"/>
  </r>
  <r>
    <x v="11"/>
    <n v="202401"/>
    <x v="2"/>
    <x v="10"/>
    <s v="Sofía V"/>
    <s v="José A"/>
    <n v="106814"/>
    <n v="9058449"/>
    <n v="84.805423387096752"/>
    <n v="0"/>
    <n v="86.5"/>
    <n v="81.5"/>
    <m/>
    <n v="0"/>
  </r>
  <r>
    <x v="20"/>
    <n v="202410"/>
    <x v="2"/>
    <x v="8"/>
    <s v="Sofía V"/>
    <s v="Joe H"/>
    <n v="106800"/>
    <n v="9301387"/>
    <n v="87.091948924731156"/>
    <n v="0"/>
    <n v="96.5"/>
    <n v="96"/>
    <m/>
    <n v="0"/>
  </r>
  <r>
    <x v="16"/>
    <n v="202505"/>
    <x v="1"/>
    <x v="3"/>
    <s v="Sofía V"/>
    <s v="José A"/>
    <n v="106748"/>
    <n v="6027624"/>
    <n v="56.465725806451616"/>
    <n v="97004.406206876811"/>
    <n v="64"/>
    <n v="67"/>
    <n v="62.137629471646527"/>
    <n v="5814137"/>
  </r>
  <r>
    <x v="7"/>
    <n v="202504"/>
    <x v="1"/>
    <x v="9"/>
    <s v="Sebastián S"/>
    <s v="Rodolfo O"/>
    <n v="106490"/>
    <n v="5654294"/>
    <n v="53.096701388888903"/>
    <n v="70926.927223961218"/>
    <n v="65.5"/>
    <n v="63"/>
    <n v="79.719992833551245"/>
    <n v="5127387"/>
  </r>
  <r>
    <x v="7"/>
    <n v="202601"/>
    <x v="0"/>
    <x v="10"/>
    <s v="Sebastián S"/>
    <s v="Rodolfo O"/>
    <n v="106480"/>
    <n v="6201146"/>
    <n v="58.237788978494621"/>
    <n v="96604.228827616796"/>
    <n v="65.5"/>
    <n v="63"/>
    <n v="55.389519717073902"/>
    <n v="5350862"/>
  </r>
  <r>
    <x v="19"/>
    <n v="202503"/>
    <x v="1"/>
    <x v="0"/>
    <s v="Sofía V"/>
    <s v="Joe H"/>
    <n v="106437"/>
    <n v="5861082"/>
    <n v="55.066102150537638"/>
    <n v="105673.0274846556"/>
    <n v="57.5"/>
    <n v="56.5"/>
    <n v="55.464313169707054"/>
    <n v="5791094"/>
  </r>
  <r>
    <x v="10"/>
    <n v="202511"/>
    <x v="1"/>
    <x v="7"/>
    <s v="Sofía V"/>
    <s v="Melany A"/>
    <n v="106338"/>
    <n v="10432010"/>
    <n v="98.102472222222232"/>
    <n v="97686.454064170946"/>
    <n v="125"/>
    <n v="118.5"/>
    <n v="106.79075333359053"/>
    <n v="9407386"/>
  </r>
  <r>
    <x v="6"/>
    <n v="202501"/>
    <x v="1"/>
    <x v="10"/>
    <s v="Sebastián S"/>
    <s v="Vik E"/>
    <n v="106283"/>
    <n v="9376441"/>
    <n v="88.221075268817216"/>
    <n v="110874.79503333212"/>
    <n v="100"/>
    <n v="98"/>
    <n v="84.567830201455351"/>
    <n v="9454267"/>
  </r>
  <r>
    <x v="44"/>
    <n v="202511"/>
    <x v="1"/>
    <x v="7"/>
    <s v="Sebastián S"/>
    <s v="Johanna V"/>
    <n v="106274"/>
    <n v="9492395"/>
    <n v="89.320000000000022"/>
    <n v="100904.94566071444"/>
    <n v="117.5"/>
    <n v="99"/>
    <n v="94.072641413608139"/>
    <n v="8439071"/>
  </r>
  <r>
    <x v="21"/>
    <n v="202503"/>
    <x v="1"/>
    <x v="0"/>
    <s v="Sebastián S"/>
    <s v="Rodolfo O"/>
    <n v="106219"/>
    <n v="8161892"/>
    <n v="76.840430107526842"/>
    <n v="107130.91749358042"/>
    <n v="84.5"/>
    <n v="86.5"/>
    <n v="76.186148508334043"/>
    <n v="8223943"/>
  </r>
  <r>
    <x v="7"/>
    <n v="202505"/>
    <x v="1"/>
    <x v="3"/>
    <s v="Sebastián S"/>
    <s v="Rodolfo O"/>
    <n v="106130"/>
    <n v="6023437"/>
    <n v="56.755369623655923"/>
    <n v="77060.961099533059"/>
    <n v="65.5"/>
    <n v="63"/>
    <n v="78.164567558663606"/>
    <n v="5068743"/>
  </r>
  <r>
    <x v="30"/>
    <n v="202506"/>
    <x v="1"/>
    <x v="11"/>
    <s v="Sebastián S"/>
    <s v="Vik E"/>
    <n v="106091"/>
    <n v="8553825"/>
    <n v="80.627215277777736"/>
    <n v="114344.8686996313"/>
    <n v="101.5"/>
    <n v="97.5"/>
    <n v="74.807249833569344"/>
    <n v="9427621"/>
  </r>
  <r>
    <x v="14"/>
    <n v="202403"/>
    <x v="2"/>
    <x v="0"/>
    <s v="Sofía V"/>
    <s v="Melany A"/>
    <n v="106076"/>
    <n v="6488249"/>
    <n v="61.166122311827955"/>
    <n v="0"/>
    <n v="59.5"/>
    <n v="55.5"/>
    <m/>
    <n v="0"/>
  </r>
  <r>
    <x v="20"/>
    <n v="202510"/>
    <x v="1"/>
    <x v="8"/>
    <s v="Sofía V"/>
    <s v="Joe H"/>
    <n v="106030"/>
    <n v="9006152"/>
    <n v="84.93991935483875"/>
    <n v="112139.60160015043"/>
    <n v="96.5"/>
    <n v="96"/>
    <n v="80.311970985171726"/>
    <n v="8643706"/>
  </r>
  <r>
    <x v="27"/>
    <n v="202412"/>
    <x v="2"/>
    <x v="1"/>
    <s v="Sofía V"/>
    <s v="Joe H"/>
    <n v="105979"/>
    <n v="7231168"/>
    <n v="68.231794354838698"/>
    <n v="0"/>
    <n v="62"/>
    <n v="58"/>
    <m/>
    <n v="0"/>
  </r>
  <r>
    <x v="6"/>
    <n v="202407"/>
    <x v="2"/>
    <x v="6"/>
    <s v="Sebastián S"/>
    <s v="Vik E"/>
    <n v="105965"/>
    <n v="9803615"/>
    <n v="92.517231182795697"/>
    <n v="0"/>
    <n v="100"/>
    <n v="98"/>
    <m/>
    <n v="0"/>
  </r>
  <r>
    <x v="23"/>
    <n v="202603"/>
    <x v="0"/>
    <x v="0"/>
    <s v="Sebastián S"/>
    <s v="Rodolfo O"/>
    <n v="105964"/>
    <n v="9971997"/>
    <n v="94.107614247311872"/>
    <n v="111233.83704237548"/>
    <n v="94.5"/>
    <n v="97"/>
    <n v="83.184435661200979"/>
    <n v="9252924"/>
  </r>
  <r>
    <x v="44"/>
    <n v="202604"/>
    <x v="0"/>
    <x v="9"/>
    <s v="Sebastián S"/>
    <s v="Johanna V"/>
    <n v="105948"/>
    <n v="9158680"/>
    <n v="86.444750000001889"/>
    <n v="96861.10709459646"/>
    <n v="117.5"/>
    <n v="99"/>
    <n v="98.005014700369543"/>
    <n v="9492874"/>
  </r>
  <r>
    <x v="10"/>
    <n v="202601"/>
    <x v="0"/>
    <x v="10"/>
    <s v="Sofía V"/>
    <s v="Melany A"/>
    <n v="105915"/>
    <n v="9845910"/>
    <n v="92.960658602150474"/>
    <n v="92458.434258053996"/>
    <n v="125"/>
    <n v="118.5"/>
    <n v="102.97612103755296"/>
    <n v="9521011"/>
  </r>
  <r>
    <x v="3"/>
    <n v="202408"/>
    <x v="2"/>
    <x v="5"/>
    <s v="Sebastián S"/>
    <s v="Rodolfo O"/>
    <n v="105846"/>
    <n v="9999369"/>
    <n v="94.471350806451625"/>
    <n v="0"/>
    <n v="98.5"/>
    <n v="96.5"/>
    <m/>
    <n v="0"/>
  </r>
  <r>
    <x v="24"/>
    <n v="202401"/>
    <x v="2"/>
    <x v="10"/>
    <s v="Sofía V"/>
    <s v="Joe H"/>
    <n v="105832"/>
    <n v="6231859"/>
    <n v="58.884348118279554"/>
    <n v="0"/>
    <n v="71"/>
    <n v="74.5"/>
    <m/>
    <n v="0"/>
  </r>
  <r>
    <x v="20"/>
    <n v="202401"/>
    <x v="2"/>
    <x v="10"/>
    <s v="Sofía V"/>
    <s v="Joe H"/>
    <n v="105783"/>
    <n v="9050374"/>
    <n v="85.556135752688192"/>
    <n v="0"/>
    <n v="96.5"/>
    <n v="96"/>
    <m/>
    <n v="0"/>
  </r>
  <r>
    <x v="20"/>
    <n v="202507"/>
    <x v="1"/>
    <x v="6"/>
    <s v="Sofía V"/>
    <s v="Joe H"/>
    <n v="105782"/>
    <n v="9396947"/>
    <n v="88.83286962365591"/>
    <n v="113761.80784609295"/>
    <n v="96.5"/>
    <n v="96"/>
    <n v="82.601947858573254"/>
    <n v="9645197"/>
  </r>
  <r>
    <x v="34"/>
    <n v="202603"/>
    <x v="0"/>
    <x v="0"/>
    <s v="Hernán P"/>
    <s v="Daniel R"/>
    <n v="105768"/>
    <n v="1258609"/>
    <n v="11.899764784946232"/>
    <n v="85152.732667678036"/>
    <n v="15"/>
    <n v="15"/>
    <n v="13.971887755419019"/>
    <n v="1189744"/>
  </r>
  <r>
    <x v="61"/>
    <n v="202512"/>
    <x v="1"/>
    <x v="1"/>
    <s v="Sofía V"/>
    <s v="Joe H"/>
    <n v="105765"/>
    <n v="3860864"/>
    <n v="36.504200268817186"/>
    <n v="84062.660973939506"/>
    <n v="41.5"/>
    <n v="35.5"/>
    <n v="45.928406206376422"/>
    <n v="2990896"/>
  </r>
  <r>
    <x v="17"/>
    <n v="202411"/>
    <x v="2"/>
    <x v="7"/>
    <s v="Sofía V"/>
    <s v="Joe H"/>
    <n v="105761"/>
    <n v="9358420"/>
    <n v="88.486659722222271"/>
    <n v="0"/>
    <n v="94"/>
    <n v="92"/>
    <m/>
    <n v="0"/>
  </r>
  <r>
    <x v="22"/>
    <n v="202503"/>
    <x v="1"/>
    <x v="0"/>
    <s v="Sebastián S"/>
    <s v="Johanna V"/>
    <n v="105616"/>
    <n v="9287982"/>
    <n v="87.941357526881688"/>
    <n v="101104.94861025721"/>
    <n v="104.5"/>
    <n v="99"/>
    <n v="91.864759912035822"/>
    <n v="9869013"/>
  </r>
  <r>
    <x v="6"/>
    <n v="202401"/>
    <x v="2"/>
    <x v="10"/>
    <s v="Sebastián S"/>
    <s v="Vik E"/>
    <n v="105595"/>
    <n v="9060334"/>
    <n v="85.802641129032224"/>
    <n v="0"/>
    <n v="100"/>
    <n v="98"/>
    <m/>
    <n v="0"/>
  </r>
  <r>
    <x v="35"/>
    <n v="202412"/>
    <x v="2"/>
    <x v="1"/>
    <s v="Hernán P"/>
    <s v="Daniel R"/>
    <n v="105552"/>
    <n v="14365631"/>
    <n v="136.10013440860209"/>
    <n v="0"/>
    <n v="140.5"/>
    <n v="125.5"/>
    <m/>
    <n v="0"/>
  </r>
  <r>
    <x v="35"/>
    <n v="202504"/>
    <x v="1"/>
    <x v="9"/>
    <s v="Hernán P"/>
    <s v="Daniel R"/>
    <n v="105546"/>
    <n v="11784903"/>
    <n v="111.65656249999994"/>
    <n v="95444.229306874622"/>
    <n v="140.5"/>
    <n v="125.5"/>
    <n v="123.47422998313387"/>
    <n v="12212836"/>
  </r>
  <r>
    <x v="6"/>
    <n v="202502"/>
    <x v="1"/>
    <x v="2"/>
    <s v="Sebastián S"/>
    <s v="Vik E"/>
    <n v="105517"/>
    <n v="9714100"/>
    <n v="92.062239583333309"/>
    <n v="99095.377054368"/>
    <n v="100"/>
    <n v="98"/>
    <n v="98.027778376285156"/>
    <n v="9605863"/>
  </r>
  <r>
    <x v="28"/>
    <n v="202511"/>
    <x v="1"/>
    <x v="7"/>
    <s v="Sebastián S"/>
    <s v="Rodolfo O"/>
    <n v="105505"/>
    <n v="5812994"/>
    <n v="55.09704861111112"/>
    <n v="90585.841260537491"/>
    <n v="65.5"/>
    <n v="66"/>
    <n v="64.171105430053032"/>
    <n v="6105832"/>
  </r>
  <r>
    <x v="26"/>
    <n v="202605"/>
    <x v="0"/>
    <x v="3"/>
    <s v="Sofía V"/>
    <s v="Melany A"/>
    <n v="105498"/>
    <n v="4820413"/>
    <n v="45.691982526882263"/>
    <n v="100614.73024686392"/>
    <n v="55"/>
    <n v="50.5"/>
    <n v="48.493991244906027"/>
    <n v="4879210"/>
  </r>
  <r>
    <x v="35"/>
    <n v="202508"/>
    <x v="1"/>
    <x v="5"/>
    <s v="Hernán P"/>
    <s v="Daniel R"/>
    <n v="105495"/>
    <n v="11808830"/>
    <n v="111.93780913978495"/>
    <n v="104533.06841877493"/>
    <n v="140.5"/>
    <n v="125.5"/>
    <n v="112.96740656929809"/>
    <n v="12074434"/>
  </r>
  <r>
    <x v="17"/>
    <n v="202403"/>
    <x v="2"/>
    <x v="0"/>
    <s v="Sofía V"/>
    <s v="Joe H"/>
    <n v="105445"/>
    <n v="8777630"/>
    <n v="83.243360215053769"/>
    <n v="0"/>
    <n v="94"/>
    <n v="92"/>
    <m/>
    <n v="0"/>
  </r>
  <r>
    <x v="35"/>
    <n v="202401"/>
    <x v="2"/>
    <x v="10"/>
    <s v="Hernán P"/>
    <s v="Daniel R"/>
    <n v="105427"/>
    <n v="11061633"/>
    <n v="104.92176747311835"/>
    <n v="0"/>
    <n v="140.5"/>
    <n v="125.5"/>
    <m/>
    <n v="0"/>
  </r>
  <r>
    <x v="50"/>
    <n v="202603"/>
    <x v="0"/>
    <x v="0"/>
    <s v="Sebastián S"/>
    <s v="Vik E"/>
    <n v="105327"/>
    <n v="7166385"/>
    <n v="68.039153225806444"/>
    <n v="113522.21694288925"/>
    <n v="75.5"/>
    <n v="74"/>
    <n v="63.845934941054651"/>
    <n v="7247932"/>
  </r>
  <r>
    <x v="26"/>
    <n v="202511"/>
    <x v="1"/>
    <x v="7"/>
    <s v="Sofía V"/>
    <s v="Melany A"/>
    <n v="105251"/>
    <n v="4807212"/>
    <n v="45.673833333333334"/>
    <n v="95769.308337767594"/>
    <n v="55"/>
    <n v="50.5"/>
    <n v="50.19574948840085"/>
    <n v="4656231"/>
  </r>
  <r>
    <x v="62"/>
    <n v="202503"/>
    <x v="1"/>
    <x v="0"/>
    <s v="Sebastián S"/>
    <s v="Vik E"/>
    <n v="105249"/>
    <n v="5983425"/>
    <n v="56.849926075268826"/>
    <n v="101000.18468849287"/>
    <n v="65"/>
    <n v="67.5"/>
    <n v="59.241721175601988"/>
    <n v="5893246"/>
  </r>
  <r>
    <x v="20"/>
    <n v="202505"/>
    <x v="1"/>
    <x v="3"/>
    <s v="Sofía V"/>
    <s v="Joe H"/>
    <n v="105127"/>
    <n v="9273271"/>
    <n v="88.210114247311822"/>
    <n v="101733.64098081054"/>
    <n v="96.5"/>
    <n v="96"/>
    <n v="91.152451938185976"/>
    <n v="8621026"/>
  </r>
  <r>
    <x v="6"/>
    <n v="202405"/>
    <x v="2"/>
    <x v="3"/>
    <s v="Sebastián S"/>
    <s v="Vik E"/>
    <n v="105123"/>
    <n v="9373318"/>
    <n v="89.16494623655916"/>
    <n v="0"/>
    <n v="100"/>
    <n v="98"/>
    <m/>
    <n v="0"/>
  </r>
  <r>
    <x v="31"/>
    <n v="202407"/>
    <x v="2"/>
    <x v="6"/>
    <s v="Sofía V"/>
    <s v="Melany A"/>
    <n v="105060"/>
    <n v="12100429"/>
    <n v="115.17681451612901"/>
    <n v="0"/>
    <n v="99"/>
    <n v="32.5"/>
    <m/>
    <n v="0"/>
  </r>
  <r>
    <x v="35"/>
    <n v="202511"/>
    <x v="1"/>
    <x v="7"/>
    <s v="Hernán P"/>
    <s v="Daniel R"/>
    <n v="105039"/>
    <n v="11882743"/>
    <n v="113.12656249999999"/>
    <n v="104116.42340851264"/>
    <n v="140.5"/>
    <n v="125.5"/>
    <n v="114.12938546089607"/>
    <n v="11981475"/>
  </r>
  <r>
    <x v="44"/>
    <n v="202403"/>
    <x v="2"/>
    <x v="0"/>
    <s v="Sebastián S"/>
    <s v="Johanna V"/>
    <n v="105013"/>
    <n v="9829525"/>
    <n v="93.602701612903218"/>
    <n v="0"/>
    <n v="117.5"/>
    <n v="99"/>
    <m/>
    <n v="0"/>
  </r>
  <r>
    <x v="5"/>
    <n v="202502"/>
    <x v="1"/>
    <x v="2"/>
    <s v="Sebastián S"/>
    <s v="Rodolfo O"/>
    <n v="104993"/>
    <n v="6209815"/>
    <n v="59.145156249999999"/>
    <n v="89755.752041097483"/>
    <n v="68.5"/>
    <n v="66"/>
    <n v="69.185702740885517"/>
    <n v="5537651"/>
  </r>
  <r>
    <x v="22"/>
    <n v="202601"/>
    <x v="0"/>
    <x v="10"/>
    <s v="Sebastián S"/>
    <s v="Johanna V"/>
    <n v="104947"/>
    <n v="9145687"/>
    <n v="87.145625000000052"/>
    <n v="97460.262379580527"/>
    <n v="104.5"/>
    <n v="99"/>
    <n v="90.280982690474389"/>
    <n v="8798808"/>
  </r>
  <r>
    <x v="6"/>
    <n v="202406"/>
    <x v="2"/>
    <x v="11"/>
    <s v="Sebastián S"/>
    <s v="Vik E"/>
    <n v="104938"/>
    <n v="9501968"/>
    <n v="90.548548611111158"/>
    <n v="0"/>
    <n v="100"/>
    <n v="98"/>
    <m/>
    <n v="0"/>
  </r>
  <r>
    <x v="8"/>
    <n v="202510"/>
    <x v="1"/>
    <x v="8"/>
    <s v="Sebastián S"/>
    <s v="Vik E"/>
    <n v="104920"/>
    <n v="7593715"/>
    <n v="72.376565860215038"/>
    <n v="96507.931338608512"/>
    <n v="88"/>
    <n v="84"/>
    <n v="78.684885114329376"/>
    <n v="9069877"/>
  </r>
  <r>
    <x v="20"/>
    <n v="202406"/>
    <x v="2"/>
    <x v="11"/>
    <s v="Sofía V"/>
    <s v="Joe H"/>
    <n v="104900"/>
    <n v="9114866"/>
    <n v="86.89104861111106"/>
    <n v="0"/>
    <n v="96.5"/>
    <n v="96"/>
    <m/>
    <n v="0"/>
  </r>
  <r>
    <x v="22"/>
    <n v="202605"/>
    <x v="0"/>
    <x v="3"/>
    <s v="Sebastián S"/>
    <s v="Johanna V"/>
    <n v="104885"/>
    <n v="9618226"/>
    <n v="91.702916666667335"/>
    <n v="102075.57540877689"/>
    <n v="104.5"/>
    <n v="99"/>
    <n v="90.280982690474389"/>
    <n v="9215483"/>
  </r>
  <r>
    <x v="40"/>
    <n v="202507"/>
    <x v="1"/>
    <x v="6"/>
    <s v="Sebastián S"/>
    <s v="Johanna V"/>
    <n v="104832"/>
    <n v="8588566"/>
    <n v="81.927190860215077"/>
    <n v="88354.199901076907"/>
    <n v="106"/>
    <n v="102.5"/>
    <n v="97.206081087440396"/>
    <n v="9530104"/>
  </r>
  <r>
    <x v="43"/>
    <n v="202603"/>
    <x v="0"/>
    <x v="0"/>
    <s v="Sofía V"/>
    <s v="José A"/>
    <n v="104742"/>
    <n v="3340842"/>
    <n v="31.896055107526877"/>
    <n v="111581.22958064523"/>
    <n v="32.5"/>
    <n v="32"/>
    <n v="29.073700348097926"/>
    <n v="3244079"/>
  </r>
  <r>
    <x v="2"/>
    <n v="202402"/>
    <x v="2"/>
    <x v="2"/>
    <s v="Sofía V"/>
    <s v="José A"/>
    <n v="104734"/>
    <n v="7399676"/>
    <n v="70.652377873563239"/>
    <n v="0"/>
    <n v="76.5"/>
    <n v="80"/>
    <m/>
    <n v="0"/>
  </r>
  <r>
    <x v="52"/>
    <n v="202503"/>
    <x v="1"/>
    <x v="0"/>
    <s v="Sebastián S"/>
    <s v="Vik E"/>
    <n v="104701"/>
    <n v="7134988"/>
    <n v="68.146505376344123"/>
    <n v="90197.58534115777"/>
    <n v="80"/>
    <n v="78"/>
    <n v="79.103975932538134"/>
    <n v="7037984"/>
  </r>
  <r>
    <x v="5"/>
    <n v="202501"/>
    <x v="1"/>
    <x v="10"/>
    <s v="Sebastián S"/>
    <s v="Rodolfo O"/>
    <n v="104694"/>
    <n v="6017118"/>
    <n v="57.473151881720426"/>
    <n v="96639.061921541943"/>
    <n v="68.5"/>
    <n v="66"/>
    <n v="62.26382676277526"/>
    <n v="5738302"/>
  </r>
  <r>
    <x v="40"/>
    <n v="202412"/>
    <x v="2"/>
    <x v="1"/>
    <s v="Sebastián S"/>
    <s v="Johanna V"/>
    <n v="104673"/>
    <n v="12036273"/>
    <n v="114.9893951612903"/>
    <n v="0"/>
    <n v="106"/>
    <n v="102.5"/>
    <m/>
    <n v="0"/>
  </r>
  <r>
    <x v="20"/>
    <n v="202508"/>
    <x v="1"/>
    <x v="5"/>
    <s v="Sofía V"/>
    <s v="Joe H"/>
    <n v="104630"/>
    <n v="8757570"/>
    <n v="83.700524193548461"/>
    <n v="102265.09066150687"/>
    <n v="96.5"/>
    <n v="96"/>
    <n v="85.635967399541897"/>
    <n v="8700331"/>
  </r>
  <r>
    <x v="40"/>
    <n v="202506"/>
    <x v="1"/>
    <x v="11"/>
    <s v="Sebastián S"/>
    <s v="Johanna V"/>
    <n v="104612"/>
    <n v="8602758"/>
    <n v="82.234736111111161"/>
    <n v="91546.123187854289"/>
    <n v="106"/>
    <n v="102.5"/>
    <n v="93.971845671137643"/>
    <n v="9434213"/>
  </r>
  <r>
    <x v="30"/>
    <n v="202409"/>
    <x v="2"/>
    <x v="4"/>
    <s v="Sebastián S"/>
    <s v="Vik E"/>
    <n v="104556"/>
    <n v="8542833"/>
    <n v="81.705701388888869"/>
    <n v="0"/>
    <n v="101.5"/>
    <n v="97.5"/>
    <m/>
    <n v="0"/>
  </r>
  <r>
    <x v="16"/>
    <n v="202601"/>
    <x v="0"/>
    <x v="10"/>
    <s v="Sofía V"/>
    <s v="José A"/>
    <n v="104552"/>
    <n v="5704413"/>
    <n v="54.560295698924726"/>
    <n v="108585.22098968561"/>
    <n v="64"/>
    <n v="67"/>
    <n v="56.429371630436094"/>
    <n v="6127396"/>
  </r>
  <r>
    <x v="44"/>
    <n v="202401"/>
    <x v="2"/>
    <x v="10"/>
    <s v="Sebastián S"/>
    <s v="Johanna V"/>
    <n v="104520"/>
    <n v="9077716"/>
    <n v="86.851418010752695"/>
    <n v="0"/>
    <n v="117.5"/>
    <n v="99"/>
    <m/>
    <n v="0"/>
  </r>
  <r>
    <x v="4"/>
    <n v="202403"/>
    <x v="2"/>
    <x v="0"/>
    <s v="Sofía V"/>
    <s v="José A"/>
    <n v="104516"/>
    <n v="10898452"/>
    <n v="104.27534946236558"/>
    <n v="0"/>
    <n v="107.5"/>
    <n v="102.5"/>
    <m/>
    <n v="0"/>
  </r>
  <r>
    <x v="40"/>
    <n v="202509"/>
    <x v="1"/>
    <x v="4"/>
    <s v="Sebastián S"/>
    <s v="Johanna V"/>
    <n v="104493"/>
    <n v="7953297"/>
    <n v="76.113381944444512"/>
    <n v="89214.789273034577"/>
    <n v="106"/>
    <n v="102.5"/>
    <n v="89.147744951339675"/>
    <n v="9511064"/>
  </r>
  <r>
    <x v="21"/>
    <n v="202605"/>
    <x v="0"/>
    <x v="3"/>
    <s v="Sebastián S"/>
    <s v="Rodolfo O"/>
    <n v="104477"/>
    <n v="8049012"/>
    <n v="77.040974462365995"/>
    <n v="108158.1278988328"/>
    <n v="84.5"/>
    <n v="86.5"/>
    <n v="71.456708642637324"/>
    <n v="7728624"/>
  </r>
  <r>
    <x v="10"/>
    <n v="202605"/>
    <x v="0"/>
    <x v="3"/>
    <s v="Sofía V"/>
    <s v="Melany A"/>
    <n v="104467"/>
    <n v="10814175"/>
    <n v="103.51715725806233"/>
    <n v="101566.29016435651"/>
    <n v="125"/>
    <n v="118.5"/>
    <n v="102.97612103755296"/>
    <n v="10458903"/>
  </r>
  <r>
    <x v="15"/>
    <n v="202404"/>
    <x v="2"/>
    <x v="9"/>
    <s v="Sofía V"/>
    <s v="Joe H"/>
    <n v="104416"/>
    <n v="8472470"/>
    <n v="81.141131944444439"/>
    <n v="0"/>
    <n v="101"/>
    <n v="105"/>
    <m/>
    <n v="0"/>
  </r>
  <r>
    <x v="26"/>
    <n v="202503"/>
    <x v="1"/>
    <x v="0"/>
    <s v="Sofía V"/>
    <s v="Melany A"/>
    <n v="104398"/>
    <n v="5393702"/>
    <n v="51.664657258064508"/>
    <n v="100722.13644935125"/>
    <n v="55"/>
    <n v="50.5"/>
    <n v="53.550316545482097"/>
    <n v="5049256"/>
  </r>
  <r>
    <x v="26"/>
    <n v="202601"/>
    <x v="0"/>
    <x v="10"/>
    <s v="Sofía V"/>
    <s v="Melany A"/>
    <n v="104369"/>
    <n v="4842988"/>
    <n v="46.402379032258075"/>
    <n v="101226.74992885116"/>
    <n v="55"/>
    <n v="50.5"/>
    <n v="48.493991244906027"/>
    <n v="4908889"/>
  </r>
  <r>
    <x v="26"/>
    <n v="202401"/>
    <x v="2"/>
    <x v="10"/>
    <s v="Sofía V"/>
    <s v="Melany A"/>
    <n v="104320"/>
    <n v="4733448"/>
    <n v="45.374112903225821"/>
    <n v="0"/>
    <n v="55"/>
    <n v="50.5"/>
    <m/>
    <n v="0"/>
  </r>
  <r>
    <x v="15"/>
    <n v="202411"/>
    <x v="2"/>
    <x v="7"/>
    <s v="Sofía V"/>
    <s v="Joe H"/>
    <n v="104278"/>
    <n v="9759954"/>
    <n v="93.595395833333413"/>
    <n v="0"/>
    <n v="101"/>
    <n v="105"/>
    <m/>
    <n v="0"/>
  </r>
  <r>
    <x v="12"/>
    <n v="202407"/>
    <x v="2"/>
    <x v="6"/>
    <s v="Sofía V"/>
    <s v="Melany A"/>
    <n v="104261"/>
    <n v="9242000"/>
    <n v="88.642815860215066"/>
    <n v="0"/>
    <n v="96.5"/>
    <n v="94"/>
    <m/>
    <n v="0"/>
  </r>
  <r>
    <x v="5"/>
    <n v="202407"/>
    <x v="2"/>
    <x v="6"/>
    <s v="Sebastián S"/>
    <s v="Rodolfo O"/>
    <n v="104251"/>
    <n v="6433148"/>
    <n v="61.70810483870968"/>
    <n v="0"/>
    <n v="68.5"/>
    <n v="66"/>
    <m/>
    <n v="0"/>
  </r>
  <r>
    <x v="3"/>
    <n v="202411"/>
    <x v="2"/>
    <x v="7"/>
    <s v="Sebastián S"/>
    <s v="Rodolfo O"/>
    <n v="104243"/>
    <n v="9797913"/>
    <n v="93.990847222222314"/>
    <n v="0"/>
    <n v="98.5"/>
    <n v="96.5"/>
    <m/>
    <n v="0"/>
  </r>
  <r>
    <x v="32"/>
    <n v="202407"/>
    <x v="2"/>
    <x v="6"/>
    <s v="Sofía V"/>
    <s v="Melany A"/>
    <n v="104222"/>
    <n v="6385224"/>
    <n v="61.265665322580645"/>
    <n v="0"/>
    <n v="75.5"/>
    <n v="68"/>
    <m/>
    <n v="0"/>
  </r>
  <r>
    <x v="37"/>
    <n v="202408"/>
    <x v="2"/>
    <x v="5"/>
    <s v="Sofía V"/>
    <s v="Melany A"/>
    <n v="104204"/>
    <n v="6413887"/>
    <n v="61.551404569892469"/>
    <n v="0"/>
    <n v="72.5"/>
    <n v="68.5"/>
    <m/>
    <n v="0"/>
  </r>
  <r>
    <x v="48"/>
    <n v="202605"/>
    <x v="0"/>
    <x v="3"/>
    <s v="Hernán P"/>
    <s v="Daniel R"/>
    <n v="104197"/>
    <n v="6795114"/>
    <n v="65.214032258064549"/>
    <n v="99696.074872661469"/>
    <n v="79.5"/>
    <n v="72.5"/>
    <n v="64.209802769832038"/>
    <n v="6401465"/>
  </r>
  <r>
    <x v="34"/>
    <n v="202412"/>
    <x v="2"/>
    <x v="1"/>
    <s v="Hernán P"/>
    <s v="Daniel R"/>
    <n v="104153"/>
    <n v="1602803"/>
    <n v="15.388944892473123"/>
    <n v="0"/>
    <n v="15"/>
    <n v="15"/>
    <m/>
    <n v="0"/>
  </r>
  <r>
    <x v="11"/>
    <n v="202606"/>
    <x v="0"/>
    <x v="11"/>
    <s v="Sofía V"/>
    <s v="José A"/>
    <n v="104113"/>
    <n v="6863597"/>
    <n v="65.92463888888939"/>
    <n v="89439.852208567827"/>
    <n v="86.5"/>
    <n v="81.5"/>
    <n v="76.26782259426129"/>
    <n v="6821383"/>
  </r>
  <r>
    <x v="30"/>
    <n v="202601"/>
    <x v="0"/>
    <x v="10"/>
    <s v="Sebastián S"/>
    <s v="Vik E"/>
    <n v="104072"/>
    <n v="8408861"/>
    <n v="80.798487903225833"/>
    <n v="111207.44818367474"/>
    <n v="101.5"/>
    <n v="97.5"/>
    <n v="87.689184144336366"/>
    <n v="9751690"/>
  </r>
  <r>
    <x v="47"/>
    <n v="202603"/>
    <x v="0"/>
    <x v="0"/>
    <s v="Sebastián S"/>
    <s v="Vik E"/>
    <n v="104067"/>
    <n v="5004846"/>
    <n v="48.092634408602144"/>
    <n v="96521.80478597185"/>
    <n v="61.5"/>
    <n v="48.5"/>
    <n v="53.715920394326645"/>
    <n v="5184758"/>
  </r>
  <r>
    <x v="12"/>
    <n v="202606"/>
    <x v="0"/>
    <x v="11"/>
    <s v="Sofía V"/>
    <s v="Melany A"/>
    <n v="104027"/>
    <n v="8215276"/>
    <n v="78.972444444447063"/>
    <n v="95403.114340816173"/>
    <n v="96.5"/>
    <n v="94"/>
    <n v="87.753564014610347"/>
    <n v="8371963"/>
  </r>
  <r>
    <x v="21"/>
    <n v="202602"/>
    <x v="0"/>
    <x v="2"/>
    <s v="Sebastián S"/>
    <s v="Rodolfo O"/>
    <n v="103990"/>
    <n v="7142513"/>
    <n v="68.684635416666652"/>
    <n v="83669.807985426058"/>
    <n v="84.5"/>
    <n v="86.5"/>
    <n v="71.456708642637324"/>
    <n v="5978769"/>
  </r>
  <r>
    <x v="4"/>
    <n v="202510"/>
    <x v="1"/>
    <x v="8"/>
    <s v="Sofía V"/>
    <s v="José A"/>
    <n v="103983"/>
    <n v="9119866"/>
    <n v="87.705436827956973"/>
    <n v="99384.678444291756"/>
    <n v="107.5"/>
    <n v="102.5"/>
    <n v="91.763296946339452"/>
    <n v="10093394"/>
  </r>
  <r>
    <x v="27"/>
    <n v="202604"/>
    <x v="0"/>
    <x v="9"/>
    <s v="Sofía V"/>
    <s v="Joe H"/>
    <n v="103979"/>
    <n v="5259503"/>
    <n v="50.582534722221894"/>
    <n v="91060.884787971576"/>
    <n v="62"/>
    <n v="58"/>
    <n v="54.66595376698497"/>
    <n v="4977930"/>
  </r>
  <r>
    <x v="20"/>
    <n v="202509"/>
    <x v="1"/>
    <x v="4"/>
    <s v="Sofía V"/>
    <s v="Joe H"/>
    <n v="103970"/>
    <n v="8419613"/>
    <n v="80.981493055555603"/>
    <n v="107285.70031447147"/>
    <n v="96.5"/>
    <n v="96"/>
    <n v="78.478427556708624"/>
    <n v="8498994"/>
  </r>
  <r>
    <x v="27"/>
    <n v="202511"/>
    <x v="1"/>
    <x v="7"/>
    <s v="Sofía V"/>
    <s v="Joe H"/>
    <n v="103893"/>
    <n v="5197912"/>
    <n v="50.031236111111141"/>
    <n v="81786.931125730131"/>
    <n v="62"/>
    <n v="58"/>
    <n v="63.554305173882966"/>
    <n v="4632150"/>
  </r>
  <r>
    <x v="17"/>
    <n v="202601"/>
    <x v="0"/>
    <x v="10"/>
    <s v="Sofía V"/>
    <s v="Joe H"/>
    <n v="103868"/>
    <n v="8907904"/>
    <n v="85.761525537634427"/>
    <n v="104111.13288388449"/>
    <n v="94"/>
    <n v="92"/>
    <n v="81.933174564661712"/>
    <n v="8530156"/>
  </r>
  <r>
    <x v="48"/>
    <n v="202503"/>
    <x v="1"/>
    <x v="0"/>
    <s v="Hernán P"/>
    <s v="Daniel R"/>
    <n v="103843"/>
    <n v="6146098"/>
    <n v="59.186317204301069"/>
    <n v="104169.13278526044"/>
    <n v="79.5"/>
    <n v="72.5"/>
    <n v="59.001139835443198"/>
    <n v="6731883"/>
  </r>
  <r>
    <x v="31"/>
    <n v="202405"/>
    <x v="2"/>
    <x v="3"/>
    <s v="Sofía V"/>
    <s v="Melany A"/>
    <n v="103839"/>
    <n v="11484835"/>
    <n v="110.60258736559145"/>
    <n v="0"/>
    <n v="99"/>
    <n v="32.5"/>
    <m/>
    <n v="0"/>
  </r>
  <r>
    <x v="16"/>
    <n v="202507"/>
    <x v="1"/>
    <x v="6"/>
    <s v="Sofía V"/>
    <s v="José A"/>
    <n v="103815"/>
    <n v="5811456"/>
    <n v="55.978783602150536"/>
    <n v="106679.43654334055"/>
    <n v="64"/>
    <n v="67"/>
    <n v="54.47587406068633"/>
    <n v="5992597"/>
  </r>
  <r>
    <x v="28"/>
    <n v="202604"/>
    <x v="0"/>
    <x v="9"/>
    <s v="Sebastián S"/>
    <s v="Rodolfo O"/>
    <n v="103783"/>
    <n v="5786403"/>
    <n v="55.754708333333504"/>
    <n v="101888.58144040281"/>
    <n v="65.5"/>
    <n v="66"/>
    <n v="55.812340478272937"/>
    <n v="5686640"/>
  </r>
  <r>
    <x v="22"/>
    <n v="202507"/>
    <x v="1"/>
    <x v="6"/>
    <s v="Sebastián S"/>
    <s v="Johanna V"/>
    <n v="103778"/>
    <n v="8574597"/>
    <n v="82.624133064516158"/>
    <n v="97893.277584257157"/>
    <n v="104.5"/>
    <n v="99"/>
    <n v="87.591274514430324"/>
    <n v="9216670"/>
  </r>
  <r>
    <x v="30"/>
    <n v="202509"/>
    <x v="1"/>
    <x v="4"/>
    <s v="Sebastián S"/>
    <s v="Vik E"/>
    <n v="103778"/>
    <n v="7888987"/>
    <n v="76.017958333333439"/>
    <n v="109783.95235610599"/>
    <n v="101.5"/>
    <n v="97.5"/>
    <n v="71.859197821649829"/>
    <n v="9239548"/>
  </r>
  <r>
    <x v="21"/>
    <n v="202604"/>
    <x v="0"/>
    <x v="9"/>
    <s v="Sebastián S"/>
    <s v="Rodolfo O"/>
    <n v="103768"/>
    <n v="7449348"/>
    <n v="71.788694444446747"/>
    <n v="98747.294437931603"/>
    <n v="84.5"/>
    <n v="86.5"/>
    <n v="71.456708642637324"/>
    <n v="7056157"/>
  </r>
  <r>
    <x v="30"/>
    <n v="202606"/>
    <x v="0"/>
    <x v="11"/>
    <s v="Sebastián S"/>
    <s v="Vik E"/>
    <n v="103752"/>
    <n v="8676751"/>
    <n v="83.629631944446245"/>
    <n v="97941.746068288689"/>
    <n v="101.5"/>
    <n v="97.5"/>
    <n v="87.689184144336366"/>
    <n v="8588432"/>
  </r>
  <r>
    <x v="3"/>
    <n v="202410"/>
    <x v="2"/>
    <x v="8"/>
    <s v="Sebastián S"/>
    <s v="Rodolfo O"/>
    <n v="103750"/>
    <n v="9074197"/>
    <n v="87.462553763440852"/>
    <n v="0"/>
    <n v="98.5"/>
    <n v="96.5"/>
    <m/>
    <n v="0"/>
  </r>
  <r>
    <x v="63"/>
    <n v="202512"/>
    <x v="1"/>
    <x v="1"/>
    <s v="Sebastián S"/>
    <s v="Johanna V"/>
    <n v="103735"/>
    <n v="12064039"/>
    <n v="116.29709677419346"/>
    <n v="108798.93202368998"/>
    <n v="123"/>
    <n v="115.5"/>
    <n v="110.88380194185328"/>
    <n v="13591580"/>
  </r>
  <r>
    <x v="64"/>
    <n v="202512"/>
    <x v="1"/>
    <x v="1"/>
    <s v="Sebastián S"/>
    <s v="Johanna V"/>
    <n v="103723"/>
    <n v="7356985"/>
    <n v="70.928864247311793"/>
    <n v="101230.36323971218"/>
    <n v="75.5"/>
    <n v="70.5"/>
    <n v="72.675675899519931"/>
    <n v="8197903"/>
  </r>
  <r>
    <x v="47"/>
    <n v="202604"/>
    <x v="0"/>
    <x v="9"/>
    <s v="Sebastián S"/>
    <s v="Vik E"/>
    <n v="103649"/>
    <n v="4339266"/>
    <n v="41.865201388888956"/>
    <n v="82142.351779678778"/>
    <n v="61.5"/>
    <n v="48.5"/>
    <n v="53.715920394326645"/>
    <n v="4412352"/>
  </r>
  <r>
    <x v="16"/>
    <n v="202504"/>
    <x v="1"/>
    <x v="9"/>
    <s v="Sofía V"/>
    <s v="José A"/>
    <n v="103643"/>
    <n v="5696436"/>
    <n v="54.961909722222224"/>
    <n v="100031.36786322236"/>
    <n v="64"/>
    <n v="67"/>
    <n v="56.946501399331147"/>
    <n v="5896757"/>
  </r>
  <r>
    <x v="14"/>
    <n v="202601"/>
    <x v="0"/>
    <x v="10"/>
    <s v="Sofía V"/>
    <s v="Melany A"/>
    <n v="103626"/>
    <n v="5335932"/>
    <n v="51.49215053763443"/>
    <n v="97349.23859155555"/>
    <n v="59.5"/>
    <n v="55.5"/>
    <n v="53.278949580299148"/>
    <n v="5186665"/>
  </r>
  <r>
    <x v="24"/>
    <n v="202403"/>
    <x v="2"/>
    <x v="0"/>
    <s v="Sofía V"/>
    <s v="Joe H"/>
    <n v="103624"/>
    <n v="7254425"/>
    <n v="70.007056451612883"/>
    <n v="0"/>
    <n v="71"/>
    <n v="74.5"/>
    <m/>
    <n v="0"/>
  </r>
  <r>
    <x v="63"/>
    <n v="202412"/>
    <x v="2"/>
    <x v="1"/>
    <s v="Sebastián S"/>
    <s v="Johanna V"/>
    <n v="103618"/>
    <n v="12445404"/>
    <n v="120.10847446236545"/>
    <n v="0"/>
    <n v="123"/>
    <n v="115.5"/>
    <m/>
    <n v="0"/>
  </r>
  <r>
    <x v="60"/>
    <n v="202603"/>
    <x v="0"/>
    <x v="0"/>
    <s v="Sofía V"/>
    <s v="Melany A"/>
    <n v="103607"/>
    <n v="11748511"/>
    <n v="113.39538978494626"/>
    <n v="105455.03454863922"/>
    <n v="88.5"/>
    <n v="92.5"/>
    <n v="102.97612103755296"/>
    <n v="10859350"/>
  </r>
  <r>
    <x v="65"/>
    <n v="202512"/>
    <x v="1"/>
    <x v="1"/>
    <s v="Sebastián S"/>
    <s v="Johanna V"/>
    <n v="103503"/>
    <n v="10109540"/>
    <n v="97.673803763440773"/>
    <n v="108346.24989095044"/>
    <n v="103"/>
    <n v="91"/>
    <n v="93.30770442147427"/>
    <n v="11801559"/>
  </r>
  <r>
    <x v="60"/>
    <n v="202412"/>
    <x v="2"/>
    <x v="1"/>
    <s v="Sofía V"/>
    <s v="Melany A"/>
    <n v="103453"/>
    <n v="9538930"/>
    <n v="92.205430107526908"/>
    <n v="0"/>
    <n v="88.5"/>
    <n v="92.5"/>
    <m/>
    <n v="0"/>
  </r>
  <r>
    <x v="45"/>
    <n v="202605"/>
    <x v="0"/>
    <x v="3"/>
    <s v="Sofía V"/>
    <s v="Joe H"/>
    <n v="103452"/>
    <n v="6363639"/>
    <n v="61.513017473118332"/>
    <n v="97975.944451106508"/>
    <n v="68"/>
    <n v="68.5"/>
    <n v="60.397061823201135"/>
    <n v="5917459"/>
  </r>
  <r>
    <x v="66"/>
    <n v="202512"/>
    <x v="1"/>
    <x v="1"/>
    <s v="Sebastián S"/>
    <s v="Rodolfo O"/>
    <n v="103430"/>
    <n v="6147743"/>
    <n v="59.438938172042981"/>
    <n v="101166.52415063954"/>
    <n v="55"/>
    <n v="55.5"/>
    <n v="60.768545836821026"/>
    <n v="6049672"/>
  </r>
  <r>
    <x v="44"/>
    <n v="202601"/>
    <x v="0"/>
    <x v="10"/>
    <s v="Sebastián S"/>
    <s v="Johanna V"/>
    <n v="103414"/>
    <n v="9608067"/>
    <n v="92.909193548387137"/>
    <n v="101902.16827917419"/>
    <n v="117.5"/>
    <n v="99"/>
    <n v="98.005014700369543"/>
    <n v="9986924"/>
  </r>
  <r>
    <x v="25"/>
    <n v="202604"/>
    <x v="0"/>
    <x v="9"/>
    <s v="Sebastián S"/>
    <s v="Vik E"/>
    <n v="103380"/>
    <n v="7169021"/>
    <n v="69.346277777779918"/>
    <n v="99623.482738005434"/>
    <n v="77"/>
    <n v="79"/>
    <n v="66.09086292651952"/>
    <n v="6584202"/>
  </r>
  <r>
    <x v="16"/>
    <n v="202606"/>
    <x v="0"/>
    <x v="11"/>
    <s v="Sofía V"/>
    <s v="José A"/>
    <n v="103380"/>
    <n v="6223966"/>
    <n v="60.20490972222288"/>
    <n v="109670.88494854062"/>
    <n v="64"/>
    <n v="67"/>
    <n v="56.429371630436094"/>
    <n v="6188659"/>
  </r>
  <r>
    <x v="5"/>
    <n v="202507"/>
    <x v="1"/>
    <x v="6"/>
    <s v="Sebastián S"/>
    <s v="Rodolfo O"/>
    <n v="103374"/>
    <n v="6525847"/>
    <n v="63.128474462365617"/>
    <n v="109463.83199022974"/>
    <n v="68.5"/>
    <n v="66"/>
    <n v="59.6164704025935"/>
    <n v="6680725"/>
  </r>
  <r>
    <x v="22"/>
    <n v="202506"/>
    <x v="1"/>
    <x v="11"/>
    <s v="Sebastián S"/>
    <s v="Johanna V"/>
    <n v="103371"/>
    <n v="8327283"/>
    <n v="80.556972222222228"/>
    <n v="98573.297412310814"/>
    <n v="104.5"/>
    <n v="99"/>
    <n v="84.478082286004636"/>
    <n v="9067215"/>
  </r>
  <r>
    <x v="21"/>
    <n v="202601"/>
    <x v="0"/>
    <x v="10"/>
    <s v="Sebastián S"/>
    <s v="Rodolfo O"/>
    <n v="103325"/>
    <n v="7085026"/>
    <n v="68.570080645161312"/>
    <n v="92918.437401106465"/>
    <n v="84.5"/>
    <n v="86.5"/>
    <n v="71.456708642637324"/>
    <n v="6639646"/>
  </r>
  <r>
    <x v="67"/>
    <n v="202412"/>
    <x v="2"/>
    <x v="1"/>
    <s v="Hernán P"/>
    <s v="Daniel R"/>
    <n v="103296"/>
    <n v="1294230"/>
    <n v="12.52929435483871"/>
    <n v="0"/>
    <n v="15.5"/>
    <n v="14.5"/>
    <m/>
    <n v="0"/>
  </r>
  <r>
    <x v="30"/>
    <n v="202410"/>
    <x v="2"/>
    <x v="8"/>
    <s v="Sebastián S"/>
    <s v="Vik E"/>
    <n v="103295"/>
    <n v="9116318"/>
    <n v="88.255181451612856"/>
    <n v="0"/>
    <n v="101.5"/>
    <n v="97.5"/>
    <m/>
    <n v="0"/>
  </r>
  <r>
    <x v="22"/>
    <n v="202603"/>
    <x v="0"/>
    <x v="0"/>
    <s v="Sebastián S"/>
    <s v="Johanna V"/>
    <n v="103281"/>
    <n v="10031409"/>
    <n v="97.127399193548442"/>
    <n v="107255.99946334741"/>
    <n v="104.5"/>
    <n v="99"/>
    <n v="90.280982690474389"/>
    <n v="9683177"/>
  </r>
  <r>
    <x v="33"/>
    <n v="202604"/>
    <x v="0"/>
    <x v="9"/>
    <s v="Sofía V"/>
    <s v="José A"/>
    <n v="103261"/>
    <n v="8897255"/>
    <n v="86.162708333334223"/>
    <n v="100543.54936594672"/>
    <n v="93.5"/>
    <n v="94"/>
    <n v="84.619508156945685"/>
    <n v="8507946"/>
  </r>
  <r>
    <x v="36"/>
    <n v="202403"/>
    <x v="2"/>
    <x v="0"/>
    <s v="Sebastián S"/>
    <s v="Rodolfo O"/>
    <n v="103251"/>
    <n v="7831187"/>
    <n v="75.845987903225847"/>
    <n v="0"/>
    <n v="81"/>
    <n v="77"/>
    <m/>
    <n v="0"/>
  </r>
  <r>
    <x v="15"/>
    <n v="202501"/>
    <x v="1"/>
    <x v="10"/>
    <s v="Sofía V"/>
    <s v="Joe H"/>
    <n v="103200"/>
    <n v="9282853"/>
    <n v="89.950188172042985"/>
    <n v="114272.86362883345"/>
    <n v="101"/>
    <n v="105"/>
    <n v="81.234101388684763"/>
    <n v="8992925"/>
  </r>
  <r>
    <x v="16"/>
    <n v="202605"/>
    <x v="0"/>
    <x v="3"/>
    <s v="Sofía V"/>
    <s v="José A"/>
    <n v="103191"/>
    <n v="6681528"/>
    <n v="64.748965053763357"/>
    <n v="129036.53785101924"/>
    <n v="64"/>
    <n v="67"/>
    <n v="56.429371630436094"/>
    <n v="7281451"/>
  </r>
  <r>
    <x v="65"/>
    <n v="202412"/>
    <x v="2"/>
    <x v="1"/>
    <s v="Sebastián S"/>
    <s v="Johanna V"/>
    <n v="103187"/>
    <n v="10313874"/>
    <n v="99.953319892473104"/>
    <n v="0"/>
    <n v="103"/>
    <n v="91"/>
    <m/>
    <n v="0"/>
  </r>
  <r>
    <x v="6"/>
    <n v="202506"/>
    <x v="1"/>
    <x v="11"/>
    <s v="Sebastián S"/>
    <s v="Vik E"/>
    <n v="103181"/>
    <n v="9081086"/>
    <n v="88.01104861111105"/>
    <n v="110184.71545965473"/>
    <n v="100"/>
    <n v="98"/>
    <n v="82.416928991617993"/>
    <n v="9641725"/>
  </r>
  <r>
    <x v="11"/>
    <n v="202405"/>
    <x v="2"/>
    <x v="3"/>
    <s v="Sofía V"/>
    <s v="José A"/>
    <n v="103105"/>
    <n v="9379226"/>
    <n v="90.967869623655801"/>
    <n v="0"/>
    <n v="86.5"/>
    <n v="81.5"/>
    <m/>
    <n v="0"/>
  </r>
  <r>
    <x v="19"/>
    <n v="202604"/>
    <x v="0"/>
    <x v="9"/>
    <s v="Sofía V"/>
    <s v="Joe H"/>
    <n v="102922"/>
    <n v="5286315"/>
    <n v="51.362402777778726"/>
    <n v="96590.511425131146"/>
    <n v="57.5"/>
    <n v="56.5"/>
    <n v="50.698263574219922"/>
    <n v="4896971"/>
  </r>
  <r>
    <x v="48"/>
    <n v="202604"/>
    <x v="0"/>
    <x v="9"/>
    <s v="Hernán P"/>
    <s v="Daniel R"/>
    <n v="102894"/>
    <n v="6576733"/>
    <n v="63.917583333335443"/>
    <n v="99294.107247990207"/>
    <n v="79.5"/>
    <n v="72.5"/>
    <n v="64.209802769832038"/>
    <n v="6375655"/>
  </r>
  <r>
    <x v="68"/>
    <n v="202512"/>
    <x v="1"/>
    <x v="1"/>
    <s v="Sofía V"/>
    <s v="José A"/>
    <n v="102854"/>
    <n v="5290162"/>
    <n v="51.433864247311824"/>
    <n v="105900.35026991833"/>
    <n v="52"/>
    <n v="52"/>
    <n v="49.954152998705467"/>
    <n v="5300068"/>
  </r>
  <r>
    <x v="59"/>
    <n v="202512"/>
    <x v="1"/>
    <x v="1"/>
    <s v="Sebastián S"/>
    <s v="Johanna V"/>
    <n v="102850"/>
    <n v="11841962"/>
    <n v="115.13772177419348"/>
    <n v="112729.34108921043"/>
    <n v="118"/>
    <n v="106"/>
    <n v="105.04773633537563"/>
    <n v="14076508"/>
  </r>
  <r>
    <x v="14"/>
    <n v="202602"/>
    <x v="0"/>
    <x v="2"/>
    <s v="Sofía V"/>
    <s v="Melany A"/>
    <n v="102838"/>
    <n v="5666972"/>
    <n v="55.10598958333334"/>
    <n v="95553.787873147012"/>
    <n v="59.5"/>
    <n v="55.5"/>
    <n v="53.278949580299148"/>
    <n v="5091005"/>
  </r>
  <r>
    <x v="16"/>
    <n v="202401"/>
    <x v="2"/>
    <x v="10"/>
    <s v="Sofía V"/>
    <s v="José A"/>
    <n v="102815"/>
    <n v="5046496"/>
    <n v="49.083266129032268"/>
    <n v="0"/>
    <n v="64"/>
    <n v="67"/>
    <m/>
    <n v="0"/>
  </r>
  <r>
    <x v="49"/>
    <n v="202503"/>
    <x v="1"/>
    <x v="0"/>
    <s v="Sebastián S"/>
    <s v="Vik E"/>
    <n v="102802"/>
    <n v="6281500"/>
    <n v="61.102661290322565"/>
    <n v="106528.23926598164"/>
    <n v="66"/>
    <n v="64.5"/>
    <n v="58.965590094061696"/>
    <n v="6643393"/>
  </r>
  <r>
    <x v="54"/>
    <n v="202603"/>
    <x v="0"/>
    <x v="0"/>
    <s v="Sebastián S"/>
    <s v="Rodolfo O"/>
    <n v="102717"/>
    <n v="7622920"/>
    <n v="74.212560483870988"/>
    <n v="98419.858386307518"/>
    <n v="80"/>
    <n v="80.5"/>
    <n v="67.651321791845987"/>
    <n v="6658234"/>
  </r>
  <r>
    <x v="20"/>
    <n v="202504"/>
    <x v="1"/>
    <x v="9"/>
    <s v="Sofía V"/>
    <s v="Joe H"/>
    <n v="102713"/>
    <n v="9131449"/>
    <n v="88.9023819444445"/>
    <n v="105764.91457405484"/>
    <n v="96.5"/>
    <n v="96"/>
    <n v="86.337227489616254"/>
    <n v="8686929"/>
  </r>
  <r>
    <x v="15"/>
    <n v="202405"/>
    <x v="2"/>
    <x v="3"/>
    <s v="Sofía V"/>
    <s v="Joe H"/>
    <n v="102704"/>
    <n v="8456427"/>
    <n v="82.338064516129066"/>
    <n v="0"/>
    <n v="101"/>
    <n v="105"/>
    <m/>
    <n v="0"/>
  </r>
  <r>
    <x v="44"/>
    <n v="202603"/>
    <x v="0"/>
    <x v="0"/>
    <s v="Sebastián S"/>
    <s v="Johanna V"/>
    <n v="102699"/>
    <n v="9593285"/>
    <n v="93.411989247311851"/>
    <n v="112846.3307230982"/>
    <n v="117.5"/>
    <n v="99"/>
    <n v="98.005014700369543"/>
    <n v="11059506"/>
  </r>
  <r>
    <x v="16"/>
    <n v="202411"/>
    <x v="2"/>
    <x v="7"/>
    <s v="Sofía V"/>
    <s v="José A"/>
    <n v="102697"/>
    <n v="5538678"/>
    <n v="53.932229166666644"/>
    <n v="0"/>
    <n v="64"/>
    <n v="67"/>
    <m/>
    <n v="0"/>
  </r>
  <r>
    <x v="33"/>
    <n v="202508"/>
    <x v="1"/>
    <x v="5"/>
    <s v="Sofía V"/>
    <s v="José A"/>
    <n v="102648"/>
    <n v="8634732"/>
    <n v="84.120194892473123"/>
    <n v="98718.627781204632"/>
    <n v="93.5"/>
    <n v="94"/>
    <n v="87.468114114568294"/>
    <n v="9003515"/>
  </r>
  <r>
    <x v="56"/>
    <n v="202603"/>
    <x v="0"/>
    <x v="0"/>
    <s v="Sofía V"/>
    <s v="Joe H"/>
    <n v="102580"/>
    <n v="7675902"/>
    <n v="74.828212365591412"/>
    <n v="102875.14360808075"/>
    <n v="79.5"/>
    <n v="81.5"/>
    <n v="68.773296674593993"/>
    <n v="7075063"/>
  </r>
  <r>
    <x v="33"/>
    <n v="202606"/>
    <x v="0"/>
    <x v="11"/>
    <s v="Sofía V"/>
    <s v="José A"/>
    <n v="102565"/>
    <n v="8822885"/>
    <n v="86.022659722223622"/>
    <n v="101835.5022014233"/>
    <n v="93.5"/>
    <n v="94"/>
    <n v="84.619508156945685"/>
    <n v="8617270"/>
  </r>
  <r>
    <x v="69"/>
    <n v="202512"/>
    <x v="1"/>
    <x v="1"/>
    <s v="Sofía V"/>
    <s v="José A"/>
    <n v="102528"/>
    <n v="8877834"/>
    <n v="86.588965053763474"/>
    <n v="0"/>
    <n v="84"/>
    <n v="76"/>
    <m/>
    <m/>
  </r>
  <r>
    <x v="65"/>
    <n v="202605"/>
    <x v="0"/>
    <x v="3"/>
    <s v="Sebastián S"/>
    <s v="Johanna V"/>
    <n v="102522"/>
    <n v="8338573"/>
    <n v="81.334731182795252"/>
    <n v="98333.609148937743"/>
    <n v="103"/>
    <n v="91"/>
    <n v="85.91077884372821"/>
    <n v="8447917"/>
  </r>
  <r>
    <x v="41"/>
    <n v="202503"/>
    <x v="1"/>
    <x v="0"/>
    <s v="Sebastián S"/>
    <s v="Rodolfo O"/>
    <n v="102480"/>
    <n v="6496963"/>
    <n v="63.397654569892481"/>
    <n v="89252.101154537813"/>
    <n v="64.5"/>
    <n v="64"/>
    <n v="72.793394619927994"/>
    <n v="6453247"/>
  </r>
  <r>
    <x v="49"/>
    <n v="202512"/>
    <x v="1"/>
    <x v="1"/>
    <s v="Sebastián S"/>
    <s v="Vik E"/>
    <n v="102458"/>
    <n v="6578609"/>
    <n v="64.20792338709677"/>
    <n v="119088.21621592755"/>
    <n v="66"/>
    <n v="64.5"/>
    <n v="55.241474337577159"/>
    <n v="7971250"/>
  </r>
  <r>
    <x v="25"/>
    <n v="202601"/>
    <x v="0"/>
    <x v="10"/>
    <s v="Sebastián S"/>
    <s v="Vik E"/>
    <n v="102430"/>
    <n v="6901710"/>
    <n v="67.379798387096798"/>
    <n v="91958.510286923571"/>
    <n v="77"/>
    <n v="79"/>
    <n v="66.09086292651952"/>
    <n v="6077617"/>
  </r>
  <r>
    <x v="9"/>
    <n v="202511"/>
    <x v="1"/>
    <x v="7"/>
    <s v="Sofía V"/>
    <s v="Joe H"/>
    <n v="102422"/>
    <n v="6037489"/>
    <n v="58.947145833333373"/>
    <n v="98639.327361210162"/>
    <n v="70.5"/>
    <n v="69.5"/>
    <n v="61.207730440934021"/>
    <n v="5336325"/>
  </r>
  <r>
    <x v="39"/>
    <n v="202412"/>
    <x v="2"/>
    <x v="1"/>
    <s v="Sofía V"/>
    <s v="Melany A"/>
    <n v="102412"/>
    <n v="6928570"/>
    <n v="67.654106182795701"/>
    <n v="0"/>
    <n v="60.5"/>
    <n v="60.5"/>
    <m/>
    <n v="0"/>
  </r>
  <r>
    <x v="13"/>
    <n v="202403"/>
    <x v="2"/>
    <x v="0"/>
    <s v="Sebastián S"/>
    <s v="Rodolfo O"/>
    <n v="102381"/>
    <n v="7586531"/>
    <n v="74.101256720430086"/>
    <n v="0"/>
    <n v="78"/>
    <n v="74.5"/>
    <m/>
    <n v="0"/>
  </r>
  <r>
    <x v="25"/>
    <n v="202406"/>
    <x v="2"/>
    <x v="11"/>
    <s v="Sebastián S"/>
    <s v="Vik E"/>
    <n v="102380"/>
    <n v="7020747"/>
    <n v="68.575694444444437"/>
    <n v="0"/>
    <n v="77"/>
    <n v="79"/>
    <m/>
    <n v="0"/>
  </r>
  <r>
    <x v="53"/>
    <n v="202605"/>
    <x v="0"/>
    <x v="3"/>
    <s v="Sebastián S"/>
    <s v="Johanna V"/>
    <n v="102379"/>
    <n v="5433265"/>
    <n v="53.070020161290991"/>
    <n v="101996.01040504016"/>
    <n v="68"/>
    <n v="60.5"/>
    <n v="56.717795741490448"/>
    <n v="5784989"/>
  </r>
  <r>
    <x v="22"/>
    <n v="202504"/>
    <x v="1"/>
    <x v="9"/>
    <s v="Sebastián S"/>
    <s v="Johanna V"/>
    <n v="102328"/>
    <n v="8555235"/>
    <n v="83.606104166666697"/>
    <n v="91661.899699526664"/>
    <n v="104.5"/>
    <n v="99"/>
    <n v="93.334694328227826"/>
    <n v="9247994"/>
  </r>
  <r>
    <x v="30"/>
    <n v="202404"/>
    <x v="2"/>
    <x v="9"/>
    <s v="Sebastián S"/>
    <s v="Vik E"/>
    <n v="102323"/>
    <n v="9036091"/>
    <n v="88.30932638888892"/>
    <n v="0"/>
    <n v="101.5"/>
    <n v="97.5"/>
    <m/>
    <n v="0"/>
  </r>
  <r>
    <x v="7"/>
    <n v="202507"/>
    <x v="1"/>
    <x v="6"/>
    <s v="Sebastián S"/>
    <s v="Rodolfo O"/>
    <n v="102293"/>
    <n v="6066310"/>
    <n v="59.303407258064524"/>
    <n v="92686.131058668427"/>
    <n v="65.5"/>
    <n v="63"/>
    <n v="65.450026241360192"/>
    <n v="6093701"/>
  </r>
  <r>
    <x v="45"/>
    <n v="202412"/>
    <x v="2"/>
    <x v="1"/>
    <s v="Sofía V"/>
    <s v="Joe H"/>
    <n v="102210"/>
    <n v="7504821"/>
    <n v="73.425813172042993"/>
    <n v="0"/>
    <n v="68"/>
    <n v="68.5"/>
    <m/>
    <n v="0"/>
  </r>
  <r>
    <x v="20"/>
    <n v="202409"/>
    <x v="2"/>
    <x v="4"/>
    <s v="Sofía V"/>
    <s v="Joe H"/>
    <n v="102177"/>
    <n v="8979192"/>
    <n v="87.878923611111134"/>
    <n v="0"/>
    <n v="96.5"/>
    <n v="96"/>
    <m/>
    <n v="0"/>
  </r>
  <r>
    <x v="41"/>
    <n v="202412"/>
    <x v="2"/>
    <x v="1"/>
    <s v="Sebastián S"/>
    <s v="Rodolfo O"/>
    <n v="102168"/>
    <n v="7437277"/>
    <n v="72.794401881720447"/>
    <n v="0"/>
    <n v="64.5"/>
    <n v="64"/>
    <m/>
    <n v="0"/>
  </r>
  <r>
    <x v="57"/>
    <n v="202512"/>
    <x v="1"/>
    <x v="1"/>
    <s v="Hernán P"/>
    <s v="Daniel R"/>
    <n v="102163"/>
    <n v="4434770"/>
    <n v="43.408655913978464"/>
    <n v="92957.429362222232"/>
    <n v="53.5"/>
    <n v="52"/>
    <n v="47.70753387251353"/>
    <n v="4821563"/>
  </r>
  <r>
    <x v="8"/>
    <n v="202406"/>
    <x v="2"/>
    <x v="11"/>
    <s v="Sebastián S"/>
    <s v="Vik E"/>
    <n v="102147"/>
    <n v="8107532"/>
    <n v="79.370909722222223"/>
    <n v="0"/>
    <n v="88"/>
    <n v="84"/>
    <m/>
    <n v="0"/>
  </r>
  <r>
    <x v="70"/>
    <n v="202512"/>
    <x v="1"/>
    <x v="1"/>
    <s v="Sebastián S"/>
    <s v="Vik E"/>
    <n v="102130"/>
    <n v="5573949"/>
    <n v="54.577137096774194"/>
    <n v="106224.3500749313"/>
    <n v="60.5"/>
    <n v="57.5"/>
    <n v="52.473366003822129"/>
    <n v="5963632"/>
  </r>
  <r>
    <x v="50"/>
    <n v="202503"/>
    <x v="1"/>
    <x v="0"/>
    <s v="Sebastián S"/>
    <s v="Vik E"/>
    <n v="102072"/>
    <n v="7340456"/>
    <n v="71.914650537634429"/>
    <n v="105753.88720346721"/>
    <n v="75.5"/>
    <n v="74"/>
    <n v="69.410747860995301"/>
    <n v="7876611"/>
  </r>
  <r>
    <x v="21"/>
    <n v="202403"/>
    <x v="2"/>
    <x v="0"/>
    <s v="Sebastián S"/>
    <s v="Rodolfo O"/>
    <n v="102029"/>
    <n v="8159013"/>
    <n v="79.967237903225808"/>
    <n v="0"/>
    <n v="84.5"/>
    <n v="86.5"/>
    <m/>
    <n v="0"/>
  </r>
  <r>
    <x v="53"/>
    <n v="202412"/>
    <x v="2"/>
    <x v="1"/>
    <s v="Sebastián S"/>
    <s v="Johanna V"/>
    <n v="101988"/>
    <n v="6589805"/>
    <n v="64.613481182795695"/>
    <n v="0"/>
    <n v="68"/>
    <n v="60.5"/>
    <m/>
    <n v="0"/>
  </r>
  <r>
    <x v="21"/>
    <n v="202606"/>
    <x v="0"/>
    <x v="11"/>
    <s v="Sebastián S"/>
    <s v="Rodolfo O"/>
    <n v="101949"/>
    <n v="7280441"/>
    <n v="71.412736111113404"/>
    <n v="97544.191137583024"/>
    <n v="84.5"/>
    <n v="86.5"/>
    <n v="71.456708642637324"/>
    <n v="6970187"/>
  </r>
  <r>
    <x v="33"/>
    <n v="202503"/>
    <x v="1"/>
    <x v="0"/>
    <s v="Sofía V"/>
    <s v="José A"/>
    <n v="101909"/>
    <n v="9051269"/>
    <n v="88.817063172042879"/>
    <n v="106696.73930929552"/>
    <n v="93.5"/>
    <n v="94"/>
    <n v="84.831725867103813"/>
    <n v="9225635"/>
  </r>
  <r>
    <x v="37"/>
    <n v="202507"/>
    <x v="1"/>
    <x v="6"/>
    <s v="Sofía V"/>
    <s v="Melany A"/>
    <n v="101845"/>
    <n v="6168740"/>
    <n v="60.570134408602129"/>
    <n v="116844.36090225566"/>
    <n v="72.5"/>
    <n v="68.5"/>
    <n v="52.79450529204712"/>
    <n v="7185540"/>
  </r>
  <r>
    <x v="36"/>
    <n v="202407"/>
    <x v="2"/>
    <x v="6"/>
    <s v="Sebastián S"/>
    <s v="Rodolfo O"/>
    <n v="101825"/>
    <n v="7042900"/>
    <n v="69.16682123655913"/>
    <n v="0"/>
    <n v="81"/>
    <n v="77"/>
    <m/>
    <n v="0"/>
  </r>
  <r>
    <x v="22"/>
    <n v="202408"/>
    <x v="2"/>
    <x v="5"/>
    <s v="Sebastián S"/>
    <s v="Johanna V"/>
    <n v="101810"/>
    <n v="8822377"/>
    <n v="86.655625000000043"/>
    <n v="0"/>
    <n v="104.5"/>
    <n v="99"/>
    <m/>
    <n v="0"/>
  </r>
  <r>
    <x v="40"/>
    <n v="202606"/>
    <x v="0"/>
    <x v="11"/>
    <s v="Sebastián S"/>
    <s v="Johanna V"/>
    <n v="101784"/>
    <n v="9047987"/>
    <n v="88.894312500002343"/>
    <n v="93926.935431288468"/>
    <n v="106"/>
    <n v="102.5"/>
    <n v="90.060822135394957"/>
    <n v="8459137"/>
  </r>
  <r>
    <x v="29"/>
    <n v="202602"/>
    <x v="0"/>
    <x v="2"/>
    <s v="Sebastián S"/>
    <s v="Vik E"/>
    <n v="101711"/>
    <n v="6710236"/>
    <n v="65.973854166666669"/>
    <n v="92254.833011497321"/>
    <n v="76.5"/>
    <n v="75.5"/>
    <n v="67.697971575339096"/>
    <n v="6245465"/>
  </r>
  <r>
    <x v="48"/>
    <n v="202508"/>
    <x v="1"/>
    <x v="5"/>
    <s v="Hernán P"/>
    <s v="Daniel R"/>
    <n v="101703"/>
    <n v="6007036"/>
    <n v="59.064569892473145"/>
    <n v="99478.104094011505"/>
    <n v="79.5"/>
    <n v="72.5"/>
    <n v="60.385510708196321"/>
    <n v="6001323"/>
  </r>
  <r>
    <x v="44"/>
    <n v="202504"/>
    <x v="1"/>
    <x v="9"/>
    <s v="Sebastián S"/>
    <s v="Johanna V"/>
    <n v="101661"/>
    <n v="9576095"/>
    <n v="94.196472222222212"/>
    <n v="103826.72737841868"/>
    <n v="117.5"/>
    <n v="99"/>
    <n v="92.23150360020378"/>
    <n v="9879676"/>
  </r>
  <r>
    <x v="22"/>
    <n v="202604"/>
    <x v="0"/>
    <x v="9"/>
    <s v="Sebastián S"/>
    <s v="Johanna V"/>
    <n v="101623"/>
    <n v="9111030"/>
    <n v="89.655222222224282"/>
    <n v="98771.109411515688"/>
    <n v="104.5"/>
    <n v="99"/>
    <n v="90.280982690474389"/>
    <n v="8917153"/>
  </r>
  <r>
    <x v="33"/>
    <n v="202403"/>
    <x v="2"/>
    <x v="0"/>
    <s v="Sofía V"/>
    <s v="José A"/>
    <n v="101616"/>
    <n v="8997767"/>
    <n v="88.546801075268789"/>
    <n v="0"/>
    <n v="93.5"/>
    <n v="94"/>
    <m/>
    <n v="0"/>
  </r>
  <r>
    <x v="17"/>
    <n v="202510"/>
    <x v="1"/>
    <x v="8"/>
    <s v="Sofía V"/>
    <s v="Joe H"/>
    <n v="101606"/>
    <n v="8475539"/>
    <n v="83.415678763440823"/>
    <n v="100628.78106173531"/>
    <n v="94"/>
    <n v="92"/>
    <n v="84.225791175988647"/>
    <n v="8006547"/>
  </r>
  <r>
    <x v="16"/>
    <n v="202407"/>
    <x v="2"/>
    <x v="6"/>
    <s v="Sofía V"/>
    <s v="José A"/>
    <n v="101599"/>
    <n v="6141428"/>
    <n v="60.447446236559145"/>
    <n v="0"/>
    <n v="64"/>
    <n v="67"/>
    <m/>
    <n v="0"/>
  </r>
  <r>
    <x v="2"/>
    <n v="202405"/>
    <x v="2"/>
    <x v="3"/>
    <s v="Sofía V"/>
    <s v="José A"/>
    <n v="101585"/>
    <n v="7281319"/>
    <n v="71.677271505376297"/>
    <n v="0"/>
    <n v="76.5"/>
    <n v="80"/>
    <m/>
    <n v="0"/>
  </r>
  <r>
    <x v="20"/>
    <n v="202502"/>
    <x v="1"/>
    <x v="2"/>
    <s v="Sofía V"/>
    <s v="Joe H"/>
    <n v="101574"/>
    <n v="9381120"/>
    <n v="92.357135416666679"/>
    <n v="99220.845089908093"/>
    <n v="96.5"/>
    <n v="96"/>
    <n v="94.547874708176295"/>
    <n v="8613283"/>
  </r>
  <r>
    <x v="4"/>
    <n v="202407"/>
    <x v="2"/>
    <x v="6"/>
    <s v="Sofía V"/>
    <s v="José A"/>
    <n v="101554"/>
    <n v="11001575"/>
    <n v="108.33215053763442"/>
    <n v="0"/>
    <n v="107.5"/>
    <n v="102.5"/>
    <m/>
    <n v="0"/>
  </r>
  <r>
    <x v="56"/>
    <n v="202605"/>
    <x v="0"/>
    <x v="3"/>
    <s v="Sofía V"/>
    <s v="Joe H"/>
    <n v="101518"/>
    <n v="6988920"/>
    <n v="68.843823924730657"/>
    <n v="99753.260557805013"/>
    <n v="79.5"/>
    <n v="81.5"/>
    <n v="68.773296674593993"/>
    <n v="6860361"/>
  </r>
  <r>
    <x v="40"/>
    <n v="202504"/>
    <x v="1"/>
    <x v="9"/>
    <s v="Sebastián S"/>
    <s v="Johanna V"/>
    <n v="101484"/>
    <n v="8798544"/>
    <n v="86.698548611111121"/>
    <n v="84897.29014856524"/>
    <n v="106"/>
    <n v="102.5"/>
    <n v="103.63751062728936"/>
    <n v="9604933"/>
  </r>
  <r>
    <x v="22"/>
    <n v="202508"/>
    <x v="1"/>
    <x v="5"/>
    <s v="Sebastián S"/>
    <s v="Johanna V"/>
    <n v="101457"/>
    <n v="8808163"/>
    <n v="86.816841397849473"/>
    <n v="106900.10800222137"/>
    <n v="104.5"/>
    <n v="99"/>
    <n v="82.396207119051425"/>
    <n v="9124119"/>
  </r>
  <r>
    <x v="49"/>
    <n v="202403"/>
    <x v="2"/>
    <x v="0"/>
    <s v="Sebastián S"/>
    <s v="Vik E"/>
    <n v="101455"/>
    <n v="6684313"/>
    <n v="65.884206989247346"/>
    <n v="0"/>
    <n v="66"/>
    <n v="64.5"/>
    <m/>
    <n v="0"/>
  </r>
  <r>
    <x v="62"/>
    <n v="202603"/>
    <x v="0"/>
    <x v="0"/>
    <s v="Sebastián S"/>
    <s v="Vik E"/>
    <n v="101328"/>
    <n v="6302852"/>
    <n v="62.202479838709699"/>
    <n v="107300.29933535568"/>
    <n v="65"/>
    <n v="67.5"/>
    <n v="56.772923994003762"/>
    <n v="6091752"/>
  </r>
  <r>
    <x v="57"/>
    <n v="202503"/>
    <x v="1"/>
    <x v="0"/>
    <s v="Hernán P"/>
    <s v="Daniel R"/>
    <n v="101315"/>
    <n v="4555194"/>
    <n v="44.960557795698925"/>
    <n v="94115.956414838292"/>
    <n v="53.5"/>
    <n v="52"/>
    <n v="48.39980215386548"/>
    <n v="4583728"/>
  </r>
  <r>
    <x v="6"/>
    <n v="202509"/>
    <x v="1"/>
    <x v="4"/>
    <s v="Sebastián S"/>
    <s v="Vik E"/>
    <n v="101268"/>
    <n v="8605098"/>
    <n v="84.973437500000045"/>
    <n v="99976.059882908899"/>
    <n v="100"/>
    <n v="98"/>
    <n v="86.071583637905064"/>
    <n v="9193875"/>
  </r>
  <r>
    <x v="37"/>
    <n v="202505"/>
    <x v="1"/>
    <x v="3"/>
    <s v="Sofía V"/>
    <s v="Melany A"/>
    <n v="101268"/>
    <n v="6101716"/>
    <n v="60.25329973118275"/>
    <n v="88919.115560465478"/>
    <n v="72.5"/>
    <n v="68.5"/>
    <n v="68.6209696479808"/>
    <n v="6011564"/>
  </r>
  <r>
    <x v="5"/>
    <n v="202408"/>
    <x v="2"/>
    <x v="5"/>
    <s v="Sebastián S"/>
    <s v="Rodolfo O"/>
    <n v="101264"/>
    <n v="5843283"/>
    <n v="57.703192204301068"/>
    <n v="0"/>
    <n v="68.5"/>
    <n v="66"/>
    <m/>
    <n v="0"/>
  </r>
  <r>
    <x v="44"/>
    <n v="202503"/>
    <x v="1"/>
    <x v="0"/>
    <s v="Sebastián S"/>
    <s v="Johanna V"/>
    <n v="101253"/>
    <n v="10716261"/>
    <n v="105.83665994623654"/>
    <n v="110263.92556683689"/>
    <n v="117.5"/>
    <n v="99"/>
    <n v="97.187372433101899"/>
    <n v="10006218"/>
  </r>
  <r>
    <x v="29"/>
    <n v="202604"/>
    <x v="0"/>
    <x v="9"/>
    <s v="Sebastián S"/>
    <s v="Vik E"/>
    <n v="101240"/>
    <n v="6235449"/>
    <n v="61.590763888889761"/>
    <n v="90383.249564436497"/>
    <n v="76.5"/>
    <n v="75.5"/>
    <n v="67.697971575339096"/>
    <n v="6118763"/>
  </r>
  <r>
    <x v="30"/>
    <n v="202502"/>
    <x v="1"/>
    <x v="2"/>
    <s v="Sebastián S"/>
    <s v="Vik E"/>
    <n v="101225"/>
    <n v="8598782"/>
    <n v="84.946979166666679"/>
    <n v="97945.278835583798"/>
    <n v="101.5"/>
    <n v="97.5"/>
    <n v="87.791694221774335"/>
    <n v="8660241"/>
  </r>
  <r>
    <x v="45"/>
    <n v="202603"/>
    <x v="0"/>
    <x v="0"/>
    <s v="Sofía V"/>
    <s v="Joe H"/>
    <n v="101192"/>
    <n v="6761612"/>
    <n v="66.819845430107534"/>
    <n v="106946.64545616548"/>
    <n v="68"/>
    <n v="68.5"/>
    <n v="60.397061823201135"/>
    <n v="6459263"/>
  </r>
  <r>
    <x v="70"/>
    <n v="202412"/>
    <x v="2"/>
    <x v="1"/>
    <s v="Sebastián S"/>
    <s v="Vik E"/>
    <n v="101166"/>
    <n v="5620953"/>
    <n v="55.561653225806445"/>
    <n v="0"/>
    <n v="60.5"/>
    <n v="57.5"/>
    <m/>
    <n v="0"/>
  </r>
  <r>
    <x v="25"/>
    <n v="202602"/>
    <x v="0"/>
    <x v="2"/>
    <s v="Sebastián S"/>
    <s v="Vik E"/>
    <n v="101126"/>
    <n v="6795456"/>
    <n v="67.197708333333338"/>
    <n v="89023.403267430214"/>
    <n v="77"/>
    <n v="79"/>
    <n v="66.09086292651952"/>
    <n v="5883634"/>
  </r>
  <r>
    <x v="4"/>
    <n v="202509"/>
    <x v="1"/>
    <x v="4"/>
    <s v="Sofía V"/>
    <s v="José A"/>
    <n v="101125"/>
    <n v="9042962"/>
    <n v="89.423444444444513"/>
    <n v="101303.30576405319"/>
    <n v="107.5"/>
    <n v="102.5"/>
    <n v="89.266209150786054"/>
    <n v="9808966"/>
  </r>
  <r>
    <x v="26"/>
    <n v="202508"/>
    <x v="1"/>
    <x v="5"/>
    <s v="Sofía V"/>
    <s v="Melany A"/>
    <n v="101084"/>
    <n v="4491491"/>
    <n v="44.433393817204319"/>
    <n v="97053.936340991437"/>
    <n v="55"/>
    <n v="50.5"/>
    <n v="46.278301832287326"/>
    <n v="4802678"/>
  </r>
  <r>
    <x v="43"/>
    <n v="202503"/>
    <x v="1"/>
    <x v="0"/>
    <s v="Sofía V"/>
    <s v="José A"/>
    <n v="101057"/>
    <n v="3275379"/>
    <n v="32.411270161290339"/>
    <n v="94599.712925979577"/>
    <n v="32.5"/>
    <n v="32"/>
    <n v="34.623557605960713"/>
    <n v="3042437"/>
  </r>
  <r>
    <x v="30"/>
    <n v="202401"/>
    <x v="2"/>
    <x v="10"/>
    <s v="Sebastián S"/>
    <s v="Vik E"/>
    <n v="101011"/>
    <n v="9161303"/>
    <n v="90.696525537634429"/>
    <n v="0"/>
    <n v="101.5"/>
    <n v="97.5"/>
    <m/>
    <n v="0"/>
  </r>
  <r>
    <x v="56"/>
    <n v="202511"/>
    <x v="1"/>
    <x v="7"/>
    <s v="Sofía V"/>
    <s v="Joe H"/>
    <n v="101003"/>
    <n v="6850586"/>
    <n v="67.825576388888919"/>
    <n v="88695.028050270004"/>
    <n v="79.5"/>
    <n v="81.5"/>
    <n v="77.237547138688171"/>
    <n v="6438372"/>
  </r>
  <r>
    <x v="58"/>
    <n v="202412"/>
    <x v="2"/>
    <x v="1"/>
    <s v="Sebastián S"/>
    <s v="Rodolfo O"/>
    <n v="100994"/>
    <n v="6900795"/>
    <n v="68.32893817204301"/>
    <n v="0"/>
    <n v="66.5"/>
    <n v="63.5"/>
    <m/>
    <n v="0"/>
  </r>
  <r>
    <x v="65"/>
    <n v="202603"/>
    <x v="0"/>
    <x v="0"/>
    <s v="Sebastián S"/>
    <s v="Johanna V"/>
    <n v="100936"/>
    <n v="8864263"/>
    <n v="87.820551075268838"/>
    <n v="103722.45893508771"/>
    <n v="103"/>
    <n v="91"/>
    <n v="85.91077884372821"/>
    <n v="8910877"/>
  </r>
  <r>
    <x v="24"/>
    <n v="202407"/>
    <x v="2"/>
    <x v="6"/>
    <s v="Sofía V"/>
    <s v="Joe H"/>
    <n v="100935"/>
    <n v="6716721"/>
    <n v="66.544737903225808"/>
    <n v="0"/>
    <n v="71"/>
    <n v="74.5"/>
    <m/>
    <n v="0"/>
  </r>
  <r>
    <x v="42"/>
    <n v="202501"/>
    <x v="1"/>
    <x v="10"/>
    <s v="Hernán P"/>
    <s v="Daniel R"/>
    <n v="100931"/>
    <n v="2501860"/>
    <n v="24.78780913978494"/>
    <n v="92844.012874231805"/>
    <n v="22.5"/>
    <n v="21"/>
    <n v="26.94691582740036"/>
    <n v="2267428"/>
  </r>
  <r>
    <x v="29"/>
    <n v="202511"/>
    <x v="1"/>
    <x v="7"/>
    <s v="Sebastián S"/>
    <s v="Vik E"/>
    <n v="100929"/>
    <n v="6568111"/>
    <n v="65.076326388888887"/>
    <n v="89625.940130928662"/>
    <n v="76.5"/>
    <n v="75.5"/>
    <n v="73.28359357129284"/>
    <n v="6757558"/>
  </r>
  <r>
    <x v="20"/>
    <n v="202506"/>
    <x v="1"/>
    <x v="11"/>
    <s v="Sofía V"/>
    <s v="Joe H"/>
    <n v="100889"/>
    <n v="8877064"/>
    <n v="87.988201388888811"/>
    <n v="110144.94260892339"/>
    <n v="96.5"/>
    <n v="96"/>
    <n v="80.594383815865044"/>
    <n v="8791220"/>
  </r>
  <r>
    <x v="68"/>
    <n v="202412"/>
    <x v="2"/>
    <x v="1"/>
    <s v="Sofía V"/>
    <s v="José A"/>
    <n v="100857"/>
    <n v="5421951"/>
    <n v="53.758541666666673"/>
    <n v="0"/>
    <n v="52"/>
    <n v="52"/>
    <m/>
    <n v="0"/>
  </r>
  <r>
    <x v="5"/>
    <n v="202504"/>
    <x v="1"/>
    <x v="9"/>
    <s v="Sebastián S"/>
    <s v="Rodolfo O"/>
    <n v="100827"/>
    <n v="5870635"/>
    <n v="58.224881944444462"/>
    <n v="90979.356378692435"/>
    <n v="68.5"/>
    <n v="66"/>
    <n v="64.527112013895447"/>
    <n v="6058277"/>
  </r>
  <r>
    <x v="33"/>
    <n v="202406"/>
    <x v="2"/>
    <x v="11"/>
    <s v="Sofía V"/>
    <s v="José A"/>
    <n v="100826"/>
    <n v="8299368"/>
    <n v="82.313826388888884"/>
    <n v="0"/>
    <n v="93.5"/>
    <n v="94"/>
    <m/>
    <n v="0"/>
  </r>
  <r>
    <x v="40"/>
    <n v="202510"/>
    <x v="1"/>
    <x v="8"/>
    <s v="Sebastián S"/>
    <s v="Johanna V"/>
    <n v="100812"/>
    <n v="8246654"/>
    <n v="81.802009408602217"/>
    <n v="91319.416104008938"/>
    <n v="106"/>
    <n v="102.5"/>
    <n v="90.305595368759413"/>
    <n v="9757027"/>
  </r>
  <r>
    <x v="26"/>
    <n v="202604"/>
    <x v="0"/>
    <x v="9"/>
    <s v="Sofía V"/>
    <s v="Melany A"/>
    <n v="100810"/>
    <n v="4707771"/>
    <n v="46.699333333332852"/>
    <n v="95837.611885332153"/>
    <n v="55"/>
    <n v="50.5"/>
    <n v="48.493991244906027"/>
    <n v="4647548"/>
  </r>
  <r>
    <x v="12"/>
    <n v="202601"/>
    <x v="0"/>
    <x v="10"/>
    <s v="Sofía V"/>
    <s v="Melany A"/>
    <n v="100807"/>
    <n v="8644499"/>
    <n v="85.753245967741918"/>
    <n v="100600.83617720856"/>
    <n v="96.5"/>
    <n v="94"/>
    <n v="87.753564014610347"/>
    <n v="8828082"/>
  </r>
  <r>
    <x v="26"/>
    <n v="202602"/>
    <x v="0"/>
    <x v="2"/>
    <s v="Sofía V"/>
    <s v="Melany A"/>
    <n v="100803"/>
    <n v="4490117"/>
    <n v="44.54328125"/>
    <n v="91071.573983177062"/>
    <n v="55"/>
    <n v="50.5"/>
    <n v="48.493991244906027"/>
    <n v="4416424"/>
  </r>
  <r>
    <x v="23"/>
    <n v="202511"/>
    <x v="1"/>
    <x v="7"/>
    <s v="Sebastián S"/>
    <s v="Rodolfo O"/>
    <n v="100758"/>
    <n v="8791064"/>
    <n v="87.249263888888976"/>
    <n v="89139.71033804366"/>
    <n v="94.5"/>
    <n v="97"/>
    <n v="98.621190114503747"/>
    <n v="7559131"/>
  </r>
  <r>
    <x v="5"/>
    <n v="202406"/>
    <x v="2"/>
    <x v="11"/>
    <s v="Sebastián S"/>
    <s v="Rodolfo O"/>
    <n v="100730"/>
    <n v="6143671"/>
    <n v="60.991486111111108"/>
    <n v="0"/>
    <n v="68.5"/>
    <n v="66"/>
    <m/>
    <n v="0"/>
  </r>
  <r>
    <x v="20"/>
    <n v="202404"/>
    <x v="2"/>
    <x v="9"/>
    <s v="Sofía V"/>
    <s v="Joe H"/>
    <n v="100728"/>
    <n v="8349190"/>
    <n v="82.888069444444525"/>
    <n v="0"/>
    <n v="96.5"/>
    <n v="96"/>
    <m/>
    <n v="0"/>
  </r>
  <r>
    <x v="51"/>
    <n v="202503"/>
    <x v="1"/>
    <x v="0"/>
    <s v="Sofía V"/>
    <s v="Melany A"/>
    <n v="100721"/>
    <n v="3996313"/>
    <n v="39.67701612903226"/>
    <n v="88847.525807322512"/>
    <n v="43.5"/>
    <n v="41"/>
    <n v="44.979449609733955"/>
    <n v="3739257"/>
  </r>
  <r>
    <x v="61"/>
    <n v="202605"/>
    <x v="0"/>
    <x v="3"/>
    <s v="Sofía V"/>
    <s v="Joe H"/>
    <n v="100718"/>
    <n v="3248906"/>
    <n v="32.25743951612916"/>
    <n v="74685.882300600308"/>
    <n v="41.5"/>
    <n v="35.5"/>
    <n v="37.124878906032741"/>
    <n v="2772704"/>
  </r>
  <r>
    <x v="50"/>
    <n v="202403"/>
    <x v="2"/>
    <x v="0"/>
    <s v="Sebastián S"/>
    <s v="Vik E"/>
    <n v="100718"/>
    <n v="7976345"/>
    <n v="79.194838709677413"/>
    <n v="0"/>
    <n v="75.5"/>
    <n v="74"/>
    <m/>
    <n v="0"/>
  </r>
  <r>
    <x v="33"/>
    <n v="202511"/>
    <x v="1"/>
    <x v="7"/>
    <s v="Sofía V"/>
    <s v="José A"/>
    <n v="100715"/>
    <n v="9101433"/>
    <n v="90.368250000000018"/>
    <n v="101977.32716431707"/>
    <n v="93.5"/>
    <n v="94"/>
    <n v="89.249572557778194"/>
    <n v="8300260"/>
  </r>
  <r>
    <x v="16"/>
    <n v="202408"/>
    <x v="2"/>
    <x v="5"/>
    <s v="Sofía V"/>
    <s v="José A"/>
    <n v="100697"/>
    <n v="5828210"/>
    <n v="57.878662634408613"/>
    <n v="0"/>
    <n v="64"/>
    <n v="67"/>
    <m/>
    <n v="0"/>
  </r>
  <r>
    <x v="15"/>
    <n v="202410"/>
    <x v="2"/>
    <x v="8"/>
    <s v="Sofía V"/>
    <s v="Joe H"/>
    <n v="100654"/>
    <n v="9182104"/>
    <n v="91.224348118279579"/>
    <n v="0"/>
    <n v="101"/>
    <n v="105"/>
    <m/>
    <n v="0"/>
  </r>
  <r>
    <x v="19"/>
    <n v="202403"/>
    <x v="2"/>
    <x v="0"/>
    <s v="Sofía V"/>
    <s v="Joe H"/>
    <n v="100641"/>
    <n v="5796795"/>
    <n v="57.598756720430089"/>
    <n v="0"/>
    <n v="57.5"/>
    <n v="56.5"/>
    <m/>
    <n v="0"/>
  </r>
  <r>
    <x v="15"/>
    <n v="202601"/>
    <x v="0"/>
    <x v="10"/>
    <s v="Sofía V"/>
    <s v="Joe H"/>
    <n v="100627"/>
    <n v="9710269"/>
    <n v="96.497587365591372"/>
    <n v="104104.19406846241"/>
    <n v="101"/>
    <n v="105"/>
    <n v="90.439897606894348"/>
    <n v="9415173"/>
  </r>
  <r>
    <x v="8"/>
    <n v="202509"/>
    <x v="1"/>
    <x v="4"/>
    <s v="Sebastián S"/>
    <s v="Vik E"/>
    <n v="100544"/>
    <n v="7263665"/>
    <n v="72.243986111111155"/>
    <n v="94427.476037354223"/>
    <n v="88"/>
    <n v="84"/>
    <n v="76.923218694594681"/>
    <n v="8207304"/>
  </r>
  <r>
    <x v="35"/>
    <n v="202602"/>
    <x v="0"/>
    <x v="2"/>
    <s v="Hernán P"/>
    <s v="Daniel R"/>
    <n v="100519"/>
    <n v="11084158"/>
    <n v="110.26927083333334"/>
    <n v="98099.930619558756"/>
    <n v="140.5"/>
    <n v="125.5"/>
    <n v="117.18897502469719"/>
    <n v="11496230"/>
  </r>
  <r>
    <x v="33"/>
    <n v="202507"/>
    <x v="1"/>
    <x v="6"/>
    <s v="Sofía V"/>
    <s v="José A"/>
    <n v="100490"/>
    <n v="8705609"/>
    <n v="86.631209677419349"/>
    <n v="104890.0162002357"/>
    <n v="93.5"/>
    <n v="94"/>
    <n v="82.997495809142961"/>
    <n v="9372393"/>
  </r>
  <r>
    <x v="7"/>
    <n v="202502"/>
    <x v="1"/>
    <x v="2"/>
    <s v="Sebastián S"/>
    <s v="Rodolfo O"/>
    <n v="100473"/>
    <n v="5664677"/>
    <n v="56.380260416666651"/>
    <n v="70286.04900450616"/>
    <n v="65.5"/>
    <n v="63"/>
    <n v="80.594614724137173"/>
    <n v="4642225"/>
  </r>
  <r>
    <x v="27"/>
    <n v="202503"/>
    <x v="1"/>
    <x v="0"/>
    <s v="Sofía V"/>
    <s v="Joe H"/>
    <n v="100423"/>
    <n v="6030728"/>
    <n v="60.053508064516123"/>
    <n v="91358.192082219233"/>
    <n v="62"/>
    <n v="58"/>
    <n v="66.011897811775356"/>
    <n v="5739674"/>
  </r>
  <r>
    <x v="6"/>
    <n v="202408"/>
    <x v="2"/>
    <x v="5"/>
    <s v="Sebastián S"/>
    <s v="Vik E"/>
    <n v="100383"/>
    <n v="9039938"/>
    <n v="90.054717741935491"/>
    <n v="0"/>
    <n v="100"/>
    <n v="98"/>
    <m/>
    <n v="0"/>
  </r>
  <r>
    <x v="23"/>
    <n v="202605"/>
    <x v="0"/>
    <x v="3"/>
    <s v="Sebastián S"/>
    <s v="Rodolfo O"/>
    <n v="100366"/>
    <n v="8978069"/>
    <n v="89.453225806452338"/>
    <n v="100813.75406759506"/>
    <n v="94.5"/>
    <n v="97"/>
    <n v="83.184435661200979"/>
    <n v="8386135"/>
  </r>
  <r>
    <x v="40"/>
    <n v="202503"/>
    <x v="1"/>
    <x v="0"/>
    <s v="Sebastián S"/>
    <s v="Johanna V"/>
    <n v="100366"/>
    <n v="10106526"/>
    <n v="100.69716397849457"/>
    <n v="96202.24476549626"/>
    <n v="106"/>
    <n v="102.5"/>
    <n v="105.05499164427805"/>
    <n v="10428529"/>
  </r>
  <r>
    <x v="22"/>
    <n v="202511"/>
    <x v="1"/>
    <x v="7"/>
    <s v="Sebastián S"/>
    <s v="Johanna V"/>
    <n v="100308"/>
    <n v="9172131"/>
    <n v="91.439444444444476"/>
    <n v="104260.62487978055"/>
    <n v="104.5"/>
    <n v="99"/>
    <n v="87.973106247694972"/>
    <n v="8958209"/>
  </r>
  <r>
    <x v="37"/>
    <n v="202508"/>
    <x v="1"/>
    <x v="5"/>
    <s v="Sofía V"/>
    <s v="Melany A"/>
    <n v="100259"/>
    <n v="6027621"/>
    <n v="60.120732526881746"/>
    <n v="109413.93095023186"/>
    <n v="72.5"/>
    <n v="68.5"/>
    <n v="55.090066115454078"/>
    <n v="6477228"/>
  </r>
  <r>
    <x v="4"/>
    <n v="202501"/>
    <x v="1"/>
    <x v="10"/>
    <s v="Sofía V"/>
    <s v="José A"/>
    <n v="100241"/>
    <n v="9351475"/>
    <n v="93.290053763440795"/>
    <n v="102241.38502867678"/>
    <n v="107.5"/>
    <n v="102.5"/>
    <n v="91.464674088453378"/>
    <n v="9577571"/>
  </r>
  <r>
    <x v="25"/>
    <n v="202511"/>
    <x v="1"/>
    <x v="7"/>
    <s v="Sebastián S"/>
    <s v="Vik E"/>
    <n v="100215"/>
    <n v="6977822"/>
    <n v="69.628513888888918"/>
    <n v="95560.715902760581"/>
    <n v="77"/>
    <n v="79"/>
    <n v="73.01977432965657"/>
    <n v="6203329"/>
  </r>
  <r>
    <x v="62"/>
    <n v="202512"/>
    <x v="1"/>
    <x v="1"/>
    <s v="Sebastián S"/>
    <s v="Vik E"/>
    <n v="100176"/>
    <n v="6662375"/>
    <n v="66.506868279569829"/>
    <n v="103462.72008382442"/>
    <n v="65"/>
    <n v="67.5"/>
    <n v="64.393965426408798"/>
    <n v="6684388"/>
  </r>
  <r>
    <x v="10"/>
    <n v="202407"/>
    <x v="2"/>
    <x v="6"/>
    <s v="Sofía V"/>
    <s v="Melany A"/>
    <n v="100142"/>
    <n v="10617912"/>
    <n v="106.02826612903223"/>
    <n v="0"/>
    <n v="125"/>
    <n v="118.5"/>
    <m/>
    <n v="0"/>
  </r>
  <r>
    <x v="31"/>
    <n v="202404"/>
    <x v="2"/>
    <x v="9"/>
    <s v="Sofía V"/>
    <s v="Melany A"/>
    <n v="100070"/>
    <n v="11537532"/>
    <n v="115.29495833333344"/>
    <n v="0"/>
    <n v="99"/>
    <n v="32.5"/>
    <m/>
    <n v="0"/>
  </r>
  <r>
    <x v="49"/>
    <n v="202603"/>
    <x v="0"/>
    <x v="0"/>
    <s v="Sebastián S"/>
    <s v="Vik E"/>
    <n v="100068"/>
    <n v="6265943"/>
    <n v="62.616740591397836"/>
    <n v="104860.49734075293"/>
    <n v="66"/>
    <n v="64.5"/>
    <n v="56.772923994003754"/>
    <n v="5953237"/>
  </r>
  <r>
    <x v="35"/>
    <n v="202601"/>
    <x v="0"/>
    <x v="10"/>
    <s v="Hernán P"/>
    <s v="Daniel R"/>
    <n v="100029"/>
    <n v="11806878"/>
    <n v="118.03467741935479"/>
    <n v="107200.77565788459"/>
    <n v="140.5"/>
    <n v="125.5"/>
    <n v="117.18897502469719"/>
    <n v="12562749"/>
  </r>
  <r>
    <x v="35"/>
    <n v="202403"/>
    <x v="2"/>
    <x v="0"/>
    <s v="Hernán P"/>
    <s v="Daniel R"/>
    <n v="100012"/>
    <n v="12353707"/>
    <n v="123.52205645161291"/>
    <n v="0"/>
    <n v="140.5"/>
    <n v="125.5"/>
    <m/>
    <n v="0"/>
  </r>
  <r>
    <x v="33"/>
    <n v="202505"/>
    <x v="1"/>
    <x v="3"/>
    <s v="Sofía V"/>
    <s v="José A"/>
    <n v="99913"/>
    <n v="8513628"/>
    <n v="85.210369623655865"/>
    <n v="95366.595770689863"/>
    <n v="93.5"/>
    <n v="94"/>
    <n v="89.272646792081417"/>
    <n v="8406913"/>
  </r>
  <r>
    <x v="36"/>
    <n v="202406"/>
    <x v="2"/>
    <x v="11"/>
    <s v="Sebastián S"/>
    <s v="Rodolfo O"/>
    <n v="99912"/>
    <n v="7042766"/>
    <n v="70.489659722222271"/>
    <n v="0"/>
    <n v="81"/>
    <n v="77"/>
    <m/>
    <n v="0"/>
  </r>
  <r>
    <x v="65"/>
    <n v="202604"/>
    <x v="0"/>
    <x v="9"/>
    <s v="Sebastián S"/>
    <s v="Johanna V"/>
    <n v="99908"/>
    <n v="7974107"/>
    <n v="79.814388888890221"/>
    <n v="95534.179825436062"/>
    <n v="103"/>
    <n v="91"/>
    <n v="85.91077884372821"/>
    <n v="8207416"/>
  </r>
  <r>
    <x v="48"/>
    <n v="202511"/>
    <x v="1"/>
    <x v="7"/>
    <s v="Hernán P"/>
    <s v="Daniel R"/>
    <n v="99907"/>
    <n v="6231915"/>
    <n v="62.377048611111142"/>
    <n v="95734.189536197271"/>
    <n v="79.5"/>
    <n v="72.5"/>
    <n v="65.096027972782935"/>
    <n v="5871502"/>
  </r>
  <r>
    <x v="35"/>
    <n v="202410"/>
    <x v="2"/>
    <x v="8"/>
    <s v="Hernán P"/>
    <s v="Daniel R"/>
    <n v="99905"/>
    <n v="11236486"/>
    <n v="112.47132392473112"/>
    <n v="0"/>
    <n v="140.5"/>
    <n v="125.5"/>
    <m/>
    <n v="0"/>
  </r>
  <r>
    <x v="33"/>
    <n v="202407"/>
    <x v="2"/>
    <x v="6"/>
    <s v="Sofía V"/>
    <s v="José A"/>
    <n v="99895"/>
    <n v="8879250"/>
    <n v="88.885604838709611"/>
    <n v="0"/>
    <n v="93.5"/>
    <n v="94"/>
    <m/>
    <n v="0"/>
  </r>
  <r>
    <x v="7"/>
    <n v="202501"/>
    <x v="1"/>
    <x v="10"/>
    <s v="Sebastián S"/>
    <s v="Rodolfo O"/>
    <n v="99825"/>
    <n v="5440157"/>
    <n v="54.497022849462383"/>
    <n v="66842.964879303152"/>
    <n v="65.5"/>
    <n v="63"/>
    <n v="81.387132510102887"/>
    <n v="4627072"/>
  </r>
  <r>
    <x v="43"/>
    <n v="202511"/>
    <x v="1"/>
    <x v="7"/>
    <s v="Sofía V"/>
    <s v="José A"/>
    <n v="99759"/>
    <n v="2773323"/>
    <n v="27.800354166666661"/>
    <n v="91591.652372414945"/>
    <n v="32.5"/>
    <n v="32"/>
    <n v="30.27920610847341"/>
    <n v="2181863"/>
  </r>
  <r>
    <x v="37"/>
    <n v="202601"/>
    <x v="0"/>
    <x v="10"/>
    <s v="Sofía V"/>
    <s v="Melany A"/>
    <n v="99750"/>
    <n v="6231313"/>
    <n v="62.469307795698924"/>
    <n v="107615.98490288221"/>
    <n v="72.5"/>
    <n v="68.5"/>
    <n v="63.042188618377821"/>
    <n v="6784347"/>
  </r>
  <r>
    <x v="4"/>
    <n v="202408"/>
    <x v="2"/>
    <x v="5"/>
    <s v="Sofía V"/>
    <s v="José A"/>
    <n v="99688"/>
    <n v="10408328"/>
    <n v="104.40862231182798"/>
    <n v="0"/>
    <n v="107.5"/>
    <n v="102.5"/>
    <m/>
    <n v="0"/>
  </r>
  <r>
    <x v="8"/>
    <n v="202506"/>
    <x v="1"/>
    <x v="11"/>
    <s v="Sebastián S"/>
    <s v="Vik E"/>
    <n v="99642"/>
    <n v="7766880"/>
    <n v="77.948111111111075"/>
    <n v="107254.7694211014"/>
    <n v="88"/>
    <n v="84"/>
    <n v="72.415241037028764"/>
    <n v="8085050"/>
  </r>
  <r>
    <x v="53"/>
    <n v="202603"/>
    <x v="0"/>
    <x v="0"/>
    <s v="Sebastián S"/>
    <s v="Johanna V"/>
    <n v="99615"/>
    <n v="5607846"/>
    <n v="56.295147849462353"/>
    <n v="94428.803697004492"/>
    <n v="68"/>
    <n v="60.5"/>
    <n v="56.717795741490448"/>
    <n v="5355794"/>
  </r>
  <r>
    <x v="19"/>
    <n v="202511"/>
    <x v="1"/>
    <x v="7"/>
    <s v="Sofía V"/>
    <s v="Joe H"/>
    <n v="99597"/>
    <n v="4734514"/>
    <n v="47.53680555555556"/>
    <n v="91102.317449322989"/>
    <n v="57.5"/>
    <n v="56.5"/>
    <n v="51.969192799443789"/>
    <n v="3999718"/>
  </r>
  <r>
    <x v="48"/>
    <n v="202504"/>
    <x v="1"/>
    <x v="9"/>
    <s v="Hernán P"/>
    <s v="Daniel R"/>
    <n v="99593"/>
    <n v="6066983"/>
    <n v="60.917694444444457"/>
    <n v="97419.84421189384"/>
    <n v="79.5"/>
    <n v="72.5"/>
    <n v="62.27666117802405"/>
    <n v="6065240"/>
  </r>
  <r>
    <x v="6"/>
    <n v="202410"/>
    <x v="2"/>
    <x v="8"/>
    <s v="Sebastián S"/>
    <s v="Vik E"/>
    <n v="99585"/>
    <n v="8718465"/>
    <n v="87.547607526881691"/>
    <n v="0"/>
    <n v="100"/>
    <n v="98"/>
    <m/>
    <n v="0"/>
  </r>
  <r>
    <x v="34"/>
    <n v="202605"/>
    <x v="0"/>
    <x v="3"/>
    <s v="Hernán P"/>
    <s v="Daniel R"/>
    <n v="99585"/>
    <n v="1253650"/>
    <n v="12.588756720430125"/>
    <n v="78881.522060076633"/>
    <n v="15"/>
    <n v="15"/>
    <n v="13.971887755419019"/>
    <n v="1102124"/>
  </r>
  <r>
    <x v="5"/>
    <n v="202510"/>
    <x v="1"/>
    <x v="8"/>
    <s v="Sebastián S"/>
    <s v="Rodolfo O"/>
    <n v="99560"/>
    <n v="5757671"/>
    <n v="57.831384408602162"/>
    <n v="98283.962602842177"/>
    <n v="68.5"/>
    <n v="66"/>
    <n v="58.58200074071393"/>
    <n v="5825251"/>
  </r>
  <r>
    <x v="35"/>
    <n v="202408"/>
    <x v="2"/>
    <x v="5"/>
    <s v="Hernán P"/>
    <s v="Daniel R"/>
    <n v="99555"/>
    <n v="11546638"/>
    <n v="115.9821438172042"/>
    <n v="0"/>
    <n v="140.5"/>
    <n v="125.5"/>
    <m/>
    <n v="0"/>
  </r>
  <r>
    <x v="31"/>
    <n v="202501"/>
    <x v="1"/>
    <x v="10"/>
    <s v="Sofía V"/>
    <s v="Melany A"/>
    <n v="99535"/>
    <n v="10998136"/>
    <n v="110.49481182795691"/>
    <n v="103273.68121792859"/>
    <n v="99"/>
    <n v="32.5"/>
    <n v="106.49505401857118"/>
    <n v="10821355"/>
  </r>
  <r>
    <x v="4"/>
    <n v="202602"/>
    <x v="0"/>
    <x v="2"/>
    <s v="Sofía V"/>
    <s v="José A"/>
    <n v="99490"/>
    <n v="9431544"/>
    <n v="94.798906249999959"/>
    <n v="94681.163770949817"/>
    <n v="107.5"/>
    <n v="102.5"/>
    <n v="96.70800932222366"/>
    <n v="9156427"/>
  </r>
  <r>
    <x v="4"/>
    <n v="202505"/>
    <x v="1"/>
    <x v="3"/>
    <s v="Sofía V"/>
    <s v="José A"/>
    <n v="99481"/>
    <n v="9905507"/>
    <n v="99.571801075268766"/>
    <n v="96818.416451395198"/>
    <n v="107.5"/>
    <n v="102.5"/>
    <n v="102.3101505174149"/>
    <n v="9948725"/>
  </r>
  <r>
    <x v="53"/>
    <n v="202602"/>
    <x v="0"/>
    <x v="2"/>
    <s v="Sebastián S"/>
    <s v="Johanna V"/>
    <n v="99477"/>
    <n v="5248583"/>
    <n v="52.761874999999996"/>
    <n v="83591.3782599939"/>
    <n v="68"/>
    <n v="60.5"/>
    <n v="56.717795741490448"/>
    <n v="4741119"/>
  </r>
  <r>
    <x v="62"/>
    <n v="202605"/>
    <x v="0"/>
    <x v="3"/>
    <s v="Sebastián S"/>
    <s v="Vik E"/>
    <n v="99456"/>
    <n v="5517917"/>
    <n v="55.480927419354778"/>
    <n v="91256.129549487247"/>
    <n v="65"/>
    <n v="67.5"/>
    <n v="56.772923994003762"/>
    <n v="5180877"/>
  </r>
  <r>
    <x v="45"/>
    <n v="202606"/>
    <x v="0"/>
    <x v="11"/>
    <s v="Sofía V"/>
    <s v="Joe H"/>
    <n v="99417"/>
    <n v="6079662"/>
    <n v="61.152875000000364"/>
    <n v="90533.9378495977"/>
    <n v="68"/>
    <n v="68.5"/>
    <n v="60.397061823201135"/>
    <n v="5467984"/>
  </r>
  <r>
    <x v="19"/>
    <n v="202605"/>
    <x v="0"/>
    <x v="3"/>
    <s v="Sofía V"/>
    <s v="Joe H"/>
    <n v="99397"/>
    <n v="5144020"/>
    <n v="51.75243951612952"/>
    <n v="100730.80856948419"/>
    <n v="57.5"/>
    <n v="56.5"/>
    <n v="50.698263574219922"/>
    <n v="5106877"/>
  </r>
  <r>
    <x v="51"/>
    <n v="202603"/>
    <x v="0"/>
    <x v="0"/>
    <s v="Sofía V"/>
    <s v="Melany A"/>
    <n v="99383"/>
    <n v="3987061"/>
    <n v="40.117950268817189"/>
    <n v="101618.09054015479"/>
    <n v="43.5"/>
    <n v="41"/>
    <n v="38.914029696684921"/>
    <n v="3954369"/>
  </r>
  <r>
    <x v="13"/>
    <n v="202601"/>
    <x v="0"/>
    <x v="10"/>
    <s v="Sebastián S"/>
    <s v="Rodolfo O"/>
    <n v="99382"/>
    <n v="6354838"/>
    <n v="63.943494623655944"/>
    <n v="94761.923130934927"/>
    <n v="78"/>
    <n v="74.5"/>
    <n v="66.954795775232199"/>
    <n v="6344765"/>
  </r>
  <r>
    <x v="26"/>
    <n v="202504"/>
    <x v="1"/>
    <x v="9"/>
    <s v="Sofía V"/>
    <s v="Melany A"/>
    <n v="99361"/>
    <n v="4566694"/>
    <n v="45.960444444444455"/>
    <n v="86924.690281450603"/>
    <n v="55"/>
    <n v="50.5"/>
    <n v="52.536213649006406"/>
    <n v="4578461"/>
  </r>
  <r>
    <x v="55"/>
    <n v="202403"/>
    <x v="2"/>
    <x v="0"/>
    <s v="Sebastián S"/>
    <s v="Vik E"/>
    <n v="99338"/>
    <n v="6604014"/>
    <n v="66.480288978494627"/>
    <n v="0"/>
    <n v="69.5"/>
    <n v="59"/>
    <m/>
    <n v="0"/>
  </r>
  <r>
    <x v="22"/>
    <n v="202411"/>
    <x v="2"/>
    <x v="7"/>
    <s v="Sebastián S"/>
    <s v="Johanna V"/>
    <n v="99296"/>
    <n v="8767889"/>
    <n v="88.300673611111193"/>
    <n v="0"/>
    <n v="104.5"/>
    <n v="99"/>
    <m/>
    <n v="0"/>
  </r>
  <r>
    <x v="18"/>
    <n v="202603"/>
    <x v="0"/>
    <x v="0"/>
    <s v="Sofía V"/>
    <s v="Joe H"/>
    <n v="99290"/>
    <n v="4846245"/>
    <n v="48.809005376344082"/>
    <n v="102989.02564430168"/>
    <n v="50.5"/>
    <n v="51.5"/>
    <n v="44.728769766304502"/>
    <n v="4606572"/>
  </r>
  <r>
    <x v="40"/>
    <n v="202511"/>
    <x v="1"/>
    <x v="7"/>
    <s v="Sebastián S"/>
    <s v="Johanna V"/>
    <n v="99234"/>
    <n v="8941114"/>
    <n v="90.101326388888936"/>
    <n v="90872.638750425758"/>
    <n v="106"/>
    <n v="102.5"/>
    <n v="98.391702199338965"/>
    <n v="9797451"/>
  </r>
  <r>
    <x v="33"/>
    <n v="202410"/>
    <x v="2"/>
    <x v="8"/>
    <s v="Sofía V"/>
    <s v="José A"/>
    <n v="99228"/>
    <n v="8185039"/>
    <n v="82.487002688171955"/>
    <n v="0"/>
    <n v="93.5"/>
    <n v="94"/>
    <m/>
    <n v="0"/>
  </r>
  <r>
    <x v="35"/>
    <n v="202501"/>
    <x v="1"/>
    <x v="10"/>
    <s v="Hernán P"/>
    <s v="Daniel R"/>
    <n v="99216"/>
    <n v="11721154"/>
    <n v="118.13788978494617"/>
    <n v="110698.81074940688"/>
    <n v="140.5"/>
    <n v="125.5"/>
    <n v="105.88329107287001"/>
    <n v="11611126"/>
  </r>
  <r>
    <x v="48"/>
    <n v="202403"/>
    <x v="2"/>
    <x v="0"/>
    <s v="Hernán P"/>
    <s v="Daniel R"/>
    <n v="99209"/>
    <n v="6794744"/>
    <n v="68.48940188172044"/>
    <n v="0"/>
    <n v="79.5"/>
    <n v="72.5"/>
    <m/>
    <n v="0"/>
  </r>
  <r>
    <x v="23"/>
    <n v="202606"/>
    <x v="0"/>
    <x v="11"/>
    <s v="Sebastián S"/>
    <s v="Rodolfo O"/>
    <n v="99177"/>
    <n v="8028846"/>
    <n v="80.954416666668834"/>
    <n v="93323.125799852554"/>
    <n v="94.5"/>
    <n v="97"/>
    <n v="83.184435661200979"/>
    <n v="7763032"/>
  </r>
  <r>
    <x v="35"/>
    <n v="202411"/>
    <x v="2"/>
    <x v="7"/>
    <s v="Hernán P"/>
    <s v="Daniel R"/>
    <n v="99158"/>
    <n v="11512476"/>
    <n v="116.10175694444446"/>
    <n v="0"/>
    <n v="140.5"/>
    <n v="125.5"/>
    <m/>
    <n v="0"/>
  </r>
  <r>
    <x v="38"/>
    <n v="202604"/>
    <x v="0"/>
    <x v="9"/>
    <s v="Sofía V"/>
    <s v="Melany A"/>
    <n v="99157"/>
    <n v="5347175"/>
    <n v="53.926201388889773"/>
    <n v="108064.0357056706"/>
    <n v="56"/>
    <n v="60"/>
    <n v="48.493991244906013"/>
    <n v="5240456"/>
  </r>
  <r>
    <x v="3"/>
    <n v="202405"/>
    <x v="2"/>
    <x v="3"/>
    <s v="Sebastián S"/>
    <s v="Rodolfo O"/>
    <n v="99151"/>
    <n v="9629115"/>
    <n v="97.115638440860195"/>
    <n v="0"/>
    <n v="98.5"/>
    <n v="96.5"/>
    <m/>
    <n v="0"/>
  </r>
  <r>
    <x v="2"/>
    <n v="202504"/>
    <x v="1"/>
    <x v="9"/>
    <s v="Sofía V"/>
    <s v="José A"/>
    <n v="99138"/>
    <n v="7281149"/>
    <n v="73.444583333333313"/>
    <n v="102861.36322079279"/>
    <n v="76.5"/>
    <n v="80"/>
    <n v="70.786043389012391"/>
    <n v="7991012"/>
  </r>
  <r>
    <x v="13"/>
    <n v="202401"/>
    <x v="2"/>
    <x v="10"/>
    <s v="Sebastián S"/>
    <s v="Rodolfo O"/>
    <n v="99130"/>
    <n v="6455615"/>
    <n v="65.122674731182812"/>
    <n v="0"/>
    <n v="78"/>
    <n v="74.5"/>
    <m/>
    <n v="0"/>
  </r>
  <r>
    <x v="59"/>
    <n v="202604"/>
    <x v="0"/>
    <x v="9"/>
    <s v="Sebastián S"/>
    <s v="Johanna V"/>
    <n v="99114"/>
    <n v="9181730"/>
    <n v="92.638194444445958"/>
    <n v="86134.378178466097"/>
    <n v="118"/>
    <n v="106"/>
    <n v="102.17544085783207"/>
    <n v="8800818"/>
  </r>
  <r>
    <x v="7"/>
    <n v="202510"/>
    <x v="1"/>
    <x v="8"/>
    <s v="Sebastián S"/>
    <s v="Rodolfo O"/>
    <n v="98988"/>
    <n v="5661587"/>
    <n v="57.194563172043033"/>
    <n v="90349.729839861509"/>
    <n v="65.5"/>
    <n v="63"/>
    <n v="62.663019579967333"/>
    <n v="4815513"/>
  </r>
  <r>
    <x v="44"/>
    <n v="202508"/>
    <x v="1"/>
    <x v="5"/>
    <s v="Sebastián S"/>
    <s v="Johanna V"/>
    <n v="98979"/>
    <n v="9380296"/>
    <n v="94.770591397849515"/>
    <n v="103803.55961170001"/>
    <n v="117.5"/>
    <n v="99"/>
    <n v="90.365841548103518"/>
    <n v="10012298"/>
  </r>
  <r>
    <x v="44"/>
    <n v="202404"/>
    <x v="2"/>
    <x v="9"/>
    <s v="Sebastián S"/>
    <s v="Johanna V"/>
    <n v="98883"/>
    <n v="9104167"/>
    <n v="92.070465277777814"/>
    <n v="0"/>
    <n v="117.5"/>
    <n v="99"/>
    <m/>
    <n v="0"/>
  </r>
  <r>
    <x v="44"/>
    <n v="202408"/>
    <x v="2"/>
    <x v="5"/>
    <s v="Sebastián S"/>
    <s v="Johanna V"/>
    <n v="98861"/>
    <n v="9481051"/>
    <n v="95.903293010752662"/>
    <n v="0"/>
    <n v="117.5"/>
    <n v="99"/>
    <m/>
    <n v="0"/>
  </r>
  <r>
    <x v="33"/>
    <n v="202510"/>
    <x v="1"/>
    <x v="8"/>
    <s v="Sofía V"/>
    <s v="José A"/>
    <n v="98847"/>
    <n v="8512701"/>
    <n v="86.119805107526858"/>
    <n v="104189.63698425618"/>
    <n v="93.5"/>
    <n v="94"/>
    <n v="81.703909298449076"/>
    <n v="8710485"/>
  </r>
  <r>
    <x v="47"/>
    <n v="202606"/>
    <x v="0"/>
    <x v="11"/>
    <s v="Sebastián S"/>
    <s v="Vik E"/>
    <n v="98828"/>
    <n v="4167586"/>
    <n v="42.169993055555572"/>
    <n v="82375.966201769668"/>
    <n v="61.5"/>
    <n v="48.5"/>
    <n v="53.715920394326645"/>
    <n v="4424901"/>
  </r>
  <r>
    <x v="65"/>
    <n v="202408"/>
    <x v="2"/>
    <x v="5"/>
    <s v="Sebastián S"/>
    <s v="Johanna V"/>
    <n v="98816"/>
    <n v="8036345"/>
    <n v="81.32616935483864"/>
    <n v="0"/>
    <n v="103"/>
    <n v="91"/>
    <m/>
    <n v="0"/>
  </r>
  <r>
    <x v="52"/>
    <n v="202605"/>
    <x v="0"/>
    <x v="3"/>
    <s v="Sebastián S"/>
    <s v="Vik E"/>
    <n v="98815"/>
    <n v="6949009"/>
    <n v="70.323420698924352"/>
    <n v="95755.727606050496"/>
    <n v="80"/>
    <n v="78"/>
    <n v="69.114627897013889"/>
    <n v="6618121"/>
  </r>
  <r>
    <x v="36"/>
    <n v="202604"/>
    <x v="0"/>
    <x v="9"/>
    <s v="Sebastián S"/>
    <s v="Rodolfo O"/>
    <n v="98740"/>
    <n v="6994807"/>
    <n v="70.840388888890871"/>
    <n v="86130.139712370001"/>
    <n v="81"/>
    <n v="77"/>
    <n v="69.978560745726568"/>
    <n v="6027263"/>
  </r>
  <r>
    <x v="6"/>
    <n v="202411"/>
    <x v="2"/>
    <x v="7"/>
    <s v="Sebastián S"/>
    <s v="Vik E"/>
    <n v="98692"/>
    <n v="9052888"/>
    <n v="91.72858333333329"/>
    <n v="0"/>
    <n v="100"/>
    <n v="98"/>
    <m/>
    <n v="0"/>
  </r>
  <r>
    <x v="8"/>
    <n v="202504"/>
    <x v="1"/>
    <x v="9"/>
    <s v="Sebastián S"/>
    <s v="Vik E"/>
    <n v="98611"/>
    <n v="8068931"/>
    <n v="81.826159722222229"/>
    <n v="97515.201894115336"/>
    <n v="88"/>
    <n v="84"/>
    <n v="82.745360654244095"/>
    <n v="8363531"/>
  </r>
  <r>
    <x v="59"/>
    <n v="202605"/>
    <x v="0"/>
    <x v="3"/>
    <s v="Sebastián S"/>
    <s v="Johanna V"/>
    <n v="98608"/>
    <n v="9552297"/>
    <n v="96.871626344086479"/>
    <n v="88605.444465826702"/>
    <n v="118"/>
    <n v="106"/>
    <n v="102.17544085783207"/>
    <n v="9053300"/>
  </r>
  <r>
    <x v="13"/>
    <n v="202407"/>
    <x v="2"/>
    <x v="6"/>
    <s v="Sebastián S"/>
    <s v="Rodolfo O"/>
    <n v="98546"/>
    <n v="6529467"/>
    <n v="66.257775537634402"/>
    <n v="0"/>
    <n v="78"/>
    <n v="74.5"/>
    <m/>
    <n v="0"/>
  </r>
  <r>
    <x v="62"/>
    <n v="202412"/>
    <x v="2"/>
    <x v="1"/>
    <s v="Sebastián S"/>
    <s v="Vik E"/>
    <n v="98536"/>
    <n v="6591669"/>
    <n v="66.896102150537644"/>
    <n v="0"/>
    <n v="65"/>
    <n v="67.5"/>
    <m/>
    <n v="0"/>
  </r>
  <r>
    <x v="39"/>
    <n v="202605"/>
    <x v="0"/>
    <x v="3"/>
    <s v="Sofía V"/>
    <s v="Melany A"/>
    <n v="98500"/>
    <n v="5256475"/>
    <n v="53.365450268817781"/>
    <n v="94001.815560954172"/>
    <n v="60.5"/>
    <n v="60.5"/>
    <n v="53.343390369396616"/>
    <n v="5014376"/>
  </r>
  <r>
    <x v="13"/>
    <n v="202503"/>
    <x v="1"/>
    <x v="0"/>
    <s v="Sebastián S"/>
    <s v="Rodolfo O"/>
    <n v="98496"/>
    <n v="7092530"/>
    <n v="72.008172043010731"/>
    <n v="107499.6245617488"/>
    <n v="78"/>
    <n v="74.5"/>
    <n v="65.977257398940822"/>
    <n v="7353992"/>
  </r>
  <r>
    <x v="52"/>
    <n v="202603"/>
    <x v="0"/>
    <x v="0"/>
    <s v="Sebastián S"/>
    <s v="Vik E"/>
    <n v="98481"/>
    <n v="7064048"/>
    <n v="71.729818548387087"/>
    <n v="107476.08157955424"/>
    <n v="80"/>
    <n v="78"/>
    <n v="69.114627897013889"/>
    <n v="7428169"/>
  </r>
  <r>
    <x v="24"/>
    <n v="202504"/>
    <x v="1"/>
    <x v="9"/>
    <s v="Sofía V"/>
    <s v="Joe H"/>
    <n v="98471"/>
    <n v="5857270"/>
    <n v="59.482208333333368"/>
    <n v="98023.632681075993"/>
    <n v="71"/>
    <n v="74.5"/>
    <n v="59.753653785275183"/>
    <n v="6120842"/>
  </r>
  <r>
    <x v="9"/>
    <n v="202605"/>
    <x v="0"/>
    <x v="3"/>
    <s v="Sofía V"/>
    <s v="Joe H"/>
    <n v="98423"/>
    <n v="5861971"/>
    <n v="59.558944892473214"/>
    <n v="80627.785295687907"/>
    <n v="70.5"/>
    <n v="69.5"/>
    <n v="63.576561684054447"/>
    <n v="5126037"/>
  </r>
  <r>
    <x v="31"/>
    <n v="202401"/>
    <x v="2"/>
    <x v="10"/>
    <s v="Sofía V"/>
    <s v="Melany A"/>
    <n v="98356"/>
    <n v="10442491"/>
    <n v="106.17047715053768"/>
    <n v="0"/>
    <n v="99"/>
    <n v="32.5"/>
    <m/>
    <n v="0"/>
  </r>
  <r>
    <x v="7"/>
    <n v="202508"/>
    <x v="1"/>
    <x v="5"/>
    <s v="Sebastián S"/>
    <s v="Rodolfo O"/>
    <n v="98346"/>
    <n v="5824160"/>
    <n v="59.221223118279575"/>
    <n v="91200.877709725522"/>
    <n v="65.5"/>
    <n v="63"/>
    <n v="63.860791324148849"/>
    <n v="5529618"/>
  </r>
  <r>
    <x v="6"/>
    <n v="202404"/>
    <x v="2"/>
    <x v="9"/>
    <s v="Sebastián S"/>
    <s v="Vik E"/>
    <n v="98215"/>
    <n v="8971889"/>
    <n v="91.349368055555573"/>
    <n v="0"/>
    <n v="100"/>
    <n v="98"/>
    <m/>
    <n v="0"/>
  </r>
  <r>
    <x v="52"/>
    <n v="202511"/>
    <x v="1"/>
    <x v="7"/>
    <s v="Sebastián S"/>
    <s v="Vik E"/>
    <n v="98185"/>
    <n v="6336895"/>
    <n v="64.540340277777801"/>
    <n v="92052.531000109928"/>
    <n v="80"/>
    <n v="78"/>
    <n v="68.839989961736421"/>
    <n v="6578987"/>
  </r>
  <r>
    <x v="3"/>
    <n v="202409"/>
    <x v="2"/>
    <x v="4"/>
    <s v="Sebastián S"/>
    <s v="Rodolfo O"/>
    <n v="98141"/>
    <n v="9127224"/>
    <n v="93.000881944444458"/>
    <n v="0"/>
    <n v="98.5"/>
    <n v="96.5"/>
    <m/>
    <n v="0"/>
  </r>
  <r>
    <x v="23"/>
    <n v="202403"/>
    <x v="2"/>
    <x v="0"/>
    <s v="Sebastián S"/>
    <s v="Rodolfo O"/>
    <n v="98126"/>
    <n v="9196247"/>
    <n v="93.718521505376316"/>
    <n v="0"/>
    <n v="94.5"/>
    <n v="97"/>
    <m/>
    <n v="0"/>
  </r>
  <r>
    <x v="18"/>
    <n v="202503"/>
    <x v="1"/>
    <x v="0"/>
    <s v="Sofía V"/>
    <s v="Joe H"/>
    <n v="98104"/>
    <n v="4819017"/>
    <n v="49.121512096774183"/>
    <n v="91944.026169990117"/>
    <n v="50.5"/>
    <n v="51.5"/>
    <n v="52.412509335738577"/>
    <n v="4560838"/>
  </r>
  <r>
    <x v="21"/>
    <n v="202508"/>
    <x v="1"/>
    <x v="5"/>
    <s v="Sebastián S"/>
    <s v="Rodolfo O"/>
    <n v="98097"/>
    <n v="6674512"/>
    <n v="68.039717741935505"/>
    <n v="94684.411186543963"/>
    <n v="84.5"/>
    <n v="86.5"/>
    <n v="70.492197357071831"/>
    <n v="7194502"/>
  </r>
  <r>
    <x v="13"/>
    <n v="202605"/>
    <x v="0"/>
    <x v="3"/>
    <s v="Sebastián S"/>
    <s v="Rodolfo O"/>
    <n v="98067"/>
    <n v="6203228"/>
    <n v="63.255161290322796"/>
    <n v="92209.991287641868"/>
    <n v="78"/>
    <n v="74.5"/>
    <n v="66.954795775232199"/>
    <n v="6173901"/>
  </r>
  <r>
    <x v="65"/>
    <n v="202511"/>
    <x v="1"/>
    <x v="7"/>
    <s v="Sebastián S"/>
    <s v="Johanna V"/>
    <n v="98027"/>
    <n v="8054313"/>
    <n v="82.163909722222272"/>
    <n v="91115.942952302692"/>
    <n v="103"/>
    <n v="91"/>
    <n v="88.396303314517255"/>
    <n v="8683067"/>
  </r>
  <r>
    <x v="37"/>
    <n v="202604"/>
    <x v="0"/>
    <x v="9"/>
    <s v="Sofía V"/>
    <s v="Melany A"/>
    <n v="98019"/>
    <n v="6117805"/>
    <n v="62.41438194444617"/>
    <n v="117010.55428062343"/>
    <n v="72.5"/>
    <n v="68.5"/>
    <n v="63.042188618377821"/>
    <n v="7376601"/>
  </r>
  <r>
    <x v="53"/>
    <n v="202604"/>
    <x v="0"/>
    <x v="9"/>
    <s v="Sebastián S"/>
    <s v="Johanna V"/>
    <n v="97996"/>
    <n v="5092167"/>
    <n v="51.962895833332993"/>
    <n v="88169.728562666933"/>
    <n v="68"/>
    <n v="60.5"/>
    <n v="56.717795741490448"/>
    <n v="5000793"/>
  </r>
  <r>
    <x v="0"/>
    <n v="202604"/>
    <x v="0"/>
    <x v="9"/>
    <s v="Fátima L"/>
    <s v="Fátima L"/>
    <n v="97980"/>
    <n v="1141410"/>
    <n v="11.649458333333332"/>
    <n v="117521.43141039924"/>
    <n v="13.5"/>
    <n v="12.5"/>
    <n v="11.712938172043014"/>
    <n v="1376521"/>
  </r>
  <r>
    <x v="59"/>
    <n v="202503"/>
    <x v="1"/>
    <x v="0"/>
    <s v="Sebastián S"/>
    <s v="Johanna V"/>
    <n v="97972"/>
    <n v="10358837"/>
    <n v="105.73222446236558"/>
    <n v="95673.359631614818"/>
    <n v="118"/>
    <n v="106"/>
    <n v="108.2729520515027"/>
    <n v="10723147"/>
  </r>
  <r>
    <x v="2"/>
    <n v="202404"/>
    <x v="2"/>
    <x v="9"/>
    <s v="Sofía V"/>
    <s v="José A"/>
    <n v="97963"/>
    <n v="7000516"/>
    <n v="71.460666666666683"/>
    <n v="0"/>
    <n v="76.5"/>
    <n v="80"/>
    <m/>
    <n v="0"/>
  </r>
  <r>
    <x v="65"/>
    <n v="202508"/>
    <x v="1"/>
    <x v="5"/>
    <s v="Sebastián S"/>
    <s v="Johanna V"/>
    <n v="97961"/>
    <n v="7813015"/>
    <n v="79.756720430107535"/>
    <n v="103757.03225591504"/>
    <n v="103"/>
    <n v="91"/>
    <n v="75.301068179449487"/>
    <n v="8387807"/>
  </r>
  <r>
    <x v="48"/>
    <n v="202505"/>
    <x v="1"/>
    <x v="3"/>
    <s v="Hernán P"/>
    <s v="Daniel R"/>
    <n v="97919"/>
    <n v="6136818"/>
    <n v="62.672345430107519"/>
    <n v="95051.658065703203"/>
    <n v="79.5"/>
    <n v="72.5"/>
    <n v="64.562973386092921"/>
    <n v="6270064"/>
  </r>
  <r>
    <x v="22"/>
    <n v="202606"/>
    <x v="0"/>
    <x v="11"/>
    <s v="Sebastián S"/>
    <s v="Johanna V"/>
    <n v="97911"/>
    <n v="8653464"/>
    <n v="88.380590277780044"/>
    <n v="94721.103128868315"/>
    <n v="104.5"/>
    <n v="99"/>
    <n v="90.280982690474389"/>
    <n v="8551514"/>
  </r>
  <r>
    <x v="33"/>
    <n v="202601"/>
    <x v="0"/>
    <x v="10"/>
    <s v="Sofía V"/>
    <s v="José A"/>
    <n v="97845"/>
    <n v="8456733"/>
    <n v="86.429724462365542"/>
    <n v="96511.239231655389"/>
    <n v="93.5"/>
    <n v="94"/>
    <n v="84.619508156945685"/>
    <n v="8166734"/>
  </r>
  <r>
    <x v="71"/>
    <n v="202503"/>
    <x v="1"/>
    <x v="0"/>
    <s v="Sebastián S"/>
    <s v="Rodolfo O"/>
    <n v="97830"/>
    <n v="5410300"/>
    <n v="55.303245967741944"/>
    <n v="86154.596661681266"/>
    <n v="53.5"/>
    <n v="54"/>
    <n v="62.797582829452494"/>
    <n v="4874530"/>
  </r>
  <r>
    <x v="21"/>
    <n v="202507"/>
    <x v="1"/>
    <x v="6"/>
    <s v="Sebastián S"/>
    <s v="Rodolfo O"/>
    <n v="97795"/>
    <n v="7087805"/>
    <n v="72.475873655914"/>
    <n v="98820.598766046547"/>
    <n v="84.5"/>
    <n v="86.5"/>
    <n v="71.723967457230984"/>
    <n v="7823333"/>
  </r>
  <r>
    <x v="13"/>
    <n v="202511"/>
    <x v="1"/>
    <x v="7"/>
    <s v="Sebastián S"/>
    <s v="Rodolfo O"/>
    <n v="97748"/>
    <n v="6012269"/>
    <n v="61.507930555555582"/>
    <n v="93925.688623030306"/>
    <n v="78"/>
    <n v="74.5"/>
    <n v="64.01091477891822"/>
    <n v="5367086"/>
  </r>
  <r>
    <x v="37"/>
    <n v="202403"/>
    <x v="2"/>
    <x v="0"/>
    <s v="Sofía V"/>
    <s v="Melany A"/>
    <n v="97731"/>
    <n v="6393376"/>
    <n v="65.418198924731158"/>
    <n v="0"/>
    <n v="72.5"/>
    <n v="68.5"/>
    <m/>
    <n v="0"/>
  </r>
  <r>
    <x v="40"/>
    <n v="202604"/>
    <x v="0"/>
    <x v="9"/>
    <s v="Sebastián S"/>
    <s v="Johanna V"/>
    <n v="97714"/>
    <n v="8756421"/>
    <n v="89.612979166668921"/>
    <n v="98193.367093686"/>
    <n v="106"/>
    <n v="102.5"/>
    <n v="90.060822135394957"/>
    <n v="8843375"/>
  </r>
  <r>
    <x v="3"/>
    <n v="202404"/>
    <x v="2"/>
    <x v="9"/>
    <s v="Sebastián S"/>
    <s v="Rodolfo O"/>
    <n v="97682"/>
    <n v="9433471"/>
    <n v="96.573555555555558"/>
    <n v="0"/>
    <n v="98.5"/>
    <n v="96.5"/>
    <m/>
    <n v="0"/>
  </r>
  <r>
    <x v="8"/>
    <n v="202408"/>
    <x v="2"/>
    <x v="5"/>
    <s v="Sebastián S"/>
    <s v="Vik E"/>
    <n v="97594"/>
    <n v="7795500"/>
    <n v="79.876774193548371"/>
    <n v="0"/>
    <n v="88"/>
    <n v="84"/>
    <m/>
    <n v="0"/>
  </r>
  <r>
    <x v="32"/>
    <n v="202511"/>
    <x v="1"/>
    <x v="7"/>
    <s v="Sofía V"/>
    <s v="Melany A"/>
    <n v="97582"/>
    <n v="5825328"/>
    <n v="59.697020833333355"/>
    <n v="87554.328270299666"/>
    <n v="75.5"/>
    <n v="68"/>
    <n v="66.533862974951063"/>
    <n v="5860097"/>
  </r>
  <r>
    <x v="36"/>
    <n v="202508"/>
    <x v="1"/>
    <x v="5"/>
    <s v="Sebastián S"/>
    <s v="Rodolfo O"/>
    <n v="97544"/>
    <n v="6311970"/>
    <n v="64.708837365591393"/>
    <n v="96874.345093488795"/>
    <n v="81"/>
    <n v="77"/>
    <n v="65.156264271088688"/>
    <n v="6747268"/>
  </r>
  <r>
    <x v="15"/>
    <n v="202409"/>
    <x v="2"/>
    <x v="4"/>
    <s v="Sofía V"/>
    <s v="Joe H"/>
    <n v="97489"/>
    <n v="8986374"/>
    <n v="92.178187500000021"/>
    <n v="0"/>
    <n v="101"/>
    <n v="105"/>
    <m/>
    <n v="0"/>
  </r>
  <r>
    <x v="30"/>
    <n v="202405"/>
    <x v="2"/>
    <x v="3"/>
    <s v="Sebastián S"/>
    <s v="Vik E"/>
    <n v="97476"/>
    <n v="8776776"/>
    <n v="90.040510752688149"/>
    <n v="0"/>
    <n v="101.5"/>
    <n v="97.5"/>
    <m/>
    <n v="0"/>
  </r>
  <r>
    <x v="25"/>
    <n v="202505"/>
    <x v="1"/>
    <x v="3"/>
    <s v="Sebastián S"/>
    <s v="Vik E"/>
    <n v="97465"/>
    <n v="6914032"/>
    <n v="70.938366935483899"/>
    <n v="97297.730720451422"/>
    <n v="77"/>
    <n v="79"/>
    <n v="71.060564607255642"/>
    <n v="6659732"/>
  </r>
  <r>
    <x v="27"/>
    <n v="202605"/>
    <x v="0"/>
    <x v="3"/>
    <s v="Sofía V"/>
    <s v="Joe H"/>
    <n v="97463"/>
    <n v="5415275"/>
    <n v="55.562170698924923"/>
    <n v="94583.050718172264"/>
    <n v="62"/>
    <n v="58"/>
    <n v="54.66595376698497"/>
    <n v="5170473"/>
  </r>
  <r>
    <x v="17"/>
    <n v="202508"/>
    <x v="1"/>
    <x v="5"/>
    <s v="Sofía V"/>
    <s v="Joe H"/>
    <n v="97431"/>
    <n v="8385422"/>
    <n v="86.065141129032298"/>
    <n v="97909.928477327994"/>
    <n v="94"/>
    <n v="92"/>
    <n v="85.644241400316474"/>
    <n v="8230322"/>
  </r>
  <r>
    <x v="11"/>
    <n v="202404"/>
    <x v="2"/>
    <x v="9"/>
    <s v="Sofía V"/>
    <s v="José A"/>
    <n v="97427"/>
    <n v="8902483"/>
    <n v="91.375472222222228"/>
    <n v="0"/>
    <n v="86.5"/>
    <n v="81.5"/>
    <m/>
    <n v="0"/>
  </r>
  <r>
    <x v="26"/>
    <n v="202606"/>
    <x v="0"/>
    <x v="11"/>
    <s v="Sofía V"/>
    <s v="Melany A"/>
    <n v="97401"/>
    <n v="4407221"/>
    <n v="45.248194444444302"/>
    <n v="92868.585420323987"/>
    <n v="55"/>
    <n v="50.5"/>
    <n v="48.493991244906027"/>
    <n v="4503568"/>
  </r>
  <r>
    <x v="72"/>
    <n v="202604"/>
    <x v="0"/>
    <x v="9"/>
    <s v="Sebastián S"/>
    <s v="Vik E"/>
    <n v="97399"/>
    <n v="6423046"/>
    <n v="65.945395833334999"/>
    <n v="83220.743782263875"/>
    <n v="79.5"/>
    <n v="67"/>
    <n v="68.682661472657543"/>
    <n v="5715822"/>
  </r>
  <r>
    <x v="19"/>
    <n v="202601"/>
    <x v="0"/>
    <x v="10"/>
    <s v="Sofía V"/>
    <s v="Joe H"/>
    <n v="97397"/>
    <n v="5370817"/>
    <n v="55.143440860215065"/>
    <n v="96903.494335813491"/>
    <n v="57.5"/>
    <n v="56.5"/>
    <n v="50.698263574219922"/>
    <n v="4912839"/>
  </r>
  <r>
    <x v="20"/>
    <n v="202408"/>
    <x v="2"/>
    <x v="5"/>
    <s v="Sofía V"/>
    <s v="Joe H"/>
    <n v="97395"/>
    <n v="8709220"/>
    <n v="89.421330645161291"/>
    <n v="0"/>
    <n v="96.5"/>
    <n v="96"/>
    <m/>
    <n v="0"/>
  </r>
  <r>
    <x v="4"/>
    <n v="202401"/>
    <x v="2"/>
    <x v="10"/>
    <s v="Sofía V"/>
    <s v="José A"/>
    <n v="97373"/>
    <n v="9437993"/>
    <n v="96.926431451612899"/>
    <n v="0"/>
    <n v="107.5"/>
    <n v="102.5"/>
    <m/>
    <n v="0"/>
  </r>
  <r>
    <x v="23"/>
    <n v="202602"/>
    <x v="0"/>
    <x v="2"/>
    <s v="Sebastián S"/>
    <s v="Rodolfo O"/>
    <n v="97344"/>
    <n v="8633392"/>
    <n v="88.689479166666672"/>
    <n v="83857.241146778353"/>
    <n v="94.5"/>
    <n v="97"/>
    <n v="83.184435661200979"/>
    <n v="6975617"/>
  </r>
  <r>
    <x v="13"/>
    <n v="202406"/>
    <x v="2"/>
    <x v="11"/>
    <s v="Sebastián S"/>
    <s v="Rodolfo O"/>
    <n v="97307"/>
    <n v="6423241"/>
    <n v="66.010388888888883"/>
    <n v="0"/>
    <n v="78"/>
    <n v="74.5"/>
    <m/>
    <n v="0"/>
  </r>
  <r>
    <x v="28"/>
    <n v="202602"/>
    <x v="0"/>
    <x v="2"/>
    <s v="Sebastián S"/>
    <s v="Rodolfo O"/>
    <n v="97283"/>
    <n v="5719413"/>
    <n v="58.791249999999991"/>
    <n v="98291.871308202783"/>
    <n v="65.5"/>
    <n v="66"/>
    <n v="55.812340478272937"/>
    <n v="5485899"/>
  </r>
  <r>
    <x v="45"/>
    <n v="202511"/>
    <x v="1"/>
    <x v="7"/>
    <s v="Sofía V"/>
    <s v="Joe H"/>
    <n v="97270"/>
    <n v="5852510"/>
    <n v="60.167576388888918"/>
    <n v="85995.093922390311"/>
    <n v="68"/>
    <n v="68.5"/>
    <n v="68.05632534434848"/>
    <n v="5159856"/>
  </r>
  <r>
    <x v="37"/>
    <n v="202511"/>
    <x v="1"/>
    <x v="7"/>
    <s v="Sofía V"/>
    <s v="Melany A"/>
    <n v="97252"/>
    <n v="6310556"/>
    <n v="64.888833333333366"/>
    <n v="96057.745203846222"/>
    <n v="72.5"/>
    <n v="68.5"/>
    <n v="65.695442950573451"/>
    <n v="5590889"/>
  </r>
  <r>
    <x v="56"/>
    <n v="202503"/>
    <x v="1"/>
    <x v="0"/>
    <s v="Sofía V"/>
    <s v="Joe H"/>
    <n v="97229"/>
    <n v="6617838"/>
    <n v="68.064791666666707"/>
    <n v="95369.108909370843"/>
    <n v="79.5"/>
    <n v="81.5"/>
    <n v="69.391841401065449"/>
    <n v="6620537"/>
  </r>
  <r>
    <x v="35"/>
    <n v="202406"/>
    <x v="2"/>
    <x v="11"/>
    <s v="Hernán P"/>
    <s v="Daniel R"/>
    <n v="97205"/>
    <n v="11281958"/>
    <n v="116.06345138888892"/>
    <n v="0"/>
    <n v="140.5"/>
    <n v="125.5"/>
    <m/>
    <n v="0"/>
  </r>
  <r>
    <x v="28"/>
    <n v="202507"/>
    <x v="1"/>
    <x v="6"/>
    <s v="Sebastián S"/>
    <s v="Rodolfo O"/>
    <n v="97135"/>
    <n v="5708286"/>
    <n v="58.766223118279598"/>
    <n v="99977.837013544733"/>
    <n v="65.5"/>
    <n v="66"/>
    <n v="57.095517071715179"/>
    <n v="6108501"/>
  </r>
  <r>
    <x v="5"/>
    <n v="202411"/>
    <x v="2"/>
    <x v="7"/>
    <s v="Sebastián S"/>
    <s v="Rodolfo O"/>
    <n v="97130"/>
    <n v="5793000"/>
    <n v="59.641847222222218"/>
    <n v="0"/>
    <n v="68.5"/>
    <n v="66"/>
    <m/>
    <n v="0"/>
  </r>
  <r>
    <x v="33"/>
    <n v="202411"/>
    <x v="2"/>
    <x v="7"/>
    <s v="Sofía V"/>
    <s v="José A"/>
    <n v="97121"/>
    <n v="8461200"/>
    <n v="87.119958333333315"/>
    <n v="0"/>
    <n v="93.5"/>
    <n v="94"/>
    <m/>
    <n v="0"/>
  </r>
  <r>
    <x v="40"/>
    <n v="202605"/>
    <x v="0"/>
    <x v="3"/>
    <s v="Sebastián S"/>
    <s v="Johanna V"/>
    <n v="97118"/>
    <n v="9447544"/>
    <n v="97.279206989247569"/>
    <n v="100905.517266297"/>
    <n v="106"/>
    <n v="102.5"/>
    <n v="90.060822135394957"/>
    <n v="9087634"/>
  </r>
  <r>
    <x v="13"/>
    <n v="202602"/>
    <x v="0"/>
    <x v="2"/>
    <s v="Sebastián S"/>
    <s v="Rodolfo O"/>
    <n v="97062"/>
    <n v="6747684"/>
    <n v="69.519427083333341"/>
    <n v="89613.959908746998"/>
    <n v="78"/>
    <n v="74.5"/>
    <n v="66.954795775232199"/>
    <n v="6000084"/>
  </r>
  <r>
    <x v="2"/>
    <n v="202502"/>
    <x v="1"/>
    <x v="2"/>
    <s v="Sofía V"/>
    <s v="José A"/>
    <n v="97060"/>
    <n v="6425955"/>
    <n v="66.206041666666692"/>
    <n v="109970.25156611548"/>
    <n v="76.5"/>
    <n v="80"/>
    <n v="58.433572702492519"/>
    <n v="7451797"/>
  </r>
  <r>
    <x v="7"/>
    <n v="202506"/>
    <x v="1"/>
    <x v="11"/>
    <s v="Sebastián S"/>
    <s v="Rodolfo O"/>
    <n v="96980"/>
    <n v="5596372"/>
    <n v="57.706736111111113"/>
    <n v="85039.642443843841"/>
    <n v="65.5"/>
    <n v="63"/>
    <n v="65.808981307695163"/>
    <n v="5469043"/>
  </r>
  <r>
    <x v="33"/>
    <n v="202506"/>
    <x v="1"/>
    <x v="11"/>
    <s v="Sofía V"/>
    <s v="José A"/>
    <n v="96967"/>
    <n v="8091213"/>
    <n v="83.442527777777812"/>
    <n v="105867.2243631272"/>
    <n v="93.5"/>
    <n v="94"/>
    <n v="76.427928555555027"/>
    <n v="8569623"/>
  </r>
  <r>
    <x v="29"/>
    <n v="202605"/>
    <x v="0"/>
    <x v="3"/>
    <s v="Sebastián S"/>
    <s v="Vik E"/>
    <n v="96954"/>
    <n v="6248431"/>
    <n v="64.44723118279569"/>
    <n v="92752.465157868341"/>
    <n v="76.5"/>
    <n v="75.5"/>
    <n v="67.697971575339096"/>
    <n v="6279154"/>
  </r>
  <r>
    <x v="23"/>
    <n v="202601"/>
    <x v="0"/>
    <x v="10"/>
    <s v="Sebastián S"/>
    <s v="Rodolfo O"/>
    <n v="96919"/>
    <n v="8110029"/>
    <n v="83.678790322580667"/>
    <n v="83434.19981193867"/>
    <n v="94.5"/>
    <n v="97"/>
    <n v="83.184435661200979"/>
    <n v="6940427"/>
  </r>
  <r>
    <x v="48"/>
    <n v="202407"/>
    <x v="2"/>
    <x v="6"/>
    <s v="Hernán P"/>
    <s v="Daniel R"/>
    <n v="96903"/>
    <n v="5762281"/>
    <n v="59.464341397849459"/>
    <n v="0"/>
    <n v="79.5"/>
    <n v="72.5"/>
    <m/>
    <n v="0"/>
  </r>
  <r>
    <x v="20"/>
    <n v="202405"/>
    <x v="2"/>
    <x v="3"/>
    <s v="Sofía V"/>
    <s v="Joe H"/>
    <n v="96889"/>
    <n v="8500725"/>
    <n v="87.736579301075253"/>
    <n v="0"/>
    <n v="96.5"/>
    <n v="96"/>
    <m/>
    <n v="0"/>
  </r>
  <r>
    <x v="28"/>
    <n v="202605"/>
    <x v="0"/>
    <x v="3"/>
    <s v="Sebastián S"/>
    <s v="Rodolfo O"/>
    <n v="96883"/>
    <n v="5909448"/>
    <n v="60.995920698925524"/>
    <n v="102308.20515263741"/>
    <n v="65.5"/>
    <n v="66"/>
    <n v="55.812340478272937"/>
    <n v="5710060"/>
  </r>
  <r>
    <x v="16"/>
    <n v="202604"/>
    <x v="0"/>
    <x v="9"/>
    <s v="Sofía V"/>
    <s v="José A"/>
    <n v="96862"/>
    <n v="6471814"/>
    <n v="66.815000000001859"/>
    <n v="127633.79427771839"/>
    <n v="64"/>
    <n v="67"/>
    <n v="56.429371630436094"/>
    <n v="7202295"/>
  </r>
  <r>
    <x v="23"/>
    <n v="202604"/>
    <x v="0"/>
    <x v="9"/>
    <s v="Sebastián S"/>
    <s v="Rodolfo O"/>
    <n v="96857"/>
    <n v="8567293"/>
    <n v="88.453458333335561"/>
    <n v="90405.468019633903"/>
    <n v="94.5"/>
    <n v="97"/>
    <n v="83.184435661200979"/>
    <n v="7520328"/>
  </r>
  <r>
    <x v="25"/>
    <n v="202408"/>
    <x v="2"/>
    <x v="5"/>
    <s v="Sebastián S"/>
    <s v="Vik E"/>
    <n v="96854"/>
    <n v="6532263"/>
    <n v="67.444482526881714"/>
    <n v="0"/>
    <n v="77"/>
    <n v="79"/>
    <m/>
    <n v="0"/>
  </r>
  <r>
    <x v="16"/>
    <n v="202406"/>
    <x v="2"/>
    <x v="11"/>
    <s v="Sofía V"/>
    <s v="José A"/>
    <n v="96778"/>
    <n v="5537688"/>
    <n v="57.220381944444441"/>
    <n v="0"/>
    <n v="64"/>
    <n v="67"/>
    <m/>
    <n v="0"/>
  </r>
  <r>
    <x v="19"/>
    <n v="202602"/>
    <x v="0"/>
    <x v="2"/>
    <s v="Sofía V"/>
    <s v="Joe H"/>
    <n v="96774"/>
    <n v="5312500"/>
    <n v="54.895833333333329"/>
    <n v="93771.729107452978"/>
    <n v="57.5"/>
    <n v="56.5"/>
    <n v="50.698263574219922"/>
    <n v="4754064"/>
  </r>
  <r>
    <x v="65"/>
    <n v="202401"/>
    <x v="2"/>
    <x v="10"/>
    <s v="Sebastián S"/>
    <s v="Johanna V"/>
    <n v="96768"/>
    <n v="7905160"/>
    <n v="81.692116935483853"/>
    <n v="0"/>
    <n v="103"/>
    <n v="91"/>
    <m/>
    <n v="0"/>
  </r>
  <r>
    <x v="38"/>
    <n v="202605"/>
    <x v="0"/>
    <x v="3"/>
    <s v="Sofía V"/>
    <s v="Melany A"/>
    <n v="96745"/>
    <n v="5521085"/>
    <n v="57.068346774193373"/>
    <n v="112002.37378626858"/>
    <n v="56"/>
    <n v="60"/>
    <n v="48.493991244906013"/>
    <n v="5431442"/>
  </r>
  <r>
    <x v="73"/>
    <n v="202512"/>
    <x v="1"/>
    <x v="1"/>
    <s v="Fátima L"/>
    <s v="Fátima L"/>
    <n v="96606"/>
    <n v="1168928"/>
    <n v="12.09997983870967"/>
    <n v="92539.289013412461"/>
    <n v="13.5"/>
    <n v="12"/>
    <n v="12.631693008043081"/>
    <n v="1330952"/>
  </r>
  <r>
    <x v="29"/>
    <n v="202406"/>
    <x v="2"/>
    <x v="11"/>
    <s v="Sebastián S"/>
    <s v="Vik E"/>
    <n v="96598"/>
    <n v="6377903"/>
    <n v="66.024972222222189"/>
    <n v="0"/>
    <n v="76.5"/>
    <n v="75.5"/>
    <m/>
    <n v="0"/>
  </r>
  <r>
    <x v="30"/>
    <n v="202510"/>
    <x v="1"/>
    <x v="8"/>
    <s v="Sebastián S"/>
    <s v="Vik E"/>
    <n v="96596"/>
    <n v="7123901"/>
    <n v="73.749186827957018"/>
    <n v="108459.73895876079"/>
    <n v="101.5"/>
    <n v="97.5"/>
    <n v="65.682445010389443"/>
    <n v="9857315"/>
  </r>
  <r>
    <x v="21"/>
    <n v="202505"/>
    <x v="1"/>
    <x v="3"/>
    <s v="Sebastián S"/>
    <s v="Rodolfo O"/>
    <n v="96590"/>
    <n v="7244880"/>
    <n v="75.006834677419349"/>
    <n v="91509.77274090772"/>
    <n v="84.5"/>
    <n v="86.5"/>
    <n v="79.170565317788373"/>
    <n v="7046078"/>
  </r>
  <r>
    <x v="35"/>
    <n v="202502"/>
    <x v="1"/>
    <x v="2"/>
    <s v="Hernán P"/>
    <s v="Daniel R"/>
    <n v="96588"/>
    <n v="10847518"/>
    <n v="112.30656249999994"/>
    <n v="95476.869675014008"/>
    <n v="140.5"/>
    <n v="125.5"/>
    <n v="113.61409131785514"/>
    <n v="10738156"/>
  </r>
  <r>
    <x v="32"/>
    <n v="202602"/>
    <x v="0"/>
    <x v="2"/>
    <s v="Sofía V"/>
    <s v="Melany A"/>
    <n v="96583"/>
    <n v="6051370"/>
    <n v="62.654791666666654"/>
    <n v="84219.142615352263"/>
    <n v="75.5"/>
    <n v="68"/>
    <n v="66.56902434528007"/>
    <n v="5606386"/>
  </r>
  <r>
    <x v="38"/>
    <n v="202602"/>
    <x v="0"/>
    <x v="2"/>
    <s v="Sofía V"/>
    <s v="Melany A"/>
    <n v="96582"/>
    <n v="5040093"/>
    <n v="52.184583333333329"/>
    <n v="101922.53906960468"/>
    <n v="56"/>
    <n v="60"/>
    <n v="48.493991244906013"/>
    <n v="4942631"/>
  </r>
  <r>
    <x v="41"/>
    <n v="202603"/>
    <x v="0"/>
    <x v="0"/>
    <s v="Sebastián S"/>
    <s v="Rodolfo O"/>
    <n v="96560"/>
    <n v="6011558"/>
    <n v="62.257096774193592"/>
    <n v="115277.34525383502"/>
    <n v="64.5"/>
    <n v="64"/>
    <n v="54.966698955874868"/>
    <n v="6336415"/>
  </r>
  <r>
    <x v="54"/>
    <n v="202412"/>
    <x v="2"/>
    <x v="1"/>
    <s v="Sebastián S"/>
    <s v="Rodolfo O"/>
    <n v="96545"/>
    <n v="8544279"/>
    <n v="88.500557795698938"/>
    <n v="0"/>
    <n v="80"/>
    <n v="80.5"/>
    <m/>
    <n v="0"/>
  </r>
  <r>
    <x v="36"/>
    <n v="202507"/>
    <x v="1"/>
    <x v="6"/>
    <s v="Sebastián S"/>
    <s v="Rodolfo O"/>
    <n v="96533"/>
    <n v="6374185"/>
    <n v="66.030981182795728"/>
    <n v="106916.0679469139"/>
    <n v="81"/>
    <n v="77"/>
    <n v="59.618589351461353"/>
    <n v="7282512"/>
  </r>
  <r>
    <x v="4"/>
    <n v="202409"/>
    <x v="2"/>
    <x v="4"/>
    <s v="Sofía V"/>
    <s v="José A"/>
    <n v="96479"/>
    <n v="9690585"/>
    <n v="100.44207638888889"/>
    <n v="0"/>
    <n v="107.5"/>
    <n v="102.5"/>
    <m/>
    <n v="0"/>
  </r>
  <r>
    <x v="24"/>
    <n v="202501"/>
    <x v="1"/>
    <x v="10"/>
    <s v="Sofía V"/>
    <s v="Joe H"/>
    <n v="96474"/>
    <n v="6030239"/>
    <n v="62.506424731182811"/>
    <n v="111123.79721613509"/>
    <n v="71"/>
    <n v="74.5"/>
    <n v="54.265951947909265"/>
    <n v="6155100"/>
  </r>
  <r>
    <x v="33"/>
    <n v="202409"/>
    <x v="2"/>
    <x v="4"/>
    <s v="Sofía V"/>
    <s v="José A"/>
    <n v="96472"/>
    <n v="8222124"/>
    <n v="85.228256944444411"/>
    <n v="0"/>
    <n v="93.5"/>
    <n v="94"/>
    <m/>
    <n v="0"/>
  </r>
  <r>
    <x v="31"/>
    <n v="202402"/>
    <x v="2"/>
    <x v="2"/>
    <s v="Sofía V"/>
    <s v="Melany A"/>
    <n v="96442"/>
    <n v="11810683"/>
    <n v="122.46404454022989"/>
    <n v="0"/>
    <n v="99"/>
    <n v="32.5"/>
    <m/>
    <n v="0"/>
  </r>
  <r>
    <x v="74"/>
    <n v="202512"/>
    <x v="1"/>
    <x v="1"/>
    <s v="Sebastián S"/>
    <s v="Rodolfo O"/>
    <n v="96434"/>
    <n v="2185488"/>
    <n v="22.663111559139768"/>
    <n v="76052.274710285768"/>
    <n v="27"/>
    <n v="27"/>
    <n v="28.736650393764243"/>
    <n v="2195731"/>
  </r>
  <r>
    <x v="48"/>
    <n v="202510"/>
    <x v="1"/>
    <x v="8"/>
    <s v="Hernán P"/>
    <s v="Daniel R"/>
    <n v="96418"/>
    <n v="5788509"/>
    <n v="60.035302419354835"/>
    <n v="94929.816770805483"/>
    <n v="79.5"/>
    <n v="72.5"/>
    <n v="60.976718136679104"/>
    <n v="6091984"/>
  </r>
  <r>
    <x v="64"/>
    <n v="202412"/>
    <x v="2"/>
    <x v="1"/>
    <s v="Sebastián S"/>
    <s v="Johanna V"/>
    <n v="96410"/>
    <n v="7581528"/>
    <n v="78.638508064516103"/>
    <n v="0"/>
    <n v="75.5"/>
    <n v="70.5"/>
    <m/>
    <n v="0"/>
  </r>
  <r>
    <x v="4"/>
    <n v="202406"/>
    <x v="2"/>
    <x v="11"/>
    <s v="Sofía V"/>
    <s v="José A"/>
    <n v="96399"/>
    <n v="10211778"/>
    <n v="105.93294444444449"/>
    <n v="0"/>
    <n v="107.5"/>
    <n v="102.5"/>
    <m/>
    <n v="0"/>
  </r>
  <r>
    <x v="16"/>
    <n v="202510"/>
    <x v="1"/>
    <x v="8"/>
    <s v="Sofía V"/>
    <s v="José A"/>
    <n v="96393"/>
    <n v="5462797"/>
    <n v="56.671868279569914"/>
    <n v="98755.781973844947"/>
    <n v="64"/>
    <n v="67"/>
    <n v="55.316219575343951"/>
    <n v="5011775"/>
  </r>
  <r>
    <x v="27"/>
    <n v="202501"/>
    <x v="1"/>
    <x v="10"/>
    <s v="Sofía V"/>
    <s v="Joe H"/>
    <n v="96389"/>
    <n v="5715029"/>
    <n v="59.291364247311833"/>
    <n v="93207.709728894057"/>
    <n v="62"/>
    <n v="58"/>
    <n v="61.314979057235242"/>
    <n v="5445161"/>
  </r>
  <r>
    <x v="27"/>
    <n v="202606"/>
    <x v="0"/>
    <x v="11"/>
    <s v="Sofía V"/>
    <s v="Joe H"/>
    <n v="96366"/>
    <n v="5096594"/>
    <n v="52.887673611110984"/>
    <n v="87676.616865224176"/>
    <n v="62"/>
    <n v="58"/>
    <n v="54.66595376698497"/>
    <n v="4792926"/>
  </r>
  <r>
    <x v="46"/>
    <n v="202603"/>
    <x v="0"/>
    <x v="0"/>
    <s v="Sofía V"/>
    <s v="José A"/>
    <n v="96360"/>
    <n v="5282065"/>
    <n v="54.816115591397867"/>
    <n v="101268.08453248843"/>
    <n v="58"/>
    <n v="58.5"/>
    <n v="51.139118040082707"/>
    <n v="5178761"/>
  </r>
  <r>
    <x v="71"/>
    <n v="202512"/>
    <x v="1"/>
    <x v="1"/>
    <s v="Sebastián S"/>
    <s v="Rodolfo O"/>
    <n v="96352"/>
    <n v="5578714"/>
    <n v="57.899267473118286"/>
    <n v="98125.267905618603"/>
    <n v="53.5"/>
    <n v="54"/>
    <n v="56.85298138870678"/>
    <n v="5725519"/>
  </r>
  <r>
    <x v="66"/>
    <n v="202412"/>
    <x v="2"/>
    <x v="1"/>
    <s v="Sebastián S"/>
    <s v="Rodolfo O"/>
    <n v="96349"/>
    <n v="5775348"/>
    <n v="59.941922043010763"/>
    <n v="0"/>
    <n v="55"/>
    <n v="55.5"/>
    <m/>
    <n v="0"/>
  </r>
  <r>
    <x v="14"/>
    <n v="202410"/>
    <x v="2"/>
    <x v="8"/>
    <s v="Sofía V"/>
    <s v="Melany A"/>
    <n v="96346"/>
    <n v="4576912"/>
    <n v="47.504831989247307"/>
    <n v="0"/>
    <n v="59.5"/>
    <n v="55.5"/>
    <m/>
    <n v="0"/>
  </r>
  <r>
    <x v="22"/>
    <n v="202403"/>
    <x v="2"/>
    <x v="0"/>
    <s v="Sebastián S"/>
    <s v="Johanna V"/>
    <n v="96290"/>
    <n v="9806206"/>
    <n v="101.83988575268816"/>
    <n v="0"/>
    <n v="104.5"/>
    <n v="99"/>
    <m/>
    <n v="0"/>
  </r>
  <r>
    <x v="62"/>
    <n v="202403"/>
    <x v="2"/>
    <x v="0"/>
    <s v="Sebastián S"/>
    <s v="Vik E"/>
    <n v="96191"/>
    <n v="5896293"/>
    <n v="61.297983870967755"/>
    <n v="0"/>
    <n v="65"/>
    <n v="67.5"/>
    <m/>
    <n v="0"/>
  </r>
  <r>
    <x v="25"/>
    <n v="202606"/>
    <x v="0"/>
    <x v="11"/>
    <s v="Sebastián S"/>
    <s v="Vik E"/>
    <n v="96179"/>
    <n v="6861655"/>
    <n v="71.34234722222395"/>
    <n v="100280.22901090939"/>
    <n v="77"/>
    <n v="79"/>
    <n v="66.09086292651952"/>
    <n v="6627607"/>
  </r>
  <r>
    <x v="11"/>
    <n v="202603"/>
    <x v="0"/>
    <x v="0"/>
    <s v="Sofía V"/>
    <s v="José A"/>
    <n v="96124"/>
    <n v="8043442"/>
    <n v="83.678178763440826"/>
    <n v="110956.3198390922"/>
    <n v="86.5"/>
    <n v="81.5"/>
    <n v="76.26782259426129"/>
    <n v="8462397"/>
  </r>
  <r>
    <x v="25"/>
    <n v="202507"/>
    <x v="1"/>
    <x v="6"/>
    <s v="Sebastián S"/>
    <s v="Vik E"/>
    <n v="96117"/>
    <n v="6799851"/>
    <n v="70.745631720430168"/>
    <n v="116308.20726301074"/>
    <n v="77"/>
    <n v="79"/>
    <n v="58.46406534857271"/>
    <n v="7647594"/>
  </r>
  <r>
    <x v="5"/>
    <n v="202506"/>
    <x v="1"/>
    <x v="11"/>
    <s v="Sebastián S"/>
    <s v="Rodolfo O"/>
    <n v="96113"/>
    <n v="5862529"/>
    <n v="60.99595833333332"/>
    <n v="105766.4818208917"/>
    <n v="68.5"/>
    <n v="66"/>
    <n v="55.428989497143249"/>
    <n v="6243907"/>
  </r>
  <r>
    <x v="13"/>
    <n v="202408"/>
    <x v="2"/>
    <x v="5"/>
    <s v="Sebastián S"/>
    <s v="Rodolfo O"/>
    <n v="96104"/>
    <n v="6119968"/>
    <n v="63.680571236559132"/>
    <n v="0"/>
    <n v="78"/>
    <n v="74.5"/>
    <m/>
    <n v="0"/>
  </r>
  <r>
    <x v="44"/>
    <n v="202411"/>
    <x v="2"/>
    <x v="7"/>
    <s v="Sebastián S"/>
    <s v="Johanna V"/>
    <n v="96100"/>
    <n v="9506773"/>
    <n v="98.925895833333328"/>
    <n v="0"/>
    <n v="117.5"/>
    <n v="99"/>
    <m/>
    <n v="0"/>
  </r>
  <r>
    <x v="46"/>
    <n v="202601"/>
    <x v="0"/>
    <x v="10"/>
    <s v="Sofía V"/>
    <s v="José A"/>
    <n v="96082"/>
    <n v="4801563"/>
    <n v="49.973696236559164"/>
    <n v="86889.636636228824"/>
    <n v="58"/>
    <n v="58.5"/>
    <n v="51.139118040082707"/>
    <n v="4443459"/>
  </r>
  <r>
    <x v="53"/>
    <n v="202606"/>
    <x v="0"/>
    <x v="11"/>
    <s v="Sebastián S"/>
    <s v="Johanna V"/>
    <n v="96082"/>
    <n v="5011815"/>
    <n v="52.16210416666631"/>
    <n v="94844.148300792935"/>
    <n v="68"/>
    <n v="60.5"/>
    <n v="56.717795741490448"/>
    <n v="5379351"/>
  </r>
  <r>
    <x v="35"/>
    <n v="202510"/>
    <x v="1"/>
    <x v="8"/>
    <s v="Hernán P"/>
    <s v="Daniel R"/>
    <n v="95966"/>
    <n v="11379513"/>
    <n v="118.57905913978493"/>
    <n v="104900.61038932689"/>
    <n v="140.5"/>
    <n v="125.5"/>
    <n v="108.47899881388874"/>
    <n v="12006571"/>
  </r>
  <r>
    <x v="59"/>
    <n v="202508"/>
    <x v="1"/>
    <x v="5"/>
    <s v="Sebastián S"/>
    <s v="Johanna V"/>
    <n v="95940"/>
    <n v="9126843"/>
    <n v="95.130611559139822"/>
    <n v="99342.401583532672"/>
    <n v="118"/>
    <n v="106"/>
    <n v="91.872581038074017"/>
    <n v="9933414"/>
  </r>
  <r>
    <x v="26"/>
    <n v="202403"/>
    <x v="2"/>
    <x v="0"/>
    <s v="Sofía V"/>
    <s v="Melany A"/>
    <n v="95926"/>
    <n v="5207754"/>
    <n v="54.289375"/>
    <n v="0"/>
    <n v="55"/>
    <n v="50.5"/>
    <m/>
    <n v="0"/>
  </r>
  <r>
    <x v="37"/>
    <n v="202501"/>
    <x v="1"/>
    <x v="10"/>
    <s v="Sofía V"/>
    <s v="Melany A"/>
    <n v="95903"/>
    <n v="6163135"/>
    <n v="64.26432795698922"/>
    <n v="92433.89129843688"/>
    <n v="72.5"/>
    <n v="68.5"/>
    <n v="66.676142521160131"/>
    <n v="5866863"/>
  </r>
  <r>
    <x v="56"/>
    <n v="202604"/>
    <x v="0"/>
    <x v="9"/>
    <s v="Sofía V"/>
    <s v="Joe H"/>
    <n v="95870"/>
    <n v="6799272"/>
    <n v="70.921618055558156"/>
    <n v="98210.448319182236"/>
    <n v="79.5"/>
    <n v="81.5"/>
    <n v="68.773296674593993"/>
    <n v="6754256"/>
  </r>
  <r>
    <x v="17"/>
    <n v="202410"/>
    <x v="2"/>
    <x v="8"/>
    <s v="Sofía V"/>
    <s v="Joe H"/>
    <n v="95837"/>
    <n v="8196909"/>
    <n v="85.529744623655873"/>
    <n v="0"/>
    <n v="94"/>
    <n v="92"/>
    <m/>
    <n v="0"/>
  </r>
  <r>
    <x v="43"/>
    <n v="202605"/>
    <x v="0"/>
    <x v="3"/>
    <s v="Sofía V"/>
    <s v="José A"/>
    <n v="95801"/>
    <n v="2764626"/>
    <n v="28.858017473118352"/>
    <n v="93672.444112473371"/>
    <n v="32.5"/>
    <n v="32"/>
    <n v="29.073700348097926"/>
    <n v="2723405"/>
  </r>
  <r>
    <x v="4"/>
    <n v="202411"/>
    <x v="2"/>
    <x v="7"/>
    <s v="Sofía V"/>
    <s v="José A"/>
    <n v="95776"/>
    <n v="9977247"/>
    <n v="104.17302777777778"/>
    <n v="0"/>
    <n v="107.5"/>
    <n v="102.5"/>
    <m/>
    <n v="0"/>
  </r>
  <r>
    <x v="56"/>
    <n v="202510"/>
    <x v="1"/>
    <x v="8"/>
    <s v="Sofía V"/>
    <s v="Joe H"/>
    <n v="95765"/>
    <n v="6278383"/>
    <n v="65.560174731182812"/>
    <n v="85317.059531493855"/>
    <n v="79.5"/>
    <n v="81.5"/>
    <n v="73.588833516729508"/>
    <n v="6312164"/>
  </r>
  <r>
    <x v="65"/>
    <n v="202606"/>
    <x v="0"/>
    <x v="11"/>
    <s v="Sebastián S"/>
    <s v="Johanna V"/>
    <n v="95735"/>
    <n v="7705173"/>
    <n v="80.484638888890004"/>
    <n v="97035.378589267493"/>
    <n v="103"/>
    <n v="91"/>
    <n v="85.91077884372821"/>
    <n v="8336385"/>
  </r>
  <r>
    <x v="44"/>
    <n v="202510"/>
    <x v="1"/>
    <x v="8"/>
    <s v="Sebastián S"/>
    <s v="Johanna V"/>
    <n v="95704"/>
    <n v="8935897"/>
    <n v="93.370591397849481"/>
    <n v="98038.424808736265"/>
    <n v="117.5"/>
    <n v="99"/>
    <n v="91.14688947148116"/>
    <n v="9744799"/>
  </r>
  <r>
    <x v="26"/>
    <n v="202407"/>
    <x v="2"/>
    <x v="6"/>
    <s v="Sofía V"/>
    <s v="Melany A"/>
    <n v="95698"/>
    <n v="5155335"/>
    <n v="53.871115591397846"/>
    <n v="0"/>
    <n v="55"/>
    <n v="50.5"/>
    <m/>
    <n v="0"/>
  </r>
  <r>
    <x v="33"/>
    <n v="202602"/>
    <x v="0"/>
    <x v="2"/>
    <s v="Sofía V"/>
    <s v="José A"/>
    <n v="95683"/>
    <n v="8174587"/>
    <n v="85.434479166666634"/>
    <n v="90428.152350019474"/>
    <n v="93.5"/>
    <n v="94"/>
    <n v="84.619508156945685"/>
    <n v="7651986"/>
  </r>
  <r>
    <x v="13"/>
    <n v="202604"/>
    <x v="0"/>
    <x v="9"/>
    <s v="Sebastián S"/>
    <s v="Rodolfo O"/>
    <n v="95662"/>
    <n v="6058057"/>
    <n v="63.327736111113005"/>
    <n v="86155.719504619701"/>
    <n v="78"/>
    <n v="74.5"/>
    <n v="66.954795775232199"/>
    <n v="5768539"/>
  </r>
  <r>
    <x v="44"/>
    <n v="202405"/>
    <x v="2"/>
    <x v="3"/>
    <s v="Sebastián S"/>
    <s v="Johanna V"/>
    <n v="95652"/>
    <n v="9230904"/>
    <n v="96.504643817204325"/>
    <n v="0"/>
    <n v="117.5"/>
    <n v="99"/>
    <m/>
    <n v="0"/>
  </r>
  <r>
    <x v="43"/>
    <n v="202601"/>
    <x v="0"/>
    <x v="10"/>
    <s v="Sofía V"/>
    <s v="José A"/>
    <n v="95641"/>
    <n v="2713915"/>
    <n v="28.376108870967734"/>
    <n v="89194.566035680255"/>
    <n v="32.5"/>
    <n v="32"/>
    <n v="29.073700348097926"/>
    <n v="2593216"/>
  </r>
  <r>
    <x v="23"/>
    <n v="202407"/>
    <x v="2"/>
    <x v="6"/>
    <s v="Sebastián S"/>
    <s v="Rodolfo O"/>
    <n v="95634"/>
    <n v="8607382"/>
    <n v="90.00325268817204"/>
    <n v="0"/>
    <n v="94.5"/>
    <n v="97"/>
    <m/>
    <n v="0"/>
  </r>
  <r>
    <x v="35"/>
    <n v="202505"/>
    <x v="1"/>
    <x v="3"/>
    <s v="Hernán P"/>
    <s v="Daniel R"/>
    <n v="95624"/>
    <n v="11511534"/>
    <n v="120.38315860215056"/>
    <n v="96177.576235112545"/>
    <n v="140.5"/>
    <n v="125.5"/>
    <n v="119.69041704543771"/>
    <n v="12049182"/>
  </r>
  <r>
    <x v="35"/>
    <n v="202509"/>
    <x v="1"/>
    <x v="4"/>
    <s v="Hernán P"/>
    <s v="Daniel R"/>
    <n v="95606"/>
    <n v="11203001"/>
    <n v="117.1794166666667"/>
    <n v="97225.077572618524"/>
    <n v="140.5"/>
    <n v="125.5"/>
    <n v="115.22748564157581"/>
    <n v="11692699"/>
  </r>
  <r>
    <x v="12"/>
    <n v="202501"/>
    <x v="1"/>
    <x v="10"/>
    <s v="Sofía V"/>
    <s v="Melany A"/>
    <n v="95593"/>
    <n v="8267945"/>
    <n v="86.490739247311737"/>
    <n v="96377.041159769797"/>
    <n v="96.5"/>
    <n v="94"/>
    <n v="85.787493893838786"/>
    <n v="8046504"/>
  </r>
  <r>
    <x v="35"/>
    <n v="202506"/>
    <x v="1"/>
    <x v="11"/>
    <s v="Hernán P"/>
    <s v="Daniel R"/>
    <n v="95583"/>
    <n v="11339493"/>
    <n v="118.63527083333344"/>
    <n v="102065.34316137059"/>
    <n v="140.5"/>
    <n v="125.5"/>
    <n v="111.10032875774174"/>
    <n v="11851253"/>
  </r>
  <r>
    <x v="44"/>
    <n v="202406"/>
    <x v="2"/>
    <x v="11"/>
    <s v="Sebastián S"/>
    <s v="Johanna V"/>
    <n v="95492"/>
    <n v="9318815"/>
    <n v="97.587486111111133"/>
    <n v="0"/>
    <n v="117.5"/>
    <n v="99"/>
    <m/>
    <n v="0"/>
  </r>
  <r>
    <x v="11"/>
    <n v="202402"/>
    <x v="2"/>
    <x v="2"/>
    <s v="Sofía V"/>
    <s v="José A"/>
    <n v="95448"/>
    <n v="8804246"/>
    <n v="92.241494252873622"/>
    <n v="0"/>
    <n v="86.5"/>
    <n v="81.5"/>
    <m/>
    <n v="0"/>
  </r>
  <r>
    <x v="59"/>
    <n v="202606"/>
    <x v="0"/>
    <x v="11"/>
    <s v="Sebastián S"/>
    <s v="Johanna V"/>
    <n v="95333"/>
    <n v="8885351"/>
    <n v="93.203250000002143"/>
    <n v="86731.165506106219"/>
    <n v="118"/>
    <n v="106"/>
    <n v="102.17544085783207"/>
    <n v="8861795"/>
  </r>
  <r>
    <x v="12"/>
    <n v="202402"/>
    <x v="2"/>
    <x v="2"/>
    <s v="Sofía V"/>
    <s v="Melany A"/>
    <n v="95327"/>
    <n v="9023638"/>
    <n v="94.659461206896665"/>
    <n v="0"/>
    <n v="96.5"/>
    <n v="94"/>
    <m/>
    <n v="0"/>
  </r>
  <r>
    <x v="10"/>
    <n v="202606"/>
    <x v="0"/>
    <x v="11"/>
    <s v="Sofía V"/>
    <s v="Melany A"/>
    <n v="95288"/>
    <n v="9609769"/>
    <n v="100.84972916666906"/>
    <n v="90076.662981094007"/>
    <n v="125"/>
    <n v="118.5"/>
    <n v="102.97612103755296"/>
    <n v="9275745"/>
  </r>
  <r>
    <x v="31"/>
    <n v="202408"/>
    <x v="2"/>
    <x v="5"/>
    <s v="Sofía V"/>
    <s v="Melany A"/>
    <n v="95287"/>
    <n v="11311575"/>
    <n v="118.71082661290319"/>
    <n v="0"/>
    <n v="99"/>
    <n v="32.5"/>
    <m/>
    <n v="0"/>
  </r>
  <r>
    <x v="16"/>
    <n v="202404"/>
    <x v="2"/>
    <x v="9"/>
    <s v="Sofía V"/>
    <s v="José A"/>
    <n v="95268"/>
    <n v="5337720"/>
    <n v="56.028486111111114"/>
    <n v="0"/>
    <n v="64"/>
    <n v="67"/>
    <m/>
    <n v="0"/>
  </r>
  <r>
    <x v="56"/>
    <n v="202412"/>
    <x v="2"/>
    <x v="1"/>
    <s v="Sofía V"/>
    <s v="Joe H"/>
    <n v="95259"/>
    <n v="7980665"/>
    <n v="83.778474462365594"/>
    <n v="0"/>
    <n v="79.5"/>
    <n v="81.5"/>
    <m/>
    <n v="0"/>
  </r>
  <r>
    <x v="75"/>
    <n v="202512"/>
    <x v="1"/>
    <x v="1"/>
    <s v="Hernán P"/>
    <s v="Daniel R"/>
    <n v="95252"/>
    <n v="2535489"/>
    <n v="26.61881720430107"/>
    <n v="97733.109394131039"/>
    <n v="31"/>
    <n v="27"/>
    <n v="25.942989798626609"/>
    <n v="2437851"/>
  </r>
  <r>
    <x v="65"/>
    <n v="202506"/>
    <x v="1"/>
    <x v="11"/>
    <s v="Sebastián S"/>
    <s v="Johanna V"/>
    <n v="95248"/>
    <n v="8028120"/>
    <n v="84.286708333333337"/>
    <n v="90688.539114746687"/>
    <n v="103"/>
    <n v="91"/>
    <n v="88.524085935954446"/>
    <n v="8362455"/>
  </r>
  <r>
    <x v="12"/>
    <n v="202411"/>
    <x v="2"/>
    <x v="7"/>
    <s v="Sofía V"/>
    <s v="Melany A"/>
    <n v="95227"/>
    <n v="8512622"/>
    <n v="89.393208333333376"/>
    <n v="0"/>
    <n v="96.5"/>
    <n v="94"/>
    <m/>
    <n v="0"/>
  </r>
  <r>
    <x v="28"/>
    <n v="202407"/>
    <x v="2"/>
    <x v="6"/>
    <s v="Sebastián S"/>
    <s v="Rodolfo O"/>
    <n v="95217"/>
    <n v="5903727"/>
    <n v="62.002876344086026"/>
    <n v="0"/>
    <n v="65.5"/>
    <n v="66"/>
    <m/>
    <n v="0"/>
  </r>
  <r>
    <x v="6"/>
    <n v="202409"/>
    <x v="2"/>
    <x v="4"/>
    <s v="Sebastián S"/>
    <s v="Vik E"/>
    <n v="95215"/>
    <n v="8534368"/>
    <n v="89.632326388888956"/>
    <n v="0"/>
    <n v="100"/>
    <n v="98"/>
    <m/>
    <n v="0"/>
  </r>
  <r>
    <x v="15"/>
    <n v="202602"/>
    <x v="0"/>
    <x v="2"/>
    <s v="Sofía V"/>
    <s v="Joe H"/>
    <n v="95202"/>
    <n v="9353533"/>
    <n v="98.249739583333351"/>
    <n v="94958.948929032413"/>
    <n v="101"/>
    <n v="105"/>
    <n v="90.439897606894348"/>
    <n v="8588078"/>
  </r>
  <r>
    <x v="33"/>
    <n v="202509"/>
    <x v="1"/>
    <x v="4"/>
    <s v="Sofía V"/>
    <s v="José A"/>
    <n v="95171"/>
    <n v="8096166"/>
    <n v="85.069979166666684"/>
    <n v="101295.39655055397"/>
    <n v="93.5"/>
    <n v="94"/>
    <n v="79.926301645498839"/>
    <n v="8265286"/>
  </r>
  <r>
    <x v="48"/>
    <n v="202601"/>
    <x v="0"/>
    <x v="10"/>
    <s v="Hernán P"/>
    <s v="Daniel R"/>
    <n v="95165"/>
    <n v="5950274"/>
    <n v="62.52575940860217"/>
    <n v="93101.052719767395"/>
    <n v="79.5"/>
    <n v="72.5"/>
    <n v="64.209802769832038"/>
    <n v="5978000"/>
  </r>
  <r>
    <x v="16"/>
    <n v="202506"/>
    <x v="1"/>
    <x v="11"/>
    <s v="Sofía V"/>
    <s v="José A"/>
    <n v="95136"/>
    <n v="5372116"/>
    <n v="56.467833333333331"/>
    <n v="101617.16251991114"/>
    <n v="64"/>
    <n v="67"/>
    <n v="52.866227680263897"/>
    <n v="5393647"/>
  </r>
  <r>
    <x v="15"/>
    <n v="202402"/>
    <x v="2"/>
    <x v="2"/>
    <s v="Sofía V"/>
    <s v="Joe H"/>
    <n v="95087"/>
    <n v="8247647"/>
    <n v="86.737643678160936"/>
    <n v="0"/>
    <n v="101"/>
    <n v="105"/>
    <m/>
    <n v="0"/>
  </r>
  <r>
    <x v="31"/>
    <n v="202411"/>
    <x v="2"/>
    <x v="7"/>
    <s v="Sofía V"/>
    <s v="Melany A"/>
    <n v="95082"/>
    <n v="11438677"/>
    <n v="120.30292361111104"/>
    <n v="0"/>
    <n v="99"/>
    <n v="32.5"/>
    <m/>
    <n v="0"/>
  </r>
  <r>
    <x v="44"/>
    <n v="202501"/>
    <x v="1"/>
    <x v="10"/>
    <s v="Sebastián S"/>
    <s v="Johanna V"/>
    <n v="95075"/>
    <n v="9785448"/>
    <n v="102.92305107526877"/>
    <n v="109746.07059748794"/>
    <n v="117.5"/>
    <n v="99"/>
    <n v="89.164454059496734"/>
    <n v="9492669"/>
  </r>
  <r>
    <x v="33"/>
    <n v="202401"/>
    <x v="2"/>
    <x v="10"/>
    <s v="Sofía V"/>
    <s v="José A"/>
    <n v="95060"/>
    <n v="7367001"/>
    <n v="77.498514784946167"/>
    <n v="0"/>
    <n v="93.5"/>
    <n v="94"/>
    <m/>
    <n v="0"/>
  </r>
  <r>
    <x v="12"/>
    <n v="202507"/>
    <x v="1"/>
    <x v="6"/>
    <s v="Sofía V"/>
    <s v="Melany A"/>
    <n v="95052"/>
    <n v="8758051"/>
    <n v="92.139569892473162"/>
    <n v="109474.18320738868"/>
    <n v="96.5"/>
    <n v="94"/>
    <n v="80.001061194571236"/>
    <n v="9101028"/>
  </r>
  <r>
    <x v="8"/>
    <n v="202401"/>
    <x v="2"/>
    <x v="10"/>
    <s v="Sebastián S"/>
    <s v="Vik E"/>
    <n v="95037"/>
    <n v="7496254"/>
    <n v="78.876922043010779"/>
    <n v="0"/>
    <n v="88"/>
    <n v="84"/>
    <m/>
    <n v="0"/>
  </r>
  <r>
    <x v="52"/>
    <n v="202601"/>
    <x v="0"/>
    <x v="10"/>
    <s v="Sebastián S"/>
    <s v="Vik E"/>
    <n v="95035"/>
    <n v="6335617"/>
    <n v="66.665967741935489"/>
    <n v="95204.829948658269"/>
    <n v="80"/>
    <n v="78"/>
    <n v="69.114627897013889"/>
    <n v="6580046"/>
  </r>
  <r>
    <x v="17"/>
    <n v="202507"/>
    <x v="1"/>
    <x v="6"/>
    <s v="Sofía V"/>
    <s v="Joe H"/>
    <n v="95016"/>
    <n v="8411060"/>
    <n v="88.522573924731262"/>
    <n v="99139.539591084467"/>
    <n v="94"/>
    <n v="92"/>
    <n v="84.840616011458664"/>
    <n v="8761964"/>
  </r>
  <r>
    <x v="37"/>
    <n v="202603"/>
    <x v="0"/>
    <x v="0"/>
    <s v="Sofía V"/>
    <s v="Melany A"/>
    <n v="94998"/>
    <n v="6413220"/>
    <n v="67.508884408602185"/>
    <n v="140497.11824119583"/>
    <n v="72.5"/>
    <n v="68.5"/>
    <n v="63.042188618377821"/>
    <n v="8857246"/>
  </r>
  <r>
    <x v="61"/>
    <n v="202606"/>
    <x v="0"/>
    <x v="11"/>
    <s v="Sofía V"/>
    <s v="Joe H"/>
    <n v="94974"/>
    <n v="3014442"/>
    <n v="31.73955555555542"/>
    <n v="75032.560732402766"/>
    <n v="41.5"/>
    <n v="35.5"/>
    <n v="37.124878906032741"/>
    <n v="2785575"/>
  </r>
  <r>
    <x v="76"/>
    <n v="202605"/>
    <x v="0"/>
    <x v="3"/>
    <s v="Hernán P"/>
    <s v="Daniel R"/>
    <n v="94971"/>
    <n v="8044748"/>
    <n v="84.707056451612914"/>
    <n v="89135.317800844423"/>
    <n v="106"/>
    <n v="94.5"/>
    <n v="88.413034538205707"/>
    <n v="7880724"/>
  </r>
  <r>
    <x v="73"/>
    <n v="202403"/>
    <x v="2"/>
    <x v="0"/>
    <s v="Fátima L"/>
    <s v="Fátima L"/>
    <n v="94963"/>
    <n v="1116765"/>
    <n v="11.760047043010754"/>
    <n v="0"/>
    <n v="13.5"/>
    <n v="12"/>
    <m/>
    <n v="0"/>
  </r>
  <r>
    <x v="72"/>
    <n v="202512"/>
    <x v="1"/>
    <x v="1"/>
    <s v="Sebastián S"/>
    <s v="Vik E"/>
    <n v="94962"/>
    <n v="7230944"/>
    <n v="76.145604838709673"/>
    <n v="89570.752755000329"/>
    <n v="79.5"/>
    <n v="67"/>
    <n v="80.728849067267987"/>
    <n v="7429222"/>
  </r>
  <r>
    <x v="5"/>
    <n v="202405"/>
    <x v="2"/>
    <x v="3"/>
    <s v="Sebastián S"/>
    <s v="Rodolfo O"/>
    <n v="94918"/>
    <n v="5820637"/>
    <n v="61.322869623655905"/>
    <n v="0"/>
    <n v="68.5"/>
    <n v="66"/>
    <m/>
    <n v="0"/>
  </r>
  <r>
    <x v="26"/>
    <n v="202510"/>
    <x v="1"/>
    <x v="8"/>
    <s v="Sofía V"/>
    <s v="Melany A"/>
    <n v="94877"/>
    <n v="4298854"/>
    <n v="45.3095698924731"/>
    <n v="94192.325330250795"/>
    <n v="55"/>
    <n v="50.5"/>
    <n v="45.639107909563201"/>
    <n v="4818761"/>
  </r>
  <r>
    <x v="8"/>
    <n v="202405"/>
    <x v="2"/>
    <x v="3"/>
    <s v="Sebastián S"/>
    <s v="Vik E"/>
    <n v="94877"/>
    <n v="7814307"/>
    <n v="82.362668010752728"/>
    <n v="0"/>
    <n v="88"/>
    <n v="84"/>
    <m/>
    <n v="0"/>
  </r>
  <r>
    <x v="24"/>
    <n v="202406"/>
    <x v="2"/>
    <x v="11"/>
    <s v="Sofía V"/>
    <s v="Joe H"/>
    <n v="94866"/>
    <n v="5941879"/>
    <n v="62.634347222222232"/>
    <n v="0"/>
    <n v="71"/>
    <n v="74.5"/>
    <m/>
    <n v="0"/>
  </r>
  <r>
    <x v="30"/>
    <n v="202602"/>
    <x v="0"/>
    <x v="2"/>
    <s v="Sebastián S"/>
    <s v="Vik E"/>
    <n v="94843"/>
    <n v="8633173"/>
    <n v="91.0260416666667"/>
    <n v="103083.7535131045"/>
    <n v="101.5"/>
    <n v="97.5"/>
    <n v="87.689184144336366"/>
    <n v="9039330"/>
  </r>
  <r>
    <x v="11"/>
    <n v="202605"/>
    <x v="0"/>
    <x v="3"/>
    <s v="Sofía V"/>
    <s v="José A"/>
    <n v="94838"/>
    <n v="7382461"/>
    <n v="77.843151881720672"/>
    <n v="97191.731131940745"/>
    <n v="86.5"/>
    <n v="81.5"/>
    <n v="76.26782259426129"/>
    <n v="7412602"/>
  </r>
  <r>
    <x v="48"/>
    <n v="202408"/>
    <x v="2"/>
    <x v="5"/>
    <s v="Hernán P"/>
    <s v="Daniel R"/>
    <n v="94741"/>
    <n v="5737894"/>
    <n v="60.56397177419354"/>
    <n v="0"/>
    <n v="79.5"/>
    <n v="72.5"/>
    <m/>
    <n v="0"/>
  </r>
  <r>
    <x v="22"/>
    <n v="202602"/>
    <x v="0"/>
    <x v="2"/>
    <s v="Sebastián S"/>
    <s v="Johanna V"/>
    <n v="94732"/>
    <n v="8664829"/>
    <n v="91.4668229166667"/>
    <n v="90637.194840407654"/>
    <n v="104.5"/>
    <n v="99"/>
    <n v="90.280982690474389"/>
    <n v="8182815"/>
  </r>
  <r>
    <x v="32"/>
    <n v="202408"/>
    <x v="2"/>
    <x v="5"/>
    <s v="Sofía V"/>
    <s v="Melany A"/>
    <n v="94730"/>
    <n v="5698041"/>
    <n v="60.150510752688177"/>
    <n v="0"/>
    <n v="75.5"/>
    <n v="68"/>
    <m/>
    <n v="0"/>
  </r>
  <r>
    <x v="21"/>
    <n v="202510"/>
    <x v="1"/>
    <x v="8"/>
    <s v="Sebastián S"/>
    <s v="Rodolfo O"/>
    <n v="94702"/>
    <n v="6308362"/>
    <n v="66.612809139784972"/>
    <n v="91350.324356848112"/>
    <n v="84.5"/>
    <n v="86.5"/>
    <n v="69.056815117122127"/>
    <n v="6756699"/>
  </r>
  <r>
    <x v="72"/>
    <n v="202603"/>
    <x v="0"/>
    <x v="0"/>
    <s v="Sebastián S"/>
    <s v="Vik E"/>
    <n v="94682"/>
    <n v="6937209"/>
    <n v="73.268642473118263"/>
    <n v="91302.87956293665"/>
    <n v="79.5"/>
    <n v="67"/>
    <n v="68.682661472657543"/>
    <n v="6270925"/>
  </r>
  <r>
    <x v="4"/>
    <n v="202410"/>
    <x v="2"/>
    <x v="8"/>
    <s v="Sofía V"/>
    <s v="José A"/>
    <n v="94652"/>
    <n v="9300371"/>
    <n v="98.258501344086028"/>
    <n v="0"/>
    <n v="107.5"/>
    <n v="102.5"/>
    <m/>
    <n v="0"/>
  </r>
  <r>
    <x v="44"/>
    <n v="202505"/>
    <x v="1"/>
    <x v="3"/>
    <s v="Sebastián S"/>
    <s v="Johanna V"/>
    <n v="94647"/>
    <n v="8809963"/>
    <n v="93.082641129032211"/>
    <n v="100435.059470911"/>
    <n v="117.5"/>
    <n v="99"/>
    <n v="87.718006206305162"/>
    <n v="9916033"/>
  </r>
  <r>
    <x v="7"/>
    <n v="202509"/>
    <x v="1"/>
    <x v="4"/>
    <s v="Sebastián S"/>
    <s v="Rodolfo O"/>
    <n v="94642"/>
    <n v="5367930"/>
    <n v="56.717986111111109"/>
    <n v="86760.245227821128"/>
    <n v="65.5"/>
    <n v="63"/>
    <n v="61.870844254814109"/>
    <n v="4491442"/>
  </r>
  <r>
    <x v="18"/>
    <n v="202604"/>
    <x v="0"/>
    <x v="9"/>
    <s v="Sofía V"/>
    <s v="Joe H"/>
    <n v="94619"/>
    <n v="4247926"/>
    <n v="44.895131944444266"/>
    <n v="87397.564447321405"/>
    <n v="50.5"/>
    <n v="51.5"/>
    <n v="44.728769766304502"/>
    <n v="3909186"/>
  </r>
  <r>
    <x v="59"/>
    <n v="202408"/>
    <x v="2"/>
    <x v="5"/>
    <s v="Sebastián S"/>
    <s v="Johanna V"/>
    <n v="94612"/>
    <n v="9531623"/>
    <n v="100.74453629032256"/>
    <n v="0"/>
    <n v="118"/>
    <n v="106"/>
    <m/>
    <n v="0"/>
  </r>
  <r>
    <x v="65"/>
    <n v="202403"/>
    <x v="2"/>
    <x v="0"/>
    <s v="Sebastián S"/>
    <s v="Johanna V"/>
    <n v="94611"/>
    <n v="8779397"/>
    <n v="92.794220430107515"/>
    <n v="0"/>
    <n v="103"/>
    <n v="91"/>
    <m/>
    <n v="0"/>
  </r>
  <r>
    <x v="25"/>
    <n v="202504"/>
    <x v="1"/>
    <x v="9"/>
    <s v="Sebastián S"/>
    <s v="Vik E"/>
    <n v="94601"/>
    <n v="6302287"/>
    <n v="66.619972222222231"/>
    <n v="91189.171364977476"/>
    <n v="77"/>
    <n v="79"/>
    <n v="69.112234442569829"/>
    <n v="6444231"/>
  </r>
  <r>
    <x v="65"/>
    <n v="202505"/>
    <x v="1"/>
    <x v="3"/>
    <s v="Sebastián S"/>
    <s v="Johanna V"/>
    <n v="94583"/>
    <n v="8045367"/>
    <n v="85.061619623655901"/>
    <n v="94092.308994474894"/>
    <n v="103"/>
    <n v="91"/>
    <n v="85.505046331389565"/>
    <n v="8409677"/>
  </r>
  <r>
    <x v="52"/>
    <n v="202604"/>
    <x v="0"/>
    <x v="9"/>
    <s v="Sebastián S"/>
    <s v="Vik E"/>
    <n v="94569"/>
    <n v="6479343"/>
    <n v="68.514347222223876"/>
    <n v="91487.173478267272"/>
    <n v="80"/>
    <n v="78"/>
    <n v="69.114627897013889"/>
    <n v="6323102"/>
  </r>
  <r>
    <x v="65"/>
    <n v="202503"/>
    <x v="1"/>
    <x v="0"/>
    <s v="Sebastián S"/>
    <s v="Johanna V"/>
    <n v="94564"/>
    <n v="8817575"/>
    <n v="93.244986559139733"/>
    <n v="99342.034646901928"/>
    <n v="103"/>
    <n v="91"/>
    <n v="88.759756344239378"/>
    <n v="8971212"/>
  </r>
  <r>
    <x v="34"/>
    <n v="202604"/>
    <x v="0"/>
    <x v="9"/>
    <s v="Hernán P"/>
    <s v="Daniel R"/>
    <n v="94552"/>
    <n v="1180435"/>
    <n v="12.48454861111111"/>
    <n v="76504.644469779683"/>
    <n v="15"/>
    <n v="15"/>
    <n v="13.971887755419019"/>
    <n v="1068914"/>
  </r>
  <r>
    <x v="24"/>
    <n v="202505"/>
    <x v="1"/>
    <x v="3"/>
    <s v="Sofía V"/>
    <s v="Joe H"/>
    <n v="94546"/>
    <n v="5803496"/>
    <n v="61.382802419354839"/>
    <n v="94200.808821464379"/>
    <n v="71"/>
    <n v="74.5"/>
    <n v="61.607713591920131"/>
    <n v="5765207"/>
  </r>
  <r>
    <x v="60"/>
    <n v="202604"/>
    <x v="0"/>
    <x v="9"/>
    <s v="Sofía V"/>
    <s v="Melany A"/>
    <n v="94534"/>
    <n v="10181196"/>
    <n v="107.69893750000358"/>
    <n v="89866.168492841753"/>
    <n v="88.5"/>
    <n v="92.5"/>
    <n v="102.97612103755296"/>
    <n v="9254069"/>
  </r>
  <r>
    <x v="36"/>
    <n v="202401"/>
    <x v="2"/>
    <x v="10"/>
    <s v="Sebastián S"/>
    <s v="Rodolfo O"/>
    <n v="94529"/>
    <n v="6425604"/>
    <n v="67.975080645161285"/>
    <n v="0"/>
    <n v="81"/>
    <n v="77"/>
    <m/>
    <n v="0"/>
  </r>
  <r>
    <x v="17"/>
    <n v="202501"/>
    <x v="1"/>
    <x v="10"/>
    <s v="Sofía V"/>
    <s v="Joe H"/>
    <n v="94518"/>
    <n v="8088638"/>
    <n v="85.57796370967742"/>
    <n v="93484.943561593973"/>
    <n v="94"/>
    <n v="92"/>
    <n v="86.523433419742915"/>
    <n v="7239192"/>
  </r>
  <r>
    <x v="20"/>
    <n v="202402"/>
    <x v="2"/>
    <x v="2"/>
    <s v="Sofía V"/>
    <s v="Joe H"/>
    <n v="94496"/>
    <n v="8845296"/>
    <n v="93.604935344827581"/>
    <n v="0"/>
    <n v="96.5"/>
    <n v="96"/>
    <m/>
    <n v="0"/>
  </r>
  <r>
    <x v="29"/>
    <n v="202402"/>
    <x v="2"/>
    <x v="2"/>
    <s v="Sebastián S"/>
    <s v="Vik E"/>
    <n v="94480"/>
    <n v="6895113"/>
    <n v="72.979978448275872"/>
    <n v="0"/>
    <n v="76.5"/>
    <n v="75.5"/>
    <m/>
    <n v="0"/>
  </r>
  <r>
    <x v="75"/>
    <n v="202503"/>
    <x v="1"/>
    <x v="0"/>
    <s v="Hernán P"/>
    <s v="Daniel R"/>
    <n v="94474"/>
    <n v="2452740"/>
    <n v="25.962049731182795"/>
    <n v="66151.788381754683"/>
    <n v="31"/>
    <n v="27"/>
    <n v="37.077460640149383"/>
    <n v="1609718"/>
  </r>
  <r>
    <x v="28"/>
    <n v="202505"/>
    <x v="1"/>
    <x v="3"/>
    <s v="Sebastián S"/>
    <s v="Rodolfo O"/>
    <n v="94436"/>
    <n v="5537331"/>
    <n v="58.635819892473116"/>
    <n v="84491.679197343852"/>
    <n v="65.5"/>
    <n v="66"/>
    <n v="65.536997519799272"/>
    <n v="5525438"/>
  </r>
  <r>
    <x v="32"/>
    <n v="202601"/>
    <x v="0"/>
    <x v="10"/>
    <s v="Sofía V"/>
    <s v="Melany A"/>
    <n v="94435"/>
    <n v="5732262"/>
    <n v="60.700913978494611"/>
    <n v="90712.841362653344"/>
    <n v="75.5"/>
    <n v="68"/>
    <n v="66.56902434528007"/>
    <n v="6038665"/>
  </r>
  <r>
    <x v="17"/>
    <n v="202407"/>
    <x v="2"/>
    <x v="6"/>
    <s v="Sofía V"/>
    <s v="Joe H"/>
    <n v="94419"/>
    <n v="8097795"/>
    <n v="85.764818548387126"/>
    <n v="0"/>
    <n v="94"/>
    <n v="92"/>
    <m/>
    <n v="0"/>
  </r>
  <r>
    <x v="21"/>
    <n v="202501"/>
    <x v="1"/>
    <x v="10"/>
    <s v="Sebastián S"/>
    <s v="Rodolfo O"/>
    <n v="94405"/>
    <n v="6778287"/>
    <n v="71.799959677419338"/>
    <n v="89102.895879688251"/>
    <n v="84.5"/>
    <n v="86.5"/>
    <n v="76.072575454252643"/>
    <n v="6456367"/>
  </r>
  <r>
    <x v="17"/>
    <n v="202505"/>
    <x v="1"/>
    <x v="3"/>
    <s v="Sofía V"/>
    <s v="Joe H"/>
    <n v="94403"/>
    <n v="8347340"/>
    <n v="88.422231182795755"/>
    <n v="91152.400195018912"/>
    <n v="94"/>
    <n v="92"/>
    <n v="91.575643780536936"/>
    <n v="7748843"/>
  </r>
  <r>
    <x v="37"/>
    <n v="202606"/>
    <x v="0"/>
    <x v="11"/>
    <s v="Sofía V"/>
    <s v="Melany A"/>
    <n v="94382"/>
    <n v="5474442"/>
    <n v="58.003312500000682"/>
    <n v="101599.7146969739"/>
    <n v="72.5"/>
    <n v="68.5"/>
    <n v="63.042188618377821"/>
    <n v="6405068"/>
  </r>
  <r>
    <x v="6"/>
    <n v="202402"/>
    <x v="2"/>
    <x v="2"/>
    <s v="Sebastián S"/>
    <s v="Vik E"/>
    <n v="94377"/>
    <n v="8524599"/>
    <n v="90.325395114942538"/>
    <n v="0"/>
    <n v="100"/>
    <n v="98"/>
    <m/>
    <n v="0"/>
  </r>
  <r>
    <x v="17"/>
    <n v="202504"/>
    <x v="1"/>
    <x v="9"/>
    <s v="Sofía V"/>
    <s v="Joe H"/>
    <n v="94285"/>
    <n v="8494729"/>
    <n v="90.096416666666713"/>
    <n v="96612.817347702905"/>
    <n v="94"/>
    <n v="92"/>
    <n v="87.925490770319371"/>
    <n v="7662704"/>
  </r>
  <r>
    <x v="10"/>
    <n v="202406"/>
    <x v="2"/>
    <x v="11"/>
    <s v="Sofía V"/>
    <s v="Melany A"/>
    <n v="94245"/>
    <n v="9804161"/>
    <n v="104.02855555555558"/>
    <n v="0"/>
    <n v="125"/>
    <n v="118.5"/>
    <m/>
    <n v="0"/>
  </r>
  <r>
    <x v="8"/>
    <n v="202411"/>
    <x v="2"/>
    <x v="7"/>
    <s v="Sebastián S"/>
    <s v="Vik E"/>
    <n v="94232"/>
    <n v="7611920"/>
    <n v="80.778444444444446"/>
    <n v="0"/>
    <n v="88"/>
    <n v="84"/>
    <m/>
    <n v="0"/>
  </r>
  <r>
    <x v="26"/>
    <n v="202501"/>
    <x v="1"/>
    <x v="10"/>
    <s v="Sofía V"/>
    <s v="Melany A"/>
    <n v="94175"/>
    <n v="4611334"/>
    <n v="48.965564516129028"/>
    <n v="109536.47790537088"/>
    <n v="55"/>
    <n v="50.5"/>
    <n v="42.098611879631143"/>
    <n v="4820393"/>
  </r>
  <r>
    <x v="24"/>
    <n v="202508"/>
    <x v="1"/>
    <x v="5"/>
    <s v="Sofía V"/>
    <s v="Joe H"/>
    <n v="94151"/>
    <n v="5625500"/>
    <n v="59.749798387096774"/>
    <n v="95837.99994948681"/>
    <n v="71"/>
    <n v="74.5"/>
    <n v="58.698009588733306"/>
    <n v="5967955"/>
  </r>
  <r>
    <x v="26"/>
    <n v="202505"/>
    <x v="1"/>
    <x v="3"/>
    <s v="Sofía V"/>
    <s v="Melany A"/>
    <n v="94142"/>
    <n v="4603620"/>
    <n v="48.900739247311819"/>
    <n v="96436.927844726175"/>
    <n v="55"/>
    <n v="50.5"/>
    <n v="47.737109973187088"/>
    <n v="4979171"/>
  </r>
  <r>
    <x v="22"/>
    <n v="202501"/>
    <x v="1"/>
    <x v="10"/>
    <s v="Sebastián S"/>
    <s v="Johanna V"/>
    <n v="94129"/>
    <n v="8652871"/>
    <n v="91.92571236559138"/>
    <n v="95248.542454725233"/>
    <n v="104.5"/>
    <n v="99"/>
    <n v="90.845175338121265"/>
    <n v="8960280"/>
  </r>
  <r>
    <x v="21"/>
    <n v="202407"/>
    <x v="2"/>
    <x v="6"/>
    <s v="Sebastián S"/>
    <s v="Rodolfo O"/>
    <n v="94115"/>
    <n v="7633865"/>
    <n v="81.112217741935439"/>
    <n v="0"/>
    <n v="84.5"/>
    <n v="86.5"/>
    <m/>
    <n v="0"/>
  </r>
  <r>
    <x v="48"/>
    <n v="202507"/>
    <x v="1"/>
    <x v="6"/>
    <s v="Hernán P"/>
    <s v="Daniel R"/>
    <n v="94096"/>
    <n v="5793049"/>
    <n v="61.565000000000026"/>
    <n v="101748.2860613809"/>
    <n v="79.5"/>
    <n v="72.5"/>
    <n v="56.935098312174745"/>
    <n v="6070535"/>
  </r>
  <r>
    <x v="23"/>
    <n v="202406"/>
    <x v="2"/>
    <x v="11"/>
    <s v="Sebastián S"/>
    <s v="Rodolfo O"/>
    <n v="94095"/>
    <n v="7865898"/>
    <n v="83.594874999999973"/>
    <n v="0"/>
    <n v="94.5"/>
    <n v="97"/>
    <m/>
    <n v="0"/>
  </r>
  <r>
    <x v="16"/>
    <n v="202410"/>
    <x v="2"/>
    <x v="8"/>
    <s v="Sofía V"/>
    <s v="José A"/>
    <n v="94053"/>
    <n v="5246520"/>
    <n v="55.782520161290336"/>
    <n v="0"/>
    <n v="64"/>
    <n v="67"/>
    <m/>
    <n v="0"/>
  </r>
  <r>
    <x v="31"/>
    <n v="202409"/>
    <x v="2"/>
    <x v="4"/>
    <s v="Sofía V"/>
    <s v="Melany A"/>
    <n v="94038"/>
    <n v="10985952"/>
    <n v="116.8241180555555"/>
    <n v="0"/>
    <n v="99"/>
    <n v="32.5"/>
    <m/>
    <n v="0"/>
  </r>
  <r>
    <x v="28"/>
    <n v="202508"/>
    <x v="1"/>
    <x v="5"/>
    <s v="Sebastián S"/>
    <s v="Rodolfo O"/>
    <n v="94035"/>
    <n v="5154384"/>
    <n v="54.813293010752687"/>
    <n v="97197.647267207358"/>
    <n v="65.5"/>
    <n v="66"/>
    <n v="53.029920835738082"/>
    <n v="5420372"/>
  </r>
  <r>
    <x v="47"/>
    <n v="202412"/>
    <x v="2"/>
    <x v="1"/>
    <s v="Sebastián S"/>
    <s v="Vik E"/>
    <n v="94022"/>
    <n v="5973585"/>
    <n v="63.533655913978521"/>
    <n v="0"/>
    <n v="61.5"/>
    <n v="48.5"/>
    <m/>
    <n v="0"/>
  </r>
  <r>
    <x v="33"/>
    <n v="202408"/>
    <x v="2"/>
    <x v="5"/>
    <s v="Sofía V"/>
    <s v="José A"/>
    <n v="94018"/>
    <n v="8640476"/>
    <n v="91.902614247311732"/>
    <n v="0"/>
    <n v="93.5"/>
    <n v="94"/>
    <m/>
    <n v="0"/>
  </r>
  <r>
    <x v="39"/>
    <n v="202603"/>
    <x v="0"/>
    <x v="0"/>
    <s v="Sofía V"/>
    <s v="Melany A"/>
    <n v="94008"/>
    <n v="5387372"/>
    <n v="57.307419354838707"/>
    <n v="96406.587796308653"/>
    <n v="60.5"/>
    <n v="60.5"/>
    <n v="53.343390369396616"/>
    <n v="5142654"/>
  </r>
  <r>
    <x v="11"/>
    <n v="202601"/>
    <x v="0"/>
    <x v="10"/>
    <s v="Sofía V"/>
    <s v="José A"/>
    <n v="94005"/>
    <n v="6780165"/>
    <n v="72.125544354838681"/>
    <n v="119655.23794154664"/>
    <n v="86.5"/>
    <n v="81.5"/>
    <n v="76.26782259426129"/>
    <n v="9125844"/>
  </r>
  <r>
    <x v="60"/>
    <n v="202403"/>
    <x v="2"/>
    <x v="0"/>
    <s v="Sofía V"/>
    <s v="Melany A"/>
    <n v="93968"/>
    <n v="7740735"/>
    <n v="82.376169354838723"/>
    <n v="0"/>
    <n v="88.5"/>
    <n v="92.5"/>
    <m/>
    <n v="0"/>
  </r>
  <r>
    <x v="9"/>
    <n v="202411"/>
    <x v="2"/>
    <x v="7"/>
    <s v="Sofía V"/>
    <s v="Joe H"/>
    <n v="93942"/>
    <n v="5957710"/>
    <n v="63.418881944444472"/>
    <n v="0"/>
    <n v="70.5"/>
    <n v="69.5"/>
    <m/>
    <n v="0"/>
  </r>
  <r>
    <x v="44"/>
    <n v="202402"/>
    <x v="2"/>
    <x v="2"/>
    <s v="Sebastián S"/>
    <s v="Johanna V"/>
    <n v="93913"/>
    <n v="8815777"/>
    <n v="93.872061781609176"/>
    <n v="0"/>
    <n v="117.5"/>
    <n v="99"/>
    <m/>
    <n v="0"/>
  </r>
  <r>
    <x v="29"/>
    <n v="202508"/>
    <x v="1"/>
    <x v="5"/>
    <s v="Sebastián S"/>
    <s v="Vik E"/>
    <n v="93902"/>
    <n v="5540328"/>
    <n v="59.001485215053755"/>
    <n v="97865.645380498026"/>
    <n v="76.5"/>
    <n v="75.5"/>
    <n v="56.611574352362418"/>
    <n v="6013045"/>
  </r>
  <r>
    <x v="45"/>
    <n v="202604"/>
    <x v="0"/>
    <x v="9"/>
    <s v="Sofía V"/>
    <s v="Joe H"/>
    <n v="93900"/>
    <n v="6003071"/>
    <n v="63.930562500000931"/>
    <n v="92739.829586351334"/>
    <n v="68"/>
    <n v="68.5"/>
    <n v="60.397061823201135"/>
    <n v="5601213"/>
  </r>
  <r>
    <x v="11"/>
    <n v="202604"/>
    <x v="0"/>
    <x v="9"/>
    <s v="Sofía V"/>
    <s v="José A"/>
    <n v="93893"/>
    <n v="7255945"/>
    <n v="77.278979166667298"/>
    <n v="94290.432360410734"/>
    <n v="86.5"/>
    <n v="81.5"/>
    <n v="76.26782259426129"/>
    <n v="7191326"/>
  </r>
  <r>
    <x v="22"/>
    <n v="202406"/>
    <x v="2"/>
    <x v="11"/>
    <s v="Sebastián S"/>
    <s v="Johanna V"/>
    <n v="93879"/>
    <n v="8785062"/>
    <n v="93.57823611111111"/>
    <n v="0"/>
    <n v="104.5"/>
    <n v="99"/>
    <m/>
    <n v="0"/>
  </r>
  <r>
    <x v="72"/>
    <n v="202605"/>
    <x v="0"/>
    <x v="3"/>
    <s v="Sebastián S"/>
    <s v="Vik E"/>
    <n v="93869"/>
    <n v="6072336"/>
    <n v="64.689737903225463"/>
    <n v="80253.555466750942"/>
    <n v="79.5"/>
    <n v="67"/>
    <n v="68.682661472657543"/>
    <n v="5512028"/>
  </r>
  <r>
    <x v="12"/>
    <n v="202408"/>
    <x v="2"/>
    <x v="5"/>
    <s v="Sofía V"/>
    <s v="Melany A"/>
    <n v="93853"/>
    <n v="8134366"/>
    <n v="86.671008064516158"/>
    <n v="0"/>
    <n v="96.5"/>
    <n v="94"/>
    <m/>
    <n v="0"/>
  </r>
  <r>
    <x v="22"/>
    <n v="202510"/>
    <x v="1"/>
    <x v="8"/>
    <s v="Sebastián S"/>
    <s v="Johanna V"/>
    <n v="93830"/>
    <n v="8406490"/>
    <n v="89.593037634408574"/>
    <n v="96417.701445830564"/>
    <n v="104.5"/>
    <n v="99"/>
    <n v="87.188239544612415"/>
    <n v="9176907"/>
  </r>
  <r>
    <x v="21"/>
    <n v="202406"/>
    <x v="2"/>
    <x v="11"/>
    <s v="Sebastián S"/>
    <s v="Rodolfo O"/>
    <n v="93815"/>
    <n v="7099340"/>
    <n v="75.673597222222256"/>
    <n v="0"/>
    <n v="84.5"/>
    <n v="86.5"/>
    <m/>
    <n v="0"/>
  </r>
  <r>
    <x v="60"/>
    <n v="202602"/>
    <x v="0"/>
    <x v="2"/>
    <s v="Sofía V"/>
    <s v="Melany A"/>
    <n v="93776"/>
    <n v="9907585"/>
    <n v="105.65171874999996"/>
    <n v="72374.255859590325"/>
    <n v="88.5"/>
    <n v="92.5"/>
    <n v="102.97612103755296"/>
    <n v="7452820"/>
  </r>
  <r>
    <x v="4"/>
    <n v="202504"/>
    <x v="1"/>
    <x v="9"/>
    <s v="Sofía V"/>
    <s v="José A"/>
    <n v="93766"/>
    <n v="9296042"/>
    <n v="99.140513888888876"/>
    <n v="94786.307702774371"/>
    <n v="107.5"/>
    <n v="102.5"/>
    <n v="98.07368485277442"/>
    <n v="10380714"/>
  </r>
  <r>
    <x v="73"/>
    <n v="202504"/>
    <x v="1"/>
    <x v="9"/>
    <s v="Fátima L"/>
    <s v="Fátima L"/>
    <n v="93757"/>
    <n v="911123"/>
    <n v="9.7178958333333334"/>
    <n v="98180.662804041203"/>
    <n v="13.5"/>
    <n v="12"/>
    <n v="9.2800657887033271"/>
    <n v="1025443"/>
  </r>
  <r>
    <x v="19"/>
    <n v="202501"/>
    <x v="1"/>
    <x v="10"/>
    <s v="Sofía V"/>
    <s v="Joe H"/>
    <n v="93693"/>
    <n v="5124832"/>
    <n v="54.698037634408593"/>
    <n v="93986.87369718228"/>
    <n v="57.5"/>
    <n v="56.5"/>
    <n v="54.527105098864915"/>
    <n v="4692061"/>
  </r>
  <r>
    <x v="5"/>
    <n v="202410"/>
    <x v="2"/>
    <x v="8"/>
    <s v="Sebastián S"/>
    <s v="Rodolfo O"/>
    <n v="93604"/>
    <n v="5475236"/>
    <n v="58.493749999999991"/>
    <n v="0"/>
    <n v="68.5"/>
    <n v="66"/>
    <m/>
    <n v="0"/>
  </r>
  <r>
    <x v="33"/>
    <n v="202504"/>
    <x v="1"/>
    <x v="9"/>
    <s v="Sofía V"/>
    <s v="José A"/>
    <n v="93547"/>
    <n v="7969404"/>
    <n v="85.191847222222265"/>
    <n v="92361.892227572258"/>
    <n v="93.5"/>
    <n v="94"/>
    <n v="86.284544608116434"/>
    <n v="8293194"/>
  </r>
  <r>
    <x v="47"/>
    <n v="202503"/>
    <x v="1"/>
    <x v="0"/>
    <s v="Sebastián S"/>
    <s v="Vik E"/>
    <n v="93543"/>
    <n v="5149693"/>
    <n v="55.051377688172039"/>
    <n v="87505.019270908626"/>
    <n v="61.5"/>
    <n v="48.5"/>
    <n v="58.85026359524538"/>
    <n v="5111690"/>
  </r>
  <r>
    <x v="10"/>
    <n v="202408"/>
    <x v="2"/>
    <x v="5"/>
    <s v="Sofía V"/>
    <s v="Melany A"/>
    <n v="93535"/>
    <n v="9766935"/>
    <n v="104.42005376344089"/>
    <n v="0"/>
    <n v="125"/>
    <n v="118.5"/>
    <m/>
    <n v="0"/>
  </r>
  <r>
    <x v="73"/>
    <n v="202404"/>
    <x v="2"/>
    <x v="9"/>
    <s v="Fátima L"/>
    <s v="Fátima L"/>
    <n v="93505"/>
    <n v="970439"/>
    <n v="10.378423611111113"/>
    <n v="0"/>
    <n v="13.5"/>
    <n v="12"/>
    <m/>
    <n v="0"/>
  </r>
  <r>
    <x v="14"/>
    <n v="202508"/>
    <x v="1"/>
    <x v="5"/>
    <s v="Sofía V"/>
    <s v="Melany A"/>
    <n v="93475"/>
    <n v="4831449"/>
    <n v="51.687143817204323"/>
    <n v="93203.882542812513"/>
    <n v="59.5"/>
    <n v="55.5"/>
    <n v="51.837421448411355"/>
    <n v="4940436"/>
  </r>
  <r>
    <x v="32"/>
    <n v="202604"/>
    <x v="0"/>
    <x v="9"/>
    <s v="Sofía V"/>
    <s v="Melany A"/>
    <n v="93466"/>
    <n v="5565095"/>
    <n v="59.541659722222882"/>
    <n v="86896.305723160913"/>
    <n v="75.5"/>
    <n v="68"/>
    <n v="66.56902434528007"/>
    <n v="5784602"/>
  </r>
  <r>
    <x v="71"/>
    <n v="202412"/>
    <x v="2"/>
    <x v="1"/>
    <s v="Sebastián S"/>
    <s v="Rodolfo O"/>
    <n v="93453"/>
    <n v="5621844"/>
    <n v="60.157143817204293"/>
    <n v="0"/>
    <n v="53.5"/>
    <n v="54"/>
    <m/>
    <n v="0"/>
  </r>
  <r>
    <x v="45"/>
    <n v="202510"/>
    <x v="1"/>
    <x v="8"/>
    <s v="Sofía V"/>
    <s v="Joe H"/>
    <n v="93395"/>
    <n v="5449828"/>
    <n v="58.352573924731196"/>
    <n v="80497.395426472853"/>
    <n v="68"/>
    <n v="68.5"/>
    <n v="67.701919809044355"/>
    <n v="5331336"/>
  </r>
  <r>
    <x v="7"/>
    <n v="202411"/>
    <x v="2"/>
    <x v="7"/>
    <s v="Sebastián S"/>
    <s v="Rodolfo O"/>
    <n v="93380"/>
    <n v="5488982"/>
    <n v="58.781090277777771"/>
    <n v="0"/>
    <n v="65.5"/>
    <n v="63"/>
    <m/>
    <n v="0"/>
  </r>
  <r>
    <x v="48"/>
    <n v="202509"/>
    <x v="1"/>
    <x v="4"/>
    <s v="Hernán P"/>
    <s v="Daniel R"/>
    <n v="93379"/>
    <n v="5648571"/>
    <n v="60.490645833333367"/>
    <n v="90695.079951148829"/>
    <n v="79.5"/>
    <n v="72.5"/>
    <n v="62.280902371357904"/>
    <n v="5986850"/>
  </r>
  <r>
    <x v="44"/>
    <n v="202410"/>
    <x v="2"/>
    <x v="8"/>
    <s v="Sebastián S"/>
    <s v="Johanna V"/>
    <n v="93370"/>
    <n v="9156209"/>
    <n v="98.063790322580644"/>
    <n v="0"/>
    <n v="117.5"/>
    <n v="99"/>
    <m/>
    <n v="0"/>
  </r>
  <r>
    <x v="59"/>
    <n v="202511"/>
    <x v="1"/>
    <x v="7"/>
    <s v="Sebastián S"/>
    <s v="Johanna V"/>
    <n v="93360"/>
    <n v="9267133"/>
    <n v="99.261944444444495"/>
    <n v="94096.124768171299"/>
    <n v="118"/>
    <n v="106"/>
    <n v="98.485813234411438"/>
    <n v="10166622"/>
  </r>
  <r>
    <x v="24"/>
    <n v="202404"/>
    <x v="2"/>
    <x v="9"/>
    <s v="Sofía V"/>
    <s v="Joe H"/>
    <n v="93356"/>
    <n v="5983748"/>
    <n v="64.096131944444437"/>
    <n v="0"/>
    <n v="71"/>
    <n v="74.5"/>
    <m/>
    <n v="0"/>
  </r>
  <r>
    <x v="30"/>
    <n v="202402"/>
    <x v="2"/>
    <x v="2"/>
    <s v="Sebastián S"/>
    <s v="Vik E"/>
    <n v="93281"/>
    <n v="8888511"/>
    <n v="95.287248563218341"/>
    <n v="0"/>
    <n v="101.5"/>
    <n v="97.5"/>
    <m/>
    <n v="0"/>
  </r>
  <r>
    <x v="17"/>
    <n v="202408"/>
    <x v="2"/>
    <x v="5"/>
    <s v="Sofía V"/>
    <s v="Joe H"/>
    <n v="93248"/>
    <n v="7933472"/>
    <n v="85.079684139784931"/>
    <n v="0"/>
    <n v="94"/>
    <n v="92"/>
    <m/>
    <n v="0"/>
  </r>
  <r>
    <x v="71"/>
    <n v="202603"/>
    <x v="0"/>
    <x v="0"/>
    <s v="Sebastián S"/>
    <s v="Rodolfo O"/>
    <n v="93241"/>
    <n v="4881000"/>
    <n v="52.347956989247329"/>
    <n v="118254.49120106069"/>
    <n v="53.5"/>
    <n v="54"/>
    <n v="47.165198395018514"/>
    <n v="5577497"/>
  </r>
  <r>
    <x v="22"/>
    <n v="202407"/>
    <x v="2"/>
    <x v="6"/>
    <s v="Sebastián S"/>
    <s v="Johanna V"/>
    <n v="93232"/>
    <n v="8881666"/>
    <n v="95.264448924731198"/>
    <n v="0"/>
    <n v="104.5"/>
    <n v="99"/>
    <m/>
    <n v="0"/>
  </r>
  <r>
    <x v="10"/>
    <n v="202402"/>
    <x v="2"/>
    <x v="2"/>
    <s v="Sofía V"/>
    <s v="Melany A"/>
    <n v="93211"/>
    <n v="10285057"/>
    <n v="110.34217672413796"/>
    <n v="0"/>
    <n v="125"/>
    <n v="118.5"/>
    <m/>
    <n v="0"/>
  </r>
  <r>
    <x v="29"/>
    <n v="202408"/>
    <x v="2"/>
    <x v="5"/>
    <s v="Sebastián S"/>
    <s v="Vik E"/>
    <n v="93205"/>
    <n v="5938108"/>
    <n v="63.709926075268804"/>
    <n v="0"/>
    <n v="76.5"/>
    <n v="75.5"/>
    <m/>
    <n v="0"/>
  </r>
  <r>
    <x v="43"/>
    <n v="202604"/>
    <x v="0"/>
    <x v="9"/>
    <s v="Sofía V"/>
    <s v="José A"/>
    <n v="93175"/>
    <n v="2747750"/>
    <n v="29.490124999999878"/>
    <n v="89542.555675074793"/>
    <n v="32.5"/>
    <n v="32"/>
    <n v="29.073700348097926"/>
    <n v="2603333"/>
  </r>
  <r>
    <x v="41"/>
    <n v="202407"/>
    <x v="2"/>
    <x v="6"/>
    <s v="Sebastián S"/>
    <s v="Rodolfo O"/>
    <n v="93158"/>
    <n v="5986236"/>
    <n v="64.258635752688178"/>
    <n v="0"/>
    <n v="64.5"/>
    <n v="64"/>
    <m/>
    <n v="0"/>
  </r>
  <r>
    <x v="59"/>
    <n v="202603"/>
    <x v="0"/>
    <x v="0"/>
    <s v="Sebastián S"/>
    <s v="Johanna V"/>
    <n v="93110"/>
    <n v="10069020"/>
    <n v="108.14153225806459"/>
    <n v="97530.842733194164"/>
    <n v="118"/>
    <n v="106"/>
    <n v="102.17544085783207"/>
    <n v="9965257"/>
  </r>
  <r>
    <x v="75"/>
    <n v="202412"/>
    <x v="2"/>
    <x v="1"/>
    <s v="Hernán P"/>
    <s v="Daniel R"/>
    <n v="93079"/>
    <n v="2562035"/>
    <n v="27.525336021505371"/>
    <n v="0"/>
    <n v="31"/>
    <n v="27"/>
    <m/>
    <n v="0"/>
  </r>
  <r>
    <x v="25"/>
    <n v="202508"/>
    <x v="1"/>
    <x v="5"/>
    <s v="Sebastián S"/>
    <s v="Vik E"/>
    <n v="93079"/>
    <n v="6379262"/>
    <n v="68.536115591397902"/>
    <n v="101696.61592060138"/>
    <n v="77"/>
    <n v="79"/>
    <n v="62.728359269894945"/>
    <n v="6628385"/>
  </r>
  <r>
    <x v="28"/>
    <n v="202606"/>
    <x v="0"/>
    <x v="11"/>
    <s v="Sebastián S"/>
    <s v="Rodolfo O"/>
    <n v="93059"/>
    <n v="5354998"/>
    <n v="57.54437499999969"/>
    <n v="98314.955853465668"/>
    <n v="65.5"/>
    <n v="66"/>
    <n v="55.812340478272937"/>
    <n v="5487188"/>
  </r>
  <r>
    <x v="36"/>
    <n v="202505"/>
    <x v="1"/>
    <x v="3"/>
    <s v="Sebastián S"/>
    <s v="Rodolfo O"/>
    <n v="93058"/>
    <n v="6387287"/>
    <n v="68.637775537634425"/>
    <n v="94897.42315135822"/>
    <n v="81"/>
    <n v="77"/>
    <n v="67.307273241892872"/>
    <n v="6778870"/>
  </r>
  <r>
    <x v="50"/>
    <n v="202605"/>
    <x v="0"/>
    <x v="3"/>
    <s v="Sebastián S"/>
    <s v="Vik E"/>
    <n v="93057"/>
    <n v="6172549"/>
    <n v="66.330504032258361"/>
    <n v="95763.765018788225"/>
    <n v="75.5"/>
    <n v="74"/>
    <n v="63.845934941054651"/>
    <n v="6114127"/>
  </r>
  <r>
    <x v="10"/>
    <n v="202411"/>
    <x v="2"/>
    <x v="7"/>
    <s v="Sofía V"/>
    <s v="Melany A"/>
    <n v="93035"/>
    <n v="9206293"/>
    <n v="98.955451388888946"/>
    <n v="0"/>
    <n v="125"/>
    <n v="118.5"/>
    <m/>
    <n v="0"/>
  </r>
  <r>
    <x v="39"/>
    <n v="202601"/>
    <x v="0"/>
    <x v="10"/>
    <s v="Sofía V"/>
    <s v="Melany A"/>
    <n v="93032"/>
    <n v="4618851"/>
    <n v="49.648111559139807"/>
    <n v="86332.544577857712"/>
    <n v="60.5"/>
    <n v="60.5"/>
    <n v="53.343390369396616"/>
    <n v="4605271"/>
  </r>
  <r>
    <x v="65"/>
    <n v="202510"/>
    <x v="1"/>
    <x v="8"/>
    <s v="Sebastián S"/>
    <s v="Johanna V"/>
    <n v="93001"/>
    <n v="7544427"/>
    <n v="81.122143817204332"/>
    <n v="92503.352423903256"/>
    <n v="103"/>
    <n v="91"/>
    <n v="81.558419693019587"/>
    <n v="8515354"/>
  </r>
  <r>
    <x v="5"/>
    <n v="202509"/>
    <x v="1"/>
    <x v="4"/>
    <s v="Sebastián S"/>
    <s v="Rodolfo O"/>
    <n v="92954"/>
    <n v="5566743"/>
    <n v="59.887381944444499"/>
    <n v="92400.639445430716"/>
    <n v="68.5"/>
    <n v="66"/>
    <n v="60.245715542775713"/>
    <n v="5656695"/>
  </r>
  <r>
    <x v="8"/>
    <n v="202404"/>
    <x v="2"/>
    <x v="9"/>
    <s v="Sebastián S"/>
    <s v="Vik E"/>
    <n v="92872"/>
    <n v="7230536"/>
    <n v="77.85516666666669"/>
    <n v="0"/>
    <n v="88"/>
    <n v="84"/>
    <m/>
    <n v="0"/>
  </r>
  <r>
    <x v="12"/>
    <n v="202406"/>
    <x v="2"/>
    <x v="11"/>
    <s v="Sofía V"/>
    <s v="Melany A"/>
    <n v="92845"/>
    <n v="8154585"/>
    <n v="87.829680555555598"/>
    <n v="0"/>
    <n v="96.5"/>
    <n v="94"/>
    <m/>
    <n v="0"/>
  </r>
  <r>
    <x v="28"/>
    <n v="202601"/>
    <x v="0"/>
    <x v="10"/>
    <s v="Sebastián S"/>
    <s v="Rodolfo O"/>
    <n v="92811"/>
    <n v="5402380"/>
    <n v="58.20815188172044"/>
    <n v="95614.636565499779"/>
    <n v="65.5"/>
    <n v="66"/>
    <n v="55.812340478272937"/>
    <n v="5336477"/>
  </r>
  <r>
    <x v="25"/>
    <n v="202401"/>
    <x v="2"/>
    <x v="10"/>
    <s v="Sebastián S"/>
    <s v="Vik E"/>
    <n v="92811"/>
    <n v="5616607"/>
    <n v="60.516599462365591"/>
    <n v="0"/>
    <n v="77"/>
    <n v="79"/>
    <m/>
    <n v="0"/>
  </r>
  <r>
    <x v="41"/>
    <n v="202605"/>
    <x v="0"/>
    <x v="3"/>
    <s v="Sebastián S"/>
    <s v="Rodolfo O"/>
    <n v="92805"/>
    <n v="5526601"/>
    <n v="59.550430107526942"/>
    <n v="97422.154848679682"/>
    <n v="64.5"/>
    <n v="64"/>
    <n v="54.966698955874868"/>
    <n v="5354974"/>
  </r>
  <r>
    <x v="25"/>
    <n v="202501"/>
    <x v="1"/>
    <x v="10"/>
    <s v="Sebastián S"/>
    <s v="Vik E"/>
    <n v="92789"/>
    <n v="6152401"/>
    <n v="66.30561827956987"/>
    <n v="97451.562445565563"/>
    <n v="77"/>
    <n v="79"/>
    <n v="63.132915631153736"/>
    <n v="5766002"/>
  </r>
  <r>
    <x v="48"/>
    <n v="202602"/>
    <x v="0"/>
    <x v="2"/>
    <s v="Hernán P"/>
    <s v="Daniel R"/>
    <n v="92783"/>
    <n v="5866426"/>
    <n v="63.227656249999988"/>
    <n v="88091.937039207871"/>
    <n v="79.5"/>
    <n v="72.5"/>
    <n v="64.209802769832038"/>
    <n v="5656366"/>
  </r>
  <r>
    <x v="48"/>
    <n v="202404"/>
    <x v="2"/>
    <x v="9"/>
    <s v="Hernán P"/>
    <s v="Daniel R"/>
    <n v="92781"/>
    <n v="5735138"/>
    <n v="61.8138402777778"/>
    <n v="0"/>
    <n v="79.5"/>
    <n v="72.5"/>
    <m/>
    <n v="0"/>
  </r>
  <r>
    <x v="18"/>
    <n v="202601"/>
    <x v="0"/>
    <x v="10"/>
    <s v="Sofía V"/>
    <s v="Joe H"/>
    <n v="92778"/>
    <n v="4092156"/>
    <n v="44.107150537634411"/>
    <n v="90791.025090058465"/>
    <n v="50.5"/>
    <n v="51.5"/>
    <n v="44.728769766304502"/>
    <n v="4060971"/>
  </r>
  <r>
    <x v="9"/>
    <n v="202407"/>
    <x v="2"/>
    <x v="6"/>
    <s v="Sofía V"/>
    <s v="Joe H"/>
    <n v="92753"/>
    <n v="5911299"/>
    <n v="63.731330645161279"/>
    <n v="0"/>
    <n v="70.5"/>
    <n v="69.5"/>
    <m/>
    <n v="0"/>
  </r>
  <r>
    <x v="76"/>
    <n v="202601"/>
    <x v="0"/>
    <x v="10"/>
    <s v="Hernán P"/>
    <s v="Daniel R"/>
    <n v="92722"/>
    <n v="7439451"/>
    <n v="80.234018817204287"/>
    <n v="89761.998708126906"/>
    <n v="106"/>
    <n v="94.5"/>
    <n v="88.413034538205707"/>
    <n v="7936131"/>
  </r>
  <r>
    <x v="76"/>
    <n v="202606"/>
    <x v="0"/>
    <x v="11"/>
    <s v="Hernán P"/>
    <s v="Daniel R"/>
    <n v="92697"/>
    <n v="7766438"/>
    <n v="83.783194444446778"/>
    <n v="85052.613258631056"/>
    <n v="106"/>
    <n v="94.5"/>
    <n v="88.413034538205707"/>
    <n v="7519760"/>
  </r>
  <r>
    <x v="10"/>
    <n v="202508"/>
    <x v="1"/>
    <x v="5"/>
    <s v="Sofía V"/>
    <s v="Melany A"/>
    <n v="92680"/>
    <n v="9309700"/>
    <n v="100.4497647849462"/>
    <n v="98211.801195131527"/>
    <n v="125"/>
    <n v="118.5"/>
    <n v="94.792075256853039"/>
    <n v="9486917"/>
  </r>
  <r>
    <x v="25"/>
    <n v="202405"/>
    <x v="2"/>
    <x v="3"/>
    <s v="Sebastián S"/>
    <s v="Vik E"/>
    <n v="92665"/>
    <n v="6333302"/>
    <n v="68.346579301075266"/>
    <n v="0"/>
    <n v="77"/>
    <n v="79"/>
    <m/>
    <n v="0"/>
  </r>
  <r>
    <x v="35"/>
    <n v="202409"/>
    <x v="2"/>
    <x v="4"/>
    <s v="Hernán P"/>
    <s v="Daniel R"/>
    <n v="92595"/>
    <n v="11085468"/>
    <n v="119.71954166666663"/>
    <n v="0"/>
    <n v="140.5"/>
    <n v="125.5"/>
    <m/>
    <n v="0"/>
  </r>
  <r>
    <x v="28"/>
    <n v="202408"/>
    <x v="2"/>
    <x v="5"/>
    <s v="Sebastián S"/>
    <s v="Rodolfo O"/>
    <n v="92569"/>
    <n v="5367501"/>
    <n v="57.983662634408596"/>
    <n v="0"/>
    <n v="65.5"/>
    <n v="66"/>
    <m/>
    <n v="0"/>
  </r>
  <r>
    <x v="8"/>
    <n v="202501"/>
    <x v="1"/>
    <x v="10"/>
    <s v="Sebastián S"/>
    <s v="Vik E"/>
    <n v="92554"/>
    <n v="7655103"/>
    <n v="82.709422043010719"/>
    <n v="99789.222064319198"/>
    <n v="88"/>
    <n v="84"/>
    <n v="76.712724797733159"/>
    <n v="7834878"/>
  </r>
  <r>
    <x v="28"/>
    <n v="202406"/>
    <x v="2"/>
    <x v="11"/>
    <s v="Sebastián S"/>
    <s v="Rodolfo O"/>
    <n v="92539"/>
    <n v="5578005"/>
    <n v="60.277437499999991"/>
    <n v="0"/>
    <n v="65.5"/>
    <n v="66"/>
    <m/>
    <n v="0"/>
  </r>
  <r>
    <x v="24"/>
    <n v="202411"/>
    <x v="2"/>
    <x v="7"/>
    <s v="Sofía V"/>
    <s v="Joe H"/>
    <n v="92513"/>
    <n v="6057464"/>
    <n v="65.476638888888886"/>
    <n v="0"/>
    <n v="71"/>
    <n v="74.5"/>
    <m/>
    <n v="0"/>
  </r>
  <r>
    <x v="68"/>
    <n v="202603"/>
    <x v="0"/>
    <x v="0"/>
    <s v="Sofía V"/>
    <s v="José A"/>
    <n v="92466"/>
    <n v="4321005"/>
    <n v="46.730927419354856"/>
    <n v="91218.694754519078"/>
    <n v="52"/>
    <n v="52"/>
    <n v="46.517920556956689"/>
    <n v="4243304"/>
  </r>
  <r>
    <x v="65"/>
    <n v="202509"/>
    <x v="1"/>
    <x v="4"/>
    <s v="Sebastián S"/>
    <s v="Johanna V"/>
    <n v="92447"/>
    <n v="7367446"/>
    <n v="79.69363888888897"/>
    <n v="97056.525876674685"/>
    <n v="103"/>
    <n v="91"/>
    <n v="75.908812245778066"/>
    <n v="8301449"/>
  </r>
  <r>
    <x v="60"/>
    <n v="202502"/>
    <x v="1"/>
    <x v="2"/>
    <s v="Sofía V"/>
    <s v="Melany A"/>
    <n v="92441"/>
    <n v="7387253"/>
    <n v="79.913385416666685"/>
    <n v="83465.932779651193"/>
    <n v="88.5"/>
    <n v="92.5"/>
    <n v="88.506199643179428"/>
    <n v="5933284"/>
  </r>
  <r>
    <x v="65"/>
    <n v="202409"/>
    <x v="2"/>
    <x v="4"/>
    <s v="Sebastián S"/>
    <s v="Johanna V"/>
    <n v="92435"/>
    <n v="7574399"/>
    <n v="81.943166666666684"/>
    <n v="0"/>
    <n v="103"/>
    <n v="91"/>
    <m/>
    <n v="0"/>
  </r>
  <r>
    <x v="26"/>
    <n v="202408"/>
    <x v="2"/>
    <x v="5"/>
    <s v="Sofía V"/>
    <s v="Melany A"/>
    <n v="92432"/>
    <n v="4739428"/>
    <n v="51.274576612903239"/>
    <n v="0"/>
    <n v="55"/>
    <n v="50.5"/>
    <m/>
    <n v="0"/>
  </r>
  <r>
    <x v="52"/>
    <n v="202606"/>
    <x v="0"/>
    <x v="11"/>
    <s v="Sebastián S"/>
    <s v="Vik E"/>
    <n v="92416"/>
    <n v="6257457"/>
    <n v="67.709833333334487"/>
    <n v="88702.632326041596"/>
    <n v="80"/>
    <n v="78"/>
    <n v="69.114627897013889"/>
    <n v="6130649"/>
  </r>
  <r>
    <x v="45"/>
    <n v="202503"/>
    <x v="1"/>
    <x v="0"/>
    <s v="Sofía V"/>
    <s v="Joe H"/>
    <n v="92402"/>
    <n v="6134959"/>
    <n v="66.394012096774205"/>
    <n v="94432.254178611518"/>
    <n v="68"/>
    <n v="68.5"/>
    <n v="64.966774047309997"/>
    <n v="5543023"/>
  </r>
  <r>
    <x v="44"/>
    <n v="202409"/>
    <x v="2"/>
    <x v="4"/>
    <s v="Sebastián S"/>
    <s v="Johanna V"/>
    <n v="92388"/>
    <n v="9025811"/>
    <n v="97.694770833333351"/>
    <n v="0"/>
    <n v="117.5"/>
    <n v="99"/>
    <m/>
    <n v="0"/>
  </r>
  <r>
    <x v="16"/>
    <n v="202405"/>
    <x v="2"/>
    <x v="3"/>
    <s v="Sofía V"/>
    <s v="José A"/>
    <n v="92385"/>
    <n v="5464947"/>
    <n v="59.153951612903221"/>
    <n v="0"/>
    <n v="64"/>
    <n v="67"/>
    <m/>
    <n v="0"/>
  </r>
  <r>
    <x v="19"/>
    <n v="202606"/>
    <x v="0"/>
    <x v="11"/>
    <s v="Sofía V"/>
    <s v="Joe H"/>
    <n v="92381"/>
    <n v="4419981"/>
    <n v="47.845097222222314"/>
    <n v="87291.274051649685"/>
    <n v="57.5"/>
    <n v="56.5"/>
    <n v="50.698263574219922"/>
    <n v="4425516"/>
  </r>
  <r>
    <x v="61"/>
    <n v="202604"/>
    <x v="0"/>
    <x v="9"/>
    <s v="Sofía V"/>
    <s v="Joe H"/>
    <n v="92375"/>
    <n v="3295944"/>
    <n v="35.679972222222354"/>
    <n v="69175.744742501527"/>
    <n v="41.5"/>
    <n v="35.5"/>
    <n v="37.124878906032741"/>
    <n v="2568141"/>
  </r>
  <r>
    <x v="46"/>
    <n v="202501"/>
    <x v="1"/>
    <x v="10"/>
    <s v="Sofía V"/>
    <s v="José A"/>
    <n v="92360"/>
    <n v="4765753"/>
    <n v="51.600020161290303"/>
    <n v="83749.09897237517"/>
    <n v="58"/>
    <n v="58.5"/>
    <n v="56.905127678710826"/>
    <n v="4457547"/>
  </r>
  <r>
    <x v="21"/>
    <n v="202509"/>
    <x v="1"/>
    <x v="4"/>
    <s v="Sebastián S"/>
    <s v="Rodolfo O"/>
    <n v="92351"/>
    <n v="6128222"/>
    <n v="66.357861111111163"/>
    <n v="86077.358643636384"/>
    <n v="84.5"/>
    <n v="86.5"/>
    <n v="71.194356292588878"/>
    <n v="6406806"/>
  </r>
  <r>
    <x v="36"/>
    <n v="202511"/>
    <x v="1"/>
    <x v="7"/>
    <s v="Sebastián S"/>
    <s v="Rodolfo O"/>
    <n v="92336"/>
    <n v="6608649"/>
    <n v="71.571791666666684"/>
    <n v="95211.987304675175"/>
    <n v="81"/>
    <n v="77"/>
    <n v="69.409837847964937"/>
    <n v="6754229"/>
  </r>
  <r>
    <x v="50"/>
    <n v="202604"/>
    <x v="0"/>
    <x v="9"/>
    <s v="Sebastián S"/>
    <s v="Vik E"/>
    <n v="92315"/>
    <n v="5886462"/>
    <n v="63.765284722223363"/>
    <n v="89160.202967590332"/>
    <n v="75.5"/>
    <n v="74"/>
    <n v="63.845934941054651"/>
    <n v="5692517"/>
  </r>
  <r>
    <x v="49"/>
    <n v="202605"/>
    <x v="0"/>
    <x v="3"/>
    <s v="Sebastián S"/>
    <s v="Vik E"/>
    <n v="92300"/>
    <n v="5126938"/>
    <n v="55.546505376344513"/>
    <n v="89598.234132475773"/>
    <n v="66"/>
    <n v="64.5"/>
    <n v="56.772923994003754"/>
    <n v="5086754"/>
  </r>
  <r>
    <x v="40"/>
    <n v="202602"/>
    <x v="0"/>
    <x v="2"/>
    <s v="Sebastián S"/>
    <s v="Johanna V"/>
    <n v="92296"/>
    <n v="8593961"/>
    <n v="93.112708333333288"/>
    <n v="97858.66739868786"/>
    <n v="106"/>
    <n v="102.5"/>
    <n v="90.060822135394957"/>
    <n v="8813232"/>
  </r>
  <r>
    <x v="63"/>
    <n v="202408"/>
    <x v="2"/>
    <x v="5"/>
    <s v="Sebastián S"/>
    <s v="Johanna V"/>
    <n v="92277"/>
    <n v="9073747"/>
    <n v="98.33202956989247"/>
    <n v="0"/>
    <n v="123"/>
    <n v="115.5"/>
    <m/>
    <n v="0"/>
  </r>
  <r>
    <x v="36"/>
    <n v="202408"/>
    <x v="2"/>
    <x v="5"/>
    <s v="Sebastián S"/>
    <s v="Rodolfo O"/>
    <n v="92261"/>
    <n v="6523228"/>
    <n v="70.703857526881677"/>
    <n v="0"/>
    <n v="81"/>
    <n v="77"/>
    <m/>
    <n v="0"/>
  </r>
  <r>
    <x v="77"/>
    <n v="202412"/>
    <x v="2"/>
    <x v="1"/>
    <s v="Fátima L"/>
    <s v="Fátima L"/>
    <n v="92261"/>
    <n v="1281742"/>
    <n v="13.89255376344086"/>
    <n v="0"/>
    <n v="17"/>
    <n v="13.5"/>
    <m/>
    <n v="0"/>
  </r>
  <r>
    <x v="14"/>
    <n v="202510"/>
    <x v="1"/>
    <x v="8"/>
    <s v="Sofía V"/>
    <s v="Melany A"/>
    <n v="92228"/>
    <n v="4615629"/>
    <n v="50.046001344086008"/>
    <n v="101163.54771211024"/>
    <n v="59.5"/>
    <n v="55.5"/>
    <n v="45.625413050312247"/>
    <n v="4954749"/>
  </r>
  <r>
    <x v="4"/>
    <n v="202405"/>
    <x v="2"/>
    <x v="3"/>
    <s v="Sofía V"/>
    <s v="José A"/>
    <n v="92208"/>
    <n v="9619322"/>
    <n v="104.32196908602145"/>
    <n v="0"/>
    <n v="107.5"/>
    <n v="102.5"/>
    <m/>
    <n v="0"/>
  </r>
  <r>
    <x v="76"/>
    <n v="202512"/>
    <x v="1"/>
    <x v="1"/>
    <s v="Hernán P"/>
    <s v="Daniel R"/>
    <n v="92163"/>
    <n v="8865141"/>
    <n v="96.189973118279511"/>
    <n v="86912.709617242101"/>
    <n v="106"/>
    <n v="94.5"/>
    <n v="102.00051119153343"/>
    <n v="9649556"/>
  </r>
  <r>
    <x v="63"/>
    <n v="202603"/>
    <x v="0"/>
    <x v="0"/>
    <s v="Sebastián S"/>
    <s v="Johanna V"/>
    <n v="92132"/>
    <n v="10068047"/>
    <n v="109.27870295698924"/>
    <n v="99470.288049203606"/>
    <n v="123"/>
    <n v="115.5"/>
    <n v="102.59248347357834"/>
    <n v="10204904"/>
  </r>
  <r>
    <x v="38"/>
    <n v="202505"/>
    <x v="1"/>
    <x v="3"/>
    <s v="Sofía V"/>
    <s v="Melany A"/>
    <n v="92126"/>
    <n v="5002698"/>
    <n v="54.302688172042991"/>
    <n v="67495.275292099948"/>
    <n v="56"/>
    <n v="60"/>
    <n v="74.119234988668097"/>
    <n v="4852985"/>
  </r>
  <r>
    <x v="65"/>
    <n v="202507"/>
    <x v="1"/>
    <x v="6"/>
    <s v="Sebastián S"/>
    <s v="Johanna V"/>
    <n v="92097"/>
    <n v="7627029"/>
    <n v="82.815362903225846"/>
    <n v="94854.01581884874"/>
    <n v="103"/>
    <n v="91"/>
    <n v="80.408076602323519"/>
    <n v="8494016"/>
  </r>
  <r>
    <x v="51"/>
    <n v="202412"/>
    <x v="2"/>
    <x v="1"/>
    <s v="Sofía V"/>
    <s v="Melany A"/>
    <n v="92094"/>
    <n v="3938829"/>
    <n v="42.769576612903222"/>
    <n v="0"/>
    <n v="43.5"/>
    <n v="41"/>
    <m/>
    <n v="0"/>
  </r>
  <r>
    <x v="5"/>
    <n v="202401"/>
    <x v="2"/>
    <x v="10"/>
    <s v="Sebastián S"/>
    <s v="Rodolfo O"/>
    <n v="92037"/>
    <n v="5449296"/>
    <n v="59.207533602150534"/>
    <n v="0"/>
    <n v="68.5"/>
    <n v="66"/>
    <m/>
    <n v="0"/>
  </r>
  <r>
    <x v="42"/>
    <n v="202402"/>
    <x v="2"/>
    <x v="2"/>
    <s v="Hernán P"/>
    <s v="Daniel R"/>
    <n v="92021"/>
    <n v="2660186"/>
    <n v="28.908591954022992"/>
    <n v="0"/>
    <n v="22.5"/>
    <n v="21"/>
    <m/>
    <n v="0"/>
  </r>
  <r>
    <x v="17"/>
    <n v="202404"/>
    <x v="2"/>
    <x v="9"/>
    <s v="Sofía V"/>
    <s v="Joe H"/>
    <n v="92012"/>
    <n v="7560910"/>
    <n v="82.172902777777836"/>
    <n v="0"/>
    <n v="94"/>
    <n v="92"/>
    <m/>
    <n v="0"/>
  </r>
  <r>
    <x v="36"/>
    <n v="202601"/>
    <x v="0"/>
    <x v="10"/>
    <s v="Sebastián S"/>
    <s v="Rodolfo O"/>
    <n v="92005"/>
    <n v="6594402"/>
    <n v="71.674401881720428"/>
    <n v="92127.210807114214"/>
    <n v="81"/>
    <n v="77"/>
    <n v="69.978560745726568"/>
    <n v="6446930"/>
  </r>
  <r>
    <x v="18"/>
    <n v="202605"/>
    <x v="0"/>
    <x v="3"/>
    <s v="Sofía V"/>
    <s v="Joe H"/>
    <n v="91947"/>
    <n v="4230278"/>
    <n v="46.00787634408681"/>
    <n v="89956.691715924084"/>
    <n v="50.5"/>
    <n v="51.5"/>
    <n v="44.728769766304502"/>
    <n v="4023652"/>
  </r>
  <r>
    <x v="8"/>
    <n v="202410"/>
    <x v="2"/>
    <x v="8"/>
    <s v="Sebastián S"/>
    <s v="Vik E"/>
    <n v="91912"/>
    <n v="7064895"/>
    <n v="76.865598118279578"/>
    <n v="0"/>
    <n v="88"/>
    <n v="84"/>
    <m/>
    <n v="0"/>
  </r>
  <r>
    <x v="73"/>
    <n v="202401"/>
    <x v="2"/>
    <x v="10"/>
    <s v="Fátima L"/>
    <s v="Fátima L"/>
    <n v="91894"/>
    <n v="1042773"/>
    <n v="11.347526881720432"/>
    <n v="0"/>
    <n v="13.5"/>
    <n v="12"/>
    <m/>
    <n v="0"/>
  </r>
  <r>
    <x v="44"/>
    <n v="202507"/>
    <x v="1"/>
    <x v="6"/>
    <s v="Sebastián S"/>
    <s v="Johanna V"/>
    <n v="91858"/>
    <n v="8926181"/>
    <n v="97.173877688172041"/>
    <n v="91167.039090072081"/>
    <n v="117.5"/>
    <n v="99"/>
    <n v="97.91017629936438"/>
    <n v="9877281"/>
  </r>
  <r>
    <x v="54"/>
    <n v="202403"/>
    <x v="2"/>
    <x v="0"/>
    <s v="Sebastián S"/>
    <s v="Rodolfo O"/>
    <n v="91856"/>
    <n v="7581612"/>
    <n v="82.537620967741987"/>
    <n v="0"/>
    <n v="80"/>
    <n v="80.5"/>
    <m/>
    <n v="0"/>
  </r>
  <r>
    <x v="26"/>
    <n v="202405"/>
    <x v="2"/>
    <x v="3"/>
    <s v="Sofía V"/>
    <s v="Melany A"/>
    <n v="91845"/>
    <n v="4856416"/>
    <n v="52.876391129032228"/>
    <n v="0"/>
    <n v="55"/>
    <n v="50.5"/>
    <m/>
    <n v="0"/>
  </r>
  <r>
    <x v="67"/>
    <n v="202512"/>
    <x v="1"/>
    <x v="1"/>
    <s v="Hernán P"/>
    <s v="Daniel R"/>
    <n v="91840"/>
    <n v="1359341"/>
    <n v="14.801189516129019"/>
    <n v="108461.12099482983"/>
    <n v="15.5"/>
    <n v="14.5"/>
    <n v="12.5329787073176"/>
    <n v="1515718"/>
  </r>
  <r>
    <x v="24"/>
    <n v="202511"/>
    <x v="1"/>
    <x v="7"/>
    <s v="Sofía V"/>
    <s v="Joe H"/>
    <n v="91839"/>
    <n v="5978568"/>
    <n v="65.098590277777816"/>
    <n v="97139.029521555422"/>
    <n v="71"/>
    <n v="74.5"/>
    <n v="61.546512142921294"/>
    <n v="5835085"/>
  </r>
  <r>
    <x v="52"/>
    <n v="202504"/>
    <x v="1"/>
    <x v="9"/>
    <s v="Sebastián S"/>
    <s v="Vik E"/>
    <n v="91832"/>
    <n v="6086905"/>
    <n v="66.283097222222224"/>
    <n v="79398.739307862939"/>
    <n v="80"/>
    <n v="78"/>
    <n v="76.662495186459552"/>
    <n v="6476508"/>
  </r>
  <r>
    <x v="22"/>
    <n v="202410"/>
    <x v="2"/>
    <x v="8"/>
    <s v="Sebastián S"/>
    <s v="Johanna V"/>
    <n v="91826"/>
    <n v="8156575"/>
    <n v="88.826048387096833"/>
    <n v="0"/>
    <n v="104.5"/>
    <n v="99"/>
    <m/>
    <n v="0"/>
  </r>
  <r>
    <x v="12"/>
    <n v="202401"/>
    <x v="2"/>
    <x v="10"/>
    <s v="Sofía V"/>
    <s v="Melany A"/>
    <n v="91788"/>
    <n v="7993698"/>
    <n v="87.089032258064492"/>
    <n v="0"/>
    <n v="96.5"/>
    <n v="94"/>
    <m/>
    <n v="0"/>
  </r>
  <r>
    <x v="63"/>
    <n v="202503"/>
    <x v="1"/>
    <x v="0"/>
    <s v="Sebastián S"/>
    <s v="Johanna V"/>
    <n v="91781"/>
    <n v="10084511"/>
    <n v="109.87614919354841"/>
    <n v="86666.236001250974"/>
    <n v="123"/>
    <n v="115.5"/>
    <n v="116.36031718112733"/>
    <n v="10505001"/>
  </r>
  <r>
    <x v="16"/>
    <n v="202509"/>
    <x v="1"/>
    <x v="4"/>
    <s v="Sofía V"/>
    <s v="José A"/>
    <n v="91780"/>
    <n v="5294488"/>
    <n v="57.686513888888946"/>
    <n v="93958.359006658226"/>
    <n v="64"/>
    <n v="67"/>
    <n v="56.349300753803234"/>
    <n v="5033648"/>
  </r>
  <r>
    <x v="37"/>
    <n v="202510"/>
    <x v="1"/>
    <x v="8"/>
    <s v="Sofía V"/>
    <s v="Melany A"/>
    <n v="91693"/>
    <n v="5252949"/>
    <n v="57.288555107526868"/>
    <n v="91233.621802364243"/>
    <n v="72.5"/>
    <n v="68.5"/>
    <n v="57.576901982245715"/>
    <n v="5479986"/>
  </r>
  <r>
    <x v="36"/>
    <n v="202602"/>
    <x v="0"/>
    <x v="2"/>
    <s v="Sebastián S"/>
    <s v="Rodolfo O"/>
    <n v="91683"/>
    <n v="6759673"/>
    <n v="73.728489583333328"/>
    <n v="88476.221190046359"/>
    <n v="81"/>
    <n v="77"/>
    <n v="69.978560745726568"/>
    <n v="6191439"/>
  </r>
  <r>
    <x v="10"/>
    <n v="202501"/>
    <x v="1"/>
    <x v="10"/>
    <s v="Sofía V"/>
    <s v="Melany A"/>
    <n v="91678"/>
    <n v="9224309"/>
    <n v="100.61629704301075"/>
    <n v="86538.59523685748"/>
    <n v="125"/>
    <n v="118.5"/>
    <n v="106.59184754216228"/>
    <n v="8998857"/>
  </r>
  <r>
    <x v="25"/>
    <n v="202506"/>
    <x v="1"/>
    <x v="11"/>
    <s v="Sebastián S"/>
    <s v="Vik E"/>
    <n v="91678"/>
    <n v="6190576"/>
    <n v="67.525256944444436"/>
    <n v="107498.49460835051"/>
    <n v="77"/>
    <n v="79"/>
    <n v="57.58755592396097"/>
    <n v="6962900"/>
  </r>
  <r>
    <x v="16"/>
    <n v="202501"/>
    <x v="1"/>
    <x v="10"/>
    <s v="Sofía V"/>
    <s v="José A"/>
    <n v="91629"/>
    <n v="5200158"/>
    <n v="56.752170698924722"/>
    <n v="107955.7586198568"/>
    <n v="64"/>
    <n v="67"/>
    <n v="48.169344521131563"/>
    <n v="5233224"/>
  </r>
  <r>
    <x v="40"/>
    <n v="202403"/>
    <x v="2"/>
    <x v="0"/>
    <s v="Sebastián S"/>
    <s v="Johanna V"/>
    <n v="91621"/>
    <n v="10289852"/>
    <n v="112.30864919354839"/>
    <n v="0"/>
    <n v="106"/>
    <n v="102.5"/>
    <m/>
    <n v="0"/>
  </r>
  <r>
    <x v="35"/>
    <n v="202405"/>
    <x v="2"/>
    <x v="3"/>
    <s v="Hernán P"/>
    <s v="Daniel R"/>
    <n v="91598"/>
    <n v="11253397"/>
    <n v="122.8567741935483"/>
    <n v="0"/>
    <n v="140.5"/>
    <n v="125.5"/>
    <m/>
    <n v="0"/>
  </r>
  <r>
    <x v="62"/>
    <n v="202604"/>
    <x v="0"/>
    <x v="9"/>
    <s v="Sebastián S"/>
    <s v="Vik E"/>
    <n v="91569"/>
    <n v="5337820"/>
    <n v="58.292645833334063"/>
    <n v="88003.76131811869"/>
    <n v="65"/>
    <n v="67.5"/>
    <n v="56.772923994003762"/>
    <n v="4996231"/>
  </r>
  <r>
    <x v="70"/>
    <n v="202603"/>
    <x v="0"/>
    <x v="0"/>
    <s v="Sebastián S"/>
    <s v="Vik E"/>
    <n v="91558"/>
    <n v="4863032"/>
    <n v="53.114287634408591"/>
    <n v="89989.354748048732"/>
    <n v="60.5"/>
    <n v="57.5"/>
    <n v="51.161312105083525"/>
    <n v="4603973"/>
  </r>
  <r>
    <x v="21"/>
    <n v="202504"/>
    <x v="1"/>
    <x v="9"/>
    <s v="Sebastián S"/>
    <s v="Rodolfo O"/>
    <n v="91553"/>
    <n v="6729230"/>
    <n v="73.500923611111119"/>
    <n v="86434.82946919091"/>
    <n v="84.5"/>
    <n v="86.5"/>
    <n v="77.853220181322726"/>
    <n v="6867241"/>
  </r>
  <r>
    <x v="50"/>
    <n v="202602"/>
    <x v="0"/>
    <x v="2"/>
    <s v="Sebastián S"/>
    <s v="Vik E"/>
    <n v="91532"/>
    <n v="5628881"/>
    <n v="61.496302083333347"/>
    <n v="93227.747818171076"/>
    <n v="75.5"/>
    <n v="74"/>
    <n v="63.845934941054651"/>
    <n v="5952213"/>
  </r>
  <r>
    <x v="37"/>
    <n v="202411"/>
    <x v="2"/>
    <x v="7"/>
    <s v="Sofía V"/>
    <s v="Melany A"/>
    <n v="91484"/>
    <n v="6251821"/>
    <n v="68.338180555555624"/>
    <n v="0"/>
    <n v="72.5"/>
    <n v="68.5"/>
    <m/>
    <n v="0"/>
  </r>
  <r>
    <x v="50"/>
    <n v="202401"/>
    <x v="2"/>
    <x v="10"/>
    <s v="Sebastián S"/>
    <s v="Vik E"/>
    <n v="91470"/>
    <n v="6309839"/>
    <n v="68.982694892473091"/>
    <n v="0"/>
    <n v="75.5"/>
    <n v="74"/>
    <m/>
    <n v="0"/>
  </r>
  <r>
    <x v="45"/>
    <n v="202407"/>
    <x v="2"/>
    <x v="6"/>
    <s v="Sofía V"/>
    <s v="Joe H"/>
    <n v="91441"/>
    <n v="5616648"/>
    <n v="61.423588709677432"/>
    <n v="0"/>
    <n v="68"/>
    <n v="68.5"/>
    <m/>
    <n v="0"/>
  </r>
  <r>
    <x v="8"/>
    <n v="202402"/>
    <x v="2"/>
    <x v="2"/>
    <s v="Sebastián S"/>
    <s v="Vik E"/>
    <n v="91441"/>
    <n v="7861297"/>
    <n v="85.971616379310376"/>
    <n v="0"/>
    <n v="88"/>
    <n v="84"/>
    <m/>
    <n v="0"/>
  </r>
  <r>
    <x v="25"/>
    <n v="202410"/>
    <x v="2"/>
    <x v="8"/>
    <s v="Sebastián S"/>
    <s v="Vik E"/>
    <n v="91425"/>
    <n v="5748204"/>
    <n v="62.873689516129048"/>
    <n v="0"/>
    <n v="77"/>
    <n v="79"/>
    <m/>
    <n v="0"/>
  </r>
  <r>
    <x v="48"/>
    <n v="202406"/>
    <x v="2"/>
    <x v="11"/>
    <s v="Hernán P"/>
    <s v="Daniel R"/>
    <n v="91422"/>
    <n v="5904310"/>
    <n v="64.58282638888889"/>
    <n v="0"/>
    <n v="79.5"/>
    <n v="72.5"/>
    <m/>
    <n v="0"/>
  </r>
  <r>
    <x v="48"/>
    <n v="202501"/>
    <x v="1"/>
    <x v="10"/>
    <s v="Hernán P"/>
    <s v="Daniel R"/>
    <n v="91415"/>
    <n v="5487015"/>
    <n v="60.023212365591348"/>
    <n v="91110.615209695912"/>
    <n v="79.5"/>
    <n v="72.5"/>
    <n v="60.223666335380798"/>
    <n v="5705960"/>
  </r>
  <r>
    <x v="47"/>
    <n v="202511"/>
    <x v="1"/>
    <x v="7"/>
    <s v="Sebastián S"/>
    <s v="Vik E"/>
    <n v="91376"/>
    <n v="4447292"/>
    <n v="48.670124999999999"/>
    <n v="82108.304326916346"/>
    <n v="61.5"/>
    <n v="48.5"/>
    <n v="54.163733454937649"/>
    <n v="4649319"/>
  </r>
  <r>
    <x v="23"/>
    <n v="202508"/>
    <x v="1"/>
    <x v="5"/>
    <s v="Sebastián S"/>
    <s v="Rodolfo O"/>
    <n v="91373"/>
    <n v="7583978"/>
    <n v="83.000241935483913"/>
    <n v="95874.710320192273"/>
    <n v="94.5"/>
    <n v="97"/>
    <n v="79.103009173866909"/>
    <n v="7823391"/>
  </r>
  <r>
    <x v="78"/>
    <n v="202512"/>
    <x v="1"/>
    <x v="1"/>
    <s v="Sebastián S"/>
    <s v="Vik E"/>
    <n v="91342"/>
    <n v="5154659"/>
    <n v="56.432654569892435"/>
    <n v="92435.929116333849"/>
    <n v="63"/>
    <n v="59"/>
    <n v="55.764664122244973"/>
    <n v="6011013"/>
  </r>
  <r>
    <x v="28"/>
    <n v="202510"/>
    <x v="1"/>
    <x v="8"/>
    <s v="Sebastián S"/>
    <s v="Rodolfo O"/>
    <n v="91335"/>
    <n v="4960512"/>
    <n v="54.311391129032259"/>
    <n v="89444.530377785326"/>
    <n v="65.5"/>
    <n v="66"/>
    <n v="55.459085078186149"/>
    <n v="6347250"/>
  </r>
  <r>
    <x v="19"/>
    <n v="202407"/>
    <x v="2"/>
    <x v="6"/>
    <s v="Sofía V"/>
    <s v="Joe H"/>
    <n v="91333"/>
    <n v="4998750"/>
    <n v="54.731014784946218"/>
    <n v="0"/>
    <n v="57.5"/>
    <n v="56.5"/>
    <m/>
    <n v="0"/>
  </r>
  <r>
    <x v="56"/>
    <n v="202606"/>
    <x v="0"/>
    <x v="11"/>
    <s v="Sofía V"/>
    <s v="Joe H"/>
    <n v="91333"/>
    <n v="6622233"/>
    <n v="72.506826388891"/>
    <n v="92238.866281415598"/>
    <n v="79.5"/>
    <n v="81.5"/>
    <n v="68.773296674593993"/>
    <n v="6343571"/>
  </r>
  <r>
    <x v="23"/>
    <n v="202408"/>
    <x v="2"/>
    <x v="5"/>
    <s v="Sebastián S"/>
    <s v="Rodolfo O"/>
    <n v="91309"/>
    <n v="7668297"/>
    <n v="83.981606182795659"/>
    <n v="0"/>
    <n v="94.5"/>
    <n v="97"/>
    <m/>
    <n v="0"/>
  </r>
  <r>
    <x v="24"/>
    <n v="202408"/>
    <x v="2"/>
    <x v="5"/>
    <s v="Sofía V"/>
    <s v="Joe H"/>
    <n v="91274"/>
    <n v="6018270"/>
    <n v="65.936095430107514"/>
    <n v="0"/>
    <n v="71"/>
    <n v="74.5"/>
    <m/>
    <n v="0"/>
  </r>
  <r>
    <x v="42"/>
    <n v="202502"/>
    <x v="1"/>
    <x v="2"/>
    <s v="Hernán P"/>
    <s v="Daniel R"/>
    <n v="91273"/>
    <n v="2376295"/>
    <n v="26.034895833333337"/>
    <n v="96621.613772900906"/>
    <n v="22.5"/>
    <n v="21"/>
    <n v="24.59382499639506"/>
    <n v="2282621"/>
  </r>
  <r>
    <x v="13"/>
    <n v="202501"/>
    <x v="1"/>
    <x v="10"/>
    <s v="Sebastián S"/>
    <s v="Rodolfo O"/>
    <n v="91253"/>
    <n v="6142072"/>
    <n v="67.307916666666628"/>
    <n v="104086.57277945445"/>
    <n v="78"/>
    <n v="74.5"/>
    <n v="59.009263116139181"/>
    <n v="6220755"/>
  </r>
  <r>
    <x v="37"/>
    <n v="202409"/>
    <x v="2"/>
    <x v="4"/>
    <s v="Sofía V"/>
    <s v="Melany A"/>
    <n v="91209"/>
    <n v="5638389"/>
    <n v="61.818361111111088"/>
    <n v="0"/>
    <n v="72.5"/>
    <n v="68.5"/>
    <m/>
    <n v="0"/>
  </r>
  <r>
    <x v="26"/>
    <n v="202411"/>
    <x v="2"/>
    <x v="7"/>
    <s v="Sofía V"/>
    <s v="Melany A"/>
    <n v="91209"/>
    <n v="4549494"/>
    <n v="49.879958333333327"/>
    <n v="0"/>
    <n v="55"/>
    <n v="50.5"/>
    <m/>
    <n v="0"/>
  </r>
  <r>
    <x v="35"/>
    <n v="202507"/>
    <x v="1"/>
    <x v="6"/>
    <s v="Hernán P"/>
    <s v="Daniel R"/>
    <n v="91197"/>
    <n v="10978506"/>
    <n v="120.38193548387089"/>
    <n v="94798.108544064933"/>
    <n v="140.5"/>
    <n v="125.5"/>
    <n v="115.80933162708483"/>
    <n v="11750313"/>
  </r>
  <r>
    <x v="17"/>
    <n v="202509"/>
    <x v="1"/>
    <x v="4"/>
    <s v="Sofía V"/>
    <s v="Joe H"/>
    <n v="91193"/>
    <n v="7621148"/>
    <n v="83.572076388889002"/>
    <n v="88430.06838310766"/>
    <n v="94"/>
    <n v="92"/>
    <n v="86.182767008419845"/>
    <n v="7166578"/>
  </r>
  <r>
    <x v="8"/>
    <n v="202502"/>
    <x v="1"/>
    <x v="2"/>
    <s v="Sebastián S"/>
    <s v="Vik E"/>
    <n v="91190"/>
    <n v="7265441"/>
    <n v="79.673749999999984"/>
    <n v="96012.643010937536"/>
    <n v="88"/>
    <n v="84"/>
    <n v="75.671709080775287"/>
    <n v="7753496"/>
  </r>
  <r>
    <x v="45"/>
    <n v="202601"/>
    <x v="0"/>
    <x v="10"/>
    <s v="Sofía V"/>
    <s v="Joe H"/>
    <n v="91183"/>
    <n v="5718851"/>
    <n v="62.718353494623678"/>
    <n v="89137.037590658394"/>
    <n v="68"/>
    <n v="68.5"/>
    <n v="60.397061823201135"/>
    <n v="5383615"/>
  </r>
  <r>
    <x v="48"/>
    <n v="202411"/>
    <x v="2"/>
    <x v="7"/>
    <s v="Hernán P"/>
    <s v="Daniel R"/>
    <n v="91175"/>
    <n v="5543581"/>
    <n v="60.801270833333376"/>
    <n v="0"/>
    <n v="79.5"/>
    <n v="72.5"/>
    <m/>
    <n v="0"/>
  </r>
  <r>
    <x v="24"/>
    <n v="202604"/>
    <x v="0"/>
    <x v="9"/>
    <s v="Sofía V"/>
    <s v="Joe H"/>
    <n v="91170"/>
    <n v="6091625"/>
    <n v="66.81577777777953"/>
    <n v="92753.857184476656"/>
    <n v="71"/>
    <n v="74.5"/>
    <n v="62.681117153293116"/>
    <n v="5813915"/>
  </r>
  <r>
    <x v="32"/>
    <n v="202507"/>
    <x v="1"/>
    <x v="6"/>
    <s v="Sofía V"/>
    <s v="Melany A"/>
    <n v="91153"/>
    <n v="5702562"/>
    <n v="62.560618279569887"/>
    <n v="109432.99646219518"/>
    <n v="75.5"/>
    <n v="68"/>
    <n v="52.11008219052114"/>
    <n v="6419727"/>
  </r>
  <r>
    <x v="73"/>
    <n v="202511"/>
    <x v="1"/>
    <x v="7"/>
    <s v="Fátima L"/>
    <s v="Fátima L"/>
    <n v="91151"/>
    <n v="902221"/>
    <n v="9.8980486111111112"/>
    <n v="90084.606294465208"/>
    <n v="13.5"/>
    <n v="12"/>
    <n v="10.015267059622287"/>
    <n v="1070492"/>
  </r>
  <r>
    <x v="59"/>
    <n v="202403"/>
    <x v="2"/>
    <x v="0"/>
    <s v="Sebastián S"/>
    <s v="Johanna V"/>
    <n v="91117"/>
    <n v="10511279"/>
    <n v="115.35962365591405"/>
    <n v="0"/>
    <n v="118"/>
    <n v="106"/>
    <m/>
    <n v="0"/>
  </r>
  <r>
    <x v="31"/>
    <n v="202410"/>
    <x v="2"/>
    <x v="8"/>
    <s v="Sofía V"/>
    <s v="Melany A"/>
    <n v="91073"/>
    <n v="10781401"/>
    <n v="118.38147849462364"/>
    <n v="0"/>
    <n v="99"/>
    <n v="32.5"/>
    <m/>
    <n v="0"/>
  </r>
  <r>
    <x v="60"/>
    <n v="202605"/>
    <x v="0"/>
    <x v="3"/>
    <s v="Sofía V"/>
    <s v="Melany A"/>
    <n v="91046"/>
    <n v="9929231"/>
    <n v="109.05680107526388"/>
    <n v="90889.521866791096"/>
    <n v="88.5"/>
    <n v="92.5"/>
    <n v="102.97612103755296"/>
    <n v="9359450"/>
  </r>
  <r>
    <x v="61"/>
    <n v="202603"/>
    <x v="0"/>
    <x v="0"/>
    <s v="Sofía V"/>
    <s v="Joe H"/>
    <n v="91028"/>
    <n v="3280732"/>
    <n v="36.041061827956995"/>
    <n v="70401.060935859074"/>
    <n v="41.5"/>
    <n v="35.5"/>
    <n v="37.124878906032741"/>
    <n v="2613631"/>
  </r>
  <r>
    <x v="41"/>
    <n v="202601"/>
    <x v="0"/>
    <x v="10"/>
    <s v="Sebastián S"/>
    <s v="Rodolfo O"/>
    <n v="91017"/>
    <n v="5263425"/>
    <n v="57.829032258064515"/>
    <n v="94293.154567289894"/>
    <n v="64.5"/>
    <n v="64"/>
    <n v="54.966698955874868"/>
    <n v="5182983"/>
  </r>
  <r>
    <x v="25"/>
    <n v="202411"/>
    <x v="2"/>
    <x v="7"/>
    <s v="Sebastián S"/>
    <s v="Vik E"/>
    <n v="91010"/>
    <n v="6162852"/>
    <n v="67.716055555555599"/>
    <n v="0"/>
    <n v="77"/>
    <n v="79"/>
    <m/>
    <n v="0"/>
  </r>
  <r>
    <x v="33"/>
    <n v="202501"/>
    <x v="1"/>
    <x v="10"/>
    <s v="Sofía V"/>
    <s v="José A"/>
    <n v="90992"/>
    <n v="7927205"/>
    <n v="87.119704301075174"/>
    <n v="99812.90047899817"/>
    <n v="93.5"/>
    <n v="94"/>
    <n v="79.420646749645158"/>
    <n v="7762310"/>
  </r>
  <r>
    <x v="26"/>
    <n v="202507"/>
    <x v="1"/>
    <x v="6"/>
    <s v="Sofía V"/>
    <s v="Melany A"/>
    <n v="90989"/>
    <n v="4696274"/>
    <n v="51.613568548387086"/>
    <n v="100482.44878679224"/>
    <n v="55"/>
    <n v="50.5"/>
    <n v="46.73725816500297"/>
    <n v="5244692"/>
  </r>
  <r>
    <x v="41"/>
    <n v="202511"/>
    <x v="1"/>
    <x v="7"/>
    <s v="Sebastián S"/>
    <s v="Rodolfo O"/>
    <n v="90979"/>
    <n v="5389428"/>
    <n v="59.237840277777785"/>
    <n v="86248.34444143837"/>
    <n v="64.5"/>
    <n v="64"/>
    <n v="62.48731653810885"/>
    <n v="5415909"/>
  </r>
  <r>
    <x v="79"/>
    <n v="202412"/>
    <x v="2"/>
    <x v="1"/>
    <s v="Sebastián S"/>
    <s v="Vik E"/>
    <n v="90956"/>
    <n v="7909612"/>
    <n v="86.961122311828007"/>
    <n v="0"/>
    <n v="84.5"/>
    <n v="78.5"/>
    <m/>
    <n v="0"/>
  </r>
  <r>
    <x v="35"/>
    <n v="202402"/>
    <x v="2"/>
    <x v="2"/>
    <s v="Hernán P"/>
    <s v="Daniel R"/>
    <n v="90930"/>
    <n v="10670203"/>
    <n v="117.34479166666664"/>
    <n v="0"/>
    <n v="140.5"/>
    <n v="125.5"/>
    <m/>
    <n v="0"/>
  </r>
  <r>
    <x v="55"/>
    <n v="202503"/>
    <x v="1"/>
    <x v="0"/>
    <s v="Sebastián S"/>
    <s v="Vik E"/>
    <n v="90921"/>
    <n v="5889750"/>
    <n v="64.77893145161292"/>
    <n v="104304.81918848326"/>
    <n v="69.5"/>
    <n v="59"/>
    <n v="56.466710319079034"/>
    <n v="6648608"/>
  </r>
  <r>
    <x v="28"/>
    <n v="202501"/>
    <x v="1"/>
    <x v="10"/>
    <s v="Sebastián S"/>
    <s v="Rodolfo O"/>
    <n v="90900"/>
    <n v="5074248"/>
    <n v="55.822083333333339"/>
    <n v="91381.584746206907"/>
    <n v="65.5"/>
    <n v="66"/>
    <n v="55.528125432412381"/>
    <n v="5458384"/>
  </r>
  <r>
    <x v="35"/>
    <n v="202404"/>
    <x v="2"/>
    <x v="9"/>
    <s v="Hernán P"/>
    <s v="Daniel R"/>
    <n v="90899"/>
    <n v="11420406"/>
    <n v="125.63804166666665"/>
    <n v="0"/>
    <n v="140.5"/>
    <n v="125.5"/>
    <m/>
    <n v="0"/>
  </r>
  <r>
    <x v="32"/>
    <n v="202505"/>
    <x v="1"/>
    <x v="3"/>
    <s v="Sofía V"/>
    <s v="Melany A"/>
    <n v="90873"/>
    <n v="5740738"/>
    <n v="63.173212365591411"/>
    <n v="89465.313994959215"/>
    <n v="75.5"/>
    <n v="68"/>
    <n v="64.167188529886033"/>
    <n v="5857423"/>
  </r>
  <r>
    <x v="56"/>
    <n v="202507"/>
    <x v="1"/>
    <x v="6"/>
    <s v="Sofía V"/>
    <s v="Joe H"/>
    <n v="90858"/>
    <n v="6528854"/>
    <n v="71.858104838709693"/>
    <n v="88826.481470094019"/>
    <n v="79.5"/>
    <n v="81.5"/>
    <n v="73.501207995029361"/>
    <n v="6772599"/>
  </r>
  <r>
    <x v="56"/>
    <n v="202403"/>
    <x v="2"/>
    <x v="0"/>
    <s v="Sofía V"/>
    <s v="Joe H"/>
    <n v="90828"/>
    <n v="6611669"/>
    <n v="72.793508064516104"/>
    <n v="0"/>
    <n v="79.5"/>
    <n v="81.5"/>
    <m/>
    <n v="0"/>
  </r>
  <r>
    <x v="33"/>
    <n v="202405"/>
    <x v="2"/>
    <x v="3"/>
    <s v="Sofía V"/>
    <s v="José A"/>
    <n v="90825"/>
    <n v="7822432"/>
    <n v="86.12610887096767"/>
    <n v="0"/>
    <n v="93.5"/>
    <n v="94"/>
    <m/>
    <n v="0"/>
  </r>
  <r>
    <x v="53"/>
    <n v="202508"/>
    <x v="1"/>
    <x v="5"/>
    <s v="Sebastián S"/>
    <s v="Johanna V"/>
    <n v="90823"/>
    <n v="4790414"/>
    <n v="52.744294354838708"/>
    <n v="90572.641233716335"/>
    <n v="68"/>
    <n v="60.5"/>
    <n v="52.890297387250456"/>
    <n v="5097421"/>
  </r>
  <r>
    <x v="56"/>
    <n v="202601"/>
    <x v="0"/>
    <x v="10"/>
    <s v="Sofía V"/>
    <s v="Joe H"/>
    <n v="90802"/>
    <n v="6226452"/>
    <n v="68.57200940860217"/>
    <n v="98922.465408194199"/>
    <n v="79.5"/>
    <n v="81.5"/>
    <n v="68.773296674593993"/>
    <n v="6803224"/>
  </r>
  <r>
    <x v="47"/>
    <n v="202508"/>
    <x v="1"/>
    <x v="5"/>
    <s v="Sebastián S"/>
    <s v="Vik E"/>
    <n v="90770"/>
    <n v="4398411"/>
    <n v="48.456700268817215"/>
    <n v="86839.599080305357"/>
    <n v="61.5"/>
    <n v="48.5"/>
    <n v="50.649825616220859"/>
    <n v="4798846"/>
  </r>
  <r>
    <x v="32"/>
    <n v="202403"/>
    <x v="2"/>
    <x v="0"/>
    <s v="Sofía V"/>
    <s v="Melany A"/>
    <n v="90768"/>
    <n v="6705127"/>
    <n v="73.870698924731215"/>
    <n v="0"/>
    <n v="75.5"/>
    <n v="68"/>
    <m/>
    <n v="0"/>
  </r>
  <r>
    <x v="33"/>
    <n v="202402"/>
    <x v="2"/>
    <x v="2"/>
    <s v="Sofía V"/>
    <s v="José A"/>
    <n v="90762"/>
    <n v="7353139"/>
    <n v="81.015344827586205"/>
    <n v="0"/>
    <n v="93.5"/>
    <n v="94"/>
    <m/>
    <n v="0"/>
  </r>
  <r>
    <x v="55"/>
    <n v="202603"/>
    <x v="0"/>
    <x v="0"/>
    <s v="Sebastián S"/>
    <s v="Vik E"/>
    <n v="90735"/>
    <n v="5387484"/>
    <n v="59.375712365591404"/>
    <n v="99780.262864671109"/>
    <n v="69.5"/>
    <n v="59"/>
    <n v="57.926444284268129"/>
    <n v="5779916"/>
  </r>
  <r>
    <x v="22"/>
    <n v="202401"/>
    <x v="2"/>
    <x v="10"/>
    <s v="Sebastián S"/>
    <s v="Johanna V"/>
    <n v="90713"/>
    <n v="8616852"/>
    <n v="94.990376344085988"/>
    <n v="0"/>
    <n v="104.5"/>
    <n v="99"/>
    <m/>
    <n v="0"/>
  </r>
  <r>
    <x v="28"/>
    <n v="202504"/>
    <x v="1"/>
    <x v="9"/>
    <s v="Sebastián S"/>
    <s v="Rodolfo O"/>
    <n v="90688"/>
    <n v="5193865"/>
    <n v="57.271763888888877"/>
    <n v="81205.062719238456"/>
    <n v="65.5"/>
    <n v="66"/>
    <n v="63.959872649288783"/>
    <n v="5540049"/>
  </r>
  <r>
    <x v="32"/>
    <n v="202504"/>
    <x v="1"/>
    <x v="9"/>
    <s v="Sofía V"/>
    <s v="Melany A"/>
    <n v="90685"/>
    <n v="5761791"/>
    <n v="63.536083333333345"/>
    <n v="82054.323803662366"/>
    <n v="75.5"/>
    <n v="68"/>
    <n v="70.219220303206384"/>
    <n v="5905438"/>
  </r>
  <r>
    <x v="36"/>
    <n v="202411"/>
    <x v="2"/>
    <x v="7"/>
    <s v="Sebastián S"/>
    <s v="Rodolfo O"/>
    <n v="90678"/>
    <n v="6308138"/>
    <n v="69.566291666666686"/>
    <n v="0"/>
    <n v="81"/>
    <n v="77"/>
    <m/>
    <n v="0"/>
  </r>
  <r>
    <x v="80"/>
    <n v="202512"/>
    <x v="1"/>
    <x v="1"/>
    <s v="Fátima L"/>
    <s v="Fátima L"/>
    <n v="90640"/>
    <n v="765041"/>
    <n v="8.4404569892473038"/>
    <n v="80544.47115796787"/>
    <n v="10"/>
    <n v="9"/>
    <n v="9.4983648039548694"/>
    <n v="884020"/>
  </r>
  <r>
    <x v="40"/>
    <n v="202601"/>
    <x v="0"/>
    <x v="10"/>
    <s v="Sebastián S"/>
    <s v="Johanna V"/>
    <n v="90621"/>
    <n v="8816959"/>
    <n v="97.294401881720404"/>
    <n v="107714.56035029294"/>
    <n v="106"/>
    <n v="102.5"/>
    <n v="90.060822135394957"/>
    <n v="9700862"/>
  </r>
  <r>
    <x v="65"/>
    <n v="202504"/>
    <x v="1"/>
    <x v="9"/>
    <s v="Sebastián S"/>
    <s v="Johanna V"/>
    <n v="90596"/>
    <n v="7750847"/>
    <n v="85.554388888888894"/>
    <n v="92254.767196952744"/>
    <n v="103"/>
    <n v="91"/>
    <n v="84.015683042729691"/>
    <n v="8459158"/>
  </r>
  <r>
    <x v="49"/>
    <n v="202509"/>
    <x v="1"/>
    <x v="4"/>
    <s v="Sebastián S"/>
    <s v="Vik E"/>
    <n v="90587"/>
    <n v="4355275"/>
    <n v="48.078479166666668"/>
    <n v="82909.125166953352"/>
    <n v="66"/>
    <n v="64.5"/>
    <n v="52.530706375562673"/>
    <n v="5269188"/>
  </r>
  <r>
    <x v="81"/>
    <n v="202512"/>
    <x v="1"/>
    <x v="1"/>
    <s v="Fátima L"/>
    <s v="Fátima L"/>
    <n v="90561"/>
    <n v="926054"/>
    <n v="10.22573924731182"/>
    <n v="86079.5674711803"/>
    <n v="11.5"/>
    <n v="12"/>
    <n v="10.758110864230879"/>
    <n v="1147737"/>
  </r>
  <r>
    <x v="48"/>
    <n v="202405"/>
    <x v="2"/>
    <x v="3"/>
    <s v="Hernán P"/>
    <s v="Daniel R"/>
    <n v="90525"/>
    <n v="5925176"/>
    <n v="65.453198924731154"/>
    <n v="0"/>
    <n v="79.5"/>
    <n v="72.5"/>
    <m/>
    <n v="0"/>
  </r>
  <r>
    <x v="29"/>
    <n v="202404"/>
    <x v="2"/>
    <x v="9"/>
    <s v="Sebastián S"/>
    <s v="Vik E"/>
    <n v="90489"/>
    <n v="6398985"/>
    <n v="70.715701388888931"/>
    <n v="0"/>
    <n v="76.5"/>
    <n v="75.5"/>
    <m/>
    <n v="0"/>
  </r>
  <r>
    <x v="12"/>
    <n v="202502"/>
    <x v="1"/>
    <x v="2"/>
    <s v="Sofía V"/>
    <s v="Melany A"/>
    <n v="90420"/>
    <n v="8383686"/>
    <n v="92.719635416666662"/>
    <n v="100093.74612634798"/>
    <n v="96.5"/>
    <n v="94"/>
    <n v="83.758337303284719"/>
    <n v="8684620"/>
  </r>
  <r>
    <x v="48"/>
    <n v="202410"/>
    <x v="2"/>
    <x v="8"/>
    <s v="Hernán P"/>
    <s v="Daniel R"/>
    <n v="90409"/>
    <n v="5422998"/>
    <n v="59.982708333333328"/>
    <n v="0"/>
    <n v="79.5"/>
    <n v="72.5"/>
    <m/>
    <n v="0"/>
  </r>
  <r>
    <x v="38"/>
    <n v="202412"/>
    <x v="2"/>
    <x v="1"/>
    <s v="Sofía V"/>
    <s v="Melany A"/>
    <n v="90408"/>
    <n v="5285748"/>
    <n v="58.465430107526892"/>
    <n v="0"/>
    <n v="56"/>
    <n v="60"/>
    <m/>
    <n v="0"/>
  </r>
  <r>
    <x v="45"/>
    <n v="202508"/>
    <x v="1"/>
    <x v="5"/>
    <s v="Sofía V"/>
    <s v="Joe H"/>
    <n v="90382"/>
    <n v="5526164"/>
    <n v="61.142600806451611"/>
    <n v="91356.373018865343"/>
    <n v="68"/>
    <n v="68.5"/>
    <n v="60.490184509172998"/>
    <n v="5364972"/>
  </r>
  <r>
    <x v="63"/>
    <n v="202508"/>
    <x v="1"/>
    <x v="5"/>
    <s v="Sebastián S"/>
    <s v="Johanna V"/>
    <n v="90380"/>
    <n v="8625038"/>
    <n v="95.430793010752708"/>
    <n v="96890.448795507575"/>
    <n v="123"/>
    <n v="115.5"/>
    <n v="89.01844957085089"/>
    <n v="9415952"/>
  </r>
  <r>
    <x v="36"/>
    <n v="202405"/>
    <x v="2"/>
    <x v="3"/>
    <s v="Sebastián S"/>
    <s v="Rodolfo O"/>
    <n v="90378"/>
    <n v="6529164"/>
    <n v="72.242446236559132"/>
    <n v="0"/>
    <n v="81"/>
    <n v="77"/>
    <m/>
    <n v="0"/>
  </r>
  <r>
    <x v="65"/>
    <n v="202407"/>
    <x v="2"/>
    <x v="6"/>
    <s v="Sebastián S"/>
    <s v="Johanna V"/>
    <n v="90337"/>
    <n v="8049825"/>
    <n v="89.10868279569894"/>
    <n v="0"/>
    <n v="103"/>
    <n v="91"/>
    <m/>
    <n v="0"/>
  </r>
  <r>
    <x v="32"/>
    <n v="202605"/>
    <x v="0"/>
    <x v="3"/>
    <s v="Sofía V"/>
    <s v="Melany A"/>
    <n v="90325"/>
    <n v="5573921"/>
    <n v="61.70946908602194"/>
    <n v="88914.581187183518"/>
    <n v="75.5"/>
    <n v="68"/>
    <n v="66.56902434528007"/>
    <n v="5918957"/>
  </r>
  <r>
    <x v="19"/>
    <n v="202408"/>
    <x v="2"/>
    <x v="5"/>
    <s v="Sofía V"/>
    <s v="Joe H"/>
    <n v="90319"/>
    <n v="4597157"/>
    <n v="50.899126344086007"/>
    <n v="0"/>
    <n v="57.5"/>
    <n v="56.5"/>
    <m/>
    <n v="0"/>
  </r>
  <r>
    <x v="25"/>
    <n v="202402"/>
    <x v="2"/>
    <x v="2"/>
    <s v="Sebastián S"/>
    <s v="Vik E"/>
    <n v="90285"/>
    <n v="5771877"/>
    <n v="63.929762931034482"/>
    <n v="0"/>
    <n v="77"/>
    <n v="79"/>
    <m/>
    <n v="0"/>
  </r>
  <r>
    <x v="35"/>
    <n v="202407"/>
    <x v="2"/>
    <x v="6"/>
    <s v="Hernán P"/>
    <s v="Daniel R"/>
    <n v="90284"/>
    <n v="11106235"/>
    <n v="123.01455645161276"/>
    <n v="0"/>
    <n v="140.5"/>
    <n v="125.5"/>
    <m/>
    <n v="0"/>
  </r>
  <r>
    <x v="49"/>
    <n v="202604"/>
    <x v="0"/>
    <x v="9"/>
    <s v="Sebastián S"/>
    <s v="Vik E"/>
    <n v="90275"/>
    <n v="4908748"/>
    <n v="54.375756944444881"/>
    <n v="86831.32274498776"/>
    <n v="66"/>
    <n v="64.5"/>
    <n v="56.772923994003754"/>
    <n v="4929668"/>
  </r>
  <r>
    <x v="4"/>
    <n v="202404"/>
    <x v="2"/>
    <x v="9"/>
    <s v="Sofía V"/>
    <s v="José A"/>
    <n v="90273"/>
    <n v="9417222"/>
    <n v="104.31973611111108"/>
    <n v="0"/>
    <n v="107.5"/>
    <n v="102.5"/>
    <m/>
    <n v="0"/>
  </r>
  <r>
    <x v="22"/>
    <n v="202509"/>
    <x v="1"/>
    <x v="4"/>
    <s v="Sebastián S"/>
    <s v="Johanna V"/>
    <n v="90241"/>
    <n v="8158286"/>
    <n v="90.40572916666666"/>
    <n v="94262.109240230464"/>
    <n v="104.5"/>
    <n v="99"/>
    <n v="86.548944382395561"/>
    <n v="8792977"/>
  </r>
  <r>
    <x v="19"/>
    <n v="202502"/>
    <x v="1"/>
    <x v="2"/>
    <s v="Sofía V"/>
    <s v="Joe H"/>
    <n v="90235"/>
    <n v="4919073"/>
    <n v="54.513906249999991"/>
    <n v="89937.754323040921"/>
    <n v="57.5"/>
    <n v="56.5"/>
    <n v="54.694190410086712"/>
    <n v="4553872"/>
  </r>
  <r>
    <x v="41"/>
    <n v="202602"/>
    <x v="0"/>
    <x v="2"/>
    <s v="Sebastián S"/>
    <s v="Rodolfo O"/>
    <n v="90226"/>
    <n v="5208573"/>
    <n v="57.728281250000009"/>
    <n v="91811.160816682459"/>
    <n v="64.5"/>
    <n v="64"/>
    <n v="54.966698955874868"/>
    <n v="5046556"/>
  </r>
  <r>
    <x v="24"/>
    <n v="202605"/>
    <x v="0"/>
    <x v="3"/>
    <s v="Sofía V"/>
    <s v="Joe H"/>
    <n v="90223"/>
    <n v="5973842"/>
    <n v="66.212049731183086"/>
    <n v="95487.159889994873"/>
    <n v="71"/>
    <n v="74.5"/>
    <n v="62.681117153293116"/>
    <n v="5985242"/>
  </r>
  <r>
    <x v="28"/>
    <n v="202502"/>
    <x v="1"/>
    <x v="2"/>
    <s v="Sebastián S"/>
    <s v="Rodolfo O"/>
    <n v="90197"/>
    <n v="5420739"/>
    <n v="60.098593749999992"/>
    <n v="91687.954506974638"/>
    <n v="65.5"/>
    <n v="66"/>
    <n v="59.121603695364882"/>
    <n v="5510414"/>
  </r>
  <r>
    <x v="52"/>
    <n v="202505"/>
    <x v="1"/>
    <x v="3"/>
    <s v="Sebastián S"/>
    <s v="Vik E"/>
    <n v="90185"/>
    <n v="6472697"/>
    <n v="71.771263440860196"/>
    <n v="84062.427903354095"/>
    <n v="80"/>
    <n v="78"/>
    <n v="76.998691108964977"/>
    <n v="6593349"/>
  </r>
  <r>
    <x v="21"/>
    <n v="202408"/>
    <x v="2"/>
    <x v="5"/>
    <s v="Sebastián S"/>
    <s v="Rodolfo O"/>
    <n v="90176"/>
    <n v="7029024"/>
    <n v="77.948151881720463"/>
    <n v="0"/>
    <n v="84.5"/>
    <n v="86.5"/>
    <m/>
    <n v="0"/>
  </r>
  <r>
    <x v="23"/>
    <n v="202507"/>
    <x v="1"/>
    <x v="6"/>
    <s v="Sebastián S"/>
    <s v="Rodolfo O"/>
    <n v="90144"/>
    <n v="7964007"/>
    <n v="88.347150537634434"/>
    <n v="100415.82730695815"/>
    <n v="94.5"/>
    <n v="97"/>
    <n v="79.310281093985921"/>
    <n v="8986765"/>
  </r>
  <r>
    <x v="43"/>
    <n v="202403"/>
    <x v="2"/>
    <x v="0"/>
    <s v="Sofía V"/>
    <s v="José A"/>
    <n v="90095"/>
    <n v="3063242"/>
    <n v="34.000147849462358"/>
    <n v="0"/>
    <n v="32.5"/>
    <n v="32"/>
    <m/>
    <n v="0"/>
  </r>
  <r>
    <x v="39"/>
    <n v="202606"/>
    <x v="0"/>
    <x v="11"/>
    <s v="Sofía V"/>
    <s v="Melany A"/>
    <n v="90082"/>
    <n v="4853515"/>
    <n v="53.878999999999991"/>
    <n v="82247.775271087026"/>
    <n v="60.5"/>
    <n v="60.5"/>
    <n v="53.343390369396616"/>
    <n v="4387375"/>
  </r>
  <r>
    <x v="49"/>
    <n v="202508"/>
    <x v="1"/>
    <x v="5"/>
    <s v="Sebastián S"/>
    <s v="Vik E"/>
    <n v="90078"/>
    <n v="4671109"/>
    <n v="51.856545698924727"/>
    <n v="85144.686138207675"/>
    <n v="66"/>
    <n v="64.5"/>
    <n v="54.860845718754646"/>
    <n v="5312082"/>
  </r>
  <r>
    <x v="10"/>
    <n v="202510"/>
    <x v="1"/>
    <x v="8"/>
    <s v="Sofía V"/>
    <s v="Melany A"/>
    <n v="90058"/>
    <n v="8949986"/>
    <n v="99.379959677419393"/>
    <n v="91498.478985008071"/>
    <n v="125"/>
    <n v="118.5"/>
    <n v="97.815683487661516"/>
    <n v="9670322"/>
  </r>
  <r>
    <x v="36"/>
    <n v="202506"/>
    <x v="1"/>
    <x v="11"/>
    <s v="Sebastián S"/>
    <s v="Rodolfo O"/>
    <n v="89997"/>
    <n v="6103751"/>
    <n v="67.821784722222191"/>
    <n v="104907.64852803954"/>
    <n v="81"/>
    <n v="77"/>
    <n v="58.182137867370081"/>
    <n v="7067718"/>
  </r>
  <r>
    <x v="52"/>
    <n v="202508"/>
    <x v="1"/>
    <x v="5"/>
    <s v="Sebastián S"/>
    <s v="Vik E"/>
    <n v="89994"/>
    <n v="6212410"/>
    <n v="69.031196236559154"/>
    <n v="90326.073414591679"/>
    <n v="80"/>
    <n v="78"/>
    <n v="68.777596823957794"/>
    <n v="6627923"/>
  </r>
  <r>
    <x v="37"/>
    <n v="202406"/>
    <x v="2"/>
    <x v="11"/>
    <s v="Sofía V"/>
    <s v="Melany A"/>
    <n v="89966"/>
    <n v="5455126"/>
    <n v="60.635555555555563"/>
    <n v="0"/>
    <n v="72.5"/>
    <n v="68.5"/>
    <m/>
    <n v="0"/>
  </r>
  <r>
    <x v="59"/>
    <n v="202505"/>
    <x v="1"/>
    <x v="3"/>
    <s v="Sebastián S"/>
    <s v="Johanna V"/>
    <n v="89956"/>
    <n v="9364853"/>
    <n v="104.10486559139784"/>
    <n v="88925.776042350364"/>
    <n v="118"/>
    <n v="106"/>
    <n v="105.31089091131518"/>
    <n v="10093724"/>
  </r>
  <r>
    <x v="24"/>
    <n v="202602"/>
    <x v="0"/>
    <x v="2"/>
    <s v="Sofía V"/>
    <s v="Joe H"/>
    <n v="89945"/>
    <n v="5940355"/>
    <n v="66.044062499999995"/>
    <n v="90512.940707884787"/>
    <n v="71"/>
    <n v="74.5"/>
    <n v="62.681117153293116"/>
    <n v="5673452"/>
  </r>
  <r>
    <x v="45"/>
    <n v="202403"/>
    <x v="2"/>
    <x v="0"/>
    <s v="Sofía V"/>
    <s v="Joe H"/>
    <n v="89935"/>
    <n v="5510723"/>
    <n v="61.274180107526895"/>
    <n v="0"/>
    <n v="68"/>
    <n v="68.5"/>
    <m/>
    <n v="0"/>
  </r>
  <r>
    <x v="27"/>
    <n v="202510"/>
    <x v="1"/>
    <x v="8"/>
    <s v="Sofía V"/>
    <s v="Joe H"/>
    <n v="89932"/>
    <n v="4814160"/>
    <n v="53.530994623655907"/>
    <n v="80384.646324073532"/>
    <n v="62"/>
    <n v="58"/>
    <n v="59.889046604640704"/>
    <n v="4875096"/>
  </r>
  <r>
    <x v="73"/>
    <n v="202510"/>
    <x v="1"/>
    <x v="8"/>
    <s v="Fátima L"/>
    <s v="Fátima L"/>
    <n v="89932"/>
    <n v="841465"/>
    <n v="9.3567137096774182"/>
    <n v="87529.393666641816"/>
    <n v="13.5"/>
    <n v="12"/>
    <n v="9.6135144407002713"/>
    <n v="1060409"/>
  </r>
  <r>
    <x v="8"/>
    <n v="202409"/>
    <x v="2"/>
    <x v="4"/>
    <s v="Sebastián S"/>
    <s v="Vik E"/>
    <n v="89931"/>
    <n v="7036910"/>
    <n v="78.247944444444443"/>
    <n v="0"/>
    <n v="88"/>
    <n v="84"/>
    <m/>
    <n v="0"/>
  </r>
  <r>
    <x v="65"/>
    <n v="202501"/>
    <x v="1"/>
    <x v="10"/>
    <s v="Sebastián S"/>
    <s v="Johanna V"/>
    <n v="89848"/>
    <n v="7827389"/>
    <n v="87.117963709677383"/>
    <n v="101606.1070562688"/>
    <n v="103"/>
    <n v="91"/>
    <n v="77.036602688313266"/>
    <n v="8170173"/>
  </r>
  <r>
    <x v="32"/>
    <n v="202508"/>
    <x v="1"/>
    <x v="5"/>
    <s v="Sofía V"/>
    <s v="Melany A"/>
    <n v="89836"/>
    <n v="5224448"/>
    <n v="58.155134408602159"/>
    <n v="99466.197420985569"/>
    <n v="75.5"/>
    <n v="68"/>
    <n v="52.52485754419456"/>
    <n v="5739501"/>
  </r>
  <r>
    <x v="22"/>
    <n v="202409"/>
    <x v="2"/>
    <x v="4"/>
    <s v="Sebastián S"/>
    <s v="Johanna V"/>
    <n v="89773"/>
    <n v="8123613"/>
    <n v="90.49016666666671"/>
    <n v="0"/>
    <n v="104.5"/>
    <n v="99"/>
    <m/>
    <n v="0"/>
  </r>
  <r>
    <x v="12"/>
    <n v="202410"/>
    <x v="2"/>
    <x v="8"/>
    <s v="Sofía V"/>
    <s v="Melany A"/>
    <n v="89734"/>
    <n v="7587773"/>
    <n v="84.55896505376343"/>
    <n v="0"/>
    <n v="96.5"/>
    <n v="94"/>
    <m/>
    <n v="0"/>
  </r>
  <r>
    <x v="40"/>
    <n v="202408"/>
    <x v="2"/>
    <x v="5"/>
    <s v="Sebastián S"/>
    <s v="Johanna V"/>
    <n v="89719"/>
    <n v="8982564"/>
    <n v="100.11848790322584"/>
    <n v="0"/>
    <n v="106"/>
    <n v="102.5"/>
    <m/>
    <n v="0"/>
  </r>
  <r>
    <x v="24"/>
    <n v="202405"/>
    <x v="2"/>
    <x v="3"/>
    <s v="Sofía V"/>
    <s v="Joe H"/>
    <n v="89715"/>
    <n v="5686445"/>
    <n v="63.383400537634401"/>
    <n v="0"/>
    <n v="71"/>
    <n v="74.5"/>
    <m/>
    <n v="0"/>
  </r>
  <r>
    <x v="52"/>
    <n v="202502"/>
    <x v="1"/>
    <x v="2"/>
    <s v="Sebastián S"/>
    <s v="Vik E"/>
    <n v="89715"/>
    <n v="5995508"/>
    <n v="66.828437500000021"/>
    <n v="80575.531252107205"/>
    <n v="80"/>
    <n v="78"/>
    <n v="74.408542603846698"/>
    <n v="6033261"/>
  </r>
  <r>
    <x v="39"/>
    <n v="202604"/>
    <x v="0"/>
    <x v="9"/>
    <s v="Sofía V"/>
    <s v="Melany A"/>
    <n v="89713"/>
    <n v="4686481"/>
    <n v="52.238715277778311"/>
    <n v="88316.642593883371"/>
    <n v="60.5"/>
    <n v="60.5"/>
    <n v="53.343390369396616"/>
    <n v="4711109"/>
  </r>
  <r>
    <x v="26"/>
    <n v="202410"/>
    <x v="2"/>
    <x v="8"/>
    <s v="Sofía V"/>
    <s v="Melany A"/>
    <n v="89707"/>
    <n v="4453921"/>
    <n v="49.64966397849463"/>
    <n v="0"/>
    <n v="55"/>
    <n v="50.5"/>
    <m/>
    <n v="0"/>
  </r>
  <r>
    <x v="3"/>
    <n v="202502"/>
    <x v="1"/>
    <x v="2"/>
    <s v="Sebastián S"/>
    <s v="Rodolfo O"/>
    <n v="89673"/>
    <n v="7783095"/>
    <n v="86.793906249999992"/>
    <n v="83930.022370775347"/>
    <n v="98.5"/>
    <n v="96.5"/>
    <n v="92.733148164989572"/>
    <n v="9579922"/>
  </r>
  <r>
    <x v="73"/>
    <n v="202601"/>
    <x v="0"/>
    <x v="10"/>
    <s v="Fátima L"/>
    <s v="Fátima L"/>
    <n v="89639"/>
    <n v="909841"/>
    <n v="10.150094086021507"/>
    <n v="90012.555732584849"/>
    <n v="13.5"/>
    <n v="12"/>
    <n v="11.788780293634797"/>
    <n v="1061138"/>
  </r>
  <r>
    <x v="57"/>
    <n v="202403"/>
    <x v="2"/>
    <x v="0"/>
    <s v="Hernán P"/>
    <s v="Daniel R"/>
    <n v="89634"/>
    <n v="4865753"/>
    <n v="54.28452956989247"/>
    <n v="0"/>
    <n v="53.5"/>
    <n v="52"/>
    <m/>
    <n v="0"/>
  </r>
  <r>
    <x v="50"/>
    <n v="202407"/>
    <x v="2"/>
    <x v="6"/>
    <s v="Sebastián S"/>
    <s v="Vik E"/>
    <n v="89617"/>
    <n v="6922140"/>
    <n v="77.241330645161284"/>
    <n v="0"/>
    <n v="75.5"/>
    <n v="74"/>
    <m/>
    <n v="0"/>
  </r>
  <r>
    <x v="59"/>
    <n v="202411"/>
    <x v="2"/>
    <x v="7"/>
    <s v="Sebastián S"/>
    <s v="Johanna V"/>
    <n v="89615"/>
    <n v="9407264"/>
    <n v="104.97379861111111"/>
    <n v="0"/>
    <n v="118"/>
    <n v="106"/>
    <m/>
    <n v="0"/>
  </r>
  <r>
    <x v="4"/>
    <n v="202506"/>
    <x v="1"/>
    <x v="11"/>
    <s v="Sofía V"/>
    <s v="José A"/>
    <n v="89614"/>
    <n v="8961782"/>
    <n v="100.0042361111111"/>
    <n v="101218.43426737978"/>
    <n v="107.5"/>
    <n v="102.5"/>
    <n v="88.539026955568758"/>
    <n v="9985463"/>
  </r>
  <r>
    <x v="65"/>
    <n v="202405"/>
    <x v="2"/>
    <x v="3"/>
    <s v="Sebastián S"/>
    <s v="Johanna V"/>
    <n v="89612"/>
    <n v="7848795"/>
    <n v="87.586700268817154"/>
    <n v="0"/>
    <n v="103"/>
    <n v="91"/>
    <m/>
    <n v="0"/>
  </r>
  <r>
    <x v="61"/>
    <n v="202511"/>
    <x v="1"/>
    <x v="7"/>
    <s v="Sofía V"/>
    <s v="Joe H"/>
    <n v="89602"/>
    <n v="2809285"/>
    <n v="31.352805555555555"/>
    <n v="74617.652906531745"/>
    <n v="41.5"/>
    <n v="35.5"/>
    <n v="37.649069497254132"/>
    <n v="2190596"/>
  </r>
  <r>
    <x v="79"/>
    <n v="202512"/>
    <x v="1"/>
    <x v="1"/>
    <s v="Sebastián S"/>
    <s v="Vik E"/>
    <n v="89591"/>
    <n v="7378671"/>
    <n v="82.359657258064416"/>
    <n v="95503.514912322891"/>
    <n v="84.5"/>
    <n v="78.5"/>
    <n v="77.260725605481611"/>
    <n v="7937628"/>
  </r>
  <r>
    <x v="29"/>
    <n v="202507"/>
    <x v="1"/>
    <x v="6"/>
    <s v="Sebastián S"/>
    <s v="Vik E"/>
    <n v="89560"/>
    <n v="6141771"/>
    <n v="68.577466397849477"/>
    <n v="112422.17353278089"/>
    <n v="76.5"/>
    <n v="75.5"/>
    <n v="54.631314775364451"/>
    <n v="7144633"/>
  </r>
  <r>
    <x v="48"/>
    <n v="202506"/>
    <x v="1"/>
    <x v="11"/>
    <s v="Hernán P"/>
    <s v="Daniel R"/>
    <n v="89553"/>
    <n v="5710411"/>
    <n v="63.765576388888881"/>
    <n v="95993.411439896227"/>
    <n v="79.5"/>
    <n v="72.5"/>
    <n v="59.487526949445119"/>
    <n v="6134700"/>
  </r>
  <r>
    <x v="52"/>
    <n v="202501"/>
    <x v="1"/>
    <x v="10"/>
    <s v="Sebastián S"/>
    <s v="Vik E"/>
    <n v="89552"/>
    <n v="6151557"/>
    <n v="68.692204301075265"/>
    <n v="88441.033693215635"/>
    <n v="80"/>
    <n v="78"/>
    <n v="69.555463715389493"/>
    <n v="6457196"/>
  </r>
  <r>
    <x v="22"/>
    <n v="202405"/>
    <x v="2"/>
    <x v="3"/>
    <s v="Sebastián S"/>
    <s v="Johanna V"/>
    <n v="89549"/>
    <n v="8771428"/>
    <n v="97.951686827956976"/>
    <n v="0"/>
    <n v="104.5"/>
    <n v="99"/>
    <m/>
    <n v="0"/>
  </r>
  <r>
    <x v="36"/>
    <n v="202402"/>
    <x v="2"/>
    <x v="2"/>
    <s v="Sebastián S"/>
    <s v="Rodolfo O"/>
    <n v="89541"/>
    <n v="6490839"/>
    <n v="72.489777298850584"/>
    <n v="0"/>
    <n v="81"/>
    <n v="77"/>
    <m/>
    <n v="0"/>
  </r>
  <r>
    <x v="72"/>
    <n v="202503"/>
    <x v="1"/>
    <x v="0"/>
    <s v="Sebastián S"/>
    <s v="Vik E"/>
    <n v="89515"/>
    <n v="6350866"/>
    <n v="70.94768145161288"/>
    <n v="86639.436176340459"/>
    <n v="79.5"/>
    <n v="67"/>
    <n v="73.302254034454322"/>
    <n v="6279082"/>
  </r>
  <r>
    <x v="53"/>
    <n v="202511"/>
    <x v="1"/>
    <x v="7"/>
    <s v="Sebastián S"/>
    <s v="Johanna V"/>
    <n v="89512"/>
    <n v="5233223"/>
    <n v="58.463854166666664"/>
    <n v="84227.157732814376"/>
    <n v="68"/>
    <n v="60.5"/>
    <n v="62.13225248085476"/>
    <n v="5720280"/>
  </r>
  <r>
    <x v="19"/>
    <n v="202401"/>
    <x v="2"/>
    <x v="10"/>
    <s v="Sofía V"/>
    <s v="Joe H"/>
    <n v="89511"/>
    <n v="4582277"/>
    <n v="51.192157258064505"/>
    <n v="0"/>
    <n v="57.5"/>
    <n v="56.5"/>
    <m/>
    <n v="0"/>
  </r>
  <r>
    <x v="16"/>
    <n v="202409"/>
    <x v="2"/>
    <x v="4"/>
    <s v="Sofía V"/>
    <s v="José A"/>
    <n v="89484"/>
    <n v="5221266"/>
    <n v="58.348500000000016"/>
    <n v="0"/>
    <n v="64"/>
    <n v="67"/>
    <m/>
    <n v="0"/>
  </r>
  <r>
    <x v="24"/>
    <n v="202507"/>
    <x v="1"/>
    <x v="6"/>
    <s v="Sofía V"/>
    <s v="Joe H"/>
    <n v="89474"/>
    <n v="5650099"/>
    <n v="63.147715053763449"/>
    <n v="105982.18280995172"/>
    <n v="71"/>
    <n v="74.5"/>
    <n v="53.311783643216835"/>
    <n v="6716653"/>
  </r>
  <r>
    <x v="13"/>
    <n v="202411"/>
    <x v="2"/>
    <x v="7"/>
    <s v="Sebastián S"/>
    <s v="Rodolfo O"/>
    <n v="89453"/>
    <n v="6231313"/>
    <n v="69.660159722222204"/>
    <n v="0"/>
    <n v="78"/>
    <n v="74.5"/>
    <m/>
    <n v="0"/>
  </r>
  <r>
    <x v="62"/>
    <n v="202501"/>
    <x v="1"/>
    <x v="10"/>
    <s v="Sebastián S"/>
    <s v="Vik E"/>
    <n v="89440"/>
    <n v="4827976"/>
    <n v="53.980114247311825"/>
    <n v="83963.412358594156"/>
    <n v="65"/>
    <n v="67.5"/>
    <n v="57.500944928018136"/>
    <n v="4755550"/>
  </r>
  <r>
    <x v="73"/>
    <n v="202604"/>
    <x v="0"/>
    <x v="9"/>
    <s v="Fátima L"/>
    <s v="Fátima L"/>
    <n v="89430"/>
    <n v="864911"/>
    <n v="9.6714236111111163"/>
    <n v="73571.915872272235"/>
    <n v="13.5"/>
    <n v="12"/>
    <n v="11.788780293634797"/>
    <n v="867323"/>
  </r>
  <r>
    <x v="19"/>
    <n v="202507"/>
    <x v="1"/>
    <x v="6"/>
    <s v="Sofía V"/>
    <s v="Joe H"/>
    <n v="89418"/>
    <n v="4713655"/>
    <n v="52.714892473118262"/>
    <n v="95899.699048585069"/>
    <n v="57.5"/>
    <n v="56.5"/>
    <n v="49.151922547869013"/>
    <n v="4908714"/>
  </r>
  <r>
    <x v="48"/>
    <n v="202502"/>
    <x v="1"/>
    <x v="2"/>
    <s v="Hernán P"/>
    <s v="Daniel R"/>
    <n v="89334"/>
    <n v="5397340"/>
    <n v="60.417656250000007"/>
    <n v="85041.170618933349"/>
    <n v="79.5"/>
    <n v="72.5"/>
    <n v="63.467381513188492"/>
    <n v="5481427"/>
  </r>
  <r>
    <x v="11"/>
    <n v="202602"/>
    <x v="0"/>
    <x v="2"/>
    <s v="Sofía V"/>
    <s v="José A"/>
    <n v="89316"/>
    <n v="6432948"/>
    <n v="72.024687499999999"/>
    <n v="111276.42485808405"/>
    <n v="86.5"/>
    <n v="81.5"/>
    <n v="76.26782259426129"/>
    <n v="8486811"/>
  </r>
  <r>
    <x v="77"/>
    <n v="202504"/>
    <x v="1"/>
    <x v="9"/>
    <s v="Fátima L"/>
    <s v="Fátima L"/>
    <n v="89315"/>
    <n v="1000023"/>
    <n v="11.196597222222225"/>
    <n v="62960.405917186406"/>
    <n v="17"/>
    <n v="13.5"/>
    <n v="15.883362971251465"/>
    <n v="1104646"/>
  </r>
  <r>
    <x v="58"/>
    <n v="202511"/>
    <x v="1"/>
    <x v="7"/>
    <s v="Sebastián S"/>
    <s v="Rodolfo O"/>
    <n v="89267"/>
    <n v="4726245"/>
    <n v="52.945229166666692"/>
    <n v="85082.982803407271"/>
    <n v="66.5"/>
    <n v="63.5"/>
    <n v="55.548654787061963"/>
    <n v="4875858"/>
  </r>
  <r>
    <x v="67"/>
    <n v="202603"/>
    <x v="0"/>
    <x v="0"/>
    <s v="Hernán P"/>
    <s v="Daniel R"/>
    <n v="89209"/>
    <n v="1236118"/>
    <n v="13.856471774193544"/>
    <n v="89093.964351180693"/>
    <n v="15.5"/>
    <n v="14.5"/>
    <n v="13.971887755419019"/>
    <n v="1244811"/>
  </r>
  <r>
    <x v="59"/>
    <n v="202410"/>
    <x v="2"/>
    <x v="8"/>
    <s v="Sebastián S"/>
    <s v="Johanna V"/>
    <n v="89206"/>
    <n v="9117490"/>
    <n v="102.20691532258061"/>
    <n v="0"/>
    <n v="118"/>
    <n v="106"/>
    <m/>
    <n v="0"/>
  </r>
  <r>
    <x v="29"/>
    <n v="202405"/>
    <x v="2"/>
    <x v="3"/>
    <s v="Sebastián S"/>
    <s v="Vik E"/>
    <n v="89175"/>
    <n v="6167177"/>
    <n v="69.158024193548414"/>
    <n v="0"/>
    <n v="76.5"/>
    <n v="75.5"/>
    <m/>
    <n v="0"/>
  </r>
  <r>
    <x v="39"/>
    <n v="202511"/>
    <x v="1"/>
    <x v="7"/>
    <s v="Sofía V"/>
    <s v="Melany A"/>
    <n v="89152"/>
    <n v="4710518"/>
    <n v="52.83716666666669"/>
    <n v="75332.840128254815"/>
    <n v="60.5"/>
    <n v="60.5"/>
    <n v="62.529403935658124"/>
    <n v="4702326"/>
  </r>
  <r>
    <x v="76"/>
    <n v="202403"/>
    <x v="2"/>
    <x v="0"/>
    <s v="Hernán P"/>
    <s v="Daniel R"/>
    <n v="89108"/>
    <n v="8059338"/>
    <n v="90.444139784946188"/>
    <n v="0"/>
    <n v="106"/>
    <n v="94.5"/>
    <m/>
    <n v="0"/>
  </r>
  <r>
    <x v="38"/>
    <n v="202504"/>
    <x v="1"/>
    <x v="9"/>
    <s v="Sofía V"/>
    <s v="Melany A"/>
    <n v="89108"/>
    <n v="4761071"/>
    <n v="53.43046527777777"/>
    <n v="64479.660279576317"/>
    <n v="56"/>
    <n v="60"/>
    <n v="73.838337071823105"/>
    <n v="4031746"/>
  </r>
  <r>
    <x v="27"/>
    <n v="202508"/>
    <x v="1"/>
    <x v="5"/>
    <s v="Sofía V"/>
    <s v="Joe H"/>
    <n v="89047"/>
    <n v="4867322"/>
    <n v="54.660073924731194"/>
    <n v="83535.471313357732"/>
    <n v="62"/>
    <n v="58"/>
    <n v="58.266525746191505"/>
    <n v="4749745"/>
  </r>
  <r>
    <x v="21"/>
    <n v="202411"/>
    <x v="2"/>
    <x v="7"/>
    <s v="Sebastián S"/>
    <s v="Rodolfo O"/>
    <n v="89036"/>
    <n v="7014573"/>
    <n v="78.783833333333362"/>
    <n v="0"/>
    <n v="84.5"/>
    <n v="86.5"/>
    <m/>
    <n v="0"/>
  </r>
  <r>
    <x v="17"/>
    <n v="202401"/>
    <x v="2"/>
    <x v="10"/>
    <s v="Sofía V"/>
    <s v="Joe H"/>
    <n v="89033"/>
    <n v="7178563"/>
    <n v="80.627862903225804"/>
    <n v="0"/>
    <n v="94"/>
    <n v="92"/>
    <m/>
    <n v="0"/>
  </r>
  <r>
    <x v="12"/>
    <n v="202504"/>
    <x v="1"/>
    <x v="9"/>
    <s v="Sofía V"/>
    <s v="Melany A"/>
    <n v="89000"/>
    <n v="8281450"/>
    <n v="93.050416666666692"/>
    <n v="90831.096293284267"/>
    <n v="96.5"/>
    <n v="94"/>
    <n v="91.174167415749906"/>
    <n v="8301415"/>
  </r>
  <r>
    <x v="64"/>
    <n v="202508"/>
    <x v="1"/>
    <x v="5"/>
    <s v="Sebastián S"/>
    <s v="Johanna V"/>
    <n v="88996"/>
    <n v="4861639"/>
    <n v="54.627802419354865"/>
    <n v="81699.26391442983"/>
    <n v="75.5"/>
    <n v="70.5"/>
    <n v="59.506516302178476"/>
    <n v="5490370"/>
  </r>
  <r>
    <x v="16"/>
    <n v="202502"/>
    <x v="1"/>
    <x v="2"/>
    <s v="Sofía V"/>
    <s v="José A"/>
    <n v="88964"/>
    <n v="5349294"/>
    <n v="60.128802083333348"/>
    <n v="116959.17389401076"/>
    <n v="64"/>
    <n v="67"/>
    <n v="45.736419657405996"/>
    <n v="5793568"/>
  </r>
  <r>
    <x v="38"/>
    <n v="202511"/>
    <x v="1"/>
    <x v="7"/>
    <s v="Sofía V"/>
    <s v="Melany A"/>
    <n v="88948"/>
    <n v="4609139"/>
    <n v="51.818423611111093"/>
    <n v="63112.758670106545"/>
    <n v="56"/>
    <n v="60"/>
    <n v="73.030226013288271"/>
    <n v="4011253"/>
  </r>
  <r>
    <x v="9"/>
    <n v="202502"/>
    <x v="1"/>
    <x v="2"/>
    <s v="Sofía V"/>
    <s v="Joe H"/>
    <n v="88940"/>
    <n v="5965040"/>
    <n v="67.067916666666676"/>
    <n v="91141.834972849072"/>
    <n v="70.5"/>
    <n v="69.5"/>
    <n v="65.447881006312528"/>
    <n v="5477118"/>
  </r>
  <r>
    <x v="67"/>
    <n v="202411"/>
    <x v="2"/>
    <x v="7"/>
    <s v="Hernán P"/>
    <s v="Daniel R"/>
    <n v="88938"/>
    <n v="1013930"/>
    <n v="11.400375000000002"/>
    <n v="0"/>
    <n v="15.5"/>
    <n v="14.5"/>
    <m/>
    <n v="0"/>
  </r>
  <r>
    <x v="29"/>
    <n v="202401"/>
    <x v="2"/>
    <x v="10"/>
    <s v="Sebastián S"/>
    <s v="Vik E"/>
    <n v="88937"/>
    <n v="6225525"/>
    <n v="69.999435483870968"/>
    <n v="0"/>
    <n v="76.5"/>
    <n v="75.5"/>
    <m/>
    <n v="0"/>
  </r>
  <r>
    <x v="13"/>
    <n v="202606"/>
    <x v="0"/>
    <x v="11"/>
    <s v="Sebastián S"/>
    <s v="Rodolfo O"/>
    <n v="88921"/>
    <n v="5656095"/>
    <n v="63.60783333333481"/>
    <n v="82387.837409259446"/>
    <n v="78"/>
    <n v="74.5"/>
    <n v="66.954795775232199"/>
    <n v="5516261"/>
  </r>
  <r>
    <x v="65"/>
    <n v="202601"/>
    <x v="0"/>
    <x v="10"/>
    <s v="Sebastián S"/>
    <s v="Johanna V"/>
    <n v="88915"/>
    <n v="7702672"/>
    <n v="86.629704301075307"/>
    <n v="99634.457811982516"/>
    <n v="103"/>
    <n v="91"/>
    <n v="85.91077884372821"/>
    <n v="8559674"/>
  </r>
  <r>
    <x v="25"/>
    <n v="202502"/>
    <x v="1"/>
    <x v="2"/>
    <s v="Sebastián S"/>
    <s v="Vik E"/>
    <n v="88914"/>
    <n v="6340296"/>
    <n v="71.308437499999997"/>
    <n v="94798.896940034872"/>
    <n v="77"/>
    <n v="79"/>
    <n v="66.881539075402529"/>
    <n v="5649831"/>
  </r>
  <r>
    <x v="15"/>
    <n v="202502"/>
    <x v="1"/>
    <x v="2"/>
    <s v="Sofía V"/>
    <s v="Joe H"/>
    <n v="88903"/>
    <n v="7931521"/>
    <n v="89.215156249999978"/>
    <n v="99841.650525266101"/>
    <n v="101"/>
    <n v="105"/>
    <n v="79.441007918762679"/>
    <n v="8362990"/>
  </r>
  <r>
    <x v="52"/>
    <n v="202602"/>
    <x v="0"/>
    <x v="2"/>
    <s v="Sebastián S"/>
    <s v="Vik E"/>
    <n v="88873"/>
    <n v="6070053"/>
    <n v="68.300312500000004"/>
    <n v="88408.977671194254"/>
    <n v="80"/>
    <n v="78"/>
    <n v="69.114627897013889"/>
    <n v="6110354"/>
  </r>
  <r>
    <x v="67"/>
    <n v="202606"/>
    <x v="0"/>
    <x v="11"/>
    <s v="Hernán P"/>
    <s v="Daniel R"/>
    <n v="88871"/>
    <n v="1148547"/>
    <n v="12.923701388888864"/>
    <n v="70758.329275624128"/>
    <n v="15.5"/>
    <n v="14.5"/>
    <n v="13.971887755419019"/>
    <n v="988627"/>
  </r>
  <r>
    <x v="10"/>
    <n v="202505"/>
    <x v="1"/>
    <x v="3"/>
    <s v="Sofía V"/>
    <s v="Melany A"/>
    <n v="88848"/>
    <n v="9890773"/>
    <n v="111.32272177419355"/>
    <n v="90358.485881147411"/>
    <n v="125"/>
    <n v="118.5"/>
    <n v="109.46147407792753"/>
    <n v="9373948"/>
  </r>
  <r>
    <x v="47"/>
    <n v="202601"/>
    <x v="0"/>
    <x v="10"/>
    <s v="Sebastián S"/>
    <s v="Vik E"/>
    <n v="88817"/>
    <n v="4354373"/>
    <n v="49.026344086021524"/>
    <n v="89835.033702776622"/>
    <n v="61.5"/>
    <n v="48.5"/>
    <n v="53.715920394326645"/>
    <n v="4825572"/>
  </r>
  <r>
    <x v="14"/>
    <n v="202411"/>
    <x v="2"/>
    <x v="7"/>
    <s v="Sofía V"/>
    <s v="Melany A"/>
    <n v="88813"/>
    <n v="4757462"/>
    <n v="53.567062499999999"/>
    <n v="0"/>
    <n v="59.5"/>
    <n v="55.5"/>
    <m/>
    <n v="0"/>
  </r>
  <r>
    <x v="76"/>
    <n v="202401"/>
    <x v="2"/>
    <x v="10"/>
    <s v="Hernán P"/>
    <s v="Daniel R"/>
    <n v="88779"/>
    <n v="7380550"/>
    <n v="83.133749999999949"/>
    <n v="0"/>
    <n v="106"/>
    <n v="94.5"/>
    <m/>
    <n v="0"/>
  </r>
  <r>
    <x v="27"/>
    <n v="202401"/>
    <x v="2"/>
    <x v="10"/>
    <s v="Sofía V"/>
    <s v="Joe H"/>
    <n v="88769"/>
    <n v="5145529"/>
    <n v="57.965221774193537"/>
    <n v="0"/>
    <n v="62"/>
    <n v="58"/>
    <m/>
    <n v="0"/>
  </r>
  <r>
    <x v="14"/>
    <n v="202408"/>
    <x v="2"/>
    <x v="5"/>
    <s v="Sofía V"/>
    <s v="Melany A"/>
    <n v="88766"/>
    <n v="4955365"/>
    <n v="55.825282258064505"/>
    <n v="0"/>
    <n v="59.5"/>
    <n v="55.5"/>
    <m/>
    <n v="0"/>
  </r>
  <r>
    <x v="24"/>
    <n v="202601"/>
    <x v="0"/>
    <x v="10"/>
    <s v="Sofía V"/>
    <s v="Joe H"/>
    <n v="88742"/>
    <n v="5892825"/>
    <n v="66.40384408602155"/>
    <n v="100910.39272850117"/>
    <n v="71"/>
    <n v="74.5"/>
    <n v="62.681117153293116"/>
    <n v="6325176"/>
  </r>
  <r>
    <x v="76"/>
    <n v="202604"/>
    <x v="0"/>
    <x v="9"/>
    <s v="Hernán P"/>
    <s v="Daniel R"/>
    <n v="88733"/>
    <n v="7788630"/>
    <n v="87.776013888890731"/>
    <n v="86102.564309229667"/>
    <n v="106"/>
    <n v="94.5"/>
    <n v="88.413034538205707"/>
    <n v="7612589"/>
  </r>
  <r>
    <x v="39"/>
    <n v="202503"/>
    <x v="1"/>
    <x v="0"/>
    <s v="Sofía V"/>
    <s v="Melany A"/>
    <n v="88729"/>
    <n v="5049665"/>
    <n v="56.911129032258039"/>
    <n v="90374.979717185692"/>
    <n v="60.5"/>
    <n v="60.5"/>
    <n v="55.874585928562638"/>
    <n v="6601552"/>
  </r>
  <r>
    <x v="12"/>
    <n v="202409"/>
    <x v="2"/>
    <x v="4"/>
    <s v="Sofía V"/>
    <s v="Melany A"/>
    <n v="88626"/>
    <n v="7493896"/>
    <n v="84.5567430555556"/>
    <n v="0"/>
    <n v="96.5"/>
    <n v="94"/>
    <m/>
    <n v="0"/>
  </r>
  <r>
    <x v="62"/>
    <n v="202407"/>
    <x v="2"/>
    <x v="6"/>
    <s v="Sebastián S"/>
    <s v="Vik E"/>
    <n v="88587"/>
    <n v="5125917"/>
    <n v="57.863279569892484"/>
    <n v="0"/>
    <n v="65"/>
    <n v="67.5"/>
    <m/>
    <n v="0"/>
  </r>
  <r>
    <x v="32"/>
    <n v="202406"/>
    <x v="2"/>
    <x v="11"/>
    <s v="Sofía V"/>
    <s v="Melany A"/>
    <n v="88574"/>
    <n v="5597276"/>
    <n v="63.192888888888881"/>
    <n v="0"/>
    <n v="75.5"/>
    <n v="68"/>
    <m/>
    <n v="0"/>
  </r>
  <r>
    <x v="43"/>
    <n v="202602"/>
    <x v="0"/>
    <x v="2"/>
    <s v="Sofía V"/>
    <s v="José A"/>
    <n v="88574"/>
    <n v="2702396"/>
    <n v="30.510156250000001"/>
    <n v="86422.56168002302"/>
    <n v="32.5"/>
    <n v="32"/>
    <n v="29.073700348097926"/>
    <n v="2512624"/>
  </r>
  <r>
    <x v="34"/>
    <n v="202406"/>
    <x v="2"/>
    <x v="11"/>
    <s v="Hernán P"/>
    <s v="Daniel R"/>
    <n v="88572"/>
    <n v="1046023"/>
    <n v="11.809826388888892"/>
    <n v="0"/>
    <n v="15"/>
    <n v="15"/>
    <m/>
    <n v="0"/>
  </r>
  <r>
    <x v="28"/>
    <n v="202509"/>
    <x v="1"/>
    <x v="4"/>
    <s v="Sebastián S"/>
    <s v="Rodolfo O"/>
    <n v="88571"/>
    <n v="4598957"/>
    <n v="51.924006944444436"/>
    <n v="89530.964891471987"/>
    <n v="65.5"/>
    <n v="66"/>
    <n v="51.367225021809858"/>
    <n v="6158772"/>
  </r>
  <r>
    <x v="67"/>
    <n v="202403"/>
    <x v="2"/>
    <x v="0"/>
    <s v="Hernán P"/>
    <s v="Daniel R"/>
    <n v="88553"/>
    <n v="1232762"/>
    <n v="13.921155913978497"/>
    <n v="0"/>
    <n v="15.5"/>
    <n v="14.5"/>
    <m/>
    <n v="0"/>
  </r>
  <r>
    <x v="63"/>
    <n v="202410"/>
    <x v="2"/>
    <x v="8"/>
    <s v="Sebastián S"/>
    <s v="Johanna V"/>
    <n v="88550"/>
    <n v="8504191"/>
    <n v="96.038212365591306"/>
    <n v="0"/>
    <n v="123"/>
    <n v="115.5"/>
    <m/>
    <n v="0"/>
  </r>
  <r>
    <x v="26"/>
    <n v="202402"/>
    <x v="2"/>
    <x v="2"/>
    <s v="Sofía V"/>
    <s v="Melany A"/>
    <n v="88546"/>
    <n v="4565394"/>
    <n v="51.559676724137951"/>
    <n v="0"/>
    <n v="55"/>
    <n v="50.5"/>
    <m/>
    <n v="0"/>
  </r>
  <r>
    <x v="57"/>
    <n v="202412"/>
    <x v="2"/>
    <x v="1"/>
    <s v="Hernán P"/>
    <s v="Daniel R"/>
    <n v="88531"/>
    <n v="4610193"/>
    <n v="52.074401881720448"/>
    <n v="0"/>
    <n v="53.5"/>
    <n v="52"/>
    <m/>
    <n v="0"/>
  </r>
  <r>
    <x v="43"/>
    <n v="202507"/>
    <x v="1"/>
    <x v="6"/>
    <s v="Sofía V"/>
    <s v="José A"/>
    <n v="88515"/>
    <n v="2546618"/>
    <n v="28.770564516129031"/>
    <n v="90962.66702287423"/>
    <n v="32.5"/>
    <n v="32"/>
    <n v="27.996299507792649"/>
    <n v="2566237"/>
  </r>
  <r>
    <x v="60"/>
    <n v="202601"/>
    <x v="0"/>
    <x v="10"/>
    <s v="Sofía V"/>
    <s v="Melany A"/>
    <n v="88511"/>
    <n v="9423205"/>
    <n v="106.46374327956993"/>
    <n v="79751.74011851821"/>
    <n v="88.5"/>
    <n v="92.5"/>
    <n v="102.97612103755296"/>
    <n v="8212525"/>
  </r>
  <r>
    <x v="27"/>
    <n v="202502"/>
    <x v="1"/>
    <x v="2"/>
    <s v="Sofía V"/>
    <s v="Joe H"/>
    <n v="88485"/>
    <n v="5446165"/>
    <n v="61.548854166666672"/>
    <n v="84185.970575629544"/>
    <n v="62"/>
    <n v="58"/>
    <n v="64.692073902116149"/>
    <n v="5044223"/>
  </r>
  <r>
    <x v="42"/>
    <n v="202403"/>
    <x v="2"/>
    <x v="0"/>
    <s v="Hernán P"/>
    <s v="Daniel R"/>
    <n v="88466"/>
    <n v="2273853"/>
    <n v="25.703266129032265"/>
    <n v="0"/>
    <n v="22.5"/>
    <n v="21"/>
    <m/>
    <n v="0"/>
  </r>
  <r>
    <x v="49"/>
    <n v="202501"/>
    <x v="1"/>
    <x v="10"/>
    <s v="Sebastián S"/>
    <s v="Vik E"/>
    <n v="88437"/>
    <n v="4731755"/>
    <n v="53.504321236559143"/>
    <n v="83390.117247417249"/>
    <n v="66"/>
    <n v="64.5"/>
    <n v="56.742390299811575"/>
    <n v="5157284"/>
  </r>
  <r>
    <x v="14"/>
    <n v="202407"/>
    <x v="2"/>
    <x v="6"/>
    <s v="Sofía V"/>
    <s v="Melany A"/>
    <n v="88433"/>
    <n v="5319483"/>
    <n v="60.152627688172053"/>
    <n v="0"/>
    <n v="59.5"/>
    <n v="55.5"/>
    <m/>
    <n v="0"/>
  </r>
  <r>
    <x v="42"/>
    <n v="202401"/>
    <x v="2"/>
    <x v="10"/>
    <s v="Hernán P"/>
    <s v="Daniel R"/>
    <n v="88423"/>
    <n v="2528718"/>
    <n v="28.598010752688165"/>
    <n v="0"/>
    <n v="22.5"/>
    <n v="21"/>
    <m/>
    <n v="0"/>
  </r>
  <r>
    <x v="59"/>
    <n v="202504"/>
    <x v="1"/>
    <x v="9"/>
    <s v="Sebastián S"/>
    <s v="Johanna V"/>
    <n v="88422"/>
    <n v="9286509"/>
    <n v="105.02484027777781"/>
    <n v="87517.515994939429"/>
    <n v="118"/>
    <n v="106"/>
    <n v="106.11029351583717"/>
    <n v="10218984"/>
  </r>
  <r>
    <x v="53"/>
    <n v="202506"/>
    <x v="1"/>
    <x v="11"/>
    <s v="Sebastián S"/>
    <s v="Johanna V"/>
    <n v="88420"/>
    <n v="5220375"/>
    <n v="59.040527777777797"/>
    <n v="86922.30356426131"/>
    <n v="68"/>
    <n v="60.5"/>
    <n v="60.057945842871014"/>
    <n v="5065111"/>
  </r>
  <r>
    <x v="47"/>
    <n v="202602"/>
    <x v="0"/>
    <x v="2"/>
    <s v="Sebastián S"/>
    <s v="Vik E"/>
    <n v="88391"/>
    <n v="4417794"/>
    <n v="49.980208333333337"/>
    <n v="83597.679010900451"/>
    <n v="61.5"/>
    <n v="48.5"/>
    <n v="53.715920394326645"/>
    <n v="4490526"/>
  </r>
  <r>
    <x v="25"/>
    <n v="202409"/>
    <x v="2"/>
    <x v="4"/>
    <s v="Sebastián S"/>
    <s v="Vik E"/>
    <n v="88390"/>
    <n v="5803138"/>
    <n v="65.654118055555557"/>
    <n v="0"/>
    <n v="77"/>
    <n v="79"/>
    <m/>
    <n v="0"/>
  </r>
  <r>
    <x v="13"/>
    <n v="202402"/>
    <x v="2"/>
    <x v="2"/>
    <s v="Sebastián S"/>
    <s v="Rodolfo O"/>
    <n v="88359"/>
    <n v="6436373"/>
    <n v="72.843850574712633"/>
    <n v="0"/>
    <n v="78"/>
    <n v="74.5"/>
    <m/>
    <n v="0"/>
  </r>
  <r>
    <x v="46"/>
    <n v="202511"/>
    <x v="1"/>
    <x v="7"/>
    <s v="Sofía V"/>
    <s v="José A"/>
    <n v="88357"/>
    <n v="4399312"/>
    <n v="49.790270833333345"/>
    <n v="92566.897328037376"/>
    <n v="58"/>
    <n v="58.5"/>
    <n v="47.525758418906221"/>
    <n v="4785224"/>
  </r>
  <r>
    <x v="14"/>
    <n v="202406"/>
    <x v="2"/>
    <x v="11"/>
    <s v="Sofía V"/>
    <s v="Melany A"/>
    <n v="88338"/>
    <n v="4895054"/>
    <n v="55.412534722222212"/>
    <n v="0"/>
    <n v="59.5"/>
    <n v="55.5"/>
    <m/>
    <n v="0"/>
  </r>
  <r>
    <x v="19"/>
    <n v="202504"/>
    <x v="1"/>
    <x v="9"/>
    <s v="Sofía V"/>
    <s v="Joe H"/>
    <n v="88317"/>
    <n v="4768102"/>
    <n v="53.988375000000012"/>
    <n v="83891.582842215663"/>
    <n v="57.5"/>
    <n v="56.5"/>
    <n v="56.836475823419669"/>
    <n v="4585167"/>
  </r>
  <r>
    <x v="77"/>
    <n v="202605"/>
    <x v="0"/>
    <x v="3"/>
    <s v="Fátima L"/>
    <s v="Fátima L"/>
    <n v="88301"/>
    <n v="1111855"/>
    <n v="12.591673387096812"/>
    <n v="66639.257849416317"/>
    <n v="17"/>
    <n v="13.5"/>
    <n v="14.845130740132706"/>
    <n v="989268"/>
  </r>
  <r>
    <x v="32"/>
    <n v="202401"/>
    <x v="2"/>
    <x v="10"/>
    <s v="Sofía V"/>
    <s v="Melany A"/>
    <n v="88298"/>
    <n v="5792103"/>
    <n v="65.597197580645172"/>
    <n v="0"/>
    <n v="75.5"/>
    <n v="68"/>
    <m/>
    <n v="0"/>
  </r>
  <r>
    <x v="7"/>
    <n v="202407"/>
    <x v="2"/>
    <x v="6"/>
    <s v="Sebastián S"/>
    <s v="Rodolfo O"/>
    <n v="88273"/>
    <n v="5677827"/>
    <n v="64.321579301075289"/>
    <n v="0"/>
    <n v="65.5"/>
    <n v="63"/>
    <m/>
    <n v="0"/>
  </r>
  <r>
    <x v="13"/>
    <n v="202510"/>
    <x v="1"/>
    <x v="8"/>
    <s v="Sebastián S"/>
    <s v="Rodolfo O"/>
    <n v="88256"/>
    <n v="5194602"/>
    <n v="58.858051075268826"/>
    <n v="84630.019038687256"/>
    <n v="78"/>
    <n v="74.5"/>
    <n v="61.380131293901407"/>
    <n v="5528093"/>
  </r>
  <r>
    <x v="52"/>
    <n v="202510"/>
    <x v="1"/>
    <x v="8"/>
    <s v="Sebastián S"/>
    <s v="Vik E"/>
    <n v="88255"/>
    <n v="5785891"/>
    <n v="65.558434139784978"/>
    <n v="90069.109576340503"/>
    <n v="80"/>
    <n v="78"/>
    <n v="64.238348055345355"/>
    <n v="6657644"/>
  </r>
  <r>
    <x v="43"/>
    <n v="202508"/>
    <x v="1"/>
    <x v="5"/>
    <s v="Sofía V"/>
    <s v="José A"/>
    <n v="88242"/>
    <n v="2424261"/>
    <n v="27.472930107526881"/>
    <n v="80719.608774580192"/>
    <n v="32.5"/>
    <n v="32"/>
    <n v="30.033109015308259"/>
    <n v="2294199"/>
  </r>
  <r>
    <x v="77"/>
    <n v="202606"/>
    <x v="0"/>
    <x v="11"/>
    <s v="Fátima L"/>
    <s v="Fátima L"/>
    <n v="88238"/>
    <n v="991635"/>
    <n v="11.238159722222216"/>
    <n v="62331.274920905707"/>
    <n v="17"/>
    <n v="13.5"/>
    <n v="14.845130740132706"/>
    <n v="925316"/>
  </r>
  <r>
    <x v="79"/>
    <n v="202605"/>
    <x v="0"/>
    <x v="3"/>
    <s v="Sebastián S"/>
    <s v="Vik E"/>
    <n v="88222"/>
    <n v="6165922"/>
    <n v="69.891283602150736"/>
    <n v="84078.134647349085"/>
    <n v="84.5"/>
    <n v="78.5"/>
    <n v="72.494656792343278"/>
    <n v="6095216"/>
  </r>
  <r>
    <x v="29"/>
    <n v="202606"/>
    <x v="0"/>
    <x v="11"/>
    <s v="Sebastián S"/>
    <s v="Vik E"/>
    <n v="88182"/>
    <n v="5615133"/>
    <n v="63.676326388889862"/>
    <n v="88230.596093308108"/>
    <n v="76.5"/>
    <n v="75.5"/>
    <n v="67.697971575339096"/>
    <n v="5973032"/>
  </r>
  <r>
    <x v="59"/>
    <n v="202507"/>
    <x v="1"/>
    <x v="6"/>
    <s v="Sebastián S"/>
    <s v="Johanna V"/>
    <n v="88179"/>
    <n v="8891587"/>
    <n v="100.83575268817208"/>
    <n v="89111.957039488392"/>
    <n v="118"/>
    <n v="106"/>
    <n v="99.779959226569915"/>
    <n v="10124985"/>
  </r>
  <r>
    <x v="62"/>
    <n v="202601"/>
    <x v="0"/>
    <x v="10"/>
    <s v="Sebastián S"/>
    <s v="Vik E"/>
    <n v="88172"/>
    <n v="5081790"/>
    <n v="57.635026881720457"/>
    <n v="89598.966710561843"/>
    <n v="65"/>
    <n v="67.5"/>
    <n v="56.772923994003762"/>
    <n v="5086795"/>
  </r>
  <r>
    <x v="46"/>
    <n v="202407"/>
    <x v="2"/>
    <x v="6"/>
    <s v="Sofía V"/>
    <s v="José A"/>
    <n v="88160"/>
    <n v="5128266"/>
    <n v="58.170188172042991"/>
    <n v="0"/>
    <n v="58"/>
    <n v="58.5"/>
    <m/>
    <n v="0"/>
  </r>
  <r>
    <x v="46"/>
    <n v="202411"/>
    <x v="2"/>
    <x v="7"/>
    <s v="Sofía V"/>
    <s v="José A"/>
    <n v="88159"/>
    <n v="4530477"/>
    <n v="51.389868055555574"/>
    <n v="0"/>
    <n v="58"/>
    <n v="58.5"/>
    <m/>
    <n v="0"/>
  </r>
  <r>
    <x v="26"/>
    <n v="202506"/>
    <x v="1"/>
    <x v="11"/>
    <s v="Sofía V"/>
    <s v="Melany A"/>
    <n v="88150"/>
    <n v="4328492"/>
    <n v="49.103541666666672"/>
    <n v="91881.75757339719"/>
    <n v="55"/>
    <n v="50.5"/>
    <n v="47.109377686232264"/>
    <n v="4633955"/>
  </r>
  <r>
    <x v="73"/>
    <n v="202412"/>
    <x v="2"/>
    <x v="1"/>
    <s v="Fátima L"/>
    <s v="Fátima L"/>
    <n v="88133"/>
    <n v="1195664"/>
    <n v="13.56663978494624"/>
    <n v="0"/>
    <n v="13.5"/>
    <n v="12"/>
    <m/>
    <n v="0"/>
  </r>
  <r>
    <x v="0"/>
    <n v="202512"/>
    <x v="1"/>
    <x v="1"/>
    <s v="Fátima L"/>
    <s v="Fátima L"/>
    <n v="88112"/>
    <n v="1404790"/>
    <n v="15.943299731182792"/>
    <n v="74280.824902418244"/>
    <n v="13.5"/>
    <n v="12.5"/>
    <n v="18.911875465107642"/>
    <n v="1257101"/>
  </r>
  <r>
    <x v="65"/>
    <n v="202410"/>
    <x v="2"/>
    <x v="8"/>
    <s v="Sebastián S"/>
    <s v="Johanna V"/>
    <n v="88098"/>
    <n v="7583352"/>
    <n v="86.078172043010767"/>
    <n v="0"/>
    <n v="103"/>
    <n v="91"/>
    <m/>
    <n v="0"/>
  </r>
  <r>
    <x v="39"/>
    <n v="202508"/>
    <x v="1"/>
    <x v="5"/>
    <s v="Sofía V"/>
    <s v="Melany A"/>
    <n v="88095"/>
    <n v="4573501"/>
    <n v="51.915584677419361"/>
    <n v="84221.908672305537"/>
    <n v="60.5"/>
    <n v="60.5"/>
    <n v="54.302983535967904"/>
    <n v="5171181"/>
  </r>
  <r>
    <x v="19"/>
    <n v="202505"/>
    <x v="1"/>
    <x v="3"/>
    <s v="Sofía V"/>
    <s v="Joe H"/>
    <n v="88083"/>
    <n v="4795836"/>
    <n v="54.446686827956988"/>
    <n v="87849.571491045761"/>
    <n v="57.5"/>
    <n v="56.5"/>
    <n v="54.591458428329666"/>
    <n v="4357533"/>
  </r>
  <r>
    <x v="79"/>
    <n v="202603"/>
    <x v="0"/>
    <x v="0"/>
    <s v="Sebastián S"/>
    <s v="Vik E"/>
    <n v="88081"/>
    <n v="6404195"/>
    <n v="72.708266129032282"/>
    <n v="91350.882268049434"/>
    <n v="84.5"/>
    <n v="78.5"/>
    <n v="72.494656792343278"/>
    <n v="6622451"/>
  </r>
  <r>
    <x v="50"/>
    <n v="202505"/>
    <x v="1"/>
    <x v="3"/>
    <s v="Sebastián S"/>
    <s v="Vik E"/>
    <n v="88042"/>
    <n v="5930508"/>
    <n v="67.360087365591411"/>
    <n v="88017.757034605122"/>
    <n v="75.5"/>
    <n v="74"/>
    <n v="67.378538374573182"/>
    <n v="6405470"/>
  </r>
  <r>
    <x v="78"/>
    <n v="202412"/>
    <x v="2"/>
    <x v="1"/>
    <s v="Sebastián S"/>
    <s v="Vik E"/>
    <n v="88034"/>
    <n v="5569000"/>
    <n v="63.259489247311812"/>
    <n v="0"/>
    <n v="63"/>
    <n v="59"/>
    <m/>
    <n v="0"/>
  </r>
  <r>
    <x v="37"/>
    <n v="202401"/>
    <x v="2"/>
    <x v="10"/>
    <s v="Sofía V"/>
    <s v="Melany A"/>
    <n v="88032"/>
    <n v="5385583"/>
    <n v="61.177365591397844"/>
    <n v="0"/>
    <n v="72.5"/>
    <n v="68.5"/>
    <m/>
    <n v="0"/>
  </r>
  <r>
    <x v="23"/>
    <n v="202503"/>
    <x v="1"/>
    <x v="0"/>
    <s v="Sebastián S"/>
    <s v="Rodolfo O"/>
    <n v="88006"/>
    <n v="7663921"/>
    <n v="87.083669354838662"/>
    <n v="103032.55834489517"/>
    <n v="94.5"/>
    <n v="97"/>
    <n v="74.383484532583324"/>
    <n v="9394613"/>
  </r>
  <r>
    <x v="5"/>
    <n v="202409"/>
    <x v="2"/>
    <x v="4"/>
    <s v="Sebastián S"/>
    <s v="Rodolfo O"/>
    <n v="88001"/>
    <n v="5465036"/>
    <n v="62.102249999999991"/>
    <n v="0"/>
    <n v="68.5"/>
    <n v="66"/>
    <m/>
    <n v="0"/>
  </r>
  <r>
    <x v="12"/>
    <n v="202405"/>
    <x v="2"/>
    <x v="3"/>
    <s v="Sofía V"/>
    <s v="Melany A"/>
    <n v="87984"/>
    <n v="7862064"/>
    <n v="89.357399193548375"/>
    <n v="0"/>
    <n v="96.5"/>
    <n v="94"/>
    <m/>
    <n v="0"/>
  </r>
  <r>
    <x v="24"/>
    <n v="202502"/>
    <x v="1"/>
    <x v="2"/>
    <s v="Sofía V"/>
    <s v="Joe H"/>
    <n v="87983"/>
    <n v="5505677"/>
    <n v="62.576927083333324"/>
    <n v="91351.641121312787"/>
    <n v="71"/>
    <n v="74.5"/>
    <n v="60.269058797625696"/>
    <n v="5416410"/>
  </r>
  <r>
    <x v="82"/>
    <n v="202412"/>
    <x v="2"/>
    <x v="1"/>
    <s v="Sebastián S"/>
    <s v="Vik E"/>
    <n v="87978"/>
    <n v="5173380"/>
    <n v="58.803151881720446"/>
    <n v="0"/>
    <n v="61.5"/>
    <n v="56"/>
    <m/>
    <n v="0"/>
  </r>
  <r>
    <x v="33"/>
    <n v="202404"/>
    <x v="2"/>
    <x v="9"/>
    <s v="Sofía V"/>
    <s v="José A"/>
    <n v="87964"/>
    <n v="7380669"/>
    <n v="83.905840277777742"/>
    <n v="0"/>
    <n v="93.5"/>
    <n v="94"/>
    <m/>
    <n v="0"/>
  </r>
  <r>
    <x v="59"/>
    <n v="202510"/>
    <x v="1"/>
    <x v="8"/>
    <s v="Sebastián S"/>
    <s v="Johanna V"/>
    <n v="87930"/>
    <n v="8610763"/>
    <n v="97.927506720430117"/>
    <n v="93666.505175163606"/>
    <n v="118"/>
    <n v="106"/>
    <n v="91.930016006225543"/>
    <n v="10013630"/>
  </r>
  <r>
    <x v="50"/>
    <n v="202501"/>
    <x v="1"/>
    <x v="10"/>
    <s v="Sebastián S"/>
    <s v="Vik E"/>
    <n v="87928"/>
    <n v="5757214"/>
    <n v="65.476814516129025"/>
    <n v="96043.379572619597"/>
    <n v="75.5"/>
    <n v="74"/>
    <n v="59.943891141886553"/>
    <n v="6560589"/>
  </r>
  <r>
    <x v="58"/>
    <n v="202508"/>
    <x v="1"/>
    <x v="5"/>
    <s v="Sebastián S"/>
    <s v="Rodolfo O"/>
    <n v="87906"/>
    <n v="4453911"/>
    <n v="50.666969086021517"/>
    <n v="82008.058539540914"/>
    <n v="66.5"/>
    <n v="63.5"/>
    <n v="54.31065372499345"/>
    <n v="4914528"/>
  </r>
  <r>
    <x v="24"/>
    <n v="202510"/>
    <x v="1"/>
    <x v="8"/>
    <s v="Sofía V"/>
    <s v="Joe H"/>
    <n v="87901"/>
    <n v="5313793"/>
    <n v="60.452244623655886"/>
    <n v="88563.211475483724"/>
    <n v="71"/>
    <n v="74.5"/>
    <n v="60.000000581177851"/>
    <n v="6094813"/>
  </r>
  <r>
    <x v="19"/>
    <n v="202508"/>
    <x v="1"/>
    <x v="5"/>
    <s v="Sofía V"/>
    <s v="Joe H"/>
    <n v="87864"/>
    <n v="4395962"/>
    <n v="50.03127688172043"/>
    <n v="94834.93283103974"/>
    <n v="57.5"/>
    <n v="56.5"/>
    <n v="46.353827843501023"/>
    <n v="4482008"/>
  </r>
  <r>
    <x v="65"/>
    <n v="202404"/>
    <x v="2"/>
    <x v="9"/>
    <s v="Sebastián S"/>
    <s v="Johanna V"/>
    <n v="87862"/>
    <n v="7777179"/>
    <n v="88.516166666666649"/>
    <n v="0"/>
    <n v="103"/>
    <n v="91"/>
    <m/>
    <n v="0"/>
  </r>
  <r>
    <x v="66"/>
    <n v="202603"/>
    <x v="0"/>
    <x v="0"/>
    <s v="Sebastián S"/>
    <s v="Rodolfo O"/>
    <n v="87858"/>
    <n v="4898567"/>
    <n v="55.755329301075264"/>
    <n v="94145.868473673807"/>
    <n v="55"/>
    <n v="55.5"/>
    <n v="48.91205759483401"/>
    <n v="4604868"/>
  </r>
  <r>
    <x v="78"/>
    <n v="202603"/>
    <x v="0"/>
    <x v="0"/>
    <s v="Sebastián S"/>
    <s v="Vik E"/>
    <n v="87795"/>
    <n v="4720487"/>
    <n v="53.767056451612923"/>
    <n v="90615.795529805662"/>
    <n v="63"/>
    <n v="59"/>
    <n v="55.026064794188251"/>
    <n v="4986231"/>
  </r>
  <r>
    <x v="62"/>
    <n v="202606"/>
    <x v="0"/>
    <x v="11"/>
    <s v="Sebastián S"/>
    <s v="Vik E"/>
    <n v="87789"/>
    <n v="5040977"/>
    <n v="57.421437500000373"/>
    <n v="84371.030484635761"/>
    <n v="65"/>
    <n v="67.5"/>
    <n v="56.772923994003762"/>
    <n v="4789990"/>
  </r>
  <r>
    <x v="38"/>
    <n v="202606"/>
    <x v="0"/>
    <x v="11"/>
    <s v="Sofía V"/>
    <s v="Melany A"/>
    <n v="87725"/>
    <n v="4724789"/>
    <n v="53.859263888889366"/>
    <n v="100178.05887467151"/>
    <n v="56"/>
    <n v="60"/>
    <n v="48.493991244906013"/>
    <n v="4858034"/>
  </r>
  <r>
    <x v="46"/>
    <n v="202604"/>
    <x v="0"/>
    <x v="9"/>
    <s v="Sofía V"/>
    <s v="José A"/>
    <n v="87688"/>
    <n v="4569013"/>
    <n v="52.105180555556011"/>
    <n v="86043.52635395751"/>
    <n v="58"/>
    <n v="58.5"/>
    <n v="51.139118040082707"/>
    <n v="4400190"/>
  </r>
  <r>
    <x v="65"/>
    <n v="202402"/>
    <x v="2"/>
    <x v="2"/>
    <s v="Sebastián S"/>
    <s v="Johanna V"/>
    <n v="87685"/>
    <n v="7714247"/>
    <n v="87.976875000000049"/>
    <n v="0"/>
    <n v="103"/>
    <n v="91"/>
    <m/>
    <n v="0"/>
  </r>
  <r>
    <x v="50"/>
    <n v="202606"/>
    <x v="0"/>
    <x v="11"/>
    <s v="Sebastián S"/>
    <s v="Vik E"/>
    <n v="87675"/>
    <n v="5671532"/>
    <n v="64.688409722223057"/>
    <n v="84392.043132808976"/>
    <n v="75.5"/>
    <n v="74"/>
    <n v="63.845934941054651"/>
    <n v="5388089"/>
  </r>
  <r>
    <x v="43"/>
    <n v="202504"/>
    <x v="1"/>
    <x v="9"/>
    <s v="Sofía V"/>
    <s v="José A"/>
    <n v="87671"/>
    <n v="2583201"/>
    <n v="29.464847222222222"/>
    <n v="81258.080494266615"/>
    <n v="32.5"/>
    <n v="32"/>
    <n v="31.79007729800195"/>
    <n v="2417364"/>
  </r>
  <r>
    <x v="52"/>
    <n v="202411"/>
    <x v="2"/>
    <x v="7"/>
    <s v="Sebastián S"/>
    <s v="Vik E"/>
    <n v="87669"/>
    <n v="6281298"/>
    <n v="71.647819444444451"/>
    <n v="0"/>
    <n v="80"/>
    <n v="78"/>
    <m/>
    <n v="0"/>
  </r>
  <r>
    <x v="60"/>
    <n v="202401"/>
    <x v="2"/>
    <x v="10"/>
    <s v="Sofía V"/>
    <s v="Melany A"/>
    <n v="87604"/>
    <n v="6447157"/>
    <n v="73.594509408602136"/>
    <n v="0"/>
    <n v="88.5"/>
    <n v="92.5"/>
    <m/>
    <n v="0"/>
  </r>
  <r>
    <x v="73"/>
    <n v="202503"/>
    <x v="1"/>
    <x v="0"/>
    <s v="Fátima L"/>
    <s v="Fátima L"/>
    <n v="87587"/>
    <n v="1000801"/>
    <n v="11.426323924731184"/>
    <n v="99710.776131367864"/>
    <n v="13.5"/>
    <n v="12"/>
    <n v="10.037041218909534"/>
    <n v="1103945"/>
  </r>
  <r>
    <x v="46"/>
    <n v="202408"/>
    <x v="2"/>
    <x v="5"/>
    <s v="Sofía V"/>
    <s v="José A"/>
    <n v="87567"/>
    <n v="4830571"/>
    <n v="55.164469086021491"/>
    <n v="0"/>
    <n v="58"/>
    <n v="58.5"/>
    <m/>
    <n v="0"/>
  </r>
  <r>
    <x v="18"/>
    <n v="202403"/>
    <x v="2"/>
    <x v="0"/>
    <s v="Sofía V"/>
    <s v="Joe H"/>
    <n v="87566"/>
    <n v="4604740"/>
    <n v="52.586088709677405"/>
    <n v="0"/>
    <n v="50.5"/>
    <n v="51.5"/>
    <m/>
    <n v="0"/>
  </r>
  <r>
    <x v="59"/>
    <n v="202409"/>
    <x v="2"/>
    <x v="4"/>
    <s v="Sebastián S"/>
    <s v="Johanna V"/>
    <n v="87553"/>
    <n v="9059462"/>
    <n v="103.47443750000001"/>
    <n v="0"/>
    <n v="118"/>
    <n v="106"/>
    <m/>
    <n v="0"/>
  </r>
  <r>
    <x v="59"/>
    <n v="202501"/>
    <x v="1"/>
    <x v="10"/>
    <s v="Sebastián S"/>
    <s v="Johanna V"/>
    <n v="87539"/>
    <n v="9150518"/>
    <n v="104.53055779569887"/>
    <n v="90125.790148887623"/>
    <n v="118"/>
    <n v="106"/>
    <n v="101.53052045239616"/>
    <n v="9881997"/>
  </r>
  <r>
    <x v="21"/>
    <n v="202506"/>
    <x v="1"/>
    <x v="11"/>
    <s v="Sebastián S"/>
    <s v="Rodolfo O"/>
    <n v="87528"/>
    <n v="6433169"/>
    <n v="73.498687500000003"/>
    <n v="98506.047163448093"/>
    <n v="84.5"/>
    <n v="86.5"/>
    <n v="65.307350617019864"/>
    <n v="7303631"/>
  </r>
  <r>
    <x v="10"/>
    <n v="202507"/>
    <x v="1"/>
    <x v="6"/>
    <s v="Sofía V"/>
    <s v="Melany A"/>
    <n v="87526"/>
    <n v="9455800"/>
    <n v="108.03366263440867"/>
    <n v="105149.39019121883"/>
    <n v="125"/>
    <n v="118.5"/>
    <n v="89.927289666675293"/>
    <n v="10511744"/>
  </r>
  <r>
    <x v="26"/>
    <n v="202406"/>
    <x v="2"/>
    <x v="11"/>
    <s v="Sofía V"/>
    <s v="Melany A"/>
    <n v="87506"/>
    <n v="4696583"/>
    <n v="53.671284722222239"/>
    <n v="0"/>
    <n v="55"/>
    <n v="50.5"/>
    <m/>
    <n v="0"/>
  </r>
  <r>
    <x v="66"/>
    <n v="202605"/>
    <x v="0"/>
    <x v="3"/>
    <s v="Sebastián S"/>
    <s v="Rodolfo O"/>
    <n v="87496"/>
    <n v="4505027"/>
    <n v="51.488622311828152"/>
    <n v="87314.602795427418"/>
    <n v="55"/>
    <n v="55.5"/>
    <n v="48.91205759483401"/>
    <n v="4270737"/>
  </r>
  <r>
    <x v="76"/>
    <n v="202603"/>
    <x v="0"/>
    <x v="0"/>
    <s v="Hernán P"/>
    <s v="Daniel R"/>
    <n v="87492"/>
    <n v="8235621"/>
    <n v="94.130524193548382"/>
    <n v="93859.205990877323"/>
    <n v="106"/>
    <n v="94.5"/>
    <n v="88.413034538205707"/>
    <n v="8298377"/>
  </r>
  <r>
    <x v="58"/>
    <n v="202503"/>
    <x v="1"/>
    <x v="0"/>
    <s v="Sebastián S"/>
    <s v="Rodolfo O"/>
    <n v="87425"/>
    <n v="5293162"/>
    <n v="60.545013440860238"/>
    <n v="85277.176250358156"/>
    <n v="66.5"/>
    <n v="63.5"/>
    <n v="62.070089357324036"/>
    <n v="5608921"/>
  </r>
  <r>
    <x v="54"/>
    <n v="202602"/>
    <x v="0"/>
    <x v="2"/>
    <s v="Sebastián S"/>
    <s v="Rodolfo O"/>
    <n v="87411"/>
    <n v="6261384"/>
    <n v="71.631614583333317"/>
    <n v="92600.887191461632"/>
    <n v="80"/>
    <n v="80.5"/>
    <n v="67.651321791845987"/>
    <n v="6264572"/>
  </r>
  <r>
    <x v="9"/>
    <n v="202504"/>
    <x v="1"/>
    <x v="9"/>
    <s v="Sofía V"/>
    <s v="Joe H"/>
    <n v="87396"/>
    <n v="5536075"/>
    <n v="63.344361111111148"/>
    <n v="82604.678894560231"/>
    <n v="70.5"/>
    <n v="69.5"/>
    <n v="67.018905636888391"/>
    <n v="5428027"/>
  </r>
  <r>
    <x v="37"/>
    <n v="202506"/>
    <x v="1"/>
    <x v="11"/>
    <s v="Sofía V"/>
    <s v="Melany A"/>
    <n v="87396"/>
    <n v="5554799"/>
    <n v="63.558638888888893"/>
    <n v="94464.08092611593"/>
    <n v="72.5"/>
    <n v="68.5"/>
    <n v="58.803291743711853"/>
    <n v="6008003"/>
  </r>
  <r>
    <x v="34"/>
    <n v="202403"/>
    <x v="2"/>
    <x v="0"/>
    <s v="Hernán P"/>
    <s v="Daniel R"/>
    <n v="87374"/>
    <n v="1227250"/>
    <n v="14.045961021505375"/>
    <n v="0"/>
    <n v="15"/>
    <n v="15"/>
    <m/>
    <n v="0"/>
  </r>
  <r>
    <x v="18"/>
    <n v="202407"/>
    <x v="2"/>
    <x v="6"/>
    <s v="Sofía V"/>
    <s v="Joe H"/>
    <n v="87373"/>
    <n v="4416300"/>
    <n v="50.545598118279571"/>
    <n v="0"/>
    <n v="50.5"/>
    <n v="51.5"/>
    <m/>
    <n v="0"/>
  </r>
  <r>
    <x v="37"/>
    <n v="202502"/>
    <x v="1"/>
    <x v="2"/>
    <s v="Sofía V"/>
    <s v="Melany A"/>
    <n v="87358"/>
    <n v="5427544"/>
    <n v="62.129947916666666"/>
    <n v="91121.869439858448"/>
    <n v="72.5"/>
    <n v="68.5"/>
    <n v="59.563576047814152"/>
    <n v="5718677"/>
  </r>
  <r>
    <x v="76"/>
    <n v="202508"/>
    <x v="1"/>
    <x v="5"/>
    <s v="Hernán P"/>
    <s v="Daniel R"/>
    <n v="87343"/>
    <n v="7530769"/>
    <n v="86.22071236559141"/>
    <n v="86572.720314740698"/>
    <n v="106"/>
    <n v="94.5"/>
    <n v="86.987777588845574"/>
    <n v="7661773"/>
  </r>
  <r>
    <x v="47"/>
    <n v="202509"/>
    <x v="1"/>
    <x v="4"/>
    <s v="Sebastián S"/>
    <s v="Vik E"/>
    <n v="87335"/>
    <n v="4038238"/>
    <n v="46.238256944444473"/>
    <n v="83291.305498924368"/>
    <n v="61.5"/>
    <n v="48.5"/>
    <n v="48.483309582080572"/>
    <n v="4838014"/>
  </r>
  <r>
    <x v="53"/>
    <n v="202601"/>
    <x v="0"/>
    <x v="10"/>
    <s v="Sebastián S"/>
    <s v="Johanna V"/>
    <n v="87330"/>
    <n v="4844291"/>
    <n v="55.470860215053769"/>
    <n v="90386.273826044213"/>
    <n v="68"/>
    <n v="60.5"/>
    <n v="56.717795741490448"/>
    <n v="5126510"/>
  </r>
  <r>
    <x v="28"/>
    <n v="202402"/>
    <x v="2"/>
    <x v="2"/>
    <s v="Sebastián S"/>
    <s v="Rodolfo O"/>
    <n v="87322"/>
    <n v="5434013"/>
    <n v="62.229698275862056"/>
    <n v="0"/>
    <n v="65.5"/>
    <n v="66"/>
    <m/>
    <n v="0"/>
  </r>
  <r>
    <x v="49"/>
    <n v="202504"/>
    <x v="1"/>
    <x v="9"/>
    <s v="Sebastián S"/>
    <s v="Vik E"/>
    <n v="87303"/>
    <n v="4860857"/>
    <n v="55.677999999999997"/>
    <n v="78869.770872055917"/>
    <n v="66"/>
    <n v="64.5"/>
    <n v="61.631432629433867"/>
    <n v="5200934"/>
  </r>
  <r>
    <x v="64"/>
    <n v="202503"/>
    <x v="1"/>
    <x v="0"/>
    <s v="Sebastián S"/>
    <s v="Johanna V"/>
    <n v="87298"/>
    <n v="5878384"/>
    <n v="67.336989247311834"/>
    <n v="79522.2157276199"/>
    <n v="75.5"/>
    <n v="70.5"/>
    <n v="73.921283080625997"/>
    <n v="6235173"/>
  </r>
  <r>
    <x v="50"/>
    <n v="202406"/>
    <x v="2"/>
    <x v="11"/>
    <s v="Sebastián S"/>
    <s v="Vik E"/>
    <n v="87298"/>
    <n v="6544105"/>
    <n v="74.962951388888882"/>
    <n v="0"/>
    <n v="75.5"/>
    <n v="74"/>
    <m/>
    <n v="0"/>
  </r>
  <r>
    <x v="22"/>
    <n v="202404"/>
    <x v="2"/>
    <x v="9"/>
    <s v="Sebastián S"/>
    <s v="Johanna V"/>
    <n v="87297"/>
    <n v="8466780"/>
    <n v="96.988159722222207"/>
    <n v="0"/>
    <n v="104.5"/>
    <n v="99"/>
    <m/>
    <n v="0"/>
  </r>
  <r>
    <x v="39"/>
    <n v="202602"/>
    <x v="0"/>
    <x v="2"/>
    <s v="Sofía V"/>
    <s v="Melany A"/>
    <n v="87288"/>
    <n v="4656237"/>
    <n v="53.343229166666674"/>
    <n v="80960.752207412603"/>
    <n v="60.5"/>
    <n v="60.5"/>
    <n v="53.343390369396616"/>
    <n v="4318721"/>
  </r>
  <r>
    <x v="38"/>
    <n v="202507"/>
    <x v="1"/>
    <x v="6"/>
    <s v="Sofía V"/>
    <s v="Melany A"/>
    <n v="87275"/>
    <n v="4534973"/>
    <n v="51.962157258064529"/>
    <n v="86410.718220186798"/>
    <n v="56"/>
    <n v="60"/>
    <n v="52.481602090660154"/>
    <n v="5134999"/>
  </r>
  <r>
    <x v="56"/>
    <n v="202401"/>
    <x v="2"/>
    <x v="10"/>
    <s v="Sofía V"/>
    <s v="Joe H"/>
    <n v="87270"/>
    <n v="5763831"/>
    <n v="66.046223118279599"/>
    <n v="0"/>
    <n v="79.5"/>
    <n v="81.5"/>
    <m/>
    <n v="0"/>
  </r>
  <r>
    <x v="68"/>
    <n v="202602"/>
    <x v="0"/>
    <x v="2"/>
    <s v="Sofía V"/>
    <s v="José A"/>
    <n v="87250"/>
    <n v="3532325"/>
    <n v="40.485312499999992"/>
    <n v="72088.089584617221"/>
    <n v="52"/>
    <n v="52"/>
    <n v="46.517920556956689"/>
    <n v="3353388"/>
  </r>
  <r>
    <x v="83"/>
    <n v="202503"/>
    <x v="1"/>
    <x v="0"/>
    <s v="Hernán P"/>
    <s v="Daniel R"/>
    <n v="87246"/>
    <n v="3715064"/>
    <n v="42.581451612903223"/>
    <n v="85995.825190307238"/>
    <n v="51"/>
    <n v="49"/>
    <n v="43.200518650511562"/>
    <n v="3717322"/>
  </r>
  <r>
    <x v="43"/>
    <n v="202411"/>
    <x v="2"/>
    <x v="7"/>
    <s v="Sofía V"/>
    <s v="José A"/>
    <n v="87230"/>
    <n v="2466822"/>
    <n v="28.279465277777778"/>
    <n v="0"/>
    <n v="32.5"/>
    <n v="32"/>
    <m/>
    <n v="0"/>
  </r>
  <r>
    <x v="36"/>
    <n v="202510"/>
    <x v="1"/>
    <x v="8"/>
    <s v="Sebastián S"/>
    <s v="Rodolfo O"/>
    <n v="87219"/>
    <n v="5980175"/>
    <n v="68.564952956989288"/>
    <n v="90137.211039756046"/>
    <n v="81"/>
    <n v="77"/>
    <n v="66.345240783657886"/>
    <n v="6886414"/>
  </r>
  <r>
    <x v="34"/>
    <n v="202411"/>
    <x v="2"/>
    <x v="7"/>
    <s v="Hernán P"/>
    <s v="Daniel R"/>
    <n v="87208"/>
    <n v="1034963"/>
    <n v="11.867770833333337"/>
    <n v="0"/>
    <n v="15"/>
    <n v="15"/>
    <m/>
    <n v="0"/>
  </r>
  <r>
    <x v="38"/>
    <n v="202510"/>
    <x v="1"/>
    <x v="8"/>
    <s v="Sofía V"/>
    <s v="Melany A"/>
    <n v="87204"/>
    <n v="4547677"/>
    <n v="52.149623655913977"/>
    <n v="63948.471683267766"/>
    <n v="56"/>
    <n v="60"/>
    <n v="71.114711740482576"/>
    <n v="4088628"/>
  </r>
  <r>
    <x v="18"/>
    <n v="202511"/>
    <x v="1"/>
    <x v="7"/>
    <s v="Sofía V"/>
    <s v="Joe H"/>
    <n v="87188"/>
    <n v="3819231"/>
    <n v="43.804541666666665"/>
    <n v="81064.841904024404"/>
    <n v="50.5"/>
    <n v="51.5"/>
    <n v="47.113290179751743"/>
    <n v="3728800"/>
  </r>
  <r>
    <x v="40"/>
    <n v="202406"/>
    <x v="2"/>
    <x v="11"/>
    <s v="Sebastián S"/>
    <s v="Johanna V"/>
    <n v="87187"/>
    <n v="9076590"/>
    <n v="104.10511805555551"/>
    <n v="0"/>
    <n v="106"/>
    <n v="102.5"/>
    <m/>
    <n v="0"/>
  </r>
  <r>
    <x v="13"/>
    <n v="202404"/>
    <x v="2"/>
    <x v="9"/>
    <s v="Sebastián S"/>
    <s v="Rodolfo O"/>
    <n v="87187"/>
    <n v="5729311"/>
    <n v="65.713083333333373"/>
    <n v="0"/>
    <n v="78"/>
    <n v="74.5"/>
    <m/>
    <n v="0"/>
  </r>
  <r>
    <x v="9"/>
    <n v="202401"/>
    <x v="2"/>
    <x v="10"/>
    <s v="Sofía V"/>
    <s v="Joe H"/>
    <n v="87174"/>
    <n v="5093762"/>
    <n v="58.432311827957001"/>
    <n v="0"/>
    <n v="70.5"/>
    <n v="69.5"/>
    <m/>
    <n v="0"/>
  </r>
  <r>
    <x v="25"/>
    <n v="202510"/>
    <x v="1"/>
    <x v="8"/>
    <s v="Sebastián S"/>
    <s v="Vik E"/>
    <n v="87153"/>
    <n v="5913473"/>
    <n v="67.851592741935505"/>
    <n v="95995.860151513451"/>
    <n v="77"/>
    <n v="79"/>
    <n v="61.601331772709486"/>
    <n v="6414009"/>
  </r>
  <r>
    <x v="21"/>
    <n v="202405"/>
    <x v="2"/>
    <x v="3"/>
    <s v="Sebastián S"/>
    <s v="Rodolfo O"/>
    <n v="87152"/>
    <n v="6620642"/>
    <n v="75.966465053763471"/>
    <n v="0"/>
    <n v="84.5"/>
    <n v="86.5"/>
    <m/>
    <n v="0"/>
  </r>
  <r>
    <x v="10"/>
    <n v="202410"/>
    <x v="2"/>
    <x v="8"/>
    <s v="Sofía V"/>
    <s v="Melany A"/>
    <n v="87141"/>
    <n v="8555887"/>
    <n v="98.183938172042915"/>
    <n v="0"/>
    <n v="125"/>
    <n v="118.5"/>
    <m/>
    <n v="0"/>
  </r>
  <r>
    <x v="58"/>
    <n v="202505"/>
    <x v="1"/>
    <x v="3"/>
    <s v="Sebastián S"/>
    <s v="Rodolfo O"/>
    <n v="87126"/>
    <n v="4736377"/>
    <n v="54.362668010752678"/>
    <n v="76325.155710767242"/>
    <n v="66.5"/>
    <n v="63.5"/>
    <n v="62.055261281724924"/>
    <n v="5071062"/>
  </r>
  <r>
    <x v="62"/>
    <n v="202502"/>
    <x v="1"/>
    <x v="2"/>
    <s v="Sebastián S"/>
    <s v="Vik E"/>
    <n v="87101"/>
    <n v="4835070"/>
    <n v="55.511302083333355"/>
    <n v="82839.828761386292"/>
    <n v="65"/>
    <n v="67.5"/>
    <n v="58.366483759002477"/>
    <n v="4685103"/>
  </r>
  <r>
    <x v="28"/>
    <n v="202401"/>
    <x v="2"/>
    <x v="10"/>
    <s v="Sebastián S"/>
    <s v="Rodolfo O"/>
    <n v="87030"/>
    <n v="5218175"/>
    <n v="59.958293010752683"/>
    <n v="0"/>
    <n v="65.5"/>
    <n v="66"/>
    <m/>
    <n v="0"/>
  </r>
  <r>
    <x v="29"/>
    <n v="202502"/>
    <x v="1"/>
    <x v="2"/>
    <s v="Sebastián S"/>
    <s v="Vik E"/>
    <n v="87024"/>
    <n v="5980202"/>
    <n v="68.718854166666659"/>
    <n v="99203.497821408877"/>
    <n v="76.5"/>
    <n v="75.5"/>
    <n v="60.282173424629242"/>
    <n v="6805566"/>
  </r>
  <r>
    <x v="62"/>
    <n v="202507"/>
    <x v="1"/>
    <x v="6"/>
    <s v="Sebastián S"/>
    <s v="Vik E"/>
    <n v="87021"/>
    <n v="4899458"/>
    <n v="56.301733870967773"/>
    <n v="93016.031764996616"/>
    <n v="65"/>
    <n v="67.5"/>
    <n v="52.673260587791944"/>
    <n v="5250059"/>
  </r>
  <r>
    <x v="68"/>
    <n v="202605"/>
    <x v="0"/>
    <x v="3"/>
    <s v="Sofía V"/>
    <s v="José A"/>
    <n v="87014"/>
    <n v="3902377"/>
    <n v="44.847466397849821"/>
    <n v="81315.949645008586"/>
    <n v="52"/>
    <n v="52"/>
    <n v="46.517920556956689"/>
    <n v="3782649"/>
  </r>
  <r>
    <x v="27"/>
    <n v="202403"/>
    <x v="2"/>
    <x v="0"/>
    <s v="Sofía V"/>
    <s v="Joe H"/>
    <n v="87008"/>
    <n v="5636219"/>
    <n v="64.778319892473093"/>
    <n v="0"/>
    <n v="62"/>
    <n v="58"/>
    <m/>
    <n v="0"/>
  </r>
  <r>
    <x v="45"/>
    <n v="202408"/>
    <x v="2"/>
    <x v="5"/>
    <s v="Sofía V"/>
    <s v="Joe H"/>
    <n v="87006"/>
    <n v="5302083"/>
    <n v="60.939233870967719"/>
    <n v="0"/>
    <n v="68"/>
    <n v="68.5"/>
    <m/>
    <n v="0"/>
  </r>
  <r>
    <x v="24"/>
    <n v="202402"/>
    <x v="2"/>
    <x v="2"/>
    <s v="Sofía V"/>
    <s v="Joe H"/>
    <n v="87002"/>
    <n v="5736192"/>
    <n v="65.932054597701182"/>
    <n v="0"/>
    <n v="71"/>
    <n v="74.5"/>
    <m/>
    <n v="0"/>
  </r>
  <r>
    <x v="21"/>
    <n v="202410"/>
    <x v="2"/>
    <x v="8"/>
    <s v="Sebastián S"/>
    <s v="Rodolfo O"/>
    <n v="87000"/>
    <n v="6579000"/>
    <n v="75.620416666666642"/>
    <n v="0"/>
    <n v="84.5"/>
    <n v="86.5"/>
    <m/>
    <n v="0"/>
  </r>
  <r>
    <x v="53"/>
    <n v="202510"/>
    <x v="1"/>
    <x v="8"/>
    <s v="Sebastián S"/>
    <s v="Johanna V"/>
    <n v="86988"/>
    <n v="4844242"/>
    <n v="55.688481182795705"/>
    <n v="84683.092134247956"/>
    <n v="68"/>
    <n v="60.5"/>
    <n v="57.204355059690442"/>
    <n v="5471913"/>
  </r>
  <r>
    <x v="40"/>
    <n v="202410"/>
    <x v="2"/>
    <x v="8"/>
    <s v="Sebastián S"/>
    <s v="Johanna V"/>
    <n v="86971"/>
    <n v="8668246"/>
    <n v="99.668380376344089"/>
    <n v="0"/>
    <n v="106"/>
    <n v="102.5"/>
    <m/>
    <n v="0"/>
  </r>
  <r>
    <x v="14"/>
    <n v="202504"/>
    <x v="1"/>
    <x v="9"/>
    <s v="Sofía V"/>
    <s v="Melany A"/>
    <n v="86933"/>
    <n v="4984716"/>
    <n v="57.339722222222242"/>
    <n v="85282.15655474666"/>
    <n v="59.5"/>
    <n v="55.5"/>
    <n v="58.449696177653223"/>
    <n v="4894738"/>
  </r>
  <r>
    <x v="14"/>
    <n v="202401"/>
    <x v="2"/>
    <x v="10"/>
    <s v="Sofía V"/>
    <s v="Melany A"/>
    <n v="86912"/>
    <n v="4811763"/>
    <n v="55.363413978494627"/>
    <n v="0"/>
    <n v="59.5"/>
    <n v="55.5"/>
    <m/>
    <n v="0"/>
  </r>
  <r>
    <x v="50"/>
    <n v="202601"/>
    <x v="0"/>
    <x v="10"/>
    <s v="Sebastián S"/>
    <s v="Vik E"/>
    <n v="86907"/>
    <n v="5374283"/>
    <n v="61.839637096774183"/>
    <n v="100382.99439450784"/>
    <n v="75.5"/>
    <n v="74"/>
    <n v="63.845934941054651"/>
    <n v="6409046"/>
  </r>
  <r>
    <x v="37"/>
    <n v="202410"/>
    <x v="2"/>
    <x v="8"/>
    <s v="Sofía V"/>
    <s v="Melany A"/>
    <n v="86889"/>
    <n v="5717119"/>
    <n v="65.797836021505347"/>
    <n v="0"/>
    <n v="72.5"/>
    <n v="68.5"/>
    <m/>
    <n v="0"/>
  </r>
  <r>
    <x v="68"/>
    <n v="202601"/>
    <x v="0"/>
    <x v="10"/>
    <s v="Sofía V"/>
    <s v="José A"/>
    <n v="86878"/>
    <n v="3687231"/>
    <n v="42.441545698924742"/>
    <n v="79251.514103819311"/>
    <n v="52"/>
    <n v="52"/>
    <n v="46.517920556956689"/>
    <n v="3686616"/>
  </r>
  <r>
    <x v="43"/>
    <n v="202501"/>
    <x v="1"/>
    <x v="10"/>
    <s v="Sofía V"/>
    <s v="José A"/>
    <n v="86866"/>
    <n v="2428365"/>
    <n v="27.9553561827957"/>
    <n v="88535.973864775035"/>
    <n v="32.5"/>
    <n v="32"/>
    <n v="27.428005860182338"/>
    <n v="2488686"/>
  </r>
  <r>
    <x v="7"/>
    <n v="202408"/>
    <x v="2"/>
    <x v="5"/>
    <s v="Sebastián S"/>
    <s v="Rodolfo O"/>
    <n v="86858"/>
    <n v="5419216"/>
    <n v="62.39168682795701"/>
    <n v="0"/>
    <n v="65.5"/>
    <n v="63"/>
    <m/>
    <n v="0"/>
  </r>
  <r>
    <x v="82"/>
    <n v="202503"/>
    <x v="1"/>
    <x v="0"/>
    <s v="Sebastián S"/>
    <s v="Vik E"/>
    <n v="86853"/>
    <n v="4667423"/>
    <n v="53.739395161290332"/>
    <n v="72865.682798315451"/>
    <n v="61.5"/>
    <n v="56"/>
    <n v="64.055162468166756"/>
    <n v="4574810"/>
  </r>
  <r>
    <x v="25"/>
    <n v="202404"/>
    <x v="2"/>
    <x v="9"/>
    <s v="Sebastián S"/>
    <s v="Vik E"/>
    <n v="86847"/>
    <n v="5709160"/>
    <n v="65.738263888888895"/>
    <n v="0"/>
    <n v="77"/>
    <n v="79"/>
    <m/>
    <n v="0"/>
  </r>
  <r>
    <x v="12"/>
    <n v="202505"/>
    <x v="1"/>
    <x v="3"/>
    <s v="Sofía V"/>
    <s v="Melany A"/>
    <n v="86832"/>
    <n v="8278367"/>
    <n v="95.337553763440908"/>
    <n v="92383.698451420714"/>
    <n v="96.5"/>
    <n v="94"/>
    <n v="89.608520645588982"/>
    <n v="8138034"/>
  </r>
  <r>
    <x v="17"/>
    <n v="202506"/>
    <x v="1"/>
    <x v="11"/>
    <s v="Sofía V"/>
    <s v="Joe H"/>
    <n v="86828"/>
    <n v="7601473"/>
    <n v="87.546763888888833"/>
    <n v="89356.925897739464"/>
    <n v="94"/>
    <n v="92"/>
    <n v="85.068652973795949"/>
    <n v="7493596"/>
  </r>
  <r>
    <x v="44"/>
    <n v="202407"/>
    <x v="2"/>
    <x v="6"/>
    <s v="Sebastián S"/>
    <s v="Johanna V"/>
    <n v="86826"/>
    <n v="9244910"/>
    <n v="106.47658602150533"/>
    <n v="0"/>
    <n v="117.5"/>
    <n v="99"/>
    <m/>
    <n v="0"/>
  </r>
  <r>
    <x v="17"/>
    <n v="202405"/>
    <x v="2"/>
    <x v="3"/>
    <s v="Sofía V"/>
    <s v="Joe H"/>
    <n v="86812"/>
    <n v="7270711"/>
    <n v="83.752553763440886"/>
    <n v="0"/>
    <n v="94"/>
    <n v="92"/>
    <m/>
    <n v="0"/>
  </r>
  <r>
    <x v="13"/>
    <n v="202405"/>
    <x v="2"/>
    <x v="3"/>
    <s v="Sebastián S"/>
    <s v="Rodolfo O"/>
    <n v="86807"/>
    <n v="5951841"/>
    <n v="68.564341397849461"/>
    <n v="0"/>
    <n v="78"/>
    <n v="74.5"/>
    <m/>
    <n v="0"/>
  </r>
  <r>
    <x v="9"/>
    <n v="202402"/>
    <x v="2"/>
    <x v="2"/>
    <s v="Sofía V"/>
    <s v="Joe H"/>
    <n v="86802"/>
    <n v="5731416"/>
    <n v="66.028807471264372"/>
    <n v="0"/>
    <n v="70.5"/>
    <n v="69.5"/>
    <m/>
    <n v="0"/>
  </r>
  <r>
    <x v="73"/>
    <n v="202501"/>
    <x v="1"/>
    <x v="10"/>
    <s v="Fátima L"/>
    <s v="Fátima L"/>
    <n v="86800"/>
    <n v="939055"/>
    <n v="10.818669354838711"/>
    <n v="96488.978956619787"/>
    <n v="13.5"/>
    <n v="12"/>
    <n v="9.7322549181724387"/>
    <n v="1063779"/>
  </r>
  <r>
    <x v="62"/>
    <n v="202410"/>
    <x v="2"/>
    <x v="8"/>
    <s v="Sebastián S"/>
    <s v="Vik E"/>
    <n v="86788"/>
    <n v="4786584"/>
    <n v="55.152708333333344"/>
    <n v="0"/>
    <n v="65"/>
    <n v="67.5"/>
    <m/>
    <n v="0"/>
  </r>
  <r>
    <x v="70"/>
    <n v="202503"/>
    <x v="1"/>
    <x v="0"/>
    <s v="Sebastián S"/>
    <s v="Vik E"/>
    <n v="86785"/>
    <n v="4826621"/>
    <n v="55.615752688172037"/>
    <n v="84673.966202722644"/>
    <n v="60.5"/>
    <n v="57.5"/>
    <n v="57.00242384352611"/>
    <n v="4440672"/>
  </r>
  <r>
    <x v="37"/>
    <n v="202402"/>
    <x v="2"/>
    <x v="2"/>
    <s v="Sofía V"/>
    <s v="Melany A"/>
    <n v="86783"/>
    <n v="5683238"/>
    <n v="65.488117816091972"/>
    <n v="0"/>
    <n v="72.5"/>
    <n v="68.5"/>
    <m/>
    <n v="0"/>
  </r>
  <r>
    <x v="65"/>
    <n v="202411"/>
    <x v="2"/>
    <x v="7"/>
    <s v="Sebastián S"/>
    <s v="Johanna V"/>
    <n v="86777"/>
    <n v="7951338"/>
    <n v="91.629465277777797"/>
    <n v="0"/>
    <n v="103"/>
    <n v="91"/>
    <m/>
    <n v="0"/>
  </r>
  <r>
    <x v="48"/>
    <n v="202401"/>
    <x v="2"/>
    <x v="10"/>
    <s v="Hernán P"/>
    <s v="Daniel R"/>
    <n v="86772"/>
    <n v="5583538"/>
    <n v="64.347217741935452"/>
    <n v="0"/>
    <n v="79.5"/>
    <n v="72.5"/>
    <m/>
    <n v="0"/>
  </r>
  <r>
    <x v="19"/>
    <n v="202411"/>
    <x v="2"/>
    <x v="7"/>
    <s v="Sofía V"/>
    <s v="Joe H"/>
    <n v="86764"/>
    <n v="4518190"/>
    <n v="52.074409722222207"/>
    <n v="0"/>
    <n v="57.5"/>
    <n v="56.5"/>
    <m/>
    <n v="0"/>
  </r>
  <r>
    <x v="61"/>
    <n v="202510"/>
    <x v="1"/>
    <x v="8"/>
    <s v="Sofía V"/>
    <s v="Joe H"/>
    <n v="86756"/>
    <n v="2741730"/>
    <n v="31.602647849462354"/>
    <n v="75546.766338253947"/>
    <n v="41.5"/>
    <n v="35.5"/>
    <n v="36.291826677585988"/>
    <n v="2185061"/>
  </r>
  <r>
    <x v="83"/>
    <n v="202512"/>
    <x v="1"/>
    <x v="1"/>
    <s v="Hernán P"/>
    <s v="Daniel R"/>
    <n v="86749"/>
    <n v="3901515"/>
    <n v="44.974576612903199"/>
    <n v="83508.545087170613"/>
    <n v="51"/>
    <n v="49"/>
    <n v="46.719944838308386"/>
    <n v="4551462"/>
  </r>
  <r>
    <x v="84"/>
    <n v="202512"/>
    <x v="1"/>
    <x v="1"/>
    <s v="Sofía V"/>
    <s v="Melany A"/>
    <n v="86712"/>
    <n v="4406034"/>
    <n v="50.812520161290294"/>
    <n v="86898.182095419252"/>
    <n v="52.5"/>
    <n v="52.5"/>
    <n v="50.703413509409415"/>
    <n v="5289174"/>
  </r>
  <r>
    <x v="60"/>
    <n v="202606"/>
    <x v="0"/>
    <x v="11"/>
    <s v="Sofía V"/>
    <s v="Melany A"/>
    <n v="86703"/>
    <n v="9178038"/>
    <n v="105.8557013888923"/>
    <n v="81145.52633860374"/>
    <n v="88.5"/>
    <n v="92.5"/>
    <n v="102.97612103755296"/>
    <n v="8356052"/>
  </r>
  <r>
    <x v="73"/>
    <n v="202507"/>
    <x v="1"/>
    <x v="6"/>
    <s v="Fátima L"/>
    <s v="Fátima L"/>
    <n v="86682"/>
    <n v="911923"/>
    <n v="10.520369623655915"/>
    <n v="83909.100013346935"/>
    <n v="13.5"/>
    <n v="12"/>
    <n v="10.867984281263242"/>
    <n v="1056507"/>
  </r>
  <r>
    <x v="27"/>
    <n v="202507"/>
    <x v="1"/>
    <x v="6"/>
    <s v="Sofía V"/>
    <s v="Joe H"/>
    <n v="86677"/>
    <n v="5078571"/>
    <n v="58.591881720430081"/>
    <n v="85654.254346087982"/>
    <n v="62"/>
    <n v="58"/>
    <n v="59.291518311278693"/>
    <n v="5403232"/>
  </r>
  <r>
    <x v="18"/>
    <n v="202507"/>
    <x v="1"/>
    <x v="6"/>
    <s v="Sofía V"/>
    <s v="Joe H"/>
    <n v="86667"/>
    <n v="3967619"/>
    <n v="45.78018817204299"/>
    <n v="91741.22571759636"/>
    <n v="50.5"/>
    <n v="51.5"/>
    <n v="43.247941140587926"/>
    <n v="4324454"/>
  </r>
  <r>
    <x v="31"/>
    <n v="202502"/>
    <x v="1"/>
    <x v="2"/>
    <s v="Sofía V"/>
    <s v="Melany A"/>
    <n v="86662"/>
    <n v="9091264"/>
    <n v="104.9054166666666"/>
    <n v="101264.14446834766"/>
    <n v="99"/>
    <n v="32.5"/>
    <n v="89.777720907341219"/>
    <n v="12042986"/>
  </r>
  <r>
    <x v="5"/>
    <n v="202404"/>
    <x v="2"/>
    <x v="9"/>
    <s v="Sebastián S"/>
    <s v="Rodolfo O"/>
    <n v="86647"/>
    <n v="5300095"/>
    <n v="61.168819444444452"/>
    <n v="0"/>
    <n v="68.5"/>
    <n v="66"/>
    <m/>
    <n v="0"/>
  </r>
  <r>
    <x v="43"/>
    <n v="202407"/>
    <x v="2"/>
    <x v="6"/>
    <s v="Sofía V"/>
    <s v="José A"/>
    <n v="86631"/>
    <n v="2602457"/>
    <n v="30.040678763440862"/>
    <n v="0"/>
    <n v="32.5"/>
    <n v="32"/>
    <m/>
    <n v="0"/>
  </r>
  <r>
    <x v="25"/>
    <n v="202509"/>
    <x v="1"/>
    <x v="4"/>
    <s v="Sebastián S"/>
    <s v="Vik E"/>
    <n v="86627"/>
    <n v="5791061"/>
    <n v="66.850486111111167"/>
    <n v="92809.031968778319"/>
    <n v="77"/>
    <n v="79"/>
    <n v="62.397606107433162"/>
    <n v="6381448"/>
  </r>
  <r>
    <x v="59"/>
    <n v="202406"/>
    <x v="2"/>
    <x v="11"/>
    <s v="Sebastián S"/>
    <s v="Johanna V"/>
    <n v="86621"/>
    <n v="9611792"/>
    <n v="110.96322222222221"/>
    <n v="0"/>
    <n v="118"/>
    <n v="106"/>
    <m/>
    <n v="0"/>
  </r>
  <r>
    <x v="19"/>
    <n v="202510"/>
    <x v="1"/>
    <x v="8"/>
    <s v="Sofía V"/>
    <s v="Joe H"/>
    <n v="86594"/>
    <n v="4167631"/>
    <n v="48.128340053763438"/>
    <n v="83754.469900287353"/>
    <n v="57.5"/>
    <n v="56.5"/>
    <n v="49.760098117291065"/>
    <n v="4081537"/>
  </r>
  <r>
    <x v="9"/>
    <n v="202601"/>
    <x v="0"/>
    <x v="10"/>
    <s v="Sofía V"/>
    <s v="Joe H"/>
    <n v="86584"/>
    <n v="5093224"/>
    <n v="58.824086021505352"/>
    <n v="82854.243645282841"/>
    <n v="70.5"/>
    <n v="69.5"/>
    <n v="63.576561684054447"/>
    <n v="5267588"/>
  </r>
  <r>
    <x v="46"/>
    <n v="202507"/>
    <x v="1"/>
    <x v="6"/>
    <s v="Sofía V"/>
    <s v="José A"/>
    <n v="86572"/>
    <n v="4700254"/>
    <n v="54.29323252688171"/>
    <n v="92567.685213160701"/>
    <n v="58"/>
    <n v="58.5"/>
    <n v="50.77640268498093"/>
    <n v="5128144"/>
  </r>
  <r>
    <x v="40"/>
    <n v="202411"/>
    <x v="2"/>
    <x v="7"/>
    <s v="Sebastián S"/>
    <s v="Johanna V"/>
    <n v="86545"/>
    <n v="8930370"/>
    <n v="103.18714583333337"/>
    <n v="0"/>
    <n v="106"/>
    <n v="102.5"/>
    <m/>
    <n v="0"/>
  </r>
  <r>
    <x v="49"/>
    <n v="202407"/>
    <x v="2"/>
    <x v="6"/>
    <s v="Sebastián S"/>
    <s v="Vik E"/>
    <n v="86544"/>
    <n v="5154914"/>
    <n v="59.564025537634407"/>
    <n v="0"/>
    <n v="66"/>
    <n v="64.5"/>
    <m/>
    <n v="0"/>
  </r>
  <r>
    <x v="37"/>
    <n v="202602"/>
    <x v="0"/>
    <x v="2"/>
    <s v="Sofía V"/>
    <s v="Melany A"/>
    <n v="86530"/>
    <n v="5792634"/>
    <n v="66.943906249999984"/>
    <n v="104547.41695117239"/>
    <n v="72.5"/>
    <n v="68.5"/>
    <n v="63.042188618377821"/>
    <n v="6590898"/>
  </r>
  <r>
    <x v="12"/>
    <n v="202404"/>
    <x v="2"/>
    <x v="9"/>
    <s v="Sofía V"/>
    <s v="Melany A"/>
    <n v="86506"/>
    <n v="7673415"/>
    <n v="88.704048611111105"/>
    <n v="0"/>
    <n v="96.5"/>
    <n v="94"/>
    <m/>
    <n v="0"/>
  </r>
  <r>
    <x v="69"/>
    <n v="202605"/>
    <x v="0"/>
    <x v="3"/>
    <s v="Sofía V"/>
    <s v="José A"/>
    <n v="86487"/>
    <n v="6172300"/>
    <n v="71.366458333333611"/>
    <n v="80789.24452619048"/>
    <n v="84"/>
    <n v="76"/>
    <n v="84"/>
    <n v="6786297"/>
  </r>
  <r>
    <x v="26"/>
    <n v="202509"/>
    <x v="1"/>
    <x v="4"/>
    <s v="Sofía V"/>
    <s v="Melany A"/>
    <n v="86471"/>
    <n v="4125863"/>
    <n v="47.714090277777792"/>
    <n v="86378.528260922176"/>
    <n v="55"/>
    <n v="50.5"/>
    <n v="47.764917891829242"/>
    <n v="4673929"/>
  </r>
  <r>
    <x v="68"/>
    <n v="202604"/>
    <x v="0"/>
    <x v="9"/>
    <s v="Sofía V"/>
    <s v="José A"/>
    <n v="86460"/>
    <n v="3775308"/>
    <n v="43.665416666666168"/>
    <n v="78147.116009818186"/>
    <n v="52"/>
    <n v="52"/>
    <n v="46.517920556956689"/>
    <n v="3635241"/>
  </r>
  <r>
    <x v="10"/>
    <n v="202409"/>
    <x v="2"/>
    <x v="4"/>
    <s v="Sofía V"/>
    <s v="Melany A"/>
    <n v="86447"/>
    <n v="8730314"/>
    <n v="100.99021527777782"/>
    <n v="0"/>
    <n v="125"/>
    <n v="118.5"/>
    <m/>
    <n v="0"/>
  </r>
  <r>
    <x v="76"/>
    <n v="202511"/>
    <x v="1"/>
    <x v="7"/>
    <s v="Hernán P"/>
    <s v="Daniel R"/>
    <n v="86420"/>
    <n v="7524630"/>
    <n v="87.070812500000031"/>
    <n v="76488.130163010224"/>
    <n v="106"/>
    <n v="94.5"/>
    <n v="98.376434669845366"/>
    <n v="7939529"/>
  </r>
  <r>
    <x v="0"/>
    <n v="202606"/>
    <x v="0"/>
    <x v="11"/>
    <s v="Fátima L"/>
    <s v="Fátima L"/>
    <n v="86392"/>
    <n v="909515"/>
    <n v="10.527708333333319"/>
    <n v="85402.564335872477"/>
    <n v="13.5"/>
    <n v="12.5"/>
    <n v="11.712938172043014"/>
    <n v="1000315"/>
  </r>
  <r>
    <x v="65"/>
    <n v="202602"/>
    <x v="0"/>
    <x v="2"/>
    <s v="Sebastián S"/>
    <s v="Johanna V"/>
    <n v="86383"/>
    <n v="7737545"/>
    <n v="89.572968750000044"/>
    <n v="91121.865633877896"/>
    <n v="103"/>
    <n v="91"/>
    <n v="85.91077884372821"/>
    <n v="7828350"/>
  </r>
  <r>
    <x v="48"/>
    <n v="202409"/>
    <x v="2"/>
    <x v="4"/>
    <s v="Hernán P"/>
    <s v="Daniel R"/>
    <n v="86376"/>
    <n v="5322138"/>
    <n v="61.615750000000013"/>
    <n v="0"/>
    <n v="79.5"/>
    <n v="72.5"/>
    <m/>
    <n v="0"/>
  </r>
  <r>
    <x v="76"/>
    <n v="202510"/>
    <x v="1"/>
    <x v="8"/>
    <s v="Hernán P"/>
    <s v="Daniel R"/>
    <n v="86375"/>
    <n v="7381591"/>
    <n v="85.460073924731219"/>
    <n v="83882.683762090339"/>
    <n v="106"/>
    <n v="94.5"/>
    <n v="87.998988455541181"/>
    <n v="7919671"/>
  </r>
  <r>
    <x v="65"/>
    <n v="202406"/>
    <x v="2"/>
    <x v="11"/>
    <s v="Sebastián S"/>
    <s v="Johanna V"/>
    <n v="86370"/>
    <n v="8168455"/>
    <n v="94.575104166666748"/>
    <n v="0"/>
    <n v="103"/>
    <n v="91"/>
    <m/>
    <n v="0"/>
  </r>
  <r>
    <x v="14"/>
    <n v="202409"/>
    <x v="2"/>
    <x v="4"/>
    <s v="Sofía V"/>
    <s v="Melany A"/>
    <n v="86334"/>
    <n v="4666868"/>
    <n v="54.055895833333331"/>
    <n v="0"/>
    <n v="59.5"/>
    <n v="55.5"/>
    <m/>
    <n v="0"/>
  </r>
  <r>
    <x v="40"/>
    <n v="202401"/>
    <x v="2"/>
    <x v="10"/>
    <s v="Sebastián S"/>
    <s v="Johanna V"/>
    <n v="86328"/>
    <n v="8980870"/>
    <n v="104.03180779569894"/>
    <n v="0"/>
    <n v="106"/>
    <n v="102.5"/>
    <m/>
    <n v="0"/>
  </r>
  <r>
    <x v="85"/>
    <n v="202512"/>
    <x v="1"/>
    <x v="1"/>
    <s v="Hernán P"/>
    <s v="Daniel R"/>
    <n v="86292"/>
    <n v="3463835"/>
    <n v="40.141048387096745"/>
    <n v="84949.929513119656"/>
    <n v="44"/>
    <n v="40.5"/>
    <n v="40.775015822291479"/>
    <n v="3829880"/>
  </r>
  <r>
    <x v="49"/>
    <n v="202511"/>
    <x v="1"/>
    <x v="7"/>
    <s v="Sebastián S"/>
    <s v="Vik E"/>
    <n v="86283"/>
    <n v="4813689"/>
    <n v="55.789416666666689"/>
    <n v="89018.293261589046"/>
    <n v="66"/>
    <n v="64.5"/>
    <n v="54.075276705817082"/>
    <n v="5354134"/>
  </r>
  <r>
    <x v="29"/>
    <n v="202601"/>
    <x v="0"/>
    <x v="10"/>
    <s v="Sebastián S"/>
    <s v="Vik E"/>
    <n v="86281"/>
    <n v="5965605"/>
    <n v="69.14155913978496"/>
    <n v="89248.215076519991"/>
    <n v="76.5"/>
    <n v="75.5"/>
    <n v="67.697971575339096"/>
    <n v="6041923"/>
  </r>
  <r>
    <x v="52"/>
    <n v="202406"/>
    <x v="2"/>
    <x v="11"/>
    <s v="Sebastián S"/>
    <s v="Vik E"/>
    <n v="86278"/>
    <n v="6560570"/>
    <n v="76.039493055555539"/>
    <n v="0"/>
    <n v="80"/>
    <n v="78"/>
    <m/>
    <n v="0"/>
  </r>
  <r>
    <x v="47"/>
    <n v="202510"/>
    <x v="1"/>
    <x v="8"/>
    <s v="Sebastián S"/>
    <s v="Vik E"/>
    <n v="86277"/>
    <n v="4139846"/>
    <n v="47.982930107526876"/>
    <n v="87207.789165371825"/>
    <n v="61.5"/>
    <n v="48.5"/>
    <n v="47.471059748454628"/>
    <n v="4828900"/>
  </r>
  <r>
    <x v="28"/>
    <n v="202411"/>
    <x v="2"/>
    <x v="7"/>
    <s v="Sebastián S"/>
    <s v="Rodolfo O"/>
    <n v="86272"/>
    <n v="5094279"/>
    <n v="59.048888888888882"/>
    <n v="0"/>
    <n v="65.5"/>
    <n v="66"/>
    <m/>
    <n v="0"/>
  </r>
  <r>
    <x v="56"/>
    <n v="202505"/>
    <x v="1"/>
    <x v="3"/>
    <s v="Sofía V"/>
    <s v="Joe H"/>
    <n v="86263"/>
    <n v="6207317"/>
    <n v="71.957647849462347"/>
    <n v="83892.534911035182"/>
    <n v="79.5"/>
    <n v="81.5"/>
    <n v="73.991286907501603"/>
    <n v="6110404"/>
  </r>
  <r>
    <x v="53"/>
    <n v="202408"/>
    <x v="2"/>
    <x v="5"/>
    <s v="Sebastián S"/>
    <s v="Johanna V"/>
    <n v="86260"/>
    <n v="4965345"/>
    <n v="57.562768817204301"/>
    <n v="0"/>
    <n v="68"/>
    <n v="60.5"/>
    <m/>
    <n v="0"/>
  </r>
  <r>
    <x v="39"/>
    <n v="202507"/>
    <x v="1"/>
    <x v="6"/>
    <s v="Sofía V"/>
    <s v="Melany A"/>
    <n v="86241"/>
    <n v="4789952"/>
    <n v="55.541189516129009"/>
    <n v="88075.262257103823"/>
    <n v="60.5"/>
    <n v="60.5"/>
    <n v="54.38475818576017"/>
    <n v="6123328"/>
  </r>
  <r>
    <x v="52"/>
    <n v="202506"/>
    <x v="1"/>
    <x v="11"/>
    <s v="Sebastián S"/>
    <s v="Vik E"/>
    <n v="86233"/>
    <n v="6061446"/>
    <n v="70.291715277777769"/>
    <n v="90592.371262484521"/>
    <n v="80"/>
    <n v="78"/>
    <n v="66.909008623225262"/>
    <n v="6684945"/>
  </r>
  <r>
    <x v="49"/>
    <n v="202402"/>
    <x v="2"/>
    <x v="2"/>
    <s v="Sebastián S"/>
    <s v="Vik E"/>
    <n v="86191"/>
    <n v="5536149"/>
    <n v="64.231034482758631"/>
    <n v="0"/>
    <n v="66"/>
    <n v="64.5"/>
    <m/>
    <n v="0"/>
  </r>
  <r>
    <x v="68"/>
    <n v="202403"/>
    <x v="2"/>
    <x v="0"/>
    <s v="Sofía V"/>
    <s v="José A"/>
    <n v="86186"/>
    <n v="4107463"/>
    <n v="47.658380376344105"/>
    <n v="0"/>
    <n v="52"/>
    <n v="52"/>
    <m/>
    <n v="0"/>
  </r>
  <r>
    <x v="44"/>
    <n v="202509"/>
    <x v="1"/>
    <x v="4"/>
    <s v="Sebastián S"/>
    <s v="Johanna V"/>
    <n v="86162"/>
    <n v="8523266"/>
    <n v="98.921472222222306"/>
    <n v="97007.253102296294"/>
    <n v="117.5"/>
    <n v="99"/>
    <n v="87.862149451979917"/>
    <n v="9499594"/>
  </r>
  <r>
    <x v="49"/>
    <n v="202502"/>
    <x v="1"/>
    <x v="2"/>
    <s v="Sebastián S"/>
    <s v="Vik E"/>
    <n v="86158"/>
    <n v="4948762"/>
    <n v="57.43854166666668"/>
    <n v="90500.749549041691"/>
    <n v="66"/>
    <n v="64.5"/>
    <n v="54.68199705150839"/>
    <n v="5426876"/>
  </r>
  <r>
    <x v="73"/>
    <n v="202409"/>
    <x v="2"/>
    <x v="4"/>
    <s v="Fátima L"/>
    <s v="Fátima L"/>
    <n v="86140"/>
    <n v="947306"/>
    <n v="10.997243055555554"/>
    <n v="0"/>
    <n v="13.5"/>
    <n v="12"/>
    <m/>
    <n v="0"/>
  </r>
  <r>
    <x v="32"/>
    <n v="202502"/>
    <x v="1"/>
    <x v="2"/>
    <s v="Sofía V"/>
    <s v="Melany A"/>
    <n v="86134"/>
    <n v="5729785"/>
    <n v="66.521770833333335"/>
    <n v="82260.820685552477"/>
    <n v="75.5"/>
    <n v="68"/>
    <n v="69.653870849434952"/>
    <n v="5496212"/>
  </r>
  <r>
    <x v="29"/>
    <n v="202504"/>
    <x v="1"/>
    <x v="9"/>
    <s v="Sebastián S"/>
    <s v="Vik E"/>
    <n v="86115"/>
    <n v="5860234"/>
    <n v="68.051131944444464"/>
    <n v="95013.330724818356"/>
    <n v="76.5"/>
    <n v="75.5"/>
    <n v="61.67801933996671"/>
    <n v="7042532"/>
  </r>
  <r>
    <x v="40"/>
    <n v="202501"/>
    <x v="1"/>
    <x v="10"/>
    <s v="Sebastián S"/>
    <s v="Johanna V"/>
    <n v="86079"/>
    <n v="8825586"/>
    <n v="102.529065860215"/>
    <n v="90644.51896307306"/>
    <n v="106"/>
    <n v="102.5"/>
    <n v="97.364808936714439"/>
    <n v="9388104"/>
  </r>
  <r>
    <x v="62"/>
    <n v="202602"/>
    <x v="0"/>
    <x v="2"/>
    <s v="Sebastián S"/>
    <s v="Vik E"/>
    <n v="86074"/>
    <n v="5222212"/>
    <n v="60.671041666666682"/>
    <n v="86874.331715254259"/>
    <n v="65"/>
    <n v="67.5"/>
    <n v="56.772923994003762"/>
    <n v="4932110"/>
  </r>
  <r>
    <x v="39"/>
    <n v="202403"/>
    <x v="2"/>
    <x v="0"/>
    <s v="Sofía V"/>
    <s v="Melany A"/>
    <n v="86071"/>
    <n v="5667536"/>
    <n v="65.846901881720427"/>
    <n v="0"/>
    <n v="60.5"/>
    <n v="60.5"/>
    <m/>
    <n v="0"/>
  </r>
  <r>
    <x v="23"/>
    <n v="202505"/>
    <x v="1"/>
    <x v="3"/>
    <s v="Sebastián S"/>
    <s v="Rodolfo O"/>
    <n v="86067"/>
    <n v="7896871"/>
    <n v="91.752594086021503"/>
    <n v="86388.755822446401"/>
    <n v="94.5"/>
    <n v="97"/>
    <n v="91.410865972306965"/>
    <n v="7674858"/>
  </r>
  <r>
    <x v="32"/>
    <n v="202606"/>
    <x v="0"/>
    <x v="11"/>
    <s v="Sofía V"/>
    <s v="Melany A"/>
    <n v="86063"/>
    <n v="5038079"/>
    <n v="58.539347222222098"/>
    <n v="80314.916931467407"/>
    <n v="75.5"/>
    <n v="68"/>
    <n v="66.56902434528007"/>
    <n v="5346486"/>
  </r>
  <r>
    <x v="10"/>
    <n v="202405"/>
    <x v="2"/>
    <x v="3"/>
    <s v="Sofía V"/>
    <s v="Melany A"/>
    <n v="86056"/>
    <n v="9244337"/>
    <n v="107.42271505376341"/>
    <n v="0"/>
    <n v="125"/>
    <n v="118.5"/>
    <m/>
    <n v="0"/>
  </r>
  <r>
    <x v="7"/>
    <n v="202410"/>
    <x v="2"/>
    <x v="8"/>
    <s v="Sebastián S"/>
    <s v="Rodolfo O"/>
    <n v="86047"/>
    <n v="5024947"/>
    <n v="58.397452956989241"/>
    <n v="0"/>
    <n v="65.5"/>
    <n v="63"/>
    <m/>
    <n v="0"/>
  </r>
  <r>
    <x v="29"/>
    <n v="202501"/>
    <x v="1"/>
    <x v="10"/>
    <s v="Sebastián S"/>
    <s v="Vik E"/>
    <n v="86025"/>
    <n v="5844912"/>
    <n v="67.944126344086015"/>
    <n v="93383.62164372293"/>
    <n v="76.5"/>
    <n v="75.5"/>
    <n v="62.590337867806227"/>
    <n v="6455234"/>
  </r>
  <r>
    <x v="52"/>
    <n v="202408"/>
    <x v="2"/>
    <x v="5"/>
    <s v="Sebastián S"/>
    <s v="Vik E"/>
    <n v="86025"/>
    <n v="6392978"/>
    <n v="74.315490591397861"/>
    <n v="0"/>
    <n v="80"/>
    <n v="78"/>
    <m/>
    <n v="0"/>
  </r>
  <r>
    <x v="58"/>
    <n v="202501"/>
    <x v="1"/>
    <x v="10"/>
    <s v="Sebastián S"/>
    <s v="Rodolfo O"/>
    <n v="86019"/>
    <n v="4882180"/>
    <n v="56.757157258064538"/>
    <n v="86355.325255708536"/>
    <n v="66.5"/>
    <n v="63.5"/>
    <n v="56.53594732627402"/>
    <n v="5188220"/>
  </r>
  <r>
    <x v="63"/>
    <n v="202606"/>
    <x v="0"/>
    <x v="11"/>
    <s v="Sebastián S"/>
    <s v="Johanna V"/>
    <n v="86018"/>
    <n v="8668578"/>
    <n v="100.7766180555578"/>
    <n v="84933.449832551152"/>
    <n v="123"/>
    <n v="115.5"/>
    <n v="102.59248347357834"/>
    <n v="8713534"/>
  </r>
  <r>
    <x v="45"/>
    <n v="202505"/>
    <x v="1"/>
    <x v="3"/>
    <s v="Sofía V"/>
    <s v="Joe H"/>
    <n v="86017"/>
    <n v="5587376"/>
    <n v="64.956330645161302"/>
    <n v="85416.051125392885"/>
    <n v="68"/>
    <n v="68.5"/>
    <n v="65.413652426961221"/>
    <n v="5244281"/>
  </r>
  <r>
    <x v="56"/>
    <n v="202504"/>
    <x v="1"/>
    <x v="9"/>
    <s v="Sofía V"/>
    <s v="Joe H"/>
    <n v="86011"/>
    <n v="5906630"/>
    <n v="68.673208333333321"/>
    <n v="87013.030056821459"/>
    <n v="79.5"/>
    <n v="81.5"/>
    <n v="67.882130482559234"/>
    <n v="6113550"/>
  </r>
  <r>
    <x v="45"/>
    <n v="202406"/>
    <x v="2"/>
    <x v="11"/>
    <s v="Sofía V"/>
    <s v="Joe H"/>
    <n v="85977"/>
    <n v="5190719"/>
    <n v="60.373006944444441"/>
    <n v="0"/>
    <n v="68"/>
    <n v="68.5"/>
    <m/>
    <n v="0"/>
  </r>
  <r>
    <x v="63"/>
    <n v="202511"/>
    <x v="1"/>
    <x v="7"/>
    <s v="Sebastián S"/>
    <s v="Johanna V"/>
    <n v="85973"/>
    <n v="8786514"/>
    <n v="102.20131250000001"/>
    <n v="85143.704870263886"/>
    <n v="123"/>
    <n v="115.5"/>
    <n v="103.19628061039019"/>
    <n v="9442665"/>
  </r>
  <r>
    <x v="63"/>
    <n v="202506"/>
    <x v="1"/>
    <x v="11"/>
    <s v="Sebastián S"/>
    <s v="Johanna V"/>
    <n v="85948"/>
    <n v="8592844"/>
    <n v="99.977645833333412"/>
    <n v="85437.53973379024"/>
    <n v="123"/>
    <n v="115.5"/>
    <n v="100.57456847158674"/>
    <n v="9380516"/>
  </r>
  <r>
    <x v="62"/>
    <n v="202508"/>
    <x v="1"/>
    <x v="5"/>
    <s v="Sebastián S"/>
    <s v="Vik E"/>
    <n v="85914"/>
    <n v="4831014"/>
    <n v="56.230745967741925"/>
    <n v="86868.629758484138"/>
    <n v="65"/>
    <n v="67.5"/>
    <n v="55.612875711650915"/>
    <n v="5019260"/>
  </r>
  <r>
    <x v="63"/>
    <n v="202605"/>
    <x v="0"/>
    <x v="3"/>
    <s v="Sebastián S"/>
    <s v="Johanna V"/>
    <n v="85911"/>
    <n v="9451428"/>
    <n v="110.01379704300663"/>
    <n v="91186.981407944113"/>
    <n v="123"/>
    <n v="115.5"/>
    <n v="102.59248347357834"/>
    <n v="9355099"/>
  </r>
  <r>
    <x v="0"/>
    <n v="202401"/>
    <x v="2"/>
    <x v="10"/>
    <s v="Fátima L"/>
    <s v="Fátima L"/>
    <n v="85906"/>
    <n v="995737"/>
    <n v="11.59097446236559"/>
    <n v="0"/>
    <n v="13.5"/>
    <n v="12.5"/>
    <m/>
    <n v="0"/>
  </r>
  <r>
    <x v="52"/>
    <n v="202403"/>
    <x v="2"/>
    <x v="0"/>
    <s v="Sebastián S"/>
    <s v="Vik E"/>
    <n v="85902"/>
    <n v="7041902"/>
    <n v="81.975551075268854"/>
    <n v="0"/>
    <n v="80"/>
    <n v="78"/>
    <m/>
    <n v="0"/>
  </r>
  <r>
    <x v="36"/>
    <n v="202504"/>
    <x v="1"/>
    <x v="9"/>
    <s v="Sebastián S"/>
    <s v="Rodolfo O"/>
    <n v="85898"/>
    <n v="5949895"/>
    <n v="69.266993055555602"/>
    <n v="86934.445837472653"/>
    <n v="81"/>
    <n v="77"/>
    <n v="68.441168545820886"/>
    <n v="6756087"/>
  </r>
  <r>
    <x v="36"/>
    <n v="202509"/>
    <x v="1"/>
    <x v="4"/>
    <s v="Sebastián S"/>
    <s v="Rodolfo O"/>
    <n v="85890"/>
    <n v="5776221"/>
    <n v="67.251527777777795"/>
    <n v="89746.901574554169"/>
    <n v="81"/>
    <n v="77"/>
    <n v="64.361230846522346"/>
    <n v="6516340"/>
  </r>
  <r>
    <x v="14"/>
    <n v="202507"/>
    <x v="1"/>
    <x v="6"/>
    <s v="Sofía V"/>
    <s v="Melany A"/>
    <n v="85864"/>
    <n v="4907999"/>
    <n v="57.160362903225817"/>
    <n v="92854.748373665498"/>
    <n v="59.5"/>
    <n v="55.5"/>
    <n v="52.856735880100203"/>
    <n v="5329666"/>
  </r>
  <r>
    <x v="36"/>
    <n v="202410"/>
    <x v="2"/>
    <x v="8"/>
    <s v="Sebastián S"/>
    <s v="Rodolfo O"/>
    <n v="85845"/>
    <n v="5828748"/>
    <n v="67.898541666666659"/>
    <n v="0"/>
    <n v="81"/>
    <n v="77"/>
    <m/>
    <n v="0"/>
  </r>
  <r>
    <x v="59"/>
    <n v="202401"/>
    <x v="2"/>
    <x v="10"/>
    <s v="Sebastián S"/>
    <s v="Johanna V"/>
    <n v="85834"/>
    <n v="9315865"/>
    <n v="108.53340053763439"/>
    <n v="0"/>
    <n v="118"/>
    <n v="106"/>
    <m/>
    <n v="0"/>
  </r>
  <r>
    <x v="41"/>
    <n v="202508"/>
    <x v="1"/>
    <x v="5"/>
    <s v="Sebastián S"/>
    <s v="Rodolfo O"/>
    <n v="85821"/>
    <n v="4831472"/>
    <n v="56.296888440860208"/>
    <n v="86665.751641768948"/>
    <n v="64.5"/>
    <n v="64"/>
    <n v="55.748339205212062"/>
    <n v="5167104"/>
  </r>
  <r>
    <x v="73"/>
    <n v="202411"/>
    <x v="2"/>
    <x v="7"/>
    <s v="Fátima L"/>
    <s v="Fátima L"/>
    <n v="85795"/>
    <n v="933840"/>
    <n v="10.884562499999999"/>
    <n v="0"/>
    <n v="13.5"/>
    <n v="12"/>
    <m/>
    <n v="0"/>
  </r>
  <r>
    <x v="52"/>
    <n v="202410"/>
    <x v="2"/>
    <x v="8"/>
    <s v="Sebastián S"/>
    <s v="Vik E"/>
    <n v="85780"/>
    <n v="6022940"/>
    <n v="70.213716397849481"/>
    <n v="0"/>
    <n v="80"/>
    <n v="78"/>
    <m/>
    <n v="0"/>
  </r>
  <r>
    <x v="52"/>
    <n v="202407"/>
    <x v="2"/>
    <x v="6"/>
    <s v="Sebastián S"/>
    <s v="Vik E"/>
    <n v="85775"/>
    <n v="6598063"/>
    <n v="76.922849462365534"/>
    <n v="0"/>
    <n v="80"/>
    <n v="78"/>
    <m/>
    <n v="0"/>
  </r>
  <r>
    <x v="52"/>
    <n v="202507"/>
    <x v="1"/>
    <x v="6"/>
    <s v="Sebastián S"/>
    <s v="Vik E"/>
    <n v="85732"/>
    <n v="6114560"/>
    <n v="71.322190860215031"/>
    <n v="90063.827496269558"/>
    <n v="80"/>
    <n v="78"/>
    <n v="67.891412234876043"/>
    <n v="6858479"/>
  </r>
  <r>
    <x v="14"/>
    <n v="202505"/>
    <x v="1"/>
    <x v="3"/>
    <s v="Sofía V"/>
    <s v="Melany A"/>
    <n v="85706"/>
    <n v="5002160"/>
    <n v="58.364005376344089"/>
    <n v="88209.136581879939"/>
    <n v="59.5"/>
    <n v="55.5"/>
    <n v="56.707959898879118"/>
    <n v="4930152"/>
  </r>
  <r>
    <x v="86"/>
    <n v="202512"/>
    <x v="1"/>
    <x v="1"/>
    <s v="Sebastián S"/>
    <s v="Vik E"/>
    <n v="85693"/>
    <n v="3062310"/>
    <n v="35.736034946236543"/>
    <n v="83347.183395083703"/>
    <n v="36"/>
    <n v="35"/>
    <n v="36.741616516109325"/>
    <n v="3360743"/>
  </r>
  <r>
    <x v="56"/>
    <n v="202509"/>
    <x v="1"/>
    <x v="4"/>
    <s v="Sofía V"/>
    <s v="Joe H"/>
    <n v="85674"/>
    <n v="5798838"/>
    <n v="67.685236111111124"/>
    <n v="87161.693968208987"/>
    <n v="79.5"/>
    <n v="81.5"/>
    <n v="66.529667058961067"/>
    <n v="6204278"/>
  </r>
  <r>
    <x v="43"/>
    <n v="202606"/>
    <x v="0"/>
    <x v="11"/>
    <s v="Sofía V"/>
    <s v="José A"/>
    <n v="85667"/>
    <n v="2573810"/>
    <n v="30.044388888888847"/>
    <n v="84195.760312297032"/>
    <n v="32.5"/>
    <n v="32"/>
    <n v="29.073700348097926"/>
    <n v="2447882"/>
  </r>
  <r>
    <x v="73"/>
    <n v="202603"/>
    <x v="0"/>
    <x v="0"/>
    <s v="Fátima L"/>
    <s v="Fátima L"/>
    <n v="85657"/>
    <n v="1000551"/>
    <n v="11.680873655913979"/>
    <n v="88788.684404030995"/>
    <n v="13.5"/>
    <n v="12"/>
    <n v="11.788780293634797"/>
    <n v="1046710"/>
  </r>
  <r>
    <x v="19"/>
    <n v="202402"/>
    <x v="2"/>
    <x v="2"/>
    <s v="Sofía V"/>
    <s v="Joe H"/>
    <n v="85655"/>
    <n v="4724006"/>
    <n v="55.151551724137931"/>
    <n v="0"/>
    <n v="57.5"/>
    <n v="56.5"/>
    <m/>
    <n v="0"/>
  </r>
  <r>
    <x v="49"/>
    <n v="202606"/>
    <x v="0"/>
    <x v="11"/>
    <s v="Sebastián S"/>
    <s v="Vik E"/>
    <n v="85645"/>
    <n v="4731533"/>
    <n v="55.246041666666571"/>
    <n v="83074.651099494833"/>
    <n v="66"/>
    <n v="64.5"/>
    <n v="56.772923994003754"/>
    <n v="4716391"/>
  </r>
  <r>
    <x v="27"/>
    <n v="202504"/>
    <x v="1"/>
    <x v="9"/>
    <s v="Sofía V"/>
    <s v="Joe H"/>
    <n v="85618"/>
    <n v="4857724"/>
    <n v="56.737479166666674"/>
    <n v="76238.081899143814"/>
    <n v="62"/>
    <n v="58"/>
    <n v="63.717812397567073"/>
    <n v="4930542"/>
  </r>
  <r>
    <x v="72"/>
    <n v="202606"/>
    <x v="0"/>
    <x v="11"/>
    <s v="Sebastián S"/>
    <s v="Vik E"/>
    <n v="85600"/>
    <n v="5174230"/>
    <n v="60.446604166667804"/>
    <n v="74635.249119469692"/>
    <n v="79.5"/>
    <n v="67"/>
    <n v="68.682661472657543"/>
    <n v="5126148"/>
  </r>
  <r>
    <x v="64"/>
    <n v="202605"/>
    <x v="0"/>
    <x v="3"/>
    <s v="Sebastián S"/>
    <s v="Johanna V"/>
    <n v="85576"/>
    <n v="5343017"/>
    <n v="62.435672043010861"/>
    <n v="83878.596145783144"/>
    <n v="75.5"/>
    <n v="70.5"/>
    <n v="63.423114179855602"/>
    <n v="5319842"/>
  </r>
  <r>
    <x v="69"/>
    <n v="202606"/>
    <x v="0"/>
    <x v="11"/>
    <s v="Sofía V"/>
    <s v="José A"/>
    <n v="85531"/>
    <n v="5945118"/>
    <n v="69.508590277778993"/>
    <n v="81379.791638095237"/>
    <n v="84"/>
    <n v="76"/>
    <n v="84"/>
    <n v="6835902"/>
  </r>
  <r>
    <x v="5"/>
    <n v="202402"/>
    <x v="2"/>
    <x v="2"/>
    <s v="Sebastián S"/>
    <s v="Rodolfo O"/>
    <n v="85482"/>
    <n v="5552803"/>
    <n v="64.95899425287358"/>
    <n v="0"/>
    <n v="68.5"/>
    <n v="66"/>
    <m/>
    <n v="0"/>
  </r>
  <r>
    <x v="36"/>
    <n v="202409"/>
    <x v="2"/>
    <x v="4"/>
    <s v="Sebastián S"/>
    <s v="Rodolfo O"/>
    <n v="85473"/>
    <n v="5914628"/>
    <n v="69.19859722222229"/>
    <n v="0"/>
    <n v="81"/>
    <n v="77"/>
    <m/>
    <n v="0"/>
  </r>
  <r>
    <x v="18"/>
    <n v="202602"/>
    <x v="0"/>
    <x v="2"/>
    <s v="Sofía V"/>
    <s v="Joe H"/>
    <n v="85439"/>
    <n v="4109009"/>
    <n v="48.092864583333338"/>
    <n v="88469.294435659118"/>
    <n v="50.5"/>
    <n v="51.5"/>
    <n v="44.728769766304502"/>
    <n v="3957123"/>
  </r>
  <r>
    <x v="50"/>
    <n v="202408"/>
    <x v="2"/>
    <x v="5"/>
    <s v="Sebastián S"/>
    <s v="Vik E"/>
    <n v="85438"/>
    <n v="6211508"/>
    <n v="72.702338709677448"/>
    <n v="0"/>
    <n v="75.5"/>
    <n v="74"/>
    <m/>
    <n v="0"/>
  </r>
  <r>
    <x v="36"/>
    <n v="202501"/>
    <x v="1"/>
    <x v="10"/>
    <s v="Sebastián S"/>
    <s v="Rodolfo O"/>
    <n v="85416"/>
    <n v="6365361"/>
    <n v="74.522291666666618"/>
    <n v="99255.260493468319"/>
    <n v="81"/>
    <n v="77"/>
    <n v="64.131216505334592"/>
    <n v="6746822"/>
  </r>
  <r>
    <x v="46"/>
    <n v="202605"/>
    <x v="0"/>
    <x v="3"/>
    <s v="Sofía V"/>
    <s v="José A"/>
    <n v="85389"/>
    <n v="4642006"/>
    <n v="54.363044354838998"/>
    <n v="92412.722558020017"/>
    <n v="58"/>
    <n v="58.5"/>
    <n v="51.139118040082707"/>
    <n v="4725905"/>
  </r>
  <r>
    <x v="29"/>
    <n v="202411"/>
    <x v="2"/>
    <x v="7"/>
    <s v="Sebastián S"/>
    <s v="Vik E"/>
    <n v="85358"/>
    <n v="6006843"/>
    <n v="70.372312499999978"/>
    <n v="0"/>
    <n v="76.5"/>
    <n v="75.5"/>
    <m/>
    <n v="0"/>
  </r>
  <r>
    <x v="49"/>
    <n v="202505"/>
    <x v="1"/>
    <x v="3"/>
    <s v="Sebastián S"/>
    <s v="Vik E"/>
    <n v="85349"/>
    <n v="4961382"/>
    <n v="58.130295698924726"/>
    <n v="79636.90567189685"/>
    <n v="66"/>
    <n v="64.5"/>
    <n v="62.300034740687188"/>
    <n v="5262384"/>
  </r>
  <r>
    <x v="34"/>
    <n v="202504"/>
    <x v="1"/>
    <x v="9"/>
    <s v="Hernán P"/>
    <s v="Daniel R"/>
    <n v="85315"/>
    <n v="1044238"/>
    <n v="12.239791666666669"/>
    <n v="77987.59576363457"/>
    <n v="15"/>
    <n v="15"/>
    <n v="13.38979782329597"/>
    <n v="1046718"/>
  </r>
  <r>
    <x v="72"/>
    <n v="202412"/>
    <x v="2"/>
    <x v="1"/>
    <s v="Sebastián S"/>
    <s v="Vik E"/>
    <n v="85305"/>
    <n v="7093370"/>
    <n v="83.152567204301079"/>
    <n v="0"/>
    <n v="79.5"/>
    <n v="67"/>
    <m/>
    <n v="0"/>
  </r>
  <r>
    <x v="28"/>
    <n v="202409"/>
    <x v="2"/>
    <x v="4"/>
    <s v="Sebastián S"/>
    <s v="Rodolfo O"/>
    <n v="85268"/>
    <n v="5032237"/>
    <n v="59.016999999999996"/>
    <n v="0"/>
    <n v="65.5"/>
    <n v="66"/>
    <m/>
    <n v="0"/>
  </r>
  <r>
    <x v="46"/>
    <n v="202602"/>
    <x v="0"/>
    <x v="2"/>
    <s v="Sofía V"/>
    <s v="José A"/>
    <n v="85216"/>
    <n v="4566035"/>
    <n v="53.581666666666656"/>
    <n v="78919.725859110127"/>
    <n v="58"/>
    <n v="58.5"/>
    <n v="51.139118040082707"/>
    <n v="4035885"/>
  </r>
  <r>
    <x v="51"/>
    <n v="202602"/>
    <x v="0"/>
    <x v="2"/>
    <s v="Sofía V"/>
    <s v="Melany A"/>
    <n v="85216"/>
    <n v="3154591"/>
    <n v="37.018645833333331"/>
    <n v="83887.643432057477"/>
    <n v="43.5"/>
    <n v="41"/>
    <n v="38.914029696684921"/>
    <n v="3264406"/>
  </r>
  <r>
    <x v="12"/>
    <n v="202508"/>
    <x v="1"/>
    <x v="5"/>
    <s v="Sofía V"/>
    <s v="Melany A"/>
    <n v="85212"/>
    <n v="7795474"/>
    <n v="91.483366935483872"/>
    <n v="98546.041429934572"/>
    <n v="96.5"/>
    <n v="94"/>
    <n v="79.104890535278543"/>
    <n v="8110563"/>
  </r>
  <r>
    <x v="32"/>
    <n v="202405"/>
    <x v="2"/>
    <x v="3"/>
    <s v="Sofía V"/>
    <s v="Melany A"/>
    <n v="85205"/>
    <n v="5572631"/>
    <n v="65.402580645161308"/>
    <n v="0"/>
    <n v="75.5"/>
    <n v="68"/>
    <m/>
    <n v="0"/>
  </r>
  <r>
    <x v="62"/>
    <n v="202411"/>
    <x v="2"/>
    <x v="7"/>
    <s v="Sebastián S"/>
    <s v="Vik E"/>
    <n v="85192"/>
    <n v="4882893"/>
    <n v="57.316340277777769"/>
    <n v="0"/>
    <n v="65"/>
    <n v="67.5"/>
    <m/>
    <n v="0"/>
  </r>
  <r>
    <x v="28"/>
    <n v="202410"/>
    <x v="2"/>
    <x v="8"/>
    <s v="Sebastián S"/>
    <s v="Rodolfo O"/>
    <n v="85185"/>
    <n v="4996150"/>
    <n v="58.650403225806421"/>
    <n v="0"/>
    <n v="65.5"/>
    <n v="66"/>
    <m/>
    <n v="0"/>
  </r>
  <r>
    <x v="71"/>
    <n v="202407"/>
    <x v="2"/>
    <x v="6"/>
    <s v="Sebastián S"/>
    <s v="Rodolfo O"/>
    <n v="85177"/>
    <n v="4646734"/>
    <n v="54.553756720430094"/>
    <n v="0"/>
    <n v="53.5"/>
    <n v="54"/>
    <m/>
    <n v="0"/>
  </r>
  <r>
    <x v="60"/>
    <n v="202501"/>
    <x v="1"/>
    <x v="10"/>
    <s v="Sofía V"/>
    <s v="Melany A"/>
    <n v="85167"/>
    <n v="6602095"/>
    <n v="77.519260752688155"/>
    <n v="91983.971404920347"/>
    <n v="88.5"/>
    <n v="92.5"/>
    <n v="71.774406879401653"/>
    <n v="6656625"/>
  </r>
  <r>
    <x v="62"/>
    <n v="202504"/>
    <x v="1"/>
    <x v="9"/>
    <s v="Sebastián S"/>
    <s v="Vik E"/>
    <n v="85130"/>
    <n v="4828770"/>
    <n v="56.722604166666663"/>
    <n v="87863.138701619449"/>
    <n v="65"/>
    <n v="67.5"/>
    <n v="54.957859704948113"/>
    <n v="5052109"/>
  </r>
  <r>
    <x v="49"/>
    <n v="202510"/>
    <x v="1"/>
    <x v="8"/>
    <s v="Sebastián S"/>
    <s v="Vik E"/>
    <n v="85121"/>
    <n v="4377216"/>
    <n v="51.423185483870952"/>
    <n v="88727.21641042296"/>
    <n v="66"/>
    <n v="64.5"/>
    <n v="49.333411743161591"/>
    <n v="5411236"/>
  </r>
  <r>
    <x v="87"/>
    <n v="202606"/>
    <x v="0"/>
    <x v="11"/>
    <s v="Fátima L"/>
    <s v="Fátima L"/>
    <n v="85114"/>
    <n v="673473"/>
    <n v="7.9126250000000073"/>
    <n v="59220.215998492633"/>
    <n v="11"/>
    <n v="11"/>
    <n v="10.04229432420742"/>
    <n v="594707"/>
  </r>
  <r>
    <x v="17"/>
    <n v="202406"/>
    <x v="2"/>
    <x v="11"/>
    <s v="Sofía V"/>
    <s v="Joe H"/>
    <n v="85102"/>
    <n v="7278647"/>
    <n v="85.528673611111117"/>
    <n v="0"/>
    <n v="94"/>
    <n v="92"/>
    <m/>
    <n v="0"/>
  </r>
  <r>
    <x v="67"/>
    <n v="202605"/>
    <x v="0"/>
    <x v="3"/>
    <s v="Hernán P"/>
    <s v="Daniel R"/>
    <n v="85039"/>
    <n v="1263592"/>
    <n v="14.859005376344063"/>
    <n v="76118.497816267685"/>
    <n v="15.5"/>
    <n v="14.5"/>
    <n v="13.971887755419019"/>
    <n v="1063519"/>
  </r>
  <r>
    <x v="14"/>
    <n v="202509"/>
    <x v="1"/>
    <x v="4"/>
    <s v="Sofía V"/>
    <s v="Melany A"/>
    <n v="85007"/>
    <n v="4410946"/>
    <n v="51.889055555555558"/>
    <n v="90650.819636926724"/>
    <n v="59.5"/>
    <n v="55.5"/>
    <n v="48.658643988732294"/>
    <n v="4713786"/>
  </r>
  <r>
    <x v="41"/>
    <n v="202403"/>
    <x v="2"/>
    <x v="0"/>
    <s v="Sebastián S"/>
    <s v="Rodolfo O"/>
    <n v="85002"/>
    <n v="5991175"/>
    <n v="70.482755376344059"/>
    <n v="0"/>
    <n v="64.5"/>
    <n v="64"/>
    <m/>
    <n v="0"/>
  </r>
  <r>
    <x v="45"/>
    <n v="202401"/>
    <x v="2"/>
    <x v="10"/>
    <s v="Sofía V"/>
    <s v="Joe H"/>
    <n v="84978"/>
    <n v="4874827"/>
    <n v="57.365940860215062"/>
    <n v="0"/>
    <n v="68"/>
    <n v="68.5"/>
    <m/>
    <n v="0"/>
  </r>
  <r>
    <x v="79"/>
    <n v="202508"/>
    <x v="1"/>
    <x v="5"/>
    <s v="Sebastián S"/>
    <s v="Vik E"/>
    <n v="84977"/>
    <n v="5584172"/>
    <n v="65.713629032258112"/>
    <n v="83944.98359334562"/>
    <n v="84.5"/>
    <n v="78.5"/>
    <n v="66.521806080174898"/>
    <n v="6047621"/>
  </r>
  <r>
    <x v="40"/>
    <n v="202409"/>
    <x v="2"/>
    <x v="4"/>
    <s v="Sebastián S"/>
    <s v="Johanna V"/>
    <n v="84966"/>
    <n v="8512318"/>
    <n v="100.18443749999996"/>
    <n v="0"/>
    <n v="106"/>
    <n v="102.5"/>
    <m/>
    <n v="0"/>
  </r>
  <r>
    <x v="64"/>
    <n v="202604"/>
    <x v="0"/>
    <x v="9"/>
    <s v="Sebastián S"/>
    <s v="Johanna V"/>
    <n v="84966"/>
    <n v="5189960"/>
    <n v="61.082729166667548"/>
    <n v="80374.05681853267"/>
    <n v="75.5"/>
    <n v="70.5"/>
    <n v="63.423114179855602"/>
    <n v="5097573"/>
  </r>
  <r>
    <x v="88"/>
    <n v="202605"/>
    <x v="0"/>
    <x v="3"/>
    <s v="Sofía V"/>
    <s v="José A"/>
    <n v="84942"/>
    <n v="5822326"/>
    <n v="68.544489247312427"/>
    <n v="63624.533322619056"/>
    <n v="84"/>
    <n v="76.5"/>
    <n v="84"/>
    <n v="5344461"/>
  </r>
  <r>
    <x v="23"/>
    <n v="202411"/>
    <x v="2"/>
    <x v="7"/>
    <s v="Sebastián S"/>
    <s v="Rodolfo O"/>
    <n v="84895"/>
    <n v="7769904"/>
    <n v="91.523736111111219"/>
    <n v="0"/>
    <n v="94.5"/>
    <n v="97"/>
    <m/>
    <n v="0"/>
  </r>
  <r>
    <x v="28"/>
    <n v="202506"/>
    <x v="1"/>
    <x v="11"/>
    <s v="Sebastián S"/>
    <s v="Rodolfo O"/>
    <n v="84892"/>
    <n v="5005931"/>
    <n v="58.968291666666687"/>
    <n v="97165.792200439813"/>
    <n v="65.5"/>
    <n v="66"/>
    <n v="51.519476418958682"/>
    <n v="5651981"/>
  </r>
  <r>
    <x v="59"/>
    <n v="202407"/>
    <x v="2"/>
    <x v="6"/>
    <s v="Sebastián S"/>
    <s v="Johanna V"/>
    <n v="84869"/>
    <n v="9574233"/>
    <n v="112.81252688172042"/>
    <n v="0"/>
    <n v="118"/>
    <n v="106"/>
    <m/>
    <n v="0"/>
  </r>
  <r>
    <x v="21"/>
    <n v="202401"/>
    <x v="2"/>
    <x v="10"/>
    <s v="Sebastián S"/>
    <s v="Rodolfo O"/>
    <n v="84860"/>
    <n v="6257670"/>
    <n v="73.741189516129012"/>
    <n v="0"/>
    <n v="84.5"/>
    <n v="86.5"/>
    <m/>
    <n v="0"/>
  </r>
  <r>
    <x v="88"/>
    <n v="202512"/>
    <x v="1"/>
    <x v="1"/>
    <s v="Sofía V"/>
    <s v="José A"/>
    <n v="84857"/>
    <n v="8978173"/>
    <n v="105.80302419354831"/>
    <n v="0"/>
    <n v="84"/>
    <n v="76.5"/>
    <m/>
    <m/>
  </r>
  <r>
    <x v="63"/>
    <n v="202407"/>
    <x v="2"/>
    <x v="6"/>
    <s v="Sebastián S"/>
    <s v="Johanna V"/>
    <n v="84854"/>
    <n v="9270103"/>
    <n v="109.2475134408602"/>
    <n v="0"/>
    <n v="123"/>
    <n v="115.5"/>
    <m/>
    <n v="0"/>
  </r>
  <r>
    <x v="29"/>
    <n v="202510"/>
    <x v="1"/>
    <x v="8"/>
    <s v="Sebastián S"/>
    <s v="Vik E"/>
    <n v="84823"/>
    <n v="5076873"/>
    <n v="59.852728494623655"/>
    <n v="81817.412221505016"/>
    <n v="76.5"/>
    <n v="75.5"/>
    <n v="62.05125317646732"/>
    <n v="6358087"/>
  </r>
  <r>
    <x v="56"/>
    <n v="202508"/>
    <x v="1"/>
    <x v="5"/>
    <s v="Sofía V"/>
    <s v="Joe H"/>
    <n v="84817"/>
    <n v="6021073"/>
    <n v="70.989267473118275"/>
    <n v="88337.369544092915"/>
    <n v="79.5"/>
    <n v="81.5"/>
    <n v="68.159981229627022"/>
    <n v="6415387"/>
  </r>
  <r>
    <x v="49"/>
    <n v="202411"/>
    <x v="2"/>
    <x v="7"/>
    <s v="Sebastián S"/>
    <s v="Vik E"/>
    <n v="84779"/>
    <n v="4892623"/>
    <n v="57.710090277777766"/>
    <n v="0"/>
    <n v="66"/>
    <n v="64.5"/>
    <m/>
    <n v="0"/>
  </r>
  <r>
    <x v="50"/>
    <n v="202507"/>
    <x v="1"/>
    <x v="6"/>
    <s v="Sebastián S"/>
    <s v="Vik E"/>
    <n v="84735"/>
    <n v="5559738"/>
    <n v="65.613051075268842"/>
    <n v="94097.902357347761"/>
    <n v="75.5"/>
    <n v="74"/>
    <n v="59.084613266789368"/>
    <n v="6745545"/>
  </r>
  <r>
    <x v="58"/>
    <n v="202603"/>
    <x v="0"/>
    <x v="0"/>
    <s v="Sebastián S"/>
    <s v="Rodolfo O"/>
    <n v="84718"/>
    <n v="5245370"/>
    <n v="61.915376344086056"/>
    <n v="115249.71206746089"/>
    <n v="66.5"/>
    <n v="63.5"/>
    <n v="54.652141241039438"/>
    <n v="6298644"/>
  </r>
  <r>
    <x v="59"/>
    <n v="202405"/>
    <x v="2"/>
    <x v="3"/>
    <s v="Sebastián S"/>
    <s v="Johanna V"/>
    <n v="84691"/>
    <n v="9366916"/>
    <n v="110.60079973118272"/>
    <n v="0"/>
    <n v="118"/>
    <n v="106"/>
    <m/>
    <n v="0"/>
  </r>
  <r>
    <x v="37"/>
    <n v="202405"/>
    <x v="2"/>
    <x v="3"/>
    <s v="Sofía V"/>
    <s v="Melany A"/>
    <n v="84685"/>
    <n v="5456124"/>
    <n v="64.428555107526876"/>
    <n v="0"/>
    <n v="72.5"/>
    <n v="68.5"/>
    <m/>
    <n v="0"/>
  </r>
  <r>
    <x v="40"/>
    <n v="202502"/>
    <x v="1"/>
    <x v="2"/>
    <s v="Sebastián S"/>
    <s v="Johanna V"/>
    <n v="84677"/>
    <n v="8443155"/>
    <n v="99.709895833333306"/>
    <n v="83804.933764046975"/>
    <n v="106"/>
    <n v="102.5"/>
    <n v="100.74770458946638"/>
    <n v="8793993"/>
  </r>
  <r>
    <x v="79"/>
    <n v="202503"/>
    <x v="1"/>
    <x v="0"/>
    <s v="Sebastián S"/>
    <s v="Vik E"/>
    <n v="84663"/>
    <n v="6510177"/>
    <n v="76.894952956989243"/>
    <n v="78823.093919353327"/>
    <n v="84.5"/>
    <n v="78.5"/>
    <n v="82.592260291898583"/>
    <n v="6492837"/>
  </r>
  <r>
    <x v="47"/>
    <n v="202505"/>
    <x v="1"/>
    <x v="3"/>
    <s v="Sebastián S"/>
    <s v="Vik E"/>
    <n v="84637"/>
    <n v="4542065"/>
    <n v="53.665349462365604"/>
    <n v="75112.829755307568"/>
    <n v="61.5"/>
    <n v="48.5"/>
    <n v="60.469894221753123"/>
    <n v="4769879"/>
  </r>
  <r>
    <x v="51"/>
    <n v="202403"/>
    <x v="2"/>
    <x v="0"/>
    <s v="Sofía V"/>
    <s v="Melany A"/>
    <n v="84617"/>
    <n v="3582979"/>
    <n v="42.343649193548373"/>
    <n v="0"/>
    <n v="43.5"/>
    <n v="41"/>
    <m/>
    <n v="0"/>
  </r>
  <r>
    <x v="56"/>
    <n v="202407"/>
    <x v="2"/>
    <x v="6"/>
    <s v="Sofía V"/>
    <s v="Joe H"/>
    <n v="84597"/>
    <n v="6500272"/>
    <n v="76.838407258064478"/>
    <n v="0"/>
    <n v="79.5"/>
    <n v="81.5"/>
    <m/>
    <n v="0"/>
  </r>
  <r>
    <x v="37"/>
    <n v="202509"/>
    <x v="1"/>
    <x v="4"/>
    <s v="Sofía V"/>
    <s v="Melany A"/>
    <n v="84586"/>
    <n v="4868481"/>
    <n v="57.556770833333339"/>
    <n v="95769.418091802159"/>
    <n v="72.5"/>
    <n v="68.5"/>
    <n v="50.83544973963604"/>
    <n v="5095602"/>
  </r>
  <r>
    <x v="43"/>
    <n v="202406"/>
    <x v="2"/>
    <x v="11"/>
    <s v="Sofía V"/>
    <s v="José A"/>
    <n v="84550"/>
    <n v="2257866"/>
    <n v="26.704659722222228"/>
    <n v="0"/>
    <n v="32.5"/>
    <n v="32"/>
    <m/>
    <n v="0"/>
  </r>
  <r>
    <x v="76"/>
    <n v="202509"/>
    <x v="1"/>
    <x v="4"/>
    <s v="Hernán P"/>
    <s v="Daniel R"/>
    <n v="84527"/>
    <n v="7195548"/>
    <n v="85.127486111111082"/>
    <n v="87336.940686409711"/>
    <n v="106"/>
    <n v="94.5"/>
    <n v="82.388363542938734"/>
    <n v="7658667"/>
  </r>
  <r>
    <x v="49"/>
    <n v="202410"/>
    <x v="2"/>
    <x v="8"/>
    <s v="Sebastián S"/>
    <s v="Vik E"/>
    <n v="84502"/>
    <n v="4797288"/>
    <n v="56.771223118279565"/>
    <n v="0"/>
    <n v="66"/>
    <n v="64.5"/>
    <m/>
    <n v="0"/>
  </r>
  <r>
    <x v="56"/>
    <n v="202411"/>
    <x v="2"/>
    <x v="7"/>
    <s v="Sofía V"/>
    <s v="Joe H"/>
    <n v="84471"/>
    <n v="6074998"/>
    <n v="71.917756944444477"/>
    <n v="0"/>
    <n v="79.5"/>
    <n v="81.5"/>
    <m/>
    <n v="0"/>
  </r>
  <r>
    <x v="89"/>
    <n v="202512"/>
    <x v="1"/>
    <x v="1"/>
    <s v="Sebastián S"/>
    <s v="Rodolfo O"/>
    <n v="84468"/>
    <n v="2672423"/>
    <n v="31.638165322580623"/>
    <n v="80358.84754660973"/>
    <n v="34"/>
    <n v="34"/>
    <n v="33.256117920928901"/>
    <n v="2957685"/>
  </r>
  <r>
    <x v="38"/>
    <n v="202601"/>
    <x v="0"/>
    <x v="10"/>
    <s v="Sofía V"/>
    <s v="Melany A"/>
    <n v="84445"/>
    <n v="4507405"/>
    <n v="53.376693548387088"/>
    <n v="106820.09593599169"/>
    <n v="56"/>
    <n v="60"/>
    <n v="48.493991244906013"/>
    <n v="5180133"/>
  </r>
  <r>
    <x v="66"/>
    <n v="202503"/>
    <x v="1"/>
    <x v="0"/>
    <s v="Sebastián S"/>
    <s v="Rodolfo O"/>
    <n v="84438"/>
    <n v="4531729"/>
    <n v="53.669583333333343"/>
    <n v="77226.908339083093"/>
    <n v="55"/>
    <n v="55.5"/>
    <n v="58.680697537474465"/>
    <n v="4478394"/>
  </r>
  <r>
    <x v="73"/>
    <n v="202402"/>
    <x v="2"/>
    <x v="2"/>
    <s v="Fátima L"/>
    <s v="Fátima L"/>
    <n v="84436"/>
    <n v="998879"/>
    <n v="11.830050287356322"/>
    <n v="0"/>
    <n v="13.5"/>
    <n v="12"/>
    <m/>
    <n v="0"/>
  </r>
  <r>
    <x v="32"/>
    <n v="202510"/>
    <x v="1"/>
    <x v="8"/>
    <s v="Sofía V"/>
    <s v="Melany A"/>
    <n v="84399"/>
    <n v="5115495"/>
    <n v="60.61082661290321"/>
    <n v="88415.469092654239"/>
    <n v="75.5"/>
    <n v="68"/>
    <n v="57.857464677807258"/>
    <n v="6014943"/>
  </r>
  <r>
    <x v="63"/>
    <n v="202505"/>
    <x v="1"/>
    <x v="3"/>
    <s v="Sebastián S"/>
    <s v="Johanna V"/>
    <n v="84392"/>
    <n v="9042337"/>
    <n v="107.14657258064513"/>
    <n v="80539.147445212642"/>
    <n v="123"/>
    <n v="115.5"/>
    <n v="112.27257100220878"/>
    <n v="9459712"/>
  </r>
  <r>
    <x v="58"/>
    <n v="202605"/>
    <x v="0"/>
    <x v="3"/>
    <s v="Sebastián S"/>
    <s v="Rodolfo O"/>
    <n v="84391"/>
    <n v="4588627"/>
    <n v="54.373205645161192"/>
    <n v="0.89401803644813105"/>
    <n v="66.5"/>
    <n v="63.5"/>
    <n v="54.652141241039438"/>
    <n v="49"/>
  </r>
  <r>
    <x v="13"/>
    <n v="202508"/>
    <x v="1"/>
    <x v="5"/>
    <s v="Sebastián S"/>
    <s v="Rodolfo O"/>
    <n v="84354"/>
    <n v="5538620"/>
    <n v="65.659435483870979"/>
    <n v="100909.3772828916"/>
    <n v="78"/>
    <n v="74.5"/>
    <n v="54.887066981623626"/>
    <n v="5824418"/>
  </r>
  <r>
    <x v="24"/>
    <n v="202410"/>
    <x v="2"/>
    <x v="8"/>
    <s v="Sofía V"/>
    <s v="Joe H"/>
    <n v="84346"/>
    <n v="5547545"/>
    <n v="65.771350806451608"/>
    <n v="0"/>
    <n v="71"/>
    <n v="74.5"/>
    <m/>
    <n v="0"/>
  </r>
  <r>
    <x v="62"/>
    <n v="202505"/>
    <x v="1"/>
    <x v="3"/>
    <s v="Sebastián S"/>
    <s v="Vik E"/>
    <n v="84320"/>
    <n v="4904568"/>
    <n v="58.165813172043002"/>
    <n v="88374.525347740608"/>
    <n v="65"/>
    <n v="67.5"/>
    <n v="55.497530885753051"/>
    <n v="5001512"/>
  </r>
  <r>
    <x v="43"/>
    <n v="202401"/>
    <x v="2"/>
    <x v="10"/>
    <s v="Sofía V"/>
    <s v="José A"/>
    <n v="84320"/>
    <n v="2450372"/>
    <n v="29.060396505376346"/>
    <n v="0"/>
    <n v="32.5"/>
    <n v="32"/>
    <m/>
    <n v="0"/>
  </r>
  <r>
    <x v="45"/>
    <n v="202509"/>
    <x v="1"/>
    <x v="4"/>
    <s v="Sofía V"/>
    <s v="Joe H"/>
    <n v="84237"/>
    <n v="5101105"/>
    <n v="60.556708333333361"/>
    <n v="80932.090177640654"/>
    <n v="68"/>
    <n v="68.5"/>
    <n v="63.029453320721188"/>
    <n v="5124671"/>
  </r>
  <r>
    <x v="52"/>
    <n v="202401"/>
    <x v="2"/>
    <x v="10"/>
    <s v="Sebastián S"/>
    <s v="Vik E"/>
    <n v="84230"/>
    <n v="6236234"/>
    <n v="74.038548387096768"/>
    <n v="0"/>
    <n v="80"/>
    <n v="78"/>
    <m/>
    <n v="0"/>
  </r>
  <r>
    <x v="23"/>
    <n v="202510"/>
    <x v="1"/>
    <x v="8"/>
    <s v="Sebastián S"/>
    <s v="Rodolfo O"/>
    <n v="84227"/>
    <n v="7023880"/>
    <n v="83.392674731182822"/>
    <n v="83093.469953421169"/>
    <n v="94.5"/>
    <n v="97"/>
    <n v="84.529865390593287"/>
    <n v="7194923"/>
  </r>
  <r>
    <x v="63"/>
    <n v="202507"/>
    <x v="1"/>
    <x v="6"/>
    <s v="Sebastián S"/>
    <s v="Johanna V"/>
    <n v="84225"/>
    <n v="8659436"/>
    <n v="102.81273521505378"/>
    <n v="89096.842481171596"/>
    <n v="123"/>
    <n v="115.5"/>
    <n v="97.191277141274171"/>
    <n v="9827263"/>
  </r>
  <r>
    <x v="17"/>
    <n v="202409"/>
    <x v="2"/>
    <x v="4"/>
    <s v="Sofía V"/>
    <s v="Joe H"/>
    <n v="84219"/>
    <n v="7446307"/>
    <n v="88.415881944444493"/>
    <n v="0"/>
    <n v="94"/>
    <n v="92"/>
    <m/>
    <n v="0"/>
  </r>
  <r>
    <x v="32"/>
    <n v="202410"/>
    <x v="2"/>
    <x v="8"/>
    <s v="Sofía V"/>
    <s v="Melany A"/>
    <n v="84205"/>
    <n v="5200291"/>
    <n v="61.757358870967707"/>
    <n v="0"/>
    <n v="75.5"/>
    <n v="68"/>
    <m/>
    <n v="0"/>
  </r>
  <r>
    <x v="10"/>
    <n v="202509"/>
    <x v="1"/>
    <x v="4"/>
    <s v="Sofía V"/>
    <s v="Melany A"/>
    <n v="84193"/>
    <n v="8571950"/>
    <n v="101.81310416666672"/>
    <n v="90769.48516038165"/>
    <n v="125"/>
    <n v="118.5"/>
    <n v="94.43647283945829"/>
    <n v="9392897"/>
  </r>
  <r>
    <x v="77"/>
    <n v="202512"/>
    <x v="1"/>
    <x v="1"/>
    <s v="Fátima L"/>
    <s v="Fátima L"/>
    <n v="84171"/>
    <n v="1262117"/>
    <n v="14.994771505376326"/>
    <n v="96874.096650367792"/>
    <n v="17"/>
    <n v="13.5"/>
    <n v="13.028430546869091"/>
    <n v="1380484"/>
  </r>
  <r>
    <x v="52"/>
    <n v="202509"/>
    <x v="1"/>
    <x v="4"/>
    <s v="Sebastián S"/>
    <s v="Vik E"/>
    <n v="84167"/>
    <n v="5637850"/>
    <n v="66.984458333333365"/>
    <n v="85950.329099111783"/>
    <n v="80"/>
    <n v="78"/>
    <n v="65.594275194674765"/>
    <n v="6490060"/>
  </r>
  <r>
    <x v="62"/>
    <n v="202405"/>
    <x v="2"/>
    <x v="3"/>
    <s v="Sebastián S"/>
    <s v="Vik E"/>
    <n v="84166"/>
    <n v="4713019"/>
    <n v="55.996565860215036"/>
    <n v="0"/>
    <n v="65"/>
    <n v="67.5"/>
    <m/>
    <n v="0"/>
  </r>
  <r>
    <x v="61"/>
    <n v="202508"/>
    <x v="1"/>
    <x v="5"/>
    <s v="Sofía V"/>
    <s v="Joe H"/>
    <n v="84165"/>
    <n v="2720054"/>
    <n v="32.318030913978504"/>
    <n v="82704.83823656317"/>
    <n v="41.5"/>
    <n v="35.5"/>
    <n v="32.888695607139034"/>
    <n v="2876928"/>
  </r>
  <r>
    <x v="40"/>
    <n v="202407"/>
    <x v="2"/>
    <x v="6"/>
    <s v="Sebastián S"/>
    <s v="Johanna V"/>
    <n v="84147"/>
    <n v="9075663"/>
    <n v="107.85504032258062"/>
    <n v="0"/>
    <n v="106"/>
    <n v="102.5"/>
    <m/>
    <n v="0"/>
  </r>
  <r>
    <x v="56"/>
    <n v="202408"/>
    <x v="2"/>
    <x v="5"/>
    <s v="Sofía V"/>
    <s v="Joe H"/>
    <n v="84131"/>
    <n v="6067036"/>
    <n v="72.114301075268827"/>
    <n v="0"/>
    <n v="79.5"/>
    <n v="81.5"/>
    <m/>
    <n v="0"/>
  </r>
  <r>
    <x v="62"/>
    <n v="202511"/>
    <x v="1"/>
    <x v="7"/>
    <s v="Sebastián S"/>
    <s v="Vik E"/>
    <n v="84126"/>
    <n v="4963985"/>
    <n v="59.00640277777778"/>
    <n v="89451.59063981293"/>
    <n v="65"/>
    <n v="67.5"/>
    <n v="55.493537616206901"/>
    <n v="4870645"/>
  </r>
  <r>
    <x v="0"/>
    <n v="202605"/>
    <x v="0"/>
    <x v="3"/>
    <s v="Fátima L"/>
    <s v="Fátima L"/>
    <n v="84108"/>
    <n v="990495"/>
    <n v="11.7764180107527"/>
    <n v="99416.536627793932"/>
    <n v="13.5"/>
    <n v="12.5"/>
    <n v="11.712938172043014"/>
    <n v="1164460"/>
  </r>
  <r>
    <x v="24"/>
    <n v="202506"/>
    <x v="1"/>
    <x v="11"/>
    <s v="Sofía V"/>
    <s v="Joe H"/>
    <n v="84102"/>
    <n v="5403075"/>
    <n v="64.243958333333367"/>
    <n v="99609.445283505003"/>
    <n v="71"/>
    <n v="74.5"/>
    <n v="54.242598024935816"/>
    <n v="5714107"/>
  </r>
  <r>
    <x v="56"/>
    <n v="202501"/>
    <x v="1"/>
    <x v="10"/>
    <s v="Sofía V"/>
    <s v="Joe H"/>
    <n v="84090"/>
    <n v="5863078"/>
    <n v="69.72418682795697"/>
    <n v="91633.131461002253"/>
    <n v="79.5"/>
    <n v="81.5"/>
    <n v="63.984255001644698"/>
    <n v="6068550"/>
  </r>
  <r>
    <x v="34"/>
    <n v="202410"/>
    <x v="2"/>
    <x v="8"/>
    <s v="Hernán P"/>
    <s v="Daniel R"/>
    <n v="84064"/>
    <n v="992317"/>
    <n v="11.804267473118282"/>
    <n v="0"/>
    <n v="15"/>
    <n v="15"/>
    <m/>
    <n v="0"/>
  </r>
  <r>
    <x v="46"/>
    <n v="202509"/>
    <x v="1"/>
    <x v="4"/>
    <s v="Sofía V"/>
    <s v="José A"/>
    <n v="84045"/>
    <n v="4138034"/>
    <n v="49.236104166666678"/>
    <n v="85581.648541806804"/>
    <n v="58"/>
    <n v="58.5"/>
    <n v="48.351882097463481"/>
    <n v="4477539"/>
  </r>
  <r>
    <x v="14"/>
    <n v="202405"/>
    <x v="2"/>
    <x v="3"/>
    <s v="Sofía V"/>
    <s v="Melany A"/>
    <n v="84009"/>
    <n v="4861094"/>
    <n v="57.864173387096756"/>
    <n v="0"/>
    <n v="59.5"/>
    <n v="55.5"/>
    <m/>
    <n v="0"/>
  </r>
  <r>
    <x v="69"/>
    <n v="202604"/>
    <x v="0"/>
    <x v="9"/>
    <s v="Sofía V"/>
    <s v="José A"/>
    <n v="84003"/>
    <n v="6011149"/>
    <n v="71.558326388889981"/>
    <n v="78786.790186904749"/>
    <n v="84"/>
    <n v="76"/>
    <n v="84"/>
    <n v="6618090"/>
  </r>
  <r>
    <x v="34"/>
    <n v="202511"/>
    <x v="1"/>
    <x v="7"/>
    <s v="Hernán P"/>
    <s v="Daniel R"/>
    <n v="83977"/>
    <n v="1116659"/>
    <n v="13.297131944444441"/>
    <n v="91568.257658609684"/>
    <n v="15"/>
    <n v="15"/>
    <n v="12.194822950144953"/>
    <n v="1049934"/>
  </r>
  <r>
    <x v="72"/>
    <n v="202602"/>
    <x v="0"/>
    <x v="2"/>
    <s v="Sebastián S"/>
    <s v="Vik E"/>
    <n v="83968"/>
    <n v="5578523"/>
    <n v="66.43640624999999"/>
    <n v="72539.500661071608"/>
    <n v="79.5"/>
    <n v="67"/>
    <n v="68.682661472657543"/>
    <n v="4982206"/>
  </r>
  <r>
    <x v="14"/>
    <n v="202502"/>
    <x v="1"/>
    <x v="2"/>
    <s v="Sofía V"/>
    <s v="Melany A"/>
    <n v="83961"/>
    <n v="4883197"/>
    <n v="58.160052083333333"/>
    <n v="88046.965055600362"/>
    <n v="59.5"/>
    <n v="55.5"/>
    <n v="55.461274978828996"/>
    <n v="4706234"/>
  </r>
  <r>
    <x v="64"/>
    <n v="202505"/>
    <x v="1"/>
    <x v="3"/>
    <s v="Sebastián S"/>
    <s v="Johanna V"/>
    <n v="83948"/>
    <n v="5157024"/>
    <n v="61.431444892473102"/>
    <n v="74348.584377296123"/>
    <n v="75.5"/>
    <n v="70.5"/>
    <n v="69.362777828151962"/>
    <n v="5628473"/>
  </r>
  <r>
    <x v="22"/>
    <n v="202502"/>
    <x v="1"/>
    <x v="2"/>
    <s v="Sebastián S"/>
    <s v="Johanna V"/>
    <n v="83940"/>
    <n v="7402521"/>
    <n v="88.188697916666669"/>
    <n v="86701.253013005742"/>
    <n v="104.5"/>
    <n v="99"/>
    <n v="85.379633197337697"/>
    <n v="8392096"/>
  </r>
  <r>
    <x v="39"/>
    <n v="202510"/>
    <x v="1"/>
    <x v="8"/>
    <s v="Sofía V"/>
    <s v="Melany A"/>
    <n v="83927"/>
    <n v="4122597"/>
    <n v="49.121135752688176"/>
    <n v="71246.34385777422"/>
    <n v="60.5"/>
    <n v="60.5"/>
    <n v="57.86398412569423"/>
    <n v="4785139"/>
  </r>
  <r>
    <x v="17"/>
    <n v="202402"/>
    <x v="2"/>
    <x v="2"/>
    <s v="Sofía V"/>
    <s v="Joe H"/>
    <n v="83927"/>
    <n v="6940195"/>
    <n v="82.693635057471283"/>
    <n v="0"/>
    <n v="94"/>
    <n v="92"/>
    <m/>
    <n v="0"/>
  </r>
  <r>
    <x v="39"/>
    <n v="202407"/>
    <x v="2"/>
    <x v="6"/>
    <s v="Sofía V"/>
    <s v="Melany A"/>
    <n v="83881"/>
    <n v="5464249"/>
    <n v="65.142715053763439"/>
    <n v="0"/>
    <n v="60.5"/>
    <n v="60.5"/>
    <m/>
    <n v="0"/>
  </r>
  <r>
    <x v="14"/>
    <n v="202402"/>
    <x v="2"/>
    <x v="2"/>
    <s v="Sofía V"/>
    <s v="Melany A"/>
    <n v="83854"/>
    <n v="5117021"/>
    <n v="61.022801724137921"/>
    <n v="0"/>
    <n v="59.5"/>
    <n v="55.5"/>
    <m/>
    <n v="0"/>
  </r>
  <r>
    <x v="50"/>
    <n v="202405"/>
    <x v="2"/>
    <x v="3"/>
    <s v="Sebastián S"/>
    <s v="Vik E"/>
    <n v="83826"/>
    <n v="6404637"/>
    <n v="76.403541666666698"/>
    <n v="0"/>
    <n v="75.5"/>
    <n v="74"/>
    <m/>
    <n v="0"/>
  </r>
  <r>
    <x v="32"/>
    <n v="202501"/>
    <x v="1"/>
    <x v="10"/>
    <s v="Sofía V"/>
    <s v="Melany A"/>
    <n v="83798"/>
    <n v="5500316"/>
    <n v="65.637607526881695"/>
    <n v="92712.928140308853"/>
    <n v="75.5"/>
    <n v="68"/>
    <n v="59.326311231115405"/>
    <n v="6033033"/>
  </r>
  <r>
    <x v="62"/>
    <n v="202406"/>
    <x v="2"/>
    <x v="11"/>
    <s v="Sebastián S"/>
    <s v="Vik E"/>
    <n v="83762"/>
    <n v="4816981"/>
    <n v="57.507819444444472"/>
    <n v="0"/>
    <n v="65"/>
    <n v="67.5"/>
    <m/>
    <n v="0"/>
  </r>
  <r>
    <x v="45"/>
    <n v="202507"/>
    <x v="1"/>
    <x v="6"/>
    <s v="Sofía V"/>
    <s v="Joe H"/>
    <n v="83753"/>
    <n v="5577281"/>
    <n v="66.592392473118309"/>
    <n v="96013.290942260413"/>
    <n v="68"/>
    <n v="68.5"/>
    <n v="58.088634867791519"/>
    <n v="5648055"/>
  </r>
  <r>
    <x v="77"/>
    <n v="202604"/>
    <x v="0"/>
    <x v="9"/>
    <s v="Fátima L"/>
    <s v="Fátima L"/>
    <n v="83744"/>
    <n v="998781"/>
    <n v="11.92663888888889"/>
    <n v="70382.088160084459"/>
    <n v="17"/>
    <n v="13.5"/>
    <n v="14.845130740132706"/>
    <n v="1044831"/>
  </r>
  <r>
    <x v="59"/>
    <n v="202509"/>
    <x v="1"/>
    <x v="4"/>
    <s v="Sebastián S"/>
    <s v="Johanna V"/>
    <n v="83742"/>
    <n v="8482124"/>
    <n v="101.2888333333334"/>
    <n v="91930.287062444811"/>
    <n v="118"/>
    <n v="106"/>
    <n v="92.266918455703404"/>
    <n v="9768815"/>
  </r>
  <r>
    <x v="41"/>
    <n v="202406"/>
    <x v="2"/>
    <x v="11"/>
    <s v="Sebastián S"/>
    <s v="Rodolfo O"/>
    <n v="83724"/>
    <n v="5387389"/>
    <n v="64.34701388888891"/>
    <n v="0"/>
    <n v="64.5"/>
    <n v="64"/>
    <m/>
    <n v="0"/>
  </r>
  <r>
    <x v="76"/>
    <n v="202504"/>
    <x v="1"/>
    <x v="9"/>
    <s v="Hernán P"/>
    <s v="Daniel R"/>
    <n v="83716"/>
    <n v="7379575"/>
    <n v="88.149638888888902"/>
    <n v="86927.199603515342"/>
    <n v="106"/>
    <n v="94.5"/>
    <n v="84.893744577750908"/>
    <n v="7920347"/>
  </r>
  <r>
    <x v="71"/>
    <n v="202502"/>
    <x v="1"/>
    <x v="2"/>
    <s v="Sebastián S"/>
    <s v="Rodolfo O"/>
    <n v="83693"/>
    <n v="4369312"/>
    <n v="52.206718750000007"/>
    <n v="66996.5188634972"/>
    <n v="53.5"/>
    <n v="54"/>
    <n v="65.216993123214394"/>
    <n v="3609392"/>
  </r>
  <r>
    <x v="39"/>
    <n v="202505"/>
    <x v="1"/>
    <x v="3"/>
    <s v="Sofía V"/>
    <s v="Melany A"/>
    <n v="83680"/>
    <n v="4730881"/>
    <n v="56.535490591397839"/>
    <n v="74692.639583243552"/>
    <n v="60.5"/>
    <n v="60.5"/>
    <n v="63.337986130849231"/>
    <n v="4855369"/>
  </r>
  <r>
    <x v="62"/>
    <n v="202404"/>
    <x v="2"/>
    <x v="9"/>
    <s v="Sebastián S"/>
    <s v="Vik E"/>
    <n v="83679"/>
    <n v="4704473"/>
    <n v="56.220354166666652"/>
    <n v="0"/>
    <n v="65"/>
    <n v="67.5"/>
    <m/>
    <n v="0"/>
  </r>
  <r>
    <x v="19"/>
    <n v="202405"/>
    <x v="2"/>
    <x v="3"/>
    <s v="Sofía V"/>
    <s v="Joe H"/>
    <n v="83666"/>
    <n v="4240836"/>
    <n v="50.687526881720409"/>
    <n v="0"/>
    <n v="57.5"/>
    <n v="56.5"/>
    <m/>
    <n v="0"/>
  </r>
  <r>
    <x v="40"/>
    <n v="202405"/>
    <x v="2"/>
    <x v="3"/>
    <s v="Sebastián S"/>
    <s v="Johanna V"/>
    <n v="83651"/>
    <n v="9055426"/>
    <n v="108.25198924731184"/>
    <n v="0"/>
    <n v="106"/>
    <n v="102.5"/>
    <m/>
    <n v="0"/>
  </r>
  <r>
    <x v="9"/>
    <n v="202507"/>
    <x v="1"/>
    <x v="6"/>
    <s v="Sofía V"/>
    <s v="Joe H"/>
    <n v="83630"/>
    <n v="5459845"/>
    <n v="65.286055107526877"/>
    <n v="97391.092342918913"/>
    <n v="70.5"/>
    <n v="69.5"/>
    <n v="56.061031852642259"/>
    <n v="5773022"/>
  </r>
  <r>
    <x v="61"/>
    <n v="202407"/>
    <x v="2"/>
    <x v="6"/>
    <s v="Sofía V"/>
    <s v="Joe H"/>
    <n v="83623"/>
    <n v="2662927"/>
    <n v="31.844543010752684"/>
    <n v="0"/>
    <n v="41.5"/>
    <n v="35.5"/>
    <m/>
    <n v="0"/>
  </r>
  <r>
    <x v="73"/>
    <n v="202408"/>
    <x v="2"/>
    <x v="5"/>
    <s v="Fátima L"/>
    <s v="Fátima L"/>
    <n v="83622"/>
    <n v="995305"/>
    <n v="11.902399193548387"/>
    <n v="0"/>
    <n v="13.5"/>
    <n v="12"/>
    <m/>
    <n v="0"/>
  </r>
  <r>
    <x v="13"/>
    <n v="202509"/>
    <x v="1"/>
    <x v="4"/>
    <s v="Sebastián S"/>
    <s v="Rodolfo O"/>
    <n v="83618"/>
    <n v="5043713"/>
    <n v="60.318416666666693"/>
    <n v="81267.06156466523"/>
    <n v="78"/>
    <n v="74.5"/>
    <n v="62.063436808117558"/>
    <n v="5453078"/>
  </r>
  <r>
    <x v="83"/>
    <n v="202504"/>
    <x v="1"/>
    <x v="9"/>
    <s v="Hernán P"/>
    <s v="Daniel R"/>
    <n v="83616"/>
    <n v="3347309"/>
    <n v="40.031784722222227"/>
    <n v="72247.864010093064"/>
    <n v="51"/>
    <n v="49"/>
    <n v="46.330900101522431"/>
    <n v="3603619"/>
  </r>
  <r>
    <x v="63"/>
    <n v="202409"/>
    <x v="2"/>
    <x v="4"/>
    <s v="Sebastián S"/>
    <s v="Johanna V"/>
    <n v="83558"/>
    <n v="8376053"/>
    <n v="100.24238194444446"/>
    <n v="0"/>
    <n v="123"/>
    <n v="115.5"/>
    <m/>
    <n v="0"/>
  </r>
  <r>
    <x v="43"/>
    <n v="202505"/>
    <x v="1"/>
    <x v="3"/>
    <s v="Sofía V"/>
    <s v="José A"/>
    <n v="83544"/>
    <n v="2531584"/>
    <n v="30.302473118279575"/>
    <n v="81931.44772072116"/>
    <n v="32.5"/>
    <n v="32"/>
    <n v="30.898803089985439"/>
    <n v="2313521"/>
  </r>
  <r>
    <x v="72"/>
    <n v="202511"/>
    <x v="1"/>
    <x v="7"/>
    <s v="Sebastián S"/>
    <s v="Vik E"/>
    <n v="83453"/>
    <n v="5785599"/>
    <n v="69.327756944444474"/>
    <n v="81267.163621597516"/>
    <n v="79.5"/>
    <n v="67"/>
    <n v="71.192339220049035"/>
    <n v="5478116"/>
  </r>
  <r>
    <x v="67"/>
    <n v="202504"/>
    <x v="1"/>
    <x v="9"/>
    <s v="Hernán P"/>
    <s v="Daniel R"/>
    <n v="83437"/>
    <n v="1067306"/>
    <n v="12.791770833333338"/>
    <n v="75319.781652543796"/>
    <n v="15.5"/>
    <n v="14.5"/>
    <n v="14.17033037779596"/>
    <n v="1103430"/>
  </r>
  <r>
    <x v="47"/>
    <n v="202507"/>
    <x v="1"/>
    <x v="6"/>
    <s v="Sebastián S"/>
    <s v="Vik E"/>
    <n v="83429"/>
    <n v="4351436"/>
    <n v="52.157432795698938"/>
    <n v="81883.782471539904"/>
    <n v="61.5"/>
    <n v="48.5"/>
    <n v="53.141609103272877"/>
    <n v="5021707"/>
  </r>
  <r>
    <x v="79"/>
    <n v="202606"/>
    <x v="0"/>
    <x v="11"/>
    <s v="Sebastián S"/>
    <s v="Vik E"/>
    <n v="83423"/>
    <n v="5600587"/>
    <n v="67.134423611113036"/>
    <n v="78218.877983555023"/>
    <n v="84.5"/>
    <n v="78.5"/>
    <n v="72.494656792343278"/>
    <n v="5670451"/>
  </r>
  <r>
    <x v="46"/>
    <n v="202505"/>
    <x v="1"/>
    <x v="3"/>
    <s v="Sofía V"/>
    <s v="José A"/>
    <n v="83413"/>
    <n v="4525870"/>
    <n v="54.258514784946222"/>
    <n v="81219.438779492397"/>
    <n v="58"/>
    <n v="58.5"/>
    <n v="55.72396938481144"/>
    <n v="4567169"/>
  </r>
  <r>
    <x v="60"/>
    <n v="202408"/>
    <x v="2"/>
    <x v="5"/>
    <s v="Sofía V"/>
    <s v="Melany A"/>
    <n v="83403"/>
    <n v="6353841"/>
    <n v="76.182439516129079"/>
    <n v="0"/>
    <n v="88.5"/>
    <n v="92.5"/>
    <m/>
    <n v="0"/>
  </r>
  <r>
    <x v="63"/>
    <n v="202601"/>
    <x v="0"/>
    <x v="10"/>
    <s v="Sebastián S"/>
    <s v="Johanna V"/>
    <n v="83388"/>
    <n v="8650247"/>
    <n v="103.73444892473121"/>
    <n v="90924.202243357999"/>
    <n v="123"/>
    <n v="115.5"/>
    <n v="102.59248347357834"/>
    <n v="9328140"/>
  </r>
  <r>
    <x v="32"/>
    <n v="202411"/>
    <x v="2"/>
    <x v="7"/>
    <s v="Sofía V"/>
    <s v="Melany A"/>
    <n v="83385"/>
    <n v="5500090"/>
    <n v="65.960125000000019"/>
    <n v="0"/>
    <n v="75.5"/>
    <n v="68"/>
    <m/>
    <n v="0"/>
  </r>
  <r>
    <x v="21"/>
    <n v="202402"/>
    <x v="2"/>
    <x v="2"/>
    <s v="Sebastián S"/>
    <s v="Rodolfo O"/>
    <n v="83364"/>
    <n v="6422747"/>
    <n v="77.044554597701193"/>
    <n v="0"/>
    <n v="84.5"/>
    <n v="86.5"/>
    <m/>
    <n v="0"/>
  </r>
  <r>
    <x v="73"/>
    <n v="202410"/>
    <x v="2"/>
    <x v="8"/>
    <s v="Fátima L"/>
    <s v="Fátima L"/>
    <n v="83361"/>
    <n v="947365"/>
    <n v="11.364556451612906"/>
    <n v="0"/>
    <n v="13.5"/>
    <n v="12"/>
    <m/>
    <n v="0"/>
  </r>
  <r>
    <x v="50"/>
    <n v="202511"/>
    <x v="1"/>
    <x v="7"/>
    <s v="Sebastián S"/>
    <s v="Vik E"/>
    <n v="83352"/>
    <n v="5352897"/>
    <n v="64.220625000000041"/>
    <n v="83111.323801670878"/>
    <n v="75.5"/>
    <n v="74"/>
    <n v="64.406353733140591"/>
    <n v="6568616"/>
  </r>
  <r>
    <x v="59"/>
    <n v="202404"/>
    <x v="2"/>
    <x v="9"/>
    <s v="Sebastián S"/>
    <s v="Johanna V"/>
    <n v="83350"/>
    <n v="9258741"/>
    <n v="111.0826597222222"/>
    <n v="0"/>
    <n v="118"/>
    <n v="106"/>
    <m/>
    <n v="0"/>
  </r>
  <r>
    <x v="72"/>
    <n v="202407"/>
    <x v="2"/>
    <x v="6"/>
    <s v="Sebastián S"/>
    <s v="Vik E"/>
    <n v="83349"/>
    <n v="5919367"/>
    <n v="71.018857526881689"/>
    <n v="0"/>
    <n v="79.5"/>
    <n v="67"/>
    <m/>
    <n v="0"/>
  </r>
  <r>
    <x v="47"/>
    <n v="202403"/>
    <x v="2"/>
    <x v="0"/>
    <s v="Sebastián S"/>
    <s v="Vik E"/>
    <n v="83338"/>
    <n v="5179219"/>
    <n v="62.147063172043026"/>
    <n v="0"/>
    <n v="61.5"/>
    <n v="48.5"/>
    <m/>
    <n v="0"/>
  </r>
  <r>
    <x v="41"/>
    <n v="202604"/>
    <x v="0"/>
    <x v="9"/>
    <s v="Sebastián S"/>
    <s v="Rodolfo O"/>
    <n v="83337"/>
    <n v="4981514"/>
    <n v="59.775868055556003"/>
    <n v="91886.337945352978"/>
    <n v="64.5"/>
    <n v="64"/>
    <n v="54.966698955874868"/>
    <n v="5050689"/>
  </r>
  <r>
    <x v="23"/>
    <n v="202501"/>
    <x v="1"/>
    <x v="10"/>
    <s v="Sebastián S"/>
    <s v="Rodolfo O"/>
    <n v="83327"/>
    <n v="7348758"/>
    <n v="88.192237903225745"/>
    <n v="77578.849470206114"/>
    <n v="94.5"/>
    <n v="97"/>
    <n v="94.726309170417181"/>
    <n v="7071595"/>
  </r>
  <r>
    <x v="57"/>
    <n v="202511"/>
    <x v="1"/>
    <x v="7"/>
    <s v="Hernán P"/>
    <s v="Daniel R"/>
    <n v="83321"/>
    <n v="3340989"/>
    <n v="40.097652777777775"/>
    <n v="77701.260130593335"/>
    <n v="53.5"/>
    <n v="52"/>
    <n v="42.997876924837065"/>
    <n v="3310494"/>
  </r>
  <r>
    <x v="69"/>
    <n v="202603"/>
    <x v="0"/>
    <x v="0"/>
    <s v="Sofía V"/>
    <s v="José A"/>
    <n v="83320"/>
    <n v="6998675"/>
    <n v="83.997130376344103"/>
    <n v="109173.94922738092"/>
    <n v="84"/>
    <n v="76"/>
    <n v="84"/>
    <n v="9170612"/>
  </r>
  <r>
    <x v="72"/>
    <n v="202507"/>
    <x v="1"/>
    <x v="6"/>
    <s v="Sebastián S"/>
    <s v="Vik E"/>
    <n v="83320"/>
    <n v="5814139"/>
    <n v="69.780685483870968"/>
    <n v="87516.693269071577"/>
    <n v="79.5"/>
    <n v="67"/>
    <n v="66.434626044705894"/>
    <n v="6432024"/>
  </r>
  <r>
    <x v="10"/>
    <n v="202502"/>
    <x v="1"/>
    <x v="2"/>
    <s v="Sofía V"/>
    <s v="Melany A"/>
    <n v="83319"/>
    <n v="8959163"/>
    <n v="107.52843749999994"/>
    <n v="97871.097572226834"/>
    <n v="125"/>
    <n v="118.5"/>
    <n v="91.540435452747644"/>
    <n v="9793410"/>
  </r>
  <r>
    <x v="54"/>
    <n v="202408"/>
    <x v="2"/>
    <x v="5"/>
    <s v="Sebastián S"/>
    <s v="Rodolfo O"/>
    <n v="83288"/>
    <n v="6001845"/>
    <n v="72.0612365591398"/>
    <n v="0"/>
    <n v="80"/>
    <n v="80.5"/>
    <m/>
    <n v="0"/>
  </r>
  <r>
    <x v="45"/>
    <n v="202602"/>
    <x v="0"/>
    <x v="2"/>
    <s v="Sofía V"/>
    <s v="Joe H"/>
    <n v="83272"/>
    <n v="5364219"/>
    <n v="64.418281250000007"/>
    <n v="81713.429644091666"/>
    <n v="68"/>
    <n v="68.5"/>
    <n v="60.397061823201135"/>
    <n v="4935251"/>
  </r>
  <r>
    <x v="67"/>
    <n v="202503"/>
    <x v="1"/>
    <x v="0"/>
    <s v="Hernán P"/>
    <s v="Daniel R"/>
    <n v="83243"/>
    <n v="1183693"/>
    <n v="14.219737903225809"/>
    <n v="92980.813698111684"/>
    <n v="15.5"/>
    <n v="14.5"/>
    <n v="12.730509154750912"/>
    <n v="1225194"/>
  </r>
  <r>
    <x v="53"/>
    <n v="202409"/>
    <x v="2"/>
    <x v="4"/>
    <s v="Sebastián S"/>
    <s v="Johanna V"/>
    <n v="83214"/>
    <n v="4751858"/>
    <n v="57.103812500000018"/>
    <n v="0"/>
    <n v="68"/>
    <n v="60.5"/>
    <m/>
    <n v="0"/>
  </r>
  <r>
    <x v="7"/>
    <n v="202403"/>
    <x v="2"/>
    <x v="0"/>
    <s v="Sebastián S"/>
    <s v="Rodolfo O"/>
    <n v="83214"/>
    <n v="5991172"/>
    <n v="71.997163978494612"/>
    <n v="0"/>
    <n v="65.5"/>
    <n v="63"/>
    <m/>
    <n v="0"/>
  </r>
  <r>
    <x v="47"/>
    <n v="202506"/>
    <x v="1"/>
    <x v="11"/>
    <s v="Sebastián S"/>
    <s v="Vik E"/>
    <n v="83205"/>
    <n v="4249639"/>
    <n v="51.074187499999994"/>
    <n v="77212.09073406519"/>
    <n v="61.5"/>
    <n v="48.5"/>
    <n v="55.038513652436336"/>
    <n v="4697127"/>
  </r>
  <r>
    <x v="3"/>
    <n v="202401"/>
    <x v="2"/>
    <x v="10"/>
    <s v="Sebastián S"/>
    <s v="Rodolfo O"/>
    <n v="83191"/>
    <n v="7832898"/>
    <n v="94.155598118279556"/>
    <n v="0"/>
    <n v="98.5"/>
    <n v="96.5"/>
    <m/>
    <n v="0"/>
  </r>
  <r>
    <x v="76"/>
    <n v="202409"/>
    <x v="2"/>
    <x v="4"/>
    <s v="Hernán P"/>
    <s v="Daniel R"/>
    <n v="83178"/>
    <n v="7183019"/>
    <n v="86.357152777777785"/>
    <n v="0"/>
    <n v="106"/>
    <n v="94.5"/>
    <m/>
    <n v="0"/>
  </r>
  <r>
    <x v="82"/>
    <n v="202603"/>
    <x v="0"/>
    <x v="0"/>
    <s v="Sebastián S"/>
    <s v="Vik E"/>
    <n v="83164"/>
    <n v="4709095"/>
    <n v="56.624213709677413"/>
    <n v="83035.19119245281"/>
    <n v="61.5"/>
    <n v="56"/>
    <n v="52.842490794418893"/>
    <n v="4387786"/>
  </r>
  <r>
    <x v="49"/>
    <n v="202602"/>
    <x v="0"/>
    <x v="2"/>
    <s v="Sebastián S"/>
    <s v="Vik E"/>
    <n v="83153"/>
    <n v="5167632"/>
    <n v="62.145833333333314"/>
    <n v="94243.151393173015"/>
    <n v="66"/>
    <n v="64.5"/>
    <n v="56.772923994003754"/>
    <n v="5350459"/>
  </r>
  <r>
    <x v="63"/>
    <n v="202604"/>
    <x v="0"/>
    <x v="9"/>
    <s v="Sebastián S"/>
    <s v="Johanna V"/>
    <n v="83121"/>
    <n v="9083748"/>
    <n v="109.2834166666689"/>
    <n v="87640.210678939271"/>
    <n v="123"/>
    <n v="115.5"/>
    <n v="102.59248347357834"/>
    <n v="8991227"/>
  </r>
  <r>
    <x v="54"/>
    <n v="202507"/>
    <x v="1"/>
    <x v="6"/>
    <s v="Sebastián S"/>
    <s v="Rodolfo O"/>
    <n v="83089"/>
    <n v="5782490"/>
    <n v="69.594301075268831"/>
    <n v="80493.869488451732"/>
    <n v="80"/>
    <n v="80.5"/>
    <n v="71.837643248466279"/>
    <n v="6458121"/>
  </r>
  <r>
    <x v="90"/>
    <n v="202412"/>
    <x v="2"/>
    <x v="1"/>
    <s v="Sebastián S"/>
    <s v="Vik E"/>
    <n v="83086"/>
    <n v="4248272"/>
    <n v="51.131048387096776"/>
    <n v="0"/>
    <n v="47.5"/>
    <n v="43"/>
    <m/>
    <n v="0"/>
  </r>
  <r>
    <x v="34"/>
    <n v="202503"/>
    <x v="1"/>
    <x v="0"/>
    <s v="Hernán P"/>
    <s v="Daniel R"/>
    <n v="83055"/>
    <n v="1158814"/>
    <n v="13.952298387096777"/>
    <n v="91742.544638066582"/>
    <n v="15"/>
    <n v="15"/>
    <n v="12.631150188515434"/>
    <n v="1214725"/>
  </r>
  <r>
    <x v="47"/>
    <n v="202410"/>
    <x v="2"/>
    <x v="8"/>
    <s v="Sebastián S"/>
    <s v="Vik E"/>
    <n v="83055"/>
    <n v="4347679"/>
    <n v="52.346969086021502"/>
    <n v="0"/>
    <n v="61.5"/>
    <n v="48.5"/>
    <m/>
    <n v="0"/>
  </r>
  <r>
    <x v="56"/>
    <n v="202409"/>
    <x v="2"/>
    <x v="4"/>
    <s v="Sofía V"/>
    <s v="Joe H"/>
    <n v="83011"/>
    <n v="5919038"/>
    <n v="71.304138888888886"/>
    <n v="0"/>
    <n v="79.5"/>
    <n v="81.5"/>
    <m/>
    <n v="0"/>
  </r>
  <r>
    <x v="68"/>
    <n v="202507"/>
    <x v="1"/>
    <x v="6"/>
    <s v="Sofía V"/>
    <s v="José A"/>
    <n v="83005"/>
    <n v="3625685"/>
    <n v="43.680094086021519"/>
    <n v="81774.644073545671"/>
    <n v="52"/>
    <n v="52"/>
    <n v="44.337525293771591"/>
    <n v="3668121"/>
  </r>
  <r>
    <x v="47"/>
    <n v="202401"/>
    <x v="2"/>
    <x v="10"/>
    <s v="Sebastián S"/>
    <s v="Vik E"/>
    <n v="82999"/>
    <n v="4512361"/>
    <n v="54.366619623655914"/>
    <n v="0"/>
    <n v="61.5"/>
    <n v="48.5"/>
    <m/>
    <n v="0"/>
  </r>
  <r>
    <x v="12"/>
    <n v="202510"/>
    <x v="1"/>
    <x v="8"/>
    <s v="Sofía V"/>
    <s v="Melany A"/>
    <n v="82968"/>
    <n v="7357129"/>
    <n v="88.674287634408628"/>
    <n v="94220.193369613713"/>
    <n v="96.5"/>
    <n v="94"/>
    <n v="78.084416693340131"/>
    <n v="8568750"/>
  </r>
  <r>
    <x v="46"/>
    <n v="202410"/>
    <x v="2"/>
    <x v="8"/>
    <s v="Sofía V"/>
    <s v="José A"/>
    <n v="82962"/>
    <n v="4105187"/>
    <n v="49.482520161290324"/>
    <n v="0"/>
    <n v="58"/>
    <n v="58.5"/>
    <m/>
    <n v="0"/>
  </r>
  <r>
    <x v="83"/>
    <n v="202505"/>
    <x v="1"/>
    <x v="3"/>
    <s v="Hernán P"/>
    <s v="Daniel R"/>
    <n v="82954"/>
    <n v="3356932"/>
    <n v="40.467244623655901"/>
    <n v="76563.636448859557"/>
    <n v="51"/>
    <n v="49"/>
    <n v="43.844992162072295"/>
    <n v="3592786"/>
  </r>
  <r>
    <x v="76"/>
    <n v="202503"/>
    <x v="1"/>
    <x v="0"/>
    <s v="Hernán P"/>
    <s v="Daniel R"/>
    <n v="82909"/>
    <n v="8049567"/>
    <n v="97.089059139784879"/>
    <n v="93563.884366873011"/>
    <n v="106"/>
    <n v="94.5"/>
    <n v="86.032846054540329"/>
    <n v="7987725"/>
  </r>
  <r>
    <x v="51"/>
    <n v="202511"/>
    <x v="1"/>
    <x v="7"/>
    <s v="Sofía V"/>
    <s v="Melany A"/>
    <n v="82900"/>
    <n v="2866358"/>
    <n v="34.576159722222222"/>
    <n v="74818.750965332845"/>
    <n v="43.5"/>
    <n v="41"/>
    <n v="38.310696623739716"/>
    <n v="2992590"/>
  </r>
  <r>
    <x v="56"/>
    <n v="202404"/>
    <x v="2"/>
    <x v="9"/>
    <s v="Sofía V"/>
    <s v="Joe H"/>
    <n v="82870"/>
    <n v="6103388"/>
    <n v="73.65054861111112"/>
    <n v="0"/>
    <n v="79.5"/>
    <n v="81.5"/>
    <m/>
    <n v="0"/>
  </r>
  <r>
    <x v="71"/>
    <n v="202511"/>
    <x v="1"/>
    <x v="7"/>
    <s v="Sebastián S"/>
    <s v="Rodolfo O"/>
    <n v="82810"/>
    <n v="4063942"/>
    <n v="49.075541666666673"/>
    <n v="78546.549505573799"/>
    <n v="53.5"/>
    <n v="54"/>
    <n v="51.73928333683984"/>
    <n v="4018926"/>
  </r>
  <r>
    <x v="36"/>
    <n v="202404"/>
    <x v="2"/>
    <x v="9"/>
    <s v="Sebastián S"/>
    <s v="Rodolfo O"/>
    <n v="82795"/>
    <n v="6129607"/>
    <n v="74.033798611111152"/>
    <n v="0"/>
    <n v="81"/>
    <n v="77"/>
    <m/>
    <n v="0"/>
  </r>
  <r>
    <x v="34"/>
    <n v="202507"/>
    <x v="1"/>
    <x v="6"/>
    <s v="Hernán P"/>
    <s v="Daniel R"/>
    <n v="82792"/>
    <n v="1138983"/>
    <n v="13.757163978494619"/>
    <n v="80605.230916687156"/>
    <n v="15"/>
    <n v="15"/>
    <n v="14.130384555032693"/>
    <n v="1106615"/>
  </r>
  <r>
    <x v="76"/>
    <n v="202404"/>
    <x v="2"/>
    <x v="9"/>
    <s v="Hernán P"/>
    <s v="Daniel R"/>
    <n v="82788"/>
    <n v="7559886"/>
    <n v="91.316409722222261"/>
    <n v="0"/>
    <n v="106"/>
    <n v="94.5"/>
    <m/>
    <n v="0"/>
  </r>
  <r>
    <x v="26"/>
    <n v="202404"/>
    <x v="2"/>
    <x v="9"/>
    <s v="Sofía V"/>
    <s v="Melany A"/>
    <n v="82785"/>
    <n v="4323405"/>
    <n v="52.224229166666667"/>
    <n v="0"/>
    <n v="55"/>
    <n v="50.5"/>
    <m/>
    <n v="0"/>
  </r>
  <r>
    <x v="53"/>
    <n v="202406"/>
    <x v="2"/>
    <x v="11"/>
    <s v="Sebastián S"/>
    <s v="Johanna V"/>
    <n v="82783"/>
    <n v="4902840"/>
    <n v="59.225104166666675"/>
    <n v="0"/>
    <n v="68"/>
    <n v="60.5"/>
    <m/>
    <n v="0"/>
  </r>
  <r>
    <x v="76"/>
    <n v="202412"/>
    <x v="2"/>
    <x v="1"/>
    <s v="Hernán P"/>
    <s v="Daniel R"/>
    <n v="82774"/>
    <n v="8836998"/>
    <n v="106.76053763440856"/>
    <n v="0"/>
    <n v="106"/>
    <n v="94.5"/>
    <m/>
    <n v="0"/>
  </r>
  <r>
    <x v="84"/>
    <n v="202412"/>
    <x v="2"/>
    <x v="1"/>
    <s v="Sofía V"/>
    <s v="Melany A"/>
    <n v="82760"/>
    <n v="4421295"/>
    <n v="53.422983870967734"/>
    <n v="0"/>
    <n v="52.5"/>
    <n v="52.5"/>
    <m/>
    <n v="0"/>
  </r>
  <r>
    <x v="67"/>
    <n v="202601"/>
    <x v="0"/>
    <x v="10"/>
    <s v="Hernán P"/>
    <s v="Daniel R"/>
    <n v="82734"/>
    <n v="1059777"/>
    <n v="12.809388440860216"/>
    <n v="83871.148953762575"/>
    <n v="15.5"/>
    <n v="14.5"/>
    <n v="13.971887755419019"/>
    <n v="1171838"/>
  </r>
  <r>
    <x v="47"/>
    <n v="202501"/>
    <x v="1"/>
    <x v="10"/>
    <s v="Sebastián S"/>
    <s v="Vik E"/>
    <n v="82734"/>
    <n v="4451525"/>
    <n v="53.805067204301032"/>
    <n v="87148.685752358608"/>
    <n v="61.5"/>
    <n v="48.5"/>
    <n v="51.079661862594669"/>
    <n v="4604822"/>
  </r>
  <r>
    <x v="62"/>
    <n v="202408"/>
    <x v="2"/>
    <x v="5"/>
    <s v="Sebastián S"/>
    <s v="Vik E"/>
    <n v="82732"/>
    <n v="4880347"/>
    <n v="58.989818548387099"/>
    <n v="0"/>
    <n v="65"/>
    <n v="67.5"/>
    <m/>
    <n v="0"/>
  </r>
  <r>
    <x v="67"/>
    <n v="202408"/>
    <x v="2"/>
    <x v="5"/>
    <s v="Hernán P"/>
    <s v="Daniel R"/>
    <n v="82705"/>
    <n v="1061839"/>
    <n v="12.838931451612906"/>
    <n v="0"/>
    <n v="15.5"/>
    <n v="14.5"/>
    <m/>
    <n v="0"/>
  </r>
  <r>
    <x v="47"/>
    <n v="202408"/>
    <x v="2"/>
    <x v="5"/>
    <s v="Sebastián S"/>
    <s v="Vik E"/>
    <n v="82704"/>
    <n v="4726187"/>
    <n v="57.145544354838698"/>
    <n v="0"/>
    <n v="61.5"/>
    <n v="48.5"/>
    <m/>
    <n v="0"/>
  </r>
  <r>
    <x v="18"/>
    <n v="202408"/>
    <x v="2"/>
    <x v="5"/>
    <s v="Sofía V"/>
    <s v="Joe H"/>
    <n v="82667"/>
    <n v="4025000"/>
    <n v="48.689516129032256"/>
    <n v="0"/>
    <n v="50.5"/>
    <n v="51.5"/>
    <m/>
    <n v="0"/>
  </r>
  <r>
    <x v="7"/>
    <n v="202409"/>
    <x v="2"/>
    <x v="4"/>
    <s v="Sebastián S"/>
    <s v="Rodolfo O"/>
    <n v="82629"/>
    <n v="4890619"/>
    <n v="59.187819444444436"/>
    <n v="0"/>
    <n v="65.5"/>
    <n v="63"/>
    <m/>
    <n v="0"/>
  </r>
  <r>
    <x v="18"/>
    <n v="202504"/>
    <x v="1"/>
    <x v="9"/>
    <s v="Sofía V"/>
    <s v="Joe H"/>
    <n v="82618"/>
    <n v="3876235"/>
    <n v="46.917840277777778"/>
    <n v="74600.822083449326"/>
    <n v="50.5"/>
    <n v="51.5"/>
    <n v="51.959687865959424"/>
    <n v="3930808"/>
  </r>
  <r>
    <x v="67"/>
    <n v="202401"/>
    <x v="2"/>
    <x v="10"/>
    <s v="Hernán P"/>
    <s v="Daniel R"/>
    <n v="82607"/>
    <n v="1083018"/>
    <n v="13.110416666666667"/>
    <n v="0"/>
    <n v="15.5"/>
    <n v="14.5"/>
    <m/>
    <n v="0"/>
  </r>
  <r>
    <x v="41"/>
    <n v="202505"/>
    <x v="1"/>
    <x v="3"/>
    <s v="Sebastián S"/>
    <s v="Rodolfo O"/>
    <n v="82591"/>
    <n v="5100384"/>
    <n v="61.754912634408598"/>
    <n v="79434.317707487804"/>
    <n v="64.5"/>
    <n v="64"/>
    <n v="64.208826577725077"/>
    <n v="5411686"/>
  </r>
  <r>
    <x v="66"/>
    <n v="202604"/>
    <x v="0"/>
    <x v="9"/>
    <s v="Sebastián S"/>
    <s v="Rodolfo O"/>
    <n v="82588"/>
    <n v="4232125"/>
    <n v="51.24369444444423"/>
    <n v="80289.308193298624"/>
    <n v="55"/>
    <n v="55.5"/>
    <n v="48.91205759483401"/>
    <n v="3927115"/>
  </r>
  <r>
    <x v="22"/>
    <n v="202402"/>
    <x v="2"/>
    <x v="2"/>
    <s v="Sebastián S"/>
    <s v="Johanna V"/>
    <n v="82573"/>
    <n v="8526445"/>
    <n v="103.25995689655176"/>
    <n v="0"/>
    <n v="104.5"/>
    <n v="99"/>
    <m/>
    <n v="0"/>
  </r>
  <r>
    <x v="82"/>
    <n v="202512"/>
    <x v="1"/>
    <x v="1"/>
    <s v="Sebastián S"/>
    <s v="Vik E"/>
    <n v="82547"/>
    <n v="4945108"/>
    <n v="59.906733870967727"/>
    <n v="92376.837034625118"/>
    <n v="61.5"/>
    <n v="56"/>
    <n v="53.531905819057783"/>
    <n v="5240448"/>
  </r>
  <r>
    <x v="44"/>
    <n v="202502"/>
    <x v="1"/>
    <x v="2"/>
    <s v="Sebastián S"/>
    <s v="Johanna V"/>
    <n v="82545"/>
    <n v="9052197"/>
    <n v="109.66369791666669"/>
    <n v="98608.318261243156"/>
    <n v="117.5"/>
    <n v="99"/>
    <n v="91.799531820611719"/>
    <n v="8834998"/>
  </r>
  <r>
    <x v="63"/>
    <n v="202403"/>
    <x v="2"/>
    <x v="0"/>
    <s v="Sebastián S"/>
    <s v="Johanna V"/>
    <n v="82539"/>
    <n v="10379742"/>
    <n v="125.75518817204305"/>
    <n v="0"/>
    <n v="123"/>
    <n v="115.5"/>
    <m/>
    <n v="0"/>
  </r>
  <r>
    <x v="41"/>
    <n v="202408"/>
    <x v="2"/>
    <x v="5"/>
    <s v="Sebastián S"/>
    <s v="Rodolfo O"/>
    <n v="82539"/>
    <n v="5043007"/>
    <n v="61.098615591397859"/>
    <n v="0"/>
    <n v="64.5"/>
    <n v="64"/>
    <m/>
    <n v="0"/>
  </r>
  <r>
    <x v="27"/>
    <n v="202505"/>
    <x v="1"/>
    <x v="3"/>
    <s v="Sofía V"/>
    <s v="Joe H"/>
    <n v="82521"/>
    <n v="4774168"/>
    <n v="57.853776881720421"/>
    <n v="80838.667346788628"/>
    <n v="62"/>
    <n v="58"/>
    <n v="59.057975801597109"/>
    <n v="4913941"/>
  </r>
  <r>
    <x v="72"/>
    <n v="202403"/>
    <x v="2"/>
    <x v="0"/>
    <s v="Sebastián S"/>
    <s v="Vik E"/>
    <n v="82514"/>
    <n v="6000433"/>
    <n v="72.72040322580645"/>
    <n v="0"/>
    <n v="79.5"/>
    <n v="67"/>
    <m/>
    <n v="0"/>
  </r>
  <r>
    <x v="34"/>
    <n v="202402"/>
    <x v="2"/>
    <x v="2"/>
    <s v="Hernán P"/>
    <s v="Daniel R"/>
    <n v="82459"/>
    <n v="1154601"/>
    <n v="14.002162356321842"/>
    <n v="0"/>
    <n v="15"/>
    <n v="15"/>
    <m/>
    <n v="0"/>
  </r>
  <r>
    <x v="46"/>
    <n v="202403"/>
    <x v="2"/>
    <x v="0"/>
    <s v="Sofía V"/>
    <s v="José A"/>
    <n v="82453"/>
    <n v="4962226"/>
    <n v="60.182170698924701"/>
    <n v="0"/>
    <n v="58"/>
    <n v="58.5"/>
    <m/>
    <n v="0"/>
  </r>
  <r>
    <x v="76"/>
    <n v="202408"/>
    <x v="2"/>
    <x v="5"/>
    <s v="Hernán P"/>
    <s v="Daniel R"/>
    <n v="82450"/>
    <n v="7278753"/>
    <n v="88.280584677419284"/>
    <n v="0"/>
    <n v="106"/>
    <n v="94.5"/>
    <m/>
    <n v="0"/>
  </r>
  <r>
    <x v="51"/>
    <n v="202407"/>
    <x v="2"/>
    <x v="6"/>
    <s v="Sofía V"/>
    <s v="Melany A"/>
    <n v="82447"/>
    <n v="3262373"/>
    <n v="39.569193548387105"/>
    <n v="0"/>
    <n v="43.5"/>
    <n v="41"/>
    <m/>
    <n v="0"/>
  </r>
  <r>
    <x v="10"/>
    <n v="202401"/>
    <x v="2"/>
    <x v="10"/>
    <s v="Sofía V"/>
    <s v="Melany A"/>
    <n v="82418"/>
    <n v="8994815"/>
    <n v="109.13691532258068"/>
    <n v="0"/>
    <n v="125"/>
    <n v="118.5"/>
    <m/>
    <n v="0"/>
  </r>
  <r>
    <x v="50"/>
    <n v="202404"/>
    <x v="2"/>
    <x v="9"/>
    <s v="Sebastián S"/>
    <s v="Vik E"/>
    <n v="82382"/>
    <n v="6128055"/>
    <n v="74.38608333333336"/>
    <n v="0"/>
    <n v="75.5"/>
    <n v="74"/>
    <m/>
    <n v="0"/>
  </r>
  <r>
    <x v="21"/>
    <n v="202404"/>
    <x v="2"/>
    <x v="9"/>
    <s v="Sebastián S"/>
    <s v="Rodolfo O"/>
    <n v="82319"/>
    <n v="6179626"/>
    <n v="75.069361111111121"/>
    <n v="0"/>
    <n v="84.5"/>
    <n v="86.5"/>
    <m/>
    <n v="0"/>
  </r>
  <r>
    <x v="34"/>
    <n v="202602"/>
    <x v="0"/>
    <x v="2"/>
    <s v="Hernán P"/>
    <s v="Daniel R"/>
    <n v="82298"/>
    <n v="1053961"/>
    <n v="12.806666666666667"/>
    <n v="82599.217865344879"/>
    <n v="15"/>
    <n v="15"/>
    <n v="13.971887755419019"/>
    <n v="1154067"/>
  </r>
  <r>
    <x v="38"/>
    <n v="202407"/>
    <x v="2"/>
    <x v="6"/>
    <s v="Sofía V"/>
    <s v="Melany A"/>
    <n v="82296"/>
    <n v="4936832"/>
    <n v="59.988776881720433"/>
    <n v="0"/>
    <n v="56"/>
    <n v="60"/>
    <m/>
    <n v="0"/>
  </r>
  <r>
    <x v="23"/>
    <n v="202405"/>
    <x v="2"/>
    <x v="3"/>
    <s v="Sebastián S"/>
    <s v="Rodolfo O"/>
    <n v="82275"/>
    <n v="7214286"/>
    <n v="87.685020161290325"/>
    <n v="0"/>
    <n v="94.5"/>
    <n v="97"/>
    <m/>
    <n v="0"/>
  </r>
  <r>
    <x v="26"/>
    <n v="202409"/>
    <x v="2"/>
    <x v="4"/>
    <s v="Sofía V"/>
    <s v="Melany A"/>
    <n v="82265"/>
    <n v="4295324"/>
    <n v="52.213097222222217"/>
    <n v="0"/>
    <n v="55"/>
    <n v="50.5"/>
    <m/>
    <n v="0"/>
  </r>
  <r>
    <x v="56"/>
    <n v="202602"/>
    <x v="0"/>
    <x v="2"/>
    <s v="Sofía V"/>
    <s v="Joe H"/>
    <n v="82251"/>
    <n v="6336945"/>
    <n v="77.043750000000031"/>
    <n v="95951.801709074556"/>
    <n v="79.5"/>
    <n v="81.5"/>
    <n v="68.773296674593993"/>
    <n v="6598922"/>
  </r>
  <r>
    <x v="10"/>
    <n v="202504"/>
    <x v="1"/>
    <x v="9"/>
    <s v="Sofía V"/>
    <s v="Melany A"/>
    <n v="82244"/>
    <n v="9701844"/>
    <n v="117.96380555555555"/>
    <n v="85314.461565372039"/>
    <n v="125"/>
    <n v="118.5"/>
    <n v="113.71863459005689"/>
    <n v="9567477"/>
  </r>
  <r>
    <x v="73"/>
    <n v="202406"/>
    <x v="2"/>
    <x v="11"/>
    <s v="Fátima L"/>
    <s v="Fátima L"/>
    <n v="82244"/>
    <n v="1000913"/>
    <n v="12.170083333333336"/>
    <n v="0"/>
    <n v="13.5"/>
    <n v="12"/>
    <m/>
    <n v="0"/>
  </r>
  <r>
    <x v="58"/>
    <n v="202401"/>
    <x v="2"/>
    <x v="10"/>
    <s v="Sebastián S"/>
    <s v="Rodolfo O"/>
    <n v="82243"/>
    <n v="4964654"/>
    <n v="60.365544354838725"/>
    <n v="0"/>
    <n v="66.5"/>
    <n v="63.5"/>
    <m/>
    <n v="0"/>
  </r>
  <r>
    <x v="41"/>
    <n v="202507"/>
    <x v="1"/>
    <x v="6"/>
    <s v="Sebastián S"/>
    <s v="Rodolfo O"/>
    <n v="82233"/>
    <n v="5183123"/>
    <n v="63.029448924731177"/>
    <n v="97816.394627348607"/>
    <n v="64.5"/>
    <n v="64"/>
    <n v="52.988289332745886"/>
    <n v="6296121"/>
  </r>
  <r>
    <x v="64"/>
    <n v="202511"/>
    <x v="1"/>
    <x v="7"/>
    <s v="Sebastián S"/>
    <s v="Johanna V"/>
    <n v="82211"/>
    <n v="5166606"/>
    <n v="62.845416666666686"/>
    <n v="72018.532339733109"/>
    <n v="75.5"/>
    <n v="70.5"/>
    <n v="71.739955149704556"/>
    <n v="5641899"/>
  </r>
  <r>
    <x v="46"/>
    <n v="202508"/>
    <x v="1"/>
    <x v="5"/>
    <s v="Sofía V"/>
    <s v="José A"/>
    <n v="82197"/>
    <n v="4381088"/>
    <n v="53.299825268817209"/>
    <n v="91945.047084396836"/>
    <n v="58"/>
    <n v="58.5"/>
    <n v="47.648980547898098"/>
    <n v="4757212"/>
  </r>
  <r>
    <x v="37"/>
    <n v="202404"/>
    <x v="2"/>
    <x v="9"/>
    <s v="Sofía V"/>
    <s v="Melany A"/>
    <n v="82171"/>
    <n v="5196522"/>
    <n v="63.240479166666688"/>
    <n v="0"/>
    <n v="72.5"/>
    <n v="68.5"/>
    <m/>
    <n v="0"/>
  </r>
  <r>
    <x v="41"/>
    <n v="202502"/>
    <x v="1"/>
    <x v="2"/>
    <s v="Sebastián S"/>
    <s v="Rodolfo O"/>
    <n v="82168"/>
    <n v="5079732"/>
    <n v="61.820937499999992"/>
    <n v="67996.538071405215"/>
    <n v="64.5"/>
    <n v="64"/>
    <n v="74.705747293569871"/>
    <n v="5260289"/>
  </r>
  <r>
    <x v="41"/>
    <n v="202411"/>
    <x v="2"/>
    <x v="7"/>
    <s v="Sebastián S"/>
    <s v="Rodolfo O"/>
    <n v="82141"/>
    <n v="4944206"/>
    <n v="60.191493055555554"/>
    <n v="0"/>
    <n v="64.5"/>
    <n v="64"/>
    <m/>
    <n v="0"/>
  </r>
  <r>
    <x v="71"/>
    <n v="202501"/>
    <x v="1"/>
    <x v="10"/>
    <s v="Sebastián S"/>
    <s v="Rodolfo O"/>
    <n v="82131"/>
    <n v="3996396"/>
    <n v="48.658655913978492"/>
    <n v="73656.967833588133"/>
    <n v="53.5"/>
    <n v="54"/>
    <n v="54.256862555474534"/>
    <n v="3749118"/>
  </r>
  <r>
    <x v="24"/>
    <n v="202409"/>
    <x v="2"/>
    <x v="4"/>
    <s v="Sofía V"/>
    <s v="Joe H"/>
    <n v="82097"/>
    <n v="5435511"/>
    <n v="66.208479166666663"/>
    <n v="0"/>
    <n v="71"/>
    <n v="74.5"/>
    <m/>
    <n v="0"/>
  </r>
  <r>
    <x v="79"/>
    <n v="202509"/>
    <x v="1"/>
    <x v="4"/>
    <s v="Sebastián S"/>
    <s v="Vik E"/>
    <n v="82071"/>
    <n v="4990089"/>
    <n v="60.801756944444477"/>
    <n v="73835.114871549915"/>
    <n v="84.5"/>
    <n v="78.5"/>
    <n v="67.584221933983557"/>
    <n v="5521506"/>
  </r>
  <r>
    <x v="76"/>
    <n v="202406"/>
    <x v="2"/>
    <x v="11"/>
    <s v="Hernán P"/>
    <s v="Daniel R"/>
    <n v="82066"/>
    <n v="7444901"/>
    <n v="90.71844444444443"/>
    <n v="0"/>
    <n v="106"/>
    <n v="94.5"/>
    <m/>
    <n v="0"/>
  </r>
  <r>
    <x v="62"/>
    <n v="202506"/>
    <x v="1"/>
    <x v="11"/>
    <s v="Sebastián S"/>
    <s v="Vik E"/>
    <n v="82064"/>
    <n v="4608563"/>
    <n v="56.158375000000014"/>
    <n v="87950.296418144091"/>
    <n v="65"/>
    <n v="67.5"/>
    <n v="52.399628741322324"/>
    <n v="4924211"/>
  </r>
  <r>
    <x v="71"/>
    <n v="202403"/>
    <x v="2"/>
    <x v="0"/>
    <s v="Sebastián S"/>
    <s v="Rodolfo O"/>
    <n v="82052"/>
    <n v="4702289"/>
    <n v="57.308642473118269"/>
    <n v="0"/>
    <n v="53.5"/>
    <n v="54"/>
    <m/>
    <n v="0"/>
  </r>
  <r>
    <x v="29"/>
    <n v="202505"/>
    <x v="1"/>
    <x v="3"/>
    <s v="Sebastián S"/>
    <s v="Vik E"/>
    <n v="82036"/>
    <n v="5899066"/>
    <n v="71.908487903225776"/>
    <n v="93633.904142161569"/>
    <n v="76.5"/>
    <n v="75.5"/>
    <n v="63.001383997014834"/>
    <n v="6525525"/>
  </r>
  <r>
    <x v="49"/>
    <n v="202507"/>
    <x v="1"/>
    <x v="6"/>
    <s v="Sebastián S"/>
    <s v="Vik E"/>
    <n v="81982"/>
    <n v="4718569"/>
    <n v="57.555806451612924"/>
    <n v="90871.288561249341"/>
    <n v="66"/>
    <n v="64.5"/>
    <n v="51.925846488019978"/>
    <n v="5470467"/>
  </r>
  <r>
    <x v="81"/>
    <n v="202412"/>
    <x v="2"/>
    <x v="1"/>
    <s v="Fátima L"/>
    <s v="Fátima L"/>
    <n v="81981"/>
    <n v="996614"/>
    <n v="12.156713709677421"/>
    <n v="0"/>
    <n v="11.5"/>
    <n v="12"/>
    <m/>
    <n v="0"/>
  </r>
  <r>
    <x v="21"/>
    <n v="202409"/>
    <x v="2"/>
    <x v="4"/>
    <s v="Sebastián S"/>
    <s v="Rodolfo O"/>
    <n v="81978"/>
    <n v="6313045"/>
    <n v="77.008604166666657"/>
    <n v="0"/>
    <n v="84.5"/>
    <n v="86.5"/>
    <m/>
    <n v="0"/>
  </r>
  <r>
    <x v="62"/>
    <n v="202510"/>
    <x v="1"/>
    <x v="8"/>
    <s v="Sebastián S"/>
    <s v="Vik E"/>
    <n v="81966"/>
    <n v="4647427"/>
    <n v="56.699529569892498"/>
    <n v="91127.224072556113"/>
    <n v="65"/>
    <n v="67.5"/>
    <n v="50.999328985372003"/>
    <n v="5027557"/>
  </r>
  <r>
    <x v="55"/>
    <n v="202511"/>
    <x v="1"/>
    <x v="7"/>
    <s v="Sebastián S"/>
    <s v="Vik E"/>
    <n v="81923"/>
    <n v="4127605"/>
    <n v="50.383958333333325"/>
    <n v="79023.598011527691"/>
    <n v="69.5"/>
    <n v="59"/>
    <n v="52.232565636885809"/>
    <n v="4991885"/>
  </r>
  <r>
    <x v="83"/>
    <n v="202403"/>
    <x v="2"/>
    <x v="0"/>
    <s v="Hernán P"/>
    <s v="Daniel R"/>
    <n v="81901"/>
    <n v="3706439"/>
    <n v="45.255235215053766"/>
    <n v="0"/>
    <n v="51"/>
    <n v="49"/>
    <m/>
    <n v="0"/>
  </r>
  <r>
    <x v="45"/>
    <n v="202411"/>
    <x v="2"/>
    <x v="7"/>
    <s v="Sofía V"/>
    <s v="Joe H"/>
    <n v="81900"/>
    <n v="5380279"/>
    <n v="65.69320138888888"/>
    <n v="0"/>
    <n v="68"/>
    <n v="68.5"/>
    <m/>
    <n v="0"/>
  </r>
  <r>
    <x v="54"/>
    <n v="202508"/>
    <x v="1"/>
    <x v="5"/>
    <s v="Sebastián S"/>
    <s v="Rodolfo O"/>
    <n v="81885"/>
    <n v="5378399"/>
    <n v="65.682627688172047"/>
    <n v="87452.522533776879"/>
    <n v="80"/>
    <n v="80.5"/>
    <n v="61.500785502473022"/>
    <n v="6198845"/>
  </r>
  <r>
    <x v="52"/>
    <n v="202409"/>
    <x v="2"/>
    <x v="4"/>
    <s v="Sebastián S"/>
    <s v="Vik E"/>
    <n v="81857"/>
    <n v="6066510"/>
    <n v="74.110652777777759"/>
    <n v="0"/>
    <n v="80"/>
    <n v="78"/>
    <m/>
    <n v="0"/>
  </r>
  <r>
    <x v="74"/>
    <n v="202603"/>
    <x v="0"/>
    <x v="0"/>
    <s v="Sebastián S"/>
    <s v="Rodolfo O"/>
    <n v="81828"/>
    <n v="2026405"/>
    <n v="24.764193548387091"/>
    <n v="87952.153879588732"/>
    <n v="27"/>
    <n v="27"/>
    <n v="23.582599197509253"/>
    <n v="2074140"/>
  </r>
  <r>
    <x v="29"/>
    <n v="202509"/>
    <x v="1"/>
    <x v="4"/>
    <s v="Sebastián S"/>
    <s v="Vik E"/>
    <n v="81826"/>
    <n v="5108339"/>
    <n v="62.429256944444482"/>
    <n v="79566.617428393176"/>
    <n v="76.5"/>
    <n v="75.5"/>
    <n v="64.202033152877235"/>
    <n v="6022803"/>
  </r>
  <r>
    <x v="53"/>
    <n v="202503"/>
    <x v="1"/>
    <x v="0"/>
    <s v="Sebastián S"/>
    <s v="Johanna V"/>
    <n v="81791"/>
    <n v="5205947"/>
    <n v="63.649193548387068"/>
    <n v="84502.305693324117"/>
    <n v="68"/>
    <n v="60.5"/>
    <n v="61.607164884866371"/>
    <n v="5415755"/>
  </r>
  <r>
    <x v="41"/>
    <n v="202510"/>
    <x v="1"/>
    <x v="8"/>
    <s v="Sebastián S"/>
    <s v="Rodolfo O"/>
    <n v="81786"/>
    <n v="4522139"/>
    <n v="55.292096774193553"/>
    <n v="79149.315494010414"/>
    <n v="64.5"/>
    <n v="64"/>
    <n v="57.134280717086057"/>
    <n v="5558554"/>
  </r>
  <r>
    <x v="66"/>
    <n v="202511"/>
    <x v="1"/>
    <x v="7"/>
    <s v="Sebastián S"/>
    <s v="Rodolfo O"/>
    <n v="81770"/>
    <n v="4121437"/>
    <n v="50.402819444444454"/>
    <n v="74077.284674683659"/>
    <n v="55"/>
    <n v="55.5"/>
    <n v="55.636994094743393"/>
    <n v="3664020"/>
  </r>
  <r>
    <x v="50"/>
    <n v="202504"/>
    <x v="1"/>
    <x v="9"/>
    <s v="Sebastián S"/>
    <s v="Vik E"/>
    <n v="81761"/>
    <n v="5596179"/>
    <n v="68.445465277777785"/>
    <n v="86500.821258008567"/>
    <n v="75.5"/>
    <n v="74"/>
    <n v="64.695098943721135"/>
    <n v="6448998"/>
  </r>
  <r>
    <x v="71"/>
    <n v="202605"/>
    <x v="0"/>
    <x v="3"/>
    <s v="Sebastián S"/>
    <s v="Rodolfo O"/>
    <n v="81749"/>
    <n v="4127750"/>
    <n v="50.492768817205032"/>
    <n v="91509.49289245125"/>
    <n v="53.5"/>
    <n v="54"/>
    <n v="47.165198395018514"/>
    <n v="4316063"/>
  </r>
  <r>
    <x v="13"/>
    <n v="202502"/>
    <x v="1"/>
    <x v="2"/>
    <s v="Sebastián S"/>
    <s v="Rodolfo O"/>
    <n v="81714"/>
    <n v="5512561"/>
    <n v="67.461874999999978"/>
    <n v="92776.425129646726"/>
    <n v="78"/>
    <n v="74.5"/>
    <n v="59.417690240777112"/>
    <n v="5877591"/>
  </r>
  <r>
    <x v="91"/>
    <n v="202512"/>
    <x v="1"/>
    <x v="1"/>
    <s v="Hernán P"/>
    <s v="Daniel R"/>
    <n v="81694"/>
    <n v="1490427"/>
    <n v="18.244126344086006"/>
    <n v="76192.543310360532"/>
    <n v="19"/>
    <n v="21.5"/>
    <n v="19.561329432578926"/>
    <n v="1696594"/>
  </r>
  <r>
    <x v="9"/>
    <n v="202606"/>
    <x v="0"/>
    <x v="11"/>
    <s v="Sofía V"/>
    <s v="Joe H"/>
    <n v="81687"/>
    <n v="4958196"/>
    <n v="60.697388888889805"/>
    <n v="76926.953668943737"/>
    <n v="70.5"/>
    <n v="69.5"/>
    <n v="63.576561684054447"/>
    <n v="4890751"/>
  </r>
  <r>
    <x v="92"/>
    <n v="202512"/>
    <x v="1"/>
    <x v="1"/>
    <s v="Fátima L"/>
    <s v="Fátima L"/>
    <n v="81614"/>
    <n v="740337"/>
    <n v="9.0712567204300996"/>
    <n v="66578.078651046002"/>
    <n v="11.5"/>
    <n v="10"/>
    <n v="11.119837264759644"/>
    <n v="811179"/>
  </r>
  <r>
    <x v="78"/>
    <n v="202604"/>
    <x v="0"/>
    <x v="9"/>
    <s v="Sebastián S"/>
    <s v="Vik E"/>
    <n v="81604"/>
    <n v="3916169"/>
    <n v="47.989861111111679"/>
    <n v="71710.071795226089"/>
    <n v="63"/>
    <n v="59"/>
    <n v="55.026064794188251"/>
    <n v="3945923"/>
  </r>
  <r>
    <x v="19"/>
    <n v="202406"/>
    <x v="2"/>
    <x v="11"/>
    <s v="Sofía V"/>
    <s v="Joe H"/>
    <n v="81581"/>
    <n v="4349227"/>
    <n v="53.311659722222224"/>
    <n v="0"/>
    <n v="57.5"/>
    <n v="56.5"/>
    <m/>
    <n v="0"/>
  </r>
  <r>
    <x v="27"/>
    <n v="202407"/>
    <x v="2"/>
    <x v="6"/>
    <s v="Sofía V"/>
    <s v="Joe H"/>
    <n v="81575"/>
    <n v="5207660"/>
    <n v="63.838541666666657"/>
    <n v="0"/>
    <n v="62"/>
    <n v="58"/>
    <m/>
    <n v="0"/>
  </r>
  <r>
    <x v="60"/>
    <n v="202503"/>
    <x v="1"/>
    <x v="0"/>
    <s v="Sofía V"/>
    <s v="Melany A"/>
    <n v="81573"/>
    <n v="10163236"/>
    <n v="124.59134408602141"/>
    <n v="98666.539930854196"/>
    <n v="88.5"/>
    <n v="92.5"/>
    <n v="103.00589751219029"/>
    <n v="7789830"/>
  </r>
  <r>
    <x v="53"/>
    <n v="202407"/>
    <x v="2"/>
    <x v="6"/>
    <s v="Sebastián S"/>
    <s v="Johanna V"/>
    <n v="81519"/>
    <n v="5074911"/>
    <n v="62.254274193548397"/>
    <n v="0"/>
    <n v="68"/>
    <n v="60.5"/>
    <m/>
    <n v="0"/>
  </r>
  <r>
    <x v="88"/>
    <n v="202606"/>
    <x v="0"/>
    <x v="11"/>
    <s v="Sofía V"/>
    <s v="José A"/>
    <n v="81510"/>
    <n v="5287608"/>
    <n v="64.87050694444595"/>
    <n v="59033.789454761907"/>
    <n v="84"/>
    <n v="76.5"/>
    <n v="84"/>
    <n v="4958838"/>
  </r>
  <r>
    <x v="85"/>
    <n v="202605"/>
    <x v="0"/>
    <x v="3"/>
    <s v="Hernán P"/>
    <s v="Daniel R"/>
    <n v="81508"/>
    <n v="2717231"/>
    <n v="33.337170698925114"/>
    <n v="75386.969307890002"/>
    <n v="44"/>
    <n v="40.5"/>
    <n v="35.762421795855829"/>
    <n v="2696021"/>
  </r>
  <r>
    <x v="46"/>
    <n v="202409"/>
    <x v="2"/>
    <x v="4"/>
    <s v="Sofía V"/>
    <s v="José A"/>
    <n v="81506"/>
    <n v="4323783"/>
    <n v="53.048430555555555"/>
    <n v="0"/>
    <n v="58"/>
    <n v="58.5"/>
    <m/>
    <n v="0"/>
  </r>
  <r>
    <x v="54"/>
    <n v="202604"/>
    <x v="0"/>
    <x v="9"/>
    <s v="Sebastián S"/>
    <s v="Rodolfo O"/>
    <n v="81489"/>
    <n v="5640661"/>
    <n v="69.219694444446191"/>
    <n v="83564.59103037641"/>
    <n v="80"/>
    <n v="80.5"/>
    <n v="67.651321791845987"/>
    <n v="5653255"/>
  </r>
  <r>
    <x v="46"/>
    <n v="202510"/>
    <x v="1"/>
    <x v="8"/>
    <s v="Sofía V"/>
    <s v="José A"/>
    <n v="81477"/>
    <n v="4036320"/>
    <n v="49.539442204301082"/>
    <n v="87110.47860840401"/>
    <n v="58"/>
    <n v="58.5"/>
    <n v="46.335641067303179"/>
    <n v="4546736"/>
  </r>
  <r>
    <x v="53"/>
    <n v="202507"/>
    <x v="1"/>
    <x v="6"/>
    <s v="Sebastián S"/>
    <s v="Johanna V"/>
    <n v="81466"/>
    <n v="4616224"/>
    <n v="56.664247311827964"/>
    <n v="85595.029811659508"/>
    <n v="68"/>
    <n v="60.5"/>
    <n v="53.930979172007845"/>
    <n v="5308384"/>
  </r>
  <r>
    <x v="46"/>
    <n v="202606"/>
    <x v="0"/>
    <x v="11"/>
    <s v="Sofía V"/>
    <s v="José A"/>
    <n v="81464"/>
    <n v="4208188"/>
    <n v="51.65688888888878"/>
    <n v="91650.577626825645"/>
    <n v="58"/>
    <n v="58.5"/>
    <n v="51.139118040082707"/>
    <n v="4686930"/>
  </r>
  <r>
    <x v="93"/>
    <n v="202512"/>
    <x v="1"/>
    <x v="1"/>
    <s v="Hernán P"/>
    <s v="Daniel R"/>
    <n v="81462"/>
    <n v="3609348"/>
    <n v="44.306895161290285"/>
    <n v="78313.634233294826"/>
    <n v="45.5"/>
    <n v="42.5"/>
    <n v="46.088372674007459"/>
    <n v="3796190"/>
  </r>
  <r>
    <x v="63"/>
    <n v="202501"/>
    <x v="1"/>
    <x v="10"/>
    <s v="Sebastián S"/>
    <s v="Johanna V"/>
    <n v="81457"/>
    <n v="8642735"/>
    <n v="106.10226478494614"/>
    <n v="85021.227737521171"/>
    <n v="123"/>
    <n v="115.5"/>
    <n v="101.65384410446276"/>
    <n v="9236594"/>
  </r>
  <r>
    <x v="58"/>
    <n v="202509"/>
    <x v="1"/>
    <x v="4"/>
    <s v="Sebastián S"/>
    <s v="Rodolfo O"/>
    <n v="81452"/>
    <n v="4124233"/>
    <n v="50.633625000000009"/>
    <n v="79715.819204288753"/>
    <n v="66.5"/>
    <n v="63.5"/>
    <n v="51.736691552159492"/>
    <n v="4831481"/>
  </r>
  <r>
    <x v="50"/>
    <n v="202502"/>
    <x v="1"/>
    <x v="2"/>
    <s v="Sebastián S"/>
    <s v="Vik E"/>
    <n v="81442"/>
    <n v="5597847"/>
    <n v="68.733750000000001"/>
    <n v="77270.044549340411"/>
    <n v="75.5"/>
    <n v="74"/>
    <n v="72.44523867752558"/>
    <n v="6188071"/>
  </r>
  <r>
    <x v="38"/>
    <n v="202403"/>
    <x v="2"/>
    <x v="0"/>
    <s v="Sofía V"/>
    <s v="Melany A"/>
    <n v="81434"/>
    <n v="5138725"/>
    <n v="63.103071236559131"/>
    <n v="0"/>
    <n v="56"/>
    <n v="60"/>
    <m/>
    <n v="0"/>
  </r>
  <r>
    <x v="54"/>
    <n v="202605"/>
    <x v="0"/>
    <x v="3"/>
    <s v="Sebastián S"/>
    <s v="Rodolfo O"/>
    <n v="81432"/>
    <n v="5820338"/>
    <n v="71.474704301075079"/>
    <n v="85501.00919975189"/>
    <n v="80"/>
    <n v="80.5"/>
    <n v="67.651321791845987"/>
    <n v="5784256"/>
  </r>
  <r>
    <x v="43"/>
    <n v="202502"/>
    <x v="1"/>
    <x v="2"/>
    <s v="Sofía V"/>
    <s v="José A"/>
    <n v="81423"/>
    <n v="2554723"/>
    <n v="31.37598958333334"/>
    <n v="80167.817785656182"/>
    <n v="32.5"/>
    <n v="32"/>
    <n v="31.867186865813601"/>
    <n v="2376789"/>
  </r>
  <r>
    <x v="19"/>
    <n v="202506"/>
    <x v="1"/>
    <x v="11"/>
    <s v="Sofía V"/>
    <s v="Joe H"/>
    <n v="81409"/>
    <n v="4237215"/>
    <n v="52.048256944444447"/>
    <n v="85660.22033068382"/>
    <n v="57.5"/>
    <n v="56.5"/>
    <n v="49.465371950277529"/>
    <n v="4223065"/>
  </r>
  <r>
    <x v="56"/>
    <n v="202406"/>
    <x v="2"/>
    <x v="11"/>
    <s v="Sofía V"/>
    <s v="Joe H"/>
    <n v="81403"/>
    <n v="5859897"/>
    <n v="71.98649305555557"/>
    <n v="0"/>
    <n v="79.5"/>
    <n v="81.5"/>
    <m/>
    <n v="0"/>
  </r>
  <r>
    <x v="54"/>
    <n v="202505"/>
    <x v="1"/>
    <x v="3"/>
    <s v="Sebastián S"/>
    <s v="Rodolfo O"/>
    <n v="81399"/>
    <n v="5694757"/>
    <n v="69.960625000000022"/>
    <n v="78727.688865439137"/>
    <n v="80"/>
    <n v="80.5"/>
    <n v="72.334872928042415"/>
    <n v="6244975"/>
  </r>
  <r>
    <x v="71"/>
    <n v="202408"/>
    <x v="2"/>
    <x v="5"/>
    <s v="Sebastián S"/>
    <s v="Rodolfo O"/>
    <n v="81381"/>
    <n v="4193908"/>
    <n v="51.53434811827956"/>
    <n v="0"/>
    <n v="53.5"/>
    <n v="54"/>
    <m/>
    <n v="0"/>
  </r>
  <r>
    <x v="79"/>
    <n v="202510"/>
    <x v="1"/>
    <x v="8"/>
    <s v="Sebastián S"/>
    <s v="Vik E"/>
    <n v="81377"/>
    <n v="5189123"/>
    <n v="63.766330645161268"/>
    <n v="74437.600939492462"/>
    <n v="84.5"/>
    <n v="78.5"/>
    <n v="69.711040851760416"/>
    <n v="5761698"/>
  </r>
  <r>
    <x v="67"/>
    <n v="202604"/>
    <x v="0"/>
    <x v="9"/>
    <s v="Hernán P"/>
    <s v="Daniel R"/>
    <n v="81376"/>
    <n v="1148081"/>
    <n v="14.108402777777787"/>
    <n v="73824.87633426211"/>
    <n v="15.5"/>
    <n v="14.5"/>
    <n v="13.971887755419019"/>
    <n v="1031473"/>
  </r>
  <r>
    <x v="63"/>
    <n v="202406"/>
    <x v="2"/>
    <x v="11"/>
    <s v="Sebastián S"/>
    <s v="Johanna V"/>
    <n v="81369"/>
    <n v="9154834"/>
    <n v="112.50997916666672"/>
    <n v="0"/>
    <n v="123"/>
    <n v="115.5"/>
    <m/>
    <n v="0"/>
  </r>
  <r>
    <x v="73"/>
    <n v="202602"/>
    <x v="0"/>
    <x v="2"/>
    <s v="Fátima L"/>
    <s v="Fátima L"/>
    <n v="81351"/>
    <n v="842265"/>
    <n v="10.3534375"/>
    <n v="81269.881678709324"/>
    <n v="13.5"/>
    <n v="12"/>
    <n v="11.788780293634797"/>
    <n v="958073"/>
  </r>
  <r>
    <x v="45"/>
    <n v="202405"/>
    <x v="2"/>
    <x v="3"/>
    <s v="Sofía V"/>
    <s v="Joe H"/>
    <n v="81349"/>
    <n v="4923225"/>
    <n v="60.520080645161329"/>
    <n v="0"/>
    <n v="68"/>
    <n v="68.5"/>
    <m/>
    <n v="0"/>
  </r>
  <r>
    <x v="55"/>
    <n v="202605"/>
    <x v="0"/>
    <x v="3"/>
    <s v="Sebastián S"/>
    <s v="Vik E"/>
    <n v="81319"/>
    <n v="4156942"/>
    <n v="51.119005376344312"/>
    <n v="80311.940048829449"/>
    <n v="69.5"/>
    <n v="59"/>
    <n v="57.926444284268129"/>
    <n v="4652185"/>
  </r>
  <r>
    <x v="66"/>
    <n v="202408"/>
    <x v="2"/>
    <x v="5"/>
    <s v="Sebastián S"/>
    <s v="Rodolfo O"/>
    <n v="81295"/>
    <n v="3935062"/>
    <n v="48.404670698924733"/>
    <n v="0"/>
    <n v="55"/>
    <n v="55.5"/>
    <m/>
    <n v="0"/>
  </r>
  <r>
    <x v="56"/>
    <n v="202410"/>
    <x v="2"/>
    <x v="8"/>
    <s v="Sofía V"/>
    <s v="Joe H"/>
    <n v="81254"/>
    <n v="5687338"/>
    <n v="69.994260752688191"/>
    <n v="0"/>
    <n v="79.5"/>
    <n v="81.5"/>
    <m/>
    <n v="0"/>
  </r>
  <r>
    <x v="10"/>
    <n v="202404"/>
    <x v="2"/>
    <x v="9"/>
    <s v="Sofía V"/>
    <s v="Melany A"/>
    <n v="81252"/>
    <n v="8941911"/>
    <n v="110.05176388888883"/>
    <n v="0"/>
    <n v="125"/>
    <n v="118.5"/>
    <m/>
    <n v="0"/>
  </r>
  <r>
    <x v="60"/>
    <n v="202411"/>
    <x v="2"/>
    <x v="7"/>
    <s v="Sofía V"/>
    <s v="Melany A"/>
    <n v="81251"/>
    <n v="6339592"/>
    <n v="78.024965277777767"/>
    <n v="0"/>
    <n v="88.5"/>
    <n v="92.5"/>
    <m/>
    <n v="0"/>
  </r>
  <r>
    <x v="67"/>
    <n v="202501"/>
    <x v="1"/>
    <x v="10"/>
    <s v="Hernán P"/>
    <s v="Daniel R"/>
    <n v="81243"/>
    <n v="995607"/>
    <n v="12.254610215053766"/>
    <n v="86737.8297664071"/>
    <n v="15.5"/>
    <n v="14.5"/>
    <n v="11.478348751418622"/>
    <n v="1114787"/>
  </r>
  <r>
    <x v="24"/>
    <n v="202606"/>
    <x v="0"/>
    <x v="11"/>
    <s v="Sofía V"/>
    <s v="Joe H"/>
    <n v="81223"/>
    <n v="5233390"/>
    <n v="64.432083333335086"/>
    <n v="88730.347228787374"/>
    <n v="71"/>
    <n v="74.5"/>
    <n v="62.681117153293116"/>
    <n v="5561717"/>
  </r>
  <r>
    <x v="14"/>
    <n v="202404"/>
    <x v="2"/>
    <x v="9"/>
    <s v="Sofía V"/>
    <s v="Melany A"/>
    <n v="81221"/>
    <n v="4743050"/>
    <n v="58.396770833333363"/>
    <n v="0"/>
    <n v="59.5"/>
    <n v="55.5"/>
    <m/>
    <n v="0"/>
  </r>
  <r>
    <x v="58"/>
    <n v="202403"/>
    <x v="2"/>
    <x v="0"/>
    <s v="Sebastián S"/>
    <s v="Rodolfo O"/>
    <n v="81216"/>
    <n v="5439675"/>
    <n v="66.977580645161325"/>
    <n v="0"/>
    <n v="66.5"/>
    <n v="63.5"/>
    <m/>
    <n v="0"/>
  </r>
  <r>
    <x v="32"/>
    <n v="202409"/>
    <x v="2"/>
    <x v="4"/>
    <s v="Sofía V"/>
    <s v="Melany A"/>
    <n v="81195"/>
    <n v="5003757"/>
    <n v="61.626250000000027"/>
    <n v="0"/>
    <n v="75.5"/>
    <n v="68"/>
    <m/>
    <n v="0"/>
  </r>
  <r>
    <x v="73"/>
    <n v="202509"/>
    <x v="1"/>
    <x v="4"/>
    <s v="Fátima L"/>
    <s v="Fátima L"/>
    <n v="81176"/>
    <n v="848948"/>
    <n v="10.458145833333331"/>
    <n v="90447.337344018684"/>
    <n v="13.5"/>
    <n v="12"/>
    <n v="9.3860988607216438"/>
    <n v="1057553"/>
  </r>
  <r>
    <x v="34"/>
    <n v="202409"/>
    <x v="2"/>
    <x v="4"/>
    <s v="Hernán P"/>
    <s v="Daniel R"/>
    <n v="81140"/>
    <n v="986090"/>
    <n v="12.153020833333336"/>
    <n v="0"/>
    <n v="15"/>
    <n v="15"/>
    <m/>
    <n v="0"/>
  </r>
  <r>
    <x v="64"/>
    <n v="202507"/>
    <x v="1"/>
    <x v="6"/>
    <s v="Sebastián S"/>
    <s v="Johanna V"/>
    <n v="81137"/>
    <n v="4925661"/>
    <n v="60.708252688172053"/>
    <n v="74033.598825743931"/>
    <n v="75.5"/>
    <n v="70.5"/>
    <n v="66.532783602668601"/>
    <n v="5694801"/>
  </r>
  <r>
    <x v="18"/>
    <n v="202505"/>
    <x v="1"/>
    <x v="3"/>
    <s v="Sofía V"/>
    <s v="Joe H"/>
    <n v="81125"/>
    <n v="3887723"/>
    <n v="47.922526881720422"/>
    <n v="77433.949758027622"/>
    <n v="50.5"/>
    <n v="51.5"/>
    <n v="50.206955891423547"/>
    <n v="3866132"/>
  </r>
  <r>
    <x v="67"/>
    <n v="202510"/>
    <x v="1"/>
    <x v="8"/>
    <s v="Hernán P"/>
    <s v="Daniel R"/>
    <n v="81106"/>
    <n v="1038177"/>
    <n v="12.80021505376344"/>
    <n v="78011.507803041328"/>
    <n v="15.5"/>
    <n v="14.5"/>
    <n v="13.307996207702143"/>
    <n v="1225300"/>
  </r>
  <r>
    <x v="13"/>
    <n v="202507"/>
    <x v="1"/>
    <x v="6"/>
    <s v="Sebastián S"/>
    <s v="Rodolfo O"/>
    <n v="81105"/>
    <n v="5779519"/>
    <n v="71.260047043010772"/>
    <n v="103473.74660360924"/>
    <n v="78"/>
    <n v="74.5"/>
    <n v="55.854929967312174"/>
    <n v="6256489"/>
  </r>
  <r>
    <x v="49"/>
    <n v="202408"/>
    <x v="2"/>
    <x v="5"/>
    <s v="Sebastián S"/>
    <s v="Vik E"/>
    <n v="81090"/>
    <n v="5031017"/>
    <n v="62.042251344086033"/>
    <n v="0"/>
    <n v="66"/>
    <n v="64.5"/>
    <m/>
    <n v="0"/>
  </r>
  <r>
    <x v="63"/>
    <n v="202411"/>
    <x v="2"/>
    <x v="7"/>
    <s v="Sebastián S"/>
    <s v="Johanna V"/>
    <n v="81089"/>
    <n v="8425041"/>
    <n v="103.89837499999999"/>
    <n v="0"/>
    <n v="123"/>
    <n v="115.5"/>
    <m/>
    <n v="0"/>
  </r>
  <r>
    <x v="58"/>
    <n v="202604"/>
    <x v="0"/>
    <x v="9"/>
    <s v="Sebastián S"/>
    <s v="Rodolfo O"/>
    <n v="81081"/>
    <n v="4520291"/>
    <n v="55.750430555556157"/>
    <n v="0.72659550199253531"/>
    <n v="66.5"/>
    <n v="63.5"/>
    <n v="54.652141241039438"/>
    <n v="40"/>
  </r>
  <r>
    <x v="34"/>
    <n v="202601"/>
    <x v="0"/>
    <x v="10"/>
    <s v="Hernán P"/>
    <s v="Daniel R"/>
    <n v="81075"/>
    <n v="1082863"/>
    <n v="13.356310483870963"/>
    <n v="77960.377335376979"/>
    <n v="15"/>
    <n v="15"/>
    <n v="13.971887755419019"/>
    <n v="1089254"/>
  </r>
  <r>
    <x v="76"/>
    <n v="202501"/>
    <x v="1"/>
    <x v="10"/>
    <s v="Hernán P"/>
    <s v="Daniel R"/>
    <n v="81047"/>
    <n v="7228036"/>
    <n v="89.183057795698829"/>
    <n v="93218.193621724087"/>
    <n v="106"/>
    <n v="94.5"/>
    <n v="77.538901465212888"/>
    <n v="7587102"/>
  </r>
  <r>
    <x v="58"/>
    <n v="202411"/>
    <x v="2"/>
    <x v="7"/>
    <s v="Sebastián S"/>
    <s v="Rodolfo O"/>
    <n v="81031"/>
    <n v="5061736"/>
    <n v="62.466347222222225"/>
    <n v="0"/>
    <n v="66.5"/>
    <n v="63.5"/>
    <m/>
    <n v="0"/>
  </r>
  <r>
    <x v="48"/>
    <n v="202402"/>
    <x v="2"/>
    <x v="2"/>
    <s v="Hernán P"/>
    <s v="Daniel R"/>
    <n v="80992"/>
    <n v="5619169"/>
    <n v="69.379655172413763"/>
    <n v="0"/>
    <n v="79.5"/>
    <n v="72.5"/>
    <m/>
    <n v="0"/>
  </r>
  <r>
    <x v="7"/>
    <n v="202406"/>
    <x v="2"/>
    <x v="11"/>
    <s v="Sebastián S"/>
    <s v="Rodolfo O"/>
    <n v="80990"/>
    <n v="5331749"/>
    <n v="65.832083333333344"/>
    <n v="0"/>
    <n v="65.5"/>
    <n v="63"/>
    <m/>
    <n v="0"/>
  </r>
  <r>
    <x v="63"/>
    <n v="202401"/>
    <x v="2"/>
    <x v="10"/>
    <s v="Sebastián S"/>
    <s v="Johanna V"/>
    <n v="80973"/>
    <n v="8786266"/>
    <n v="108.50912634408603"/>
    <n v="0"/>
    <n v="123"/>
    <n v="115.5"/>
    <m/>
    <n v="0"/>
  </r>
  <r>
    <x v="12"/>
    <n v="202509"/>
    <x v="1"/>
    <x v="4"/>
    <s v="Sofía V"/>
    <s v="Melany A"/>
    <n v="80970"/>
    <n v="7045983"/>
    <n v="87.01952777777781"/>
    <n v="93056.923370737757"/>
    <n v="96.5"/>
    <n v="94"/>
    <n v="75.716908154473174"/>
    <n v="8175093"/>
  </r>
  <r>
    <x v="33"/>
    <n v="202502"/>
    <x v="1"/>
    <x v="2"/>
    <s v="Sofía V"/>
    <s v="José A"/>
    <n v="80936"/>
    <n v="7016319"/>
    <n v="86.689322916666669"/>
    <n v="95300.420678713504"/>
    <n v="93.5"/>
    <n v="94"/>
    <n v="73.623165879342025"/>
    <n v="7351554"/>
  </r>
  <r>
    <x v="85"/>
    <n v="202412"/>
    <x v="2"/>
    <x v="1"/>
    <s v="Hernán P"/>
    <s v="Daniel R"/>
    <n v="80905"/>
    <n v="3518328"/>
    <n v="43.487311827956972"/>
    <n v="0"/>
    <n v="44"/>
    <n v="40.5"/>
    <m/>
    <n v="0"/>
  </r>
  <r>
    <x v="13"/>
    <n v="202505"/>
    <x v="1"/>
    <x v="3"/>
    <s v="Sebastián S"/>
    <s v="Rodolfo O"/>
    <n v="80898"/>
    <n v="5883356"/>
    <n v="72.725813172043019"/>
    <n v="91146.985161531993"/>
    <n v="78"/>
    <n v="74.5"/>
    <n v="64.54799980025048"/>
    <n v="5856529"/>
  </r>
  <r>
    <x v="40"/>
    <n v="202404"/>
    <x v="2"/>
    <x v="9"/>
    <s v="Sebastián S"/>
    <s v="Johanna V"/>
    <n v="80855"/>
    <n v="8865639"/>
    <n v="109.64921527777783"/>
    <n v="0"/>
    <n v="106"/>
    <n v="102.5"/>
    <m/>
    <n v="0"/>
  </r>
  <r>
    <x v="85"/>
    <n v="202604"/>
    <x v="0"/>
    <x v="9"/>
    <s v="Hernán P"/>
    <s v="Daniel R"/>
    <n v="80841"/>
    <n v="2621415"/>
    <n v="32.426916666666344"/>
    <n v="72670.309288202552"/>
    <n v="44"/>
    <n v="40.5"/>
    <n v="35.762421795855829"/>
    <n v="2598866"/>
  </r>
  <r>
    <x v="77"/>
    <n v="202603"/>
    <x v="0"/>
    <x v="0"/>
    <s v="Fátima L"/>
    <s v="Fátima L"/>
    <n v="80805"/>
    <n v="1065936"/>
    <n v="13.191471774193545"/>
    <n v="75184.089641100916"/>
    <n v="17"/>
    <n v="13.5"/>
    <n v="14.845130740132706"/>
    <n v="1116118"/>
  </r>
  <r>
    <x v="23"/>
    <n v="202409"/>
    <x v="2"/>
    <x v="4"/>
    <s v="Sebastián S"/>
    <s v="Rodolfo O"/>
    <n v="80790"/>
    <n v="7013200"/>
    <n v="86.807583333333341"/>
    <n v="0"/>
    <n v="94.5"/>
    <n v="97"/>
    <m/>
    <n v="0"/>
  </r>
  <r>
    <x v="38"/>
    <n v="202502"/>
    <x v="1"/>
    <x v="2"/>
    <s v="Sofía V"/>
    <s v="Melany A"/>
    <n v="80787"/>
    <n v="4488193"/>
    <n v="55.556041666666658"/>
    <n v="77810.029985158166"/>
    <n v="56"/>
    <n v="60"/>
    <n v="57.681417946453656"/>
    <n v="4358399"/>
  </r>
  <r>
    <x v="66"/>
    <n v="202601"/>
    <x v="0"/>
    <x v="10"/>
    <s v="Sebastián S"/>
    <s v="Rodolfo O"/>
    <n v="80779"/>
    <n v="4115539"/>
    <n v="50.948051075268829"/>
    <n v="77607.061447787404"/>
    <n v="55"/>
    <n v="55.5"/>
    <n v="48.91205759483401"/>
    <n v="3795921"/>
  </r>
  <r>
    <x v="50"/>
    <n v="202508"/>
    <x v="1"/>
    <x v="5"/>
    <s v="Sebastián S"/>
    <s v="Vik E"/>
    <n v="80753"/>
    <n v="4926099"/>
    <n v="61.002412634408614"/>
    <n v="89709.399790351497"/>
    <n v="75.5"/>
    <n v="74"/>
    <n v="54.911733569861816"/>
    <n v="5888809"/>
  </r>
  <r>
    <x v="34"/>
    <n v="202408"/>
    <x v="2"/>
    <x v="5"/>
    <s v="Hernán P"/>
    <s v="Daniel R"/>
    <n v="80711"/>
    <n v="1061406"/>
    <n v="13.150685483870969"/>
    <n v="0"/>
    <n v="15"/>
    <n v="15"/>
    <m/>
    <n v="0"/>
  </r>
  <r>
    <x v="24"/>
    <n v="202509"/>
    <x v="1"/>
    <x v="4"/>
    <s v="Sofía V"/>
    <s v="Joe H"/>
    <n v="80690"/>
    <n v="5084173"/>
    <n v="63.009041666666711"/>
    <n v="86201.753670146092"/>
    <n v="71"/>
    <n v="74.5"/>
    <n v="58.979924230483292"/>
    <n v="5697628"/>
  </r>
  <r>
    <x v="45"/>
    <n v="202504"/>
    <x v="1"/>
    <x v="9"/>
    <s v="Sofía V"/>
    <s v="Joe H"/>
    <n v="80689"/>
    <n v="5208389"/>
    <n v="64.548604166666678"/>
    <n v="81922.097432170194"/>
    <n v="68"/>
    <n v="68.5"/>
    <n v="63.577334971341998"/>
    <n v="5195908"/>
  </r>
  <r>
    <x v="67"/>
    <n v="202511"/>
    <x v="1"/>
    <x v="7"/>
    <s v="Hernán P"/>
    <s v="Daniel R"/>
    <n v="80689"/>
    <n v="1083715"/>
    <n v="13.430763888888887"/>
    <n v="93385.176145521516"/>
    <n v="15.5"/>
    <n v="14.5"/>
    <n v="11.604783914646735"/>
    <n v="1173083"/>
  </r>
  <r>
    <x v="72"/>
    <n v="202601"/>
    <x v="0"/>
    <x v="10"/>
    <s v="Sebastián S"/>
    <s v="Vik E"/>
    <n v="80688"/>
    <n v="5251866"/>
    <n v="65.088380376344119"/>
    <n v="74553.798546937265"/>
    <n v="79.5"/>
    <n v="67"/>
    <n v="68.682661472657543"/>
    <n v="5120553"/>
  </r>
  <r>
    <x v="51"/>
    <n v="202509"/>
    <x v="1"/>
    <x v="4"/>
    <s v="Sofía V"/>
    <s v="Melany A"/>
    <n v="80664"/>
    <n v="2449280"/>
    <n v="30.363909722222228"/>
    <n v="72039.14306591262"/>
    <n v="43.5"/>
    <n v="41"/>
    <n v="33.99929435250246"/>
    <n v="3032705"/>
  </r>
  <r>
    <x v="53"/>
    <n v="202410"/>
    <x v="2"/>
    <x v="8"/>
    <s v="Sebastián S"/>
    <s v="Johanna V"/>
    <n v="80651"/>
    <n v="4383693"/>
    <n v="54.354153225806463"/>
    <n v="0"/>
    <n v="68"/>
    <n v="60.5"/>
    <m/>
    <n v="0"/>
  </r>
  <r>
    <x v="14"/>
    <n v="202501"/>
    <x v="1"/>
    <x v="10"/>
    <s v="Sofía V"/>
    <s v="Melany A"/>
    <n v="80642"/>
    <n v="4628856"/>
    <n v="57.399811827956981"/>
    <n v="91257.943548469368"/>
    <n v="59.5"/>
    <n v="55.5"/>
    <n v="50.722769438054456"/>
    <n v="4589469"/>
  </r>
  <r>
    <x v="70"/>
    <n v="202403"/>
    <x v="2"/>
    <x v="0"/>
    <s v="Sebastián S"/>
    <s v="Vik E"/>
    <n v="80642"/>
    <n v="4649128"/>
    <n v="57.651538978494628"/>
    <n v="0"/>
    <n v="60.5"/>
    <n v="57.5"/>
    <m/>
    <n v="0"/>
  </r>
  <r>
    <x v="64"/>
    <n v="202603"/>
    <x v="0"/>
    <x v="0"/>
    <s v="Sebastián S"/>
    <s v="Johanna V"/>
    <n v="80606"/>
    <n v="5415183"/>
    <n v="67.18113575268822"/>
    <n v="94289.943897132296"/>
    <n v="75.5"/>
    <n v="70.5"/>
    <n v="63.423114179855602"/>
    <n v="5980162"/>
  </r>
  <r>
    <x v="13"/>
    <n v="202410"/>
    <x v="2"/>
    <x v="8"/>
    <s v="Sebastián S"/>
    <s v="Rodolfo O"/>
    <n v="80600"/>
    <n v="5660171"/>
    <n v="70.225430107526876"/>
    <n v="0"/>
    <n v="78"/>
    <n v="74.5"/>
    <m/>
    <n v="0"/>
  </r>
  <r>
    <x v="54"/>
    <n v="202401"/>
    <x v="2"/>
    <x v="10"/>
    <s v="Sebastián S"/>
    <s v="Rodolfo O"/>
    <n v="80596"/>
    <n v="6096167"/>
    <n v="75.63871639784945"/>
    <n v="0"/>
    <n v="80"/>
    <n v="80.5"/>
    <m/>
    <n v="0"/>
  </r>
  <r>
    <x v="54"/>
    <n v="202601"/>
    <x v="0"/>
    <x v="10"/>
    <s v="Sebastián S"/>
    <s v="Rodolfo O"/>
    <n v="80592"/>
    <n v="5597127"/>
    <n v="69.450349462365566"/>
    <n v="88919.811370560012"/>
    <n v="80"/>
    <n v="80.5"/>
    <n v="67.651321791845987"/>
    <n v="6015543"/>
  </r>
  <r>
    <x v="41"/>
    <n v="202506"/>
    <x v="1"/>
    <x v="11"/>
    <s v="Sebastián S"/>
    <s v="Rodolfo O"/>
    <n v="80556"/>
    <n v="4738187"/>
    <n v="58.818812500000007"/>
    <n v="87910.189869382215"/>
    <n v="64.5"/>
    <n v="64"/>
    <n v="53.89804489149715"/>
    <n v="5451637"/>
  </r>
  <r>
    <x v="26"/>
    <n v="202502"/>
    <x v="1"/>
    <x v="2"/>
    <s v="Sofía V"/>
    <s v="Melany A"/>
    <n v="80553"/>
    <n v="4030102"/>
    <n v="50.030572916666671"/>
    <n v="92973.120480327198"/>
    <n v="55"/>
    <n v="50.5"/>
    <n v="43.346954573314079"/>
    <n v="4378070"/>
  </r>
  <r>
    <x v="11"/>
    <n v="202511"/>
    <x v="1"/>
    <x v="7"/>
    <s v="Sofía V"/>
    <s v="José A"/>
    <n v="80507"/>
    <n v="7176236"/>
    <n v="89.138340277777758"/>
    <n v="124578.41135606587"/>
    <n v="86.5"/>
    <n v="81.5"/>
    <n v="57.604167141681728"/>
    <n v="9622004"/>
  </r>
  <r>
    <x v="87"/>
    <n v="202605"/>
    <x v="0"/>
    <x v="3"/>
    <s v="Fátima L"/>
    <s v="Fátima L"/>
    <n v="80486"/>
    <n v="708196"/>
    <n v="8.7989717741935607"/>
    <n v="63706.335748179983"/>
    <n v="11"/>
    <n v="11"/>
    <n v="10.04229432420742"/>
    <n v="639758"/>
  </r>
  <r>
    <x v="53"/>
    <n v="202403"/>
    <x v="2"/>
    <x v="0"/>
    <s v="Sebastián S"/>
    <s v="Johanna V"/>
    <n v="80478"/>
    <n v="5332739"/>
    <n v="66.262997311827945"/>
    <n v="0"/>
    <n v="68"/>
    <n v="60.5"/>
    <m/>
    <n v="0"/>
  </r>
  <r>
    <x v="27"/>
    <n v="202509"/>
    <x v="1"/>
    <x v="4"/>
    <s v="Sofía V"/>
    <s v="Joe H"/>
    <n v="80472"/>
    <n v="4490843"/>
    <n v="55.806430555555579"/>
    <n v="78682.881109381735"/>
    <n v="62"/>
    <n v="58"/>
    <n v="57.075221403713151"/>
    <n v="4443406"/>
  </r>
  <r>
    <x v="28"/>
    <n v="202405"/>
    <x v="2"/>
    <x v="3"/>
    <s v="Sebastián S"/>
    <s v="Rodolfo O"/>
    <n v="80468"/>
    <n v="5128183"/>
    <n v="63.729260752688162"/>
    <n v="0"/>
    <n v="65.5"/>
    <n v="66"/>
    <m/>
    <n v="0"/>
  </r>
  <r>
    <x v="53"/>
    <n v="202509"/>
    <x v="1"/>
    <x v="4"/>
    <s v="Sebastián S"/>
    <s v="Johanna V"/>
    <n v="80467"/>
    <n v="4634996"/>
    <n v="57.601250000000007"/>
    <n v="87375.09324793327"/>
    <n v="68"/>
    <n v="60.5"/>
    <n v="53.047112142677264"/>
    <n v="5316645"/>
  </r>
  <r>
    <x v="85"/>
    <n v="202511"/>
    <x v="1"/>
    <x v="7"/>
    <s v="Hernán P"/>
    <s v="Daniel R"/>
    <n v="80405"/>
    <n v="2522201"/>
    <n v="31.368652777777786"/>
    <n v="71384.987120585036"/>
    <n v="44"/>
    <n v="40.5"/>
    <n v="35.33237942229286"/>
    <n v="2780717"/>
  </r>
  <r>
    <x v="78"/>
    <n v="202403"/>
    <x v="2"/>
    <x v="0"/>
    <s v="Sebastián S"/>
    <s v="Vik E"/>
    <n v="80395"/>
    <n v="4662714"/>
    <n v="57.997352150537637"/>
    <n v="0"/>
    <n v="63"/>
    <n v="59"/>
    <m/>
    <n v="0"/>
  </r>
  <r>
    <x v="23"/>
    <n v="202506"/>
    <x v="1"/>
    <x v="11"/>
    <s v="Sebastián S"/>
    <s v="Rodolfo O"/>
    <n v="80382"/>
    <n v="7180788"/>
    <n v="89.333222222222176"/>
    <n v="98800.228895611188"/>
    <n v="94.5"/>
    <n v="97"/>
    <n v="72.679874330928584"/>
    <n v="8041615"/>
  </r>
  <r>
    <x v="79"/>
    <n v="202604"/>
    <x v="0"/>
    <x v="9"/>
    <s v="Sebastián S"/>
    <s v="Vik E"/>
    <n v="80351"/>
    <n v="5833789"/>
    <n v="72.603611111113267"/>
    <n v="82469.33969803201"/>
    <n v="84.5"/>
    <n v="78.5"/>
    <n v="72.494656792343278"/>
    <n v="5978586"/>
  </r>
  <r>
    <x v="58"/>
    <n v="202506"/>
    <x v="1"/>
    <x v="11"/>
    <s v="Sebastián S"/>
    <s v="Rodolfo O"/>
    <n v="80314"/>
    <n v="4519456"/>
    <n v="56.272319444444442"/>
    <n v="79829.458442668125"/>
    <n v="66.5"/>
    <n v="63.5"/>
    <n v="56.613888508911529"/>
    <n v="5198423"/>
  </r>
  <r>
    <x v="94"/>
    <n v="202512"/>
    <x v="1"/>
    <x v="1"/>
    <s v="Hernán P"/>
    <s v="Daniel R"/>
    <n v="80289"/>
    <n v="2688953"/>
    <n v="33.490766129032238"/>
    <n v="63630.288393154886"/>
    <n v="33"/>
    <n v="31.5"/>
    <n v="42.259004287166924"/>
    <n v="3441665"/>
  </r>
  <r>
    <x v="61"/>
    <n v="202509"/>
    <x v="1"/>
    <x v="4"/>
    <s v="Sofía V"/>
    <s v="Joe H"/>
    <n v="80252"/>
    <n v="2616925"/>
    <n v="32.608722222222234"/>
    <n v="76231.525006994416"/>
    <n v="41.5"/>
    <n v="35.5"/>
    <n v="34.328651037217107"/>
    <n v="2103864"/>
  </r>
  <r>
    <x v="67"/>
    <n v="202402"/>
    <x v="2"/>
    <x v="2"/>
    <s v="Hernán P"/>
    <s v="Daniel R"/>
    <n v="80237"/>
    <n v="1056997"/>
    <n v="13.173376436781613"/>
    <n v="0"/>
    <n v="15.5"/>
    <n v="14.5"/>
    <m/>
    <n v="0"/>
  </r>
  <r>
    <x v="53"/>
    <n v="202411"/>
    <x v="2"/>
    <x v="7"/>
    <s v="Sebastián S"/>
    <s v="Johanna V"/>
    <n v="80216"/>
    <n v="4491912"/>
    <n v="55.997472222222207"/>
    <n v="0"/>
    <n v="68"/>
    <n v="60.5"/>
    <m/>
    <n v="0"/>
  </r>
  <r>
    <x v="39"/>
    <n v="202408"/>
    <x v="2"/>
    <x v="5"/>
    <s v="Sofía V"/>
    <s v="Melany A"/>
    <n v="80211"/>
    <n v="4977322"/>
    <n v="62.052600806451615"/>
    <n v="0"/>
    <n v="60.5"/>
    <n v="60.5"/>
    <m/>
    <n v="0"/>
  </r>
  <r>
    <x v="39"/>
    <n v="202509"/>
    <x v="1"/>
    <x v="4"/>
    <s v="Sofía V"/>
    <s v="Melany A"/>
    <n v="80198"/>
    <n v="3987921"/>
    <n v="49.725812500000004"/>
    <n v="74963.803301727967"/>
    <n v="60.5"/>
    <n v="60.5"/>
    <n v="53.197951335909281"/>
    <n v="4871290"/>
  </r>
  <r>
    <x v="95"/>
    <n v="202605"/>
    <x v="0"/>
    <x v="3"/>
    <s v="Fátima L"/>
    <s v="Fátima L"/>
    <n v="80186"/>
    <n v="359753"/>
    <n v="4.4864919354838682"/>
    <n v="45816.244808223208"/>
    <n v="8.5"/>
    <n v="6.5"/>
    <n v="7.4225653700663532"/>
    <n v="340074"/>
  </r>
  <r>
    <x v="27"/>
    <n v="202402"/>
    <x v="2"/>
    <x v="2"/>
    <s v="Sofía V"/>
    <s v="Joe H"/>
    <n v="80177"/>
    <n v="5038490"/>
    <n v="62.841997126436766"/>
    <n v="0"/>
    <n v="62"/>
    <n v="58"/>
    <m/>
    <n v="0"/>
  </r>
  <r>
    <x v="49"/>
    <n v="202601"/>
    <x v="0"/>
    <x v="10"/>
    <s v="Sebastián S"/>
    <s v="Vik E"/>
    <n v="80169"/>
    <n v="4687882"/>
    <n v="58.475073924731198"/>
    <n v="88928.679485193294"/>
    <n v="66"/>
    <n v="64.5"/>
    <n v="56.772923994003754"/>
    <n v="5048741"/>
  </r>
  <r>
    <x v="18"/>
    <n v="202508"/>
    <x v="1"/>
    <x v="5"/>
    <s v="Sofía V"/>
    <s v="Joe H"/>
    <n v="80140"/>
    <n v="3532919"/>
    <n v="44.084428763440854"/>
    <n v="86799.994177391316"/>
    <n v="50.5"/>
    <n v="51.5"/>
    <n v="40.701830840908222"/>
    <n v="3916313"/>
  </r>
  <r>
    <x v="23"/>
    <n v="202504"/>
    <x v="1"/>
    <x v="9"/>
    <s v="Sebastián S"/>
    <s v="Rodolfo O"/>
    <n v="80139"/>
    <n v="7178766"/>
    <n v="89.578951388888967"/>
    <n v="79749.181192483389"/>
    <n v="94.5"/>
    <n v="97"/>
    <n v="90.016794688753777"/>
    <n v="7789994"/>
  </r>
  <r>
    <x v="54"/>
    <n v="202502"/>
    <x v="1"/>
    <x v="2"/>
    <s v="Sebastián S"/>
    <s v="Rodolfo O"/>
    <n v="80136"/>
    <n v="6126513"/>
    <n v="76.451562500000009"/>
    <n v="81904.7769617265"/>
    <n v="80"/>
    <n v="80.5"/>
    <n v="74.800437376966116"/>
    <n v="6225962"/>
  </r>
  <r>
    <x v="78"/>
    <n v="202503"/>
    <x v="1"/>
    <x v="0"/>
    <s v="Sebastián S"/>
    <s v="Vik E"/>
    <n v="80110"/>
    <n v="4986772"/>
    <n v="62.24933467741937"/>
    <n v="84415.059109808251"/>
    <n v="63"/>
    <n v="59"/>
    <n v="59.074431773045845"/>
    <n v="4784363"/>
  </r>
  <r>
    <x v="47"/>
    <n v="202504"/>
    <x v="1"/>
    <x v="9"/>
    <s v="Sebastián S"/>
    <s v="Vik E"/>
    <n v="80091"/>
    <n v="4308565"/>
    <n v="53.796118055555596"/>
    <n v="72763.565155717224"/>
    <n v="61.5"/>
    <n v="48.5"/>
    <n v="59.21322423907462"/>
    <n v="4799193"/>
  </r>
  <r>
    <x v="51"/>
    <n v="202605"/>
    <x v="0"/>
    <x v="3"/>
    <s v="Sofía V"/>
    <s v="Melany A"/>
    <n v="80080"/>
    <n v="2870301"/>
    <n v="35.843057795699536"/>
    <n v="79000.43758927111"/>
    <n v="43.5"/>
    <n v="41"/>
    <n v="38.914029696684921"/>
    <n v="3074225"/>
  </r>
  <r>
    <x v="61"/>
    <n v="202412"/>
    <x v="2"/>
    <x v="1"/>
    <s v="Sofía V"/>
    <s v="Joe H"/>
    <n v="80060"/>
    <n v="3354876"/>
    <n v="41.904690860215062"/>
    <n v="0"/>
    <n v="41.5"/>
    <n v="35.5"/>
    <m/>
    <n v="0"/>
  </r>
  <r>
    <x v="52"/>
    <n v="202405"/>
    <x v="2"/>
    <x v="3"/>
    <s v="Sebastián S"/>
    <s v="Vik E"/>
    <n v="80059"/>
    <n v="6266914"/>
    <n v="78.278252688172088"/>
    <n v="0"/>
    <n v="80"/>
    <n v="78"/>
    <m/>
    <n v="0"/>
  </r>
  <r>
    <x v="77"/>
    <n v="202405"/>
    <x v="2"/>
    <x v="3"/>
    <s v="Fátima L"/>
    <s v="Fátima L"/>
    <n v="80058"/>
    <n v="1027138"/>
    <n v="12.829946236559142"/>
    <n v="0"/>
    <n v="17"/>
    <n v="13.5"/>
    <m/>
    <n v="0"/>
  </r>
  <r>
    <x v="89"/>
    <n v="202603"/>
    <x v="0"/>
    <x v="0"/>
    <s v="Sebastián S"/>
    <s v="Rodolfo O"/>
    <n v="80035"/>
    <n v="2493929"/>
    <n v="31.160678763440849"/>
    <n v="83393.469950881772"/>
    <n v="34"/>
    <n v="34"/>
    <n v="29.696606396863505"/>
    <n v="2476503"/>
  </r>
  <r>
    <x v="39"/>
    <n v="202501"/>
    <x v="1"/>
    <x v="10"/>
    <s v="Sofía V"/>
    <s v="Melany A"/>
    <n v="80011"/>
    <n v="4657651"/>
    <n v="58.21295026881721"/>
    <n v="79072.291288082677"/>
    <n v="60.5"/>
    <n v="60.5"/>
    <n v="58.903708671231762"/>
    <n v="4994759"/>
  </r>
  <r>
    <x v="46"/>
    <n v="202504"/>
    <x v="1"/>
    <x v="9"/>
    <s v="Sofía V"/>
    <s v="José A"/>
    <n v="79991"/>
    <n v="4187109"/>
    <n v="52.345027777777773"/>
    <n v="74188.884091300308"/>
    <n v="58"/>
    <n v="58.5"/>
    <n v="56.438497509238019"/>
    <n v="4427102"/>
  </r>
  <r>
    <x v="56"/>
    <n v="202506"/>
    <x v="1"/>
    <x v="11"/>
    <s v="Sofía V"/>
    <s v="Joe H"/>
    <n v="79984"/>
    <n v="5705212"/>
    <n v="71.329805555555552"/>
    <n v="85472.870323763447"/>
    <n v="79.5"/>
    <n v="81.5"/>
    <n v="66.748811153634762"/>
    <n v="5978112"/>
  </r>
  <r>
    <x v="62"/>
    <n v="202401"/>
    <x v="2"/>
    <x v="10"/>
    <s v="Sebastián S"/>
    <s v="Vik E"/>
    <n v="79965"/>
    <n v="4631560"/>
    <n v="57.919731182795715"/>
    <n v="0"/>
    <n v="65"/>
    <n v="67.5"/>
    <m/>
    <n v="0"/>
  </r>
  <r>
    <x v="43"/>
    <n v="202410"/>
    <x v="2"/>
    <x v="8"/>
    <s v="Sofía V"/>
    <s v="José A"/>
    <n v="79964"/>
    <n v="2151441"/>
    <n v="26.904979838709675"/>
    <n v="0"/>
    <n v="32.5"/>
    <n v="32"/>
    <m/>
    <n v="0"/>
  </r>
  <r>
    <x v="79"/>
    <n v="202408"/>
    <x v="2"/>
    <x v="5"/>
    <s v="Sebastián S"/>
    <s v="Vik E"/>
    <n v="79948"/>
    <n v="5652288"/>
    <n v="70.699905913978469"/>
    <n v="0"/>
    <n v="84.5"/>
    <n v="78.5"/>
    <m/>
    <n v="0"/>
  </r>
  <r>
    <x v="38"/>
    <n v="202509"/>
    <x v="1"/>
    <x v="4"/>
    <s v="Sofía V"/>
    <s v="Melany A"/>
    <n v="79942"/>
    <n v="3990594"/>
    <n v="49.918506944444474"/>
    <n v="64830.257137422894"/>
    <n v="56"/>
    <n v="60"/>
    <n v="61.554499954257516"/>
    <n v="4133638"/>
  </r>
  <r>
    <x v="3"/>
    <n v="202402"/>
    <x v="2"/>
    <x v="2"/>
    <s v="Sebastián S"/>
    <s v="Rodolfo O"/>
    <n v="79933"/>
    <n v="7788662"/>
    <n v="97.439446839080517"/>
    <n v="0"/>
    <n v="98.5"/>
    <n v="96.5"/>
    <m/>
    <n v="0"/>
  </r>
  <r>
    <x v="73"/>
    <n v="202407"/>
    <x v="2"/>
    <x v="6"/>
    <s v="Fátima L"/>
    <s v="Fátima L"/>
    <n v="79913"/>
    <n v="1013992"/>
    <n v="12.688629032258069"/>
    <n v="0"/>
    <n v="13.5"/>
    <n v="12"/>
    <m/>
    <n v="0"/>
  </r>
  <r>
    <x v="9"/>
    <n v="202501"/>
    <x v="1"/>
    <x v="10"/>
    <s v="Sofía V"/>
    <s v="Joe H"/>
    <n v="79905"/>
    <n v="5105255"/>
    <n v="63.891323924731175"/>
    <n v="91532.413902217522"/>
    <n v="70.5"/>
    <n v="69.5"/>
    <n v="55.775380352733357"/>
    <n v="4999534"/>
  </r>
  <r>
    <x v="77"/>
    <n v="202601"/>
    <x v="0"/>
    <x v="10"/>
    <s v="Fátima L"/>
    <s v="Fátima L"/>
    <n v="79900"/>
    <n v="974815"/>
    <n v="12.200416666666666"/>
    <n v="72045.69236353111"/>
    <n v="17"/>
    <n v="13.5"/>
    <n v="14.845130740132706"/>
    <n v="1069528"/>
  </r>
  <r>
    <x v="56"/>
    <n v="202405"/>
    <x v="2"/>
    <x v="3"/>
    <s v="Sofía V"/>
    <s v="Joe H"/>
    <n v="79898"/>
    <n v="5834515"/>
    <n v="73.024865591397884"/>
    <n v="0"/>
    <n v="79.5"/>
    <n v="81.5"/>
    <m/>
    <n v="0"/>
  </r>
  <r>
    <x v="19"/>
    <n v="202404"/>
    <x v="2"/>
    <x v="9"/>
    <s v="Sofía V"/>
    <s v="Joe H"/>
    <n v="79897"/>
    <n v="4232878"/>
    <n v="52.979354166666674"/>
    <n v="0"/>
    <n v="57.5"/>
    <n v="56.5"/>
    <m/>
    <n v="0"/>
  </r>
  <r>
    <x v="49"/>
    <n v="202406"/>
    <x v="2"/>
    <x v="11"/>
    <s v="Sebastián S"/>
    <s v="Vik E"/>
    <n v="79896"/>
    <n v="4977454"/>
    <n v="62.299027777777773"/>
    <n v="0"/>
    <n v="66"/>
    <n v="64.5"/>
    <m/>
    <n v="0"/>
  </r>
  <r>
    <x v="59"/>
    <n v="202601"/>
    <x v="0"/>
    <x v="10"/>
    <s v="Sebastián S"/>
    <s v="Johanna V"/>
    <n v="79893"/>
    <n v="8710152"/>
    <n v="109.02208333333334"/>
    <n v="96325.755267299843"/>
    <n v="118"/>
    <n v="106"/>
    <n v="102.17544085783207"/>
    <n v="9842127"/>
  </r>
  <r>
    <x v="76"/>
    <n v="202410"/>
    <x v="2"/>
    <x v="8"/>
    <s v="Hernán P"/>
    <s v="Daniel R"/>
    <n v="79888"/>
    <n v="7280314"/>
    <n v="91.131202956989213"/>
    <n v="0"/>
    <n v="106"/>
    <n v="94.5"/>
    <m/>
    <n v="0"/>
  </r>
  <r>
    <x v="71"/>
    <n v="202406"/>
    <x v="2"/>
    <x v="11"/>
    <s v="Sebastián S"/>
    <s v="Rodolfo O"/>
    <n v="79886"/>
    <n v="4266260"/>
    <n v="53.404361111111093"/>
    <n v="0"/>
    <n v="53.5"/>
    <n v="54"/>
    <m/>
    <n v="0"/>
  </r>
  <r>
    <x v="46"/>
    <n v="202506"/>
    <x v="1"/>
    <x v="11"/>
    <s v="Sofía V"/>
    <s v="José A"/>
    <n v="79872"/>
    <n v="4380564"/>
    <n v="54.844756944444448"/>
    <n v="82543.236507142123"/>
    <n v="58"/>
    <n v="58.5"/>
    <n v="53.069930927907912"/>
    <n v="4376185"/>
  </r>
  <r>
    <x v="79"/>
    <n v="202507"/>
    <x v="1"/>
    <x v="6"/>
    <s v="Sebastián S"/>
    <s v="Vik E"/>
    <n v="79825"/>
    <n v="5545947"/>
    <n v="69.476176075268839"/>
    <n v="72752.896810425926"/>
    <n v="84.5"/>
    <n v="78.5"/>
    <n v="76.229915689147276"/>
    <n v="6386710"/>
  </r>
  <r>
    <x v="41"/>
    <n v="202606"/>
    <x v="0"/>
    <x v="11"/>
    <s v="Sebastián S"/>
    <s v="Rodolfo O"/>
    <n v="79818"/>
    <n v="4650391"/>
    <n v="58.262798611110945"/>
    <n v="88164.097580068483"/>
    <n v="64.5"/>
    <n v="64"/>
    <n v="54.966698955874868"/>
    <n v="4846089"/>
  </r>
  <r>
    <x v="40"/>
    <n v="202402"/>
    <x v="2"/>
    <x v="2"/>
    <s v="Sebastián S"/>
    <s v="Johanna V"/>
    <n v="79814"/>
    <n v="8860120"/>
    <n v="111.00928879310347"/>
    <n v="0"/>
    <n v="106"/>
    <n v="102.5"/>
    <m/>
    <n v="0"/>
  </r>
  <r>
    <x v="51"/>
    <n v="202601"/>
    <x v="0"/>
    <x v="10"/>
    <s v="Sofía V"/>
    <s v="Melany A"/>
    <n v="79811"/>
    <n v="2903155"/>
    <n v="36.375490591397835"/>
    <n v="78530.163900253523"/>
    <n v="43.5"/>
    <n v="41"/>
    <n v="38.914029696684921"/>
    <n v="3055925"/>
  </r>
  <r>
    <x v="19"/>
    <n v="202410"/>
    <x v="2"/>
    <x v="8"/>
    <s v="Sofía V"/>
    <s v="Joe H"/>
    <n v="79766"/>
    <n v="4129793"/>
    <n v="51.773749999999978"/>
    <n v="0"/>
    <n v="57.5"/>
    <n v="56.5"/>
    <m/>
    <n v="0"/>
  </r>
  <r>
    <x v="58"/>
    <n v="202601"/>
    <x v="0"/>
    <x v="10"/>
    <s v="Sebastián S"/>
    <s v="Rodolfo O"/>
    <n v="79764"/>
    <n v="4469325"/>
    <n v="56.03203629032258"/>
    <n v="106307.15015859643"/>
    <n v="66.5"/>
    <n v="63.5"/>
    <n v="54.652141241039438"/>
    <n v="5809913"/>
  </r>
  <r>
    <x v="46"/>
    <n v="202401"/>
    <x v="2"/>
    <x v="10"/>
    <s v="Sofía V"/>
    <s v="José A"/>
    <n v="79761"/>
    <n v="4291046"/>
    <n v="53.798763440860192"/>
    <n v="0"/>
    <n v="58"/>
    <n v="58.5"/>
    <m/>
    <n v="0"/>
  </r>
  <r>
    <x v="9"/>
    <n v="202408"/>
    <x v="2"/>
    <x v="5"/>
    <s v="Sofía V"/>
    <s v="Joe H"/>
    <n v="79738"/>
    <n v="5094172"/>
    <n v="63.886149193548377"/>
    <n v="0"/>
    <n v="70.5"/>
    <n v="69.5"/>
    <m/>
    <n v="0"/>
  </r>
  <r>
    <x v="68"/>
    <n v="202511"/>
    <x v="1"/>
    <x v="7"/>
    <s v="Sofía V"/>
    <s v="José A"/>
    <n v="79728"/>
    <n v="3712164"/>
    <n v="46.560402777777774"/>
    <n v="76961.899750229233"/>
    <n v="52"/>
    <n v="52"/>
    <n v="48.233790122741119"/>
    <n v="3463149"/>
  </r>
  <r>
    <x v="60"/>
    <n v="202407"/>
    <x v="2"/>
    <x v="6"/>
    <s v="Sofía V"/>
    <s v="Melany A"/>
    <n v="79727"/>
    <n v="6542878"/>
    <n v="82.066061827956986"/>
    <n v="0"/>
    <n v="88.5"/>
    <n v="92.5"/>
    <m/>
    <n v="0"/>
  </r>
  <r>
    <x v="17"/>
    <n v="202502"/>
    <x v="1"/>
    <x v="2"/>
    <s v="Sofía V"/>
    <s v="Joe H"/>
    <n v="79726"/>
    <n v="6943941"/>
    <n v="87.09739583333328"/>
    <n v="88122.922863839092"/>
    <n v="94"/>
    <n v="92"/>
    <n v="78.798345247005201"/>
    <n v="6951709"/>
  </r>
  <r>
    <x v="73"/>
    <n v="202505"/>
    <x v="1"/>
    <x v="3"/>
    <s v="Fátima L"/>
    <s v="Fátima L"/>
    <n v="79725"/>
    <n v="906853"/>
    <n v="11.374717741935484"/>
    <n v="83404.934987274435"/>
    <n v="13.5"/>
    <n v="12"/>
    <n v="10.87288935766647"/>
    <n v="1027841"/>
  </r>
  <r>
    <x v="62"/>
    <n v="202509"/>
    <x v="1"/>
    <x v="4"/>
    <s v="Sebastián S"/>
    <s v="Vik E"/>
    <n v="79721"/>
    <n v="4517795"/>
    <n v="56.669958333333362"/>
    <n v="82169.027981235136"/>
    <n v="65"/>
    <n v="67.5"/>
    <n v="54.981729746538143"/>
    <n v="4914806"/>
  </r>
  <r>
    <x v="58"/>
    <n v="202504"/>
    <x v="1"/>
    <x v="9"/>
    <s v="Sebastián S"/>
    <s v="Rodolfo O"/>
    <n v="79678"/>
    <n v="4548748"/>
    <n v="57.089083333333342"/>
    <n v="76214.706335448951"/>
    <n v="66.5"/>
    <n v="63.5"/>
    <n v="59.683332767553921"/>
    <n v="5149178"/>
  </r>
  <r>
    <x v="66"/>
    <n v="202407"/>
    <x v="2"/>
    <x v="6"/>
    <s v="Sebastián S"/>
    <s v="Rodolfo O"/>
    <n v="79665"/>
    <n v="4176053"/>
    <n v="52.419885752688167"/>
    <n v="0"/>
    <n v="55"/>
    <n v="55.5"/>
    <m/>
    <n v="0"/>
  </r>
  <r>
    <x v="77"/>
    <n v="202501"/>
    <x v="1"/>
    <x v="10"/>
    <s v="Fátima L"/>
    <s v="Fátima L"/>
    <n v="79628"/>
    <n v="1020760"/>
    <n v="12.819173387096781"/>
    <n v="72940.376952910738"/>
    <n v="17"/>
    <n v="13.5"/>
    <n v="13.994448790126057"/>
    <n v="1051944"/>
  </r>
  <r>
    <x v="76"/>
    <n v="202402"/>
    <x v="2"/>
    <x v="2"/>
    <s v="Hernán P"/>
    <s v="Daniel R"/>
    <n v="79604"/>
    <n v="7100461"/>
    <n v="89.197801724137946"/>
    <n v="0"/>
    <n v="106"/>
    <n v="94.5"/>
    <m/>
    <n v="0"/>
  </r>
  <r>
    <x v="56"/>
    <n v="202502"/>
    <x v="1"/>
    <x v="2"/>
    <s v="Sofía V"/>
    <s v="Joe H"/>
    <n v="79599"/>
    <n v="5633556"/>
    <n v="70.773802083333322"/>
    <n v="82827.353569747269"/>
    <n v="79.5"/>
    <n v="81.5"/>
    <n v="68.015642021643188"/>
    <n v="5595495"/>
  </r>
  <r>
    <x v="83"/>
    <n v="202507"/>
    <x v="1"/>
    <x v="6"/>
    <s v="Hernán P"/>
    <s v="Daniel R"/>
    <n v="79595"/>
    <n v="3194773"/>
    <n v="40.137661290322562"/>
    <n v="73063.855686107418"/>
    <n v="51"/>
    <n v="49"/>
    <n v="43.725760979891248"/>
    <n v="3574441"/>
  </r>
  <r>
    <x v="27"/>
    <n v="202408"/>
    <x v="2"/>
    <x v="5"/>
    <s v="Sofía V"/>
    <s v="Joe H"/>
    <n v="79558"/>
    <n v="4698612"/>
    <n v="59.059254032258067"/>
    <n v="0"/>
    <n v="62"/>
    <n v="58"/>
    <m/>
    <n v="0"/>
  </r>
  <r>
    <x v="41"/>
    <n v="202504"/>
    <x v="1"/>
    <x v="9"/>
    <s v="Sebastián S"/>
    <s v="Rodolfo O"/>
    <n v="79548"/>
    <n v="4763533"/>
    <n v="59.882229166666697"/>
    <n v="80631.405451163882"/>
    <n v="64.5"/>
    <n v="64"/>
    <n v="59.077881544370868"/>
    <n v="5606747"/>
  </r>
  <r>
    <x v="83"/>
    <n v="202412"/>
    <x v="2"/>
    <x v="1"/>
    <s v="Hernán P"/>
    <s v="Daniel R"/>
    <n v="79532"/>
    <n v="4079609"/>
    <n v="51.295228494623657"/>
    <n v="0"/>
    <n v="51"/>
    <n v="49"/>
    <m/>
    <n v="0"/>
  </r>
  <r>
    <x v="60"/>
    <n v="202511"/>
    <x v="1"/>
    <x v="7"/>
    <s v="Sofía V"/>
    <s v="Melany A"/>
    <n v="79527"/>
    <n v="9911960"/>
    <n v="124.63587500000015"/>
    <n v="85313.358183523029"/>
    <n v="88.5"/>
    <n v="92.5"/>
    <n v="116.18297405053198"/>
    <n v="6121273"/>
  </r>
  <r>
    <x v="60"/>
    <n v="202402"/>
    <x v="2"/>
    <x v="2"/>
    <s v="Sofía V"/>
    <s v="Melany A"/>
    <n v="79491"/>
    <n v="6015923"/>
    <n v="75.680208333333354"/>
    <n v="0"/>
    <n v="88.5"/>
    <n v="92.5"/>
    <m/>
    <n v="0"/>
  </r>
  <r>
    <x v="78"/>
    <n v="202605"/>
    <x v="0"/>
    <x v="3"/>
    <s v="Sebastián S"/>
    <s v="Vik E"/>
    <n v="79452"/>
    <n v="3920329"/>
    <n v="49.341861559139687"/>
    <n v="71952.455544634344"/>
    <n v="63"/>
    <n v="59"/>
    <n v="55.026064794188251"/>
    <n v="3959260"/>
  </r>
  <r>
    <x v="73"/>
    <n v="202405"/>
    <x v="2"/>
    <x v="3"/>
    <s v="Fátima L"/>
    <s v="Fátima L"/>
    <n v="79433"/>
    <n v="977833"/>
    <n v="12.310120967741936"/>
    <n v="0"/>
    <n v="13.5"/>
    <n v="12"/>
    <m/>
    <n v="0"/>
  </r>
  <r>
    <x v="67"/>
    <n v="202505"/>
    <x v="1"/>
    <x v="3"/>
    <s v="Hernán P"/>
    <s v="Daniel R"/>
    <n v="79424"/>
    <n v="1083884"/>
    <n v="13.646848118279571"/>
    <n v="73657.536758893257"/>
    <n v="15.5"/>
    <n v="14.5"/>
    <n v="14.715185813882565"/>
    <n v="1095911"/>
  </r>
  <r>
    <x v="49"/>
    <n v="202401"/>
    <x v="2"/>
    <x v="10"/>
    <s v="Sebastián S"/>
    <s v="Vik E"/>
    <n v="79419"/>
    <n v="4992849"/>
    <n v="62.867056451612903"/>
    <n v="0"/>
    <n v="66"/>
    <n v="64.5"/>
    <m/>
    <n v="0"/>
  </r>
  <r>
    <x v="96"/>
    <n v="202512"/>
    <x v="1"/>
    <x v="1"/>
    <s v="Fátima L"/>
    <s v="Fátima L"/>
    <n v="79410"/>
    <n v="819101"/>
    <n v="10.314838709677399"/>
    <n v="76179.099032146114"/>
    <n v="11.5"/>
    <n v="10"/>
    <n v="10.752301227064333"/>
    <n v="970142"/>
  </r>
  <r>
    <x v="63"/>
    <n v="202510"/>
    <x v="1"/>
    <x v="8"/>
    <s v="Sebastián S"/>
    <s v="Johanna V"/>
    <n v="79391"/>
    <n v="8042267"/>
    <n v="101.29898521505376"/>
    <n v="92977.581725576136"/>
    <n v="123"/>
    <n v="115.5"/>
    <n v="86.496836879849141"/>
    <n v="9601463"/>
  </r>
  <r>
    <x v="49"/>
    <n v="202506"/>
    <x v="1"/>
    <x v="11"/>
    <s v="Sebastián S"/>
    <s v="Vik E"/>
    <n v="79388"/>
    <n v="4483416"/>
    <n v="56.474833333333336"/>
    <n v="83890.987531016406"/>
    <n v="66"/>
    <n v="64.5"/>
    <n v="53.443360627294773"/>
    <n v="5196271"/>
  </r>
  <r>
    <x v="54"/>
    <n v="202511"/>
    <x v="1"/>
    <x v="7"/>
    <s v="Sebastián S"/>
    <s v="Rodolfo O"/>
    <n v="79386"/>
    <n v="5545330"/>
    <n v="69.853000000000009"/>
    <n v="77991.531510762361"/>
    <n v="80"/>
    <n v="80.5"/>
    <n v="71.101698768856423"/>
    <n v="6445446"/>
  </r>
  <r>
    <x v="45"/>
    <n v="202506"/>
    <x v="1"/>
    <x v="11"/>
    <s v="Sofía V"/>
    <s v="Joe H"/>
    <n v="79383"/>
    <n v="5272514"/>
    <n v="66.418819444444452"/>
    <n v="90276.356485197961"/>
    <n v="68"/>
    <n v="68.5"/>
    <n v="58.40414871932164"/>
    <n v="5309474"/>
  </r>
  <r>
    <x v="86"/>
    <n v="202412"/>
    <x v="2"/>
    <x v="1"/>
    <s v="Sebastián S"/>
    <s v="Vik E"/>
    <n v="79378"/>
    <n v="3078043"/>
    <n v="38.776895161290334"/>
    <n v="0"/>
    <n v="36"/>
    <n v="35"/>
    <m/>
    <n v="0"/>
  </r>
  <r>
    <x v="18"/>
    <n v="202406"/>
    <x v="2"/>
    <x v="11"/>
    <s v="Sofía V"/>
    <s v="Joe H"/>
    <n v="79362"/>
    <n v="4045679"/>
    <n v="50.977694444444445"/>
    <n v="0"/>
    <n v="50.5"/>
    <n v="51.5"/>
    <m/>
    <n v="0"/>
  </r>
  <r>
    <x v="34"/>
    <n v="202401"/>
    <x v="2"/>
    <x v="10"/>
    <s v="Hernán P"/>
    <s v="Daniel R"/>
    <n v="79360"/>
    <n v="1026722"/>
    <n v="12.937533602150536"/>
    <n v="0"/>
    <n v="15"/>
    <n v="15"/>
    <m/>
    <n v="0"/>
  </r>
  <r>
    <x v="47"/>
    <n v="202409"/>
    <x v="2"/>
    <x v="4"/>
    <s v="Sebastián S"/>
    <s v="Vik E"/>
    <n v="79325"/>
    <n v="4388094"/>
    <n v="55.317888888888909"/>
    <n v="0"/>
    <n v="61.5"/>
    <n v="48.5"/>
    <m/>
    <n v="0"/>
  </r>
  <r>
    <x v="54"/>
    <n v="202506"/>
    <x v="1"/>
    <x v="11"/>
    <s v="Sebastián S"/>
    <s v="Rodolfo O"/>
    <n v="79319"/>
    <n v="5319258"/>
    <n v="67.061750000000032"/>
    <n v="77657.22557648443"/>
    <n v="80"/>
    <n v="80.5"/>
    <n v="68.496630551925563"/>
    <n v="6090152"/>
  </r>
  <r>
    <x v="83"/>
    <n v="202410"/>
    <x v="2"/>
    <x v="8"/>
    <s v="Hernán P"/>
    <s v="Daniel R"/>
    <n v="79316"/>
    <n v="3352762"/>
    <n v="42.271202956989249"/>
    <n v="0"/>
    <n v="51"/>
    <n v="49"/>
    <m/>
    <n v="0"/>
  </r>
  <r>
    <x v="38"/>
    <n v="202506"/>
    <x v="1"/>
    <x v="11"/>
    <s v="Sofía V"/>
    <s v="Melany A"/>
    <n v="79312"/>
    <n v="4288688"/>
    <n v="54.073590277777761"/>
    <n v="77759.24803973471"/>
    <n v="56"/>
    <n v="60"/>
    <n v="55.153413621084603"/>
    <n v="4827183"/>
  </r>
  <r>
    <x v="63"/>
    <n v="202504"/>
    <x v="1"/>
    <x v="9"/>
    <s v="Sebastián S"/>
    <s v="Johanna V"/>
    <n v="79311"/>
    <n v="8487577"/>
    <n v="107.01658333333337"/>
    <n v="81508.649043993501"/>
    <n v="123"/>
    <n v="115.5"/>
    <n v="104.13100020120457"/>
    <n v="9622319"/>
  </r>
  <r>
    <x v="76"/>
    <n v="202505"/>
    <x v="1"/>
    <x v="3"/>
    <s v="Hernán P"/>
    <s v="Daniel R"/>
    <n v="79295"/>
    <n v="7548158"/>
    <n v="95.190497311827968"/>
    <n v="80612.033601733463"/>
    <n v="106"/>
    <n v="94.5"/>
    <n v="93.635624022238844"/>
    <n v="7833550"/>
  </r>
  <r>
    <x v="43"/>
    <n v="202506"/>
    <x v="1"/>
    <x v="11"/>
    <s v="Sofía V"/>
    <s v="José A"/>
    <n v="79259"/>
    <n v="2255652"/>
    <n v="28.459423611111124"/>
    <n v="88777.003027197454"/>
    <n v="32.5"/>
    <n v="32"/>
    <n v="25.408061807503966"/>
    <n v="2171724"/>
  </r>
  <r>
    <x v="83"/>
    <n v="202506"/>
    <x v="1"/>
    <x v="11"/>
    <s v="Hernán P"/>
    <s v="Daniel R"/>
    <n v="79198"/>
    <n v="3215061"/>
    <n v="40.594993055555555"/>
    <n v="74901.728835409027"/>
    <n v="51"/>
    <n v="49"/>
    <n v="42.923725927139238"/>
    <n v="3562907"/>
  </r>
  <r>
    <x v="13"/>
    <n v="202504"/>
    <x v="1"/>
    <x v="9"/>
    <s v="Sebastián S"/>
    <s v="Rodolfo O"/>
    <n v="79197"/>
    <n v="5609444"/>
    <n v="70.828965277777783"/>
    <n v="91546.098392379921"/>
    <n v="78"/>
    <n v="74.5"/>
    <n v="61.27453150386706"/>
    <n v="6386052"/>
  </r>
  <r>
    <x v="50"/>
    <n v="202411"/>
    <x v="2"/>
    <x v="7"/>
    <s v="Sebastián S"/>
    <s v="Vik E"/>
    <n v="79154"/>
    <n v="5688397"/>
    <n v="71.865256944444468"/>
    <n v="0"/>
    <n v="75.5"/>
    <n v="74"/>
    <m/>
    <n v="0"/>
  </r>
  <r>
    <x v="58"/>
    <n v="202507"/>
    <x v="1"/>
    <x v="6"/>
    <s v="Sebastián S"/>
    <s v="Rodolfo O"/>
    <n v="79143"/>
    <n v="4374892"/>
    <n v="55.278313172043021"/>
    <n v="81416.359085207441"/>
    <n v="66.5"/>
    <n v="63.5"/>
    <n v="53.734798499419448"/>
    <n v="5118598"/>
  </r>
  <r>
    <x v="23"/>
    <n v="202410"/>
    <x v="2"/>
    <x v="8"/>
    <s v="Sebastián S"/>
    <s v="Rodolfo O"/>
    <n v="79137"/>
    <n v="7034216"/>
    <n v="88.886969086021452"/>
    <n v="0"/>
    <n v="94.5"/>
    <n v="97"/>
    <m/>
    <n v="0"/>
  </r>
  <r>
    <x v="73"/>
    <n v="202506"/>
    <x v="1"/>
    <x v="11"/>
    <s v="Fátima L"/>
    <s v="Fátima L"/>
    <n v="79067"/>
    <n v="865040"/>
    <n v="10.940611111111112"/>
    <n v="86355.953793797627"/>
    <n v="13.5"/>
    <n v="12"/>
    <n v="10.017138390545226"/>
    <n v="1038809"/>
  </r>
  <r>
    <x v="49"/>
    <n v="202409"/>
    <x v="2"/>
    <x v="4"/>
    <s v="Sebastián S"/>
    <s v="Vik E"/>
    <n v="78961"/>
    <n v="4733224"/>
    <n v="59.943770833333311"/>
    <n v="0"/>
    <n v="66"/>
    <n v="64.5"/>
    <m/>
    <n v="0"/>
  </r>
  <r>
    <x v="18"/>
    <n v="202401"/>
    <x v="2"/>
    <x v="10"/>
    <s v="Sofía V"/>
    <s v="Joe H"/>
    <n v="78932"/>
    <n v="3870951"/>
    <n v="49.041586021505402"/>
    <n v="0"/>
    <n v="50.5"/>
    <n v="51.5"/>
    <m/>
    <n v="0"/>
  </r>
  <r>
    <x v="90"/>
    <n v="202512"/>
    <x v="1"/>
    <x v="1"/>
    <s v="Sebastián S"/>
    <s v="Vik E"/>
    <n v="78918"/>
    <n v="3797802"/>
    <n v="48.123306451612848"/>
    <n v="87240.254898150699"/>
    <n v="47.5"/>
    <n v="43"/>
    <n v="43.532677941321623"/>
    <n v="4501816"/>
  </r>
  <r>
    <x v="62"/>
    <n v="202402"/>
    <x v="2"/>
    <x v="2"/>
    <s v="Sebastián S"/>
    <s v="Vik E"/>
    <n v="78895"/>
    <n v="4795387"/>
    <n v="60.781824712643683"/>
    <n v="0"/>
    <n v="65"/>
    <n v="67.5"/>
    <m/>
    <n v="0"/>
  </r>
  <r>
    <x v="56"/>
    <n v="202402"/>
    <x v="2"/>
    <x v="2"/>
    <s v="Sofía V"/>
    <s v="Joe H"/>
    <n v="78883"/>
    <n v="5536116"/>
    <n v="70.181185344827597"/>
    <n v="0"/>
    <n v="79.5"/>
    <n v="81.5"/>
    <m/>
    <n v="0"/>
  </r>
  <r>
    <x v="55"/>
    <n v="202407"/>
    <x v="2"/>
    <x v="6"/>
    <s v="Sebastián S"/>
    <s v="Vik E"/>
    <n v="78837"/>
    <n v="5054658"/>
    <n v="64.115107526881744"/>
    <n v="0"/>
    <n v="69.5"/>
    <n v="59"/>
    <m/>
    <n v="0"/>
  </r>
  <r>
    <x v="61"/>
    <n v="202408"/>
    <x v="2"/>
    <x v="5"/>
    <s v="Sofía V"/>
    <s v="Joe H"/>
    <n v="78767"/>
    <n v="2627902"/>
    <n v="33.363185483870957"/>
    <n v="0"/>
    <n v="41.5"/>
    <n v="35.5"/>
    <m/>
    <n v="0"/>
  </r>
  <r>
    <x v="68"/>
    <n v="202503"/>
    <x v="1"/>
    <x v="0"/>
    <s v="Sofía V"/>
    <s v="José A"/>
    <n v="78753"/>
    <n v="4272545"/>
    <n v="54.252493279569897"/>
    <n v="90494.810428781057"/>
    <n v="52"/>
    <n v="52"/>
    <n v="47.213145148941656"/>
    <n v="4149877"/>
  </r>
  <r>
    <x v="23"/>
    <n v="202509"/>
    <x v="1"/>
    <x v="4"/>
    <s v="Sebastián S"/>
    <s v="Rodolfo O"/>
    <n v="78747"/>
    <n v="6687047"/>
    <n v="84.918361111111153"/>
    <n v="84829.68340131575"/>
    <n v="94.5"/>
    <n v="97"/>
    <n v="78.829091679673553"/>
    <n v="6833857"/>
  </r>
  <r>
    <x v="32"/>
    <n v="202509"/>
    <x v="1"/>
    <x v="4"/>
    <s v="Sofía V"/>
    <s v="Melany A"/>
    <n v="78727"/>
    <n v="4832925"/>
    <n v="61.388055555555567"/>
    <n v="85254.986341047843"/>
    <n v="75.5"/>
    <n v="68"/>
    <n v="56.687884397362048"/>
    <n v="5896666"/>
  </r>
  <r>
    <x v="9"/>
    <n v="202508"/>
    <x v="1"/>
    <x v="5"/>
    <s v="Sofía V"/>
    <s v="Joe H"/>
    <n v="78709"/>
    <n v="4759437"/>
    <n v="60.46880376344086"/>
    <n v="83725.196588310951"/>
    <n v="70.5"/>
    <n v="69.5"/>
    <n v="56.845936157102727"/>
    <n v="4996894"/>
  </r>
  <r>
    <x v="9"/>
    <n v="202404"/>
    <x v="2"/>
    <x v="9"/>
    <s v="Sofía V"/>
    <s v="Joe H"/>
    <n v="78671"/>
    <n v="5120366"/>
    <n v="65.085708333333315"/>
    <n v="0"/>
    <n v="70.5"/>
    <n v="69.5"/>
    <m/>
    <n v="0"/>
  </r>
  <r>
    <x v="81"/>
    <n v="202407"/>
    <x v="2"/>
    <x v="6"/>
    <s v="Fátima L"/>
    <s v="Fátima L"/>
    <n v="78645"/>
    <n v="858056"/>
    <n v="10.91049731182796"/>
    <n v="0"/>
    <n v="11.5"/>
    <n v="12"/>
    <m/>
    <n v="0"/>
  </r>
  <r>
    <x v="64"/>
    <n v="202504"/>
    <x v="1"/>
    <x v="9"/>
    <s v="Sebastián S"/>
    <s v="Johanna V"/>
    <n v="78641"/>
    <n v="4932323"/>
    <n v="62.719756944444434"/>
    <n v="69627.87937057919"/>
    <n v="75.5"/>
    <n v="70.5"/>
    <n v="70.838330200303645"/>
    <n v="5646985"/>
  </r>
  <r>
    <x v="87"/>
    <n v="202411"/>
    <x v="2"/>
    <x v="7"/>
    <s v="Fátima L"/>
    <s v="Fátima L"/>
    <n v="78623"/>
    <n v="650811"/>
    <n v="8.2775972222222229"/>
    <n v="0"/>
    <n v="11"/>
    <n v="11"/>
    <m/>
    <n v="0"/>
  </r>
  <r>
    <x v="46"/>
    <n v="202406"/>
    <x v="2"/>
    <x v="11"/>
    <s v="Sofía V"/>
    <s v="José A"/>
    <n v="78613"/>
    <n v="4451438"/>
    <n v="56.624993055555549"/>
    <n v="0"/>
    <n v="58"/>
    <n v="58.5"/>
    <m/>
    <n v="0"/>
  </r>
  <r>
    <x v="32"/>
    <n v="202506"/>
    <x v="1"/>
    <x v="11"/>
    <s v="Sofía V"/>
    <s v="Melany A"/>
    <n v="78580"/>
    <n v="5006299"/>
    <n v="63.709965277777776"/>
    <n v="93003.180022892906"/>
    <n v="75.5"/>
    <n v="68"/>
    <n v="53.829329370970861"/>
    <n v="5585194"/>
  </r>
  <r>
    <x v="51"/>
    <n v="202510"/>
    <x v="1"/>
    <x v="8"/>
    <s v="Sofía V"/>
    <s v="Melany A"/>
    <n v="78520"/>
    <n v="2440310"/>
    <n v="31.078635752688175"/>
    <n v="73811.239437483528"/>
    <n v="43.5"/>
    <n v="41"/>
    <n v="33.061491293163932"/>
    <n v="3060368"/>
  </r>
  <r>
    <x v="54"/>
    <n v="202504"/>
    <x v="1"/>
    <x v="9"/>
    <s v="Sebastián S"/>
    <s v="Rodolfo O"/>
    <n v="78512"/>
    <n v="5613337"/>
    <n v="71.496493055555547"/>
    <n v="74572.389615113891"/>
    <n v="80"/>
    <n v="80.5"/>
    <n v="75.273665212711933"/>
    <n v="6551091"/>
  </r>
  <r>
    <x v="54"/>
    <n v="202501"/>
    <x v="1"/>
    <x v="10"/>
    <s v="Sebastián S"/>
    <s v="Rodolfo O"/>
    <n v="78481"/>
    <n v="5720873"/>
    <n v="72.894697580645129"/>
    <n v="84625.652897541659"/>
    <n v="80"/>
    <n v="80.5"/>
    <n v="67.602109810915138"/>
    <n v="6390794"/>
  </r>
  <r>
    <x v="53"/>
    <n v="202401"/>
    <x v="2"/>
    <x v="10"/>
    <s v="Sebastián S"/>
    <s v="Johanna V"/>
    <n v="78470"/>
    <n v="4838565"/>
    <n v="61.661391129032253"/>
    <n v="0"/>
    <n v="68"/>
    <n v="60.5"/>
    <m/>
    <n v="0"/>
  </r>
  <r>
    <x v="64"/>
    <n v="202510"/>
    <x v="1"/>
    <x v="8"/>
    <s v="Sebastián S"/>
    <s v="Johanna V"/>
    <n v="78423"/>
    <n v="4535193"/>
    <n v="57.829784946236565"/>
    <n v="69992.74879116565"/>
    <n v="75.5"/>
    <n v="70.5"/>
    <n v="64.795183334368829"/>
    <n v="5803144"/>
  </r>
  <r>
    <x v="97"/>
    <n v="202606"/>
    <x v="0"/>
    <x v="11"/>
    <s v="María R"/>
    <s v="María R"/>
    <n v="78409"/>
    <n v="5531944"/>
    <n v="70.552027777778093"/>
    <n v="68307.626624218348"/>
    <n v="94"/>
    <n v="77.5"/>
    <n v="81.023149648384276"/>
    <n v="5534499"/>
  </r>
  <r>
    <x v="57"/>
    <n v="202602"/>
    <x v="0"/>
    <x v="2"/>
    <s v="Hernán P"/>
    <s v="Daniel R"/>
    <n v="78360"/>
    <n v="3296807"/>
    <n v="42.072447916666661"/>
    <n v="76122.730118751206"/>
    <n v="53.5"/>
    <n v="52"/>
    <n v="43.483853774506514"/>
    <n v="3310110"/>
  </r>
  <r>
    <x v="18"/>
    <n v="202606"/>
    <x v="0"/>
    <x v="11"/>
    <s v="Sofía V"/>
    <s v="Joe H"/>
    <n v="78353"/>
    <n v="3609149"/>
    <n v="46.062819444443875"/>
    <n v="79965.696201519138"/>
    <n v="50.5"/>
    <n v="51.5"/>
    <n v="44.728769766304502"/>
    <n v="3576767"/>
  </r>
  <r>
    <x v="85"/>
    <n v="202406"/>
    <x v="2"/>
    <x v="11"/>
    <s v="Hernán P"/>
    <s v="Daniel R"/>
    <n v="78346"/>
    <n v="2598960"/>
    <n v="33.172659722222214"/>
    <n v="0"/>
    <n v="44"/>
    <n v="40.5"/>
    <m/>
    <n v="0"/>
  </r>
  <r>
    <x v="32"/>
    <n v="202402"/>
    <x v="2"/>
    <x v="2"/>
    <s v="Sofía V"/>
    <s v="Melany A"/>
    <n v="78344"/>
    <n v="5556297"/>
    <n v="70.922119252873543"/>
    <n v="0"/>
    <n v="75.5"/>
    <n v="68"/>
    <m/>
    <n v="0"/>
  </r>
  <r>
    <x v="39"/>
    <n v="202504"/>
    <x v="1"/>
    <x v="9"/>
    <s v="Sofía V"/>
    <s v="Melany A"/>
    <n v="78311"/>
    <n v="4436510"/>
    <n v="56.652652777777789"/>
    <n v="72411.279664313275"/>
    <n v="60.5"/>
    <n v="60.5"/>
    <n v="61.268215816195045"/>
    <n v="4980444"/>
  </r>
  <r>
    <x v="73"/>
    <n v="202606"/>
    <x v="0"/>
    <x v="11"/>
    <s v="Fátima L"/>
    <s v="Fátima L"/>
    <n v="78296"/>
    <n v="739292"/>
    <n v="9.4423194444444487"/>
    <n v="70515.876366688084"/>
    <n v="13.5"/>
    <n v="12"/>
    <n v="11.788780293634797"/>
    <n v="831296"/>
  </r>
  <r>
    <x v="59"/>
    <n v="202506"/>
    <x v="1"/>
    <x v="11"/>
    <s v="Sebastián S"/>
    <s v="Johanna V"/>
    <n v="78286"/>
    <n v="7487057"/>
    <n v="95.637451388888934"/>
    <n v="90952.492924081947"/>
    <n v="118"/>
    <n v="106"/>
    <n v="82.31832299802322"/>
    <n v="10017159"/>
  </r>
  <r>
    <x v="18"/>
    <n v="202501"/>
    <x v="1"/>
    <x v="10"/>
    <s v="Sofía V"/>
    <s v="Joe H"/>
    <n v="78269"/>
    <n v="3840690"/>
    <n v="49.070564516129039"/>
    <n v="82878.612678180158"/>
    <n v="50.5"/>
    <n v="51.5"/>
    <n v="46.341152872738149"/>
    <n v="3971652"/>
  </r>
  <r>
    <x v="62"/>
    <n v="202409"/>
    <x v="2"/>
    <x v="4"/>
    <s v="Sebastián S"/>
    <s v="Vik E"/>
    <n v="78256"/>
    <n v="4648899"/>
    <n v="59.406131944444432"/>
    <n v="0"/>
    <n v="65"/>
    <n v="67.5"/>
    <m/>
    <n v="0"/>
  </r>
  <r>
    <x v="63"/>
    <n v="202502"/>
    <x v="1"/>
    <x v="2"/>
    <s v="Sebastián S"/>
    <s v="Johanna V"/>
    <n v="78222"/>
    <n v="8543304"/>
    <n v="109.21885416666672"/>
    <n v="77056.672085699494"/>
    <n v="123"/>
    <n v="115.5"/>
    <n v="110.87040510260375"/>
    <n v="8649131"/>
  </r>
  <r>
    <x v="58"/>
    <n v="202410"/>
    <x v="2"/>
    <x v="8"/>
    <s v="Sebastián S"/>
    <s v="Rodolfo O"/>
    <n v="78215"/>
    <n v="4629768"/>
    <n v="59.192668010752691"/>
    <n v="0"/>
    <n v="66.5"/>
    <n v="63.5"/>
    <m/>
    <n v="0"/>
  </r>
  <r>
    <x v="87"/>
    <n v="202405"/>
    <x v="2"/>
    <x v="3"/>
    <s v="Fátima L"/>
    <s v="Fátima L"/>
    <n v="78209"/>
    <n v="677265"/>
    <n v="8.6596774193548391"/>
    <n v="0"/>
    <n v="11"/>
    <n v="11"/>
    <m/>
    <n v="0"/>
  </r>
  <r>
    <x v="47"/>
    <n v="202411"/>
    <x v="2"/>
    <x v="7"/>
    <s v="Sebastián S"/>
    <s v="Vik E"/>
    <n v="78198"/>
    <n v="4363114"/>
    <n v="55.795444444444463"/>
    <n v="0"/>
    <n v="61.5"/>
    <n v="48.5"/>
    <m/>
    <n v="0"/>
  </r>
  <r>
    <x v="32"/>
    <n v="202404"/>
    <x v="2"/>
    <x v="9"/>
    <s v="Sofía V"/>
    <s v="Melany A"/>
    <n v="78147"/>
    <n v="5283573"/>
    <n v="67.610715277777771"/>
    <n v="0"/>
    <n v="75.5"/>
    <n v="68"/>
    <m/>
    <n v="0"/>
  </r>
  <r>
    <x v="58"/>
    <n v="202408"/>
    <x v="2"/>
    <x v="5"/>
    <s v="Sebastián S"/>
    <s v="Rodolfo O"/>
    <n v="78103"/>
    <n v="4730072"/>
    <n v="60.562043010752689"/>
    <n v="0"/>
    <n v="66.5"/>
    <n v="63.5"/>
    <m/>
    <n v="0"/>
  </r>
  <r>
    <x v="55"/>
    <n v="202408"/>
    <x v="2"/>
    <x v="5"/>
    <s v="Sebastián S"/>
    <s v="Vik E"/>
    <n v="78047"/>
    <n v="4793823"/>
    <n v="61.422553763440874"/>
    <n v="0"/>
    <n v="69.5"/>
    <n v="59"/>
    <m/>
    <n v="0"/>
  </r>
  <r>
    <x v="19"/>
    <n v="202509"/>
    <x v="1"/>
    <x v="4"/>
    <s v="Sofía V"/>
    <s v="Joe H"/>
    <n v="78045"/>
    <n v="3848514"/>
    <n v="49.311645833333337"/>
    <n v="78902.144328038587"/>
    <n v="57.5"/>
    <n v="56.5"/>
    <n v="48.775789463967669"/>
    <n v="3965193"/>
  </r>
  <r>
    <x v="43"/>
    <n v="202405"/>
    <x v="2"/>
    <x v="3"/>
    <s v="Sofía V"/>
    <s v="José A"/>
    <n v="78030"/>
    <n v="2266609"/>
    <n v="29.047930107526877"/>
    <n v="0"/>
    <n v="32.5"/>
    <n v="32"/>
    <m/>
    <n v="0"/>
  </r>
  <r>
    <x v="45"/>
    <n v="202404"/>
    <x v="2"/>
    <x v="9"/>
    <s v="Sofía V"/>
    <s v="Joe H"/>
    <n v="78021"/>
    <n v="4748561"/>
    <n v="60.862569444444439"/>
    <n v="0"/>
    <n v="68"/>
    <n v="68.5"/>
    <m/>
    <n v="0"/>
  </r>
  <r>
    <x v="54"/>
    <n v="202402"/>
    <x v="2"/>
    <x v="2"/>
    <s v="Sebastián S"/>
    <s v="Rodolfo O"/>
    <n v="78005"/>
    <n v="6281602"/>
    <n v="80.528663793103448"/>
    <n v="0"/>
    <n v="80"/>
    <n v="80.5"/>
    <m/>
    <n v="0"/>
  </r>
  <r>
    <x v="67"/>
    <n v="202602"/>
    <x v="0"/>
    <x v="2"/>
    <s v="Hernán P"/>
    <s v="Daniel R"/>
    <n v="78001"/>
    <n v="1029899"/>
    <n v="13.203645833333335"/>
    <n v="77186.187233842225"/>
    <n v="15.5"/>
    <n v="14.5"/>
    <n v="13.971887755419019"/>
    <n v="1078437"/>
  </r>
  <r>
    <x v="61"/>
    <n v="202507"/>
    <x v="1"/>
    <x v="6"/>
    <s v="Sofía V"/>
    <s v="Joe H"/>
    <n v="77991"/>
    <n v="2815052"/>
    <n v="36.094643817204286"/>
    <n v="87803.841039762236"/>
    <n v="41.5"/>
    <n v="35.5"/>
    <n v="32.060694460111314"/>
    <n v="2901762"/>
  </r>
  <r>
    <x v="59"/>
    <n v="202402"/>
    <x v="2"/>
    <x v="2"/>
    <s v="Sebastián S"/>
    <s v="Johanna V"/>
    <n v="77991"/>
    <n v="8964635"/>
    <n v="114.94507902298852"/>
    <n v="0"/>
    <n v="118"/>
    <n v="106"/>
    <m/>
    <n v="0"/>
  </r>
  <r>
    <x v="47"/>
    <n v="202407"/>
    <x v="2"/>
    <x v="6"/>
    <s v="Sebastián S"/>
    <s v="Vik E"/>
    <n v="77985"/>
    <n v="4809737"/>
    <n v="61.67550403225804"/>
    <n v="0"/>
    <n v="61.5"/>
    <n v="48.5"/>
    <m/>
    <n v="0"/>
  </r>
  <r>
    <x v="76"/>
    <n v="202506"/>
    <x v="1"/>
    <x v="11"/>
    <s v="Hernán P"/>
    <s v="Daniel R"/>
    <n v="77975"/>
    <n v="7328305"/>
    <n v="93.983069444444453"/>
    <n v="86169.314678749652"/>
    <n v="106"/>
    <n v="94.5"/>
    <n v="85.045416658132595"/>
    <n v="7643869"/>
  </r>
  <r>
    <x v="50"/>
    <n v="202506"/>
    <x v="1"/>
    <x v="11"/>
    <s v="Sebastián S"/>
    <s v="Vik E"/>
    <n v="77949"/>
    <n v="5240025"/>
    <n v="67.223819444444459"/>
    <n v="91662.753902969693"/>
    <n v="75.5"/>
    <n v="74"/>
    <n v="57.166351400994003"/>
    <n v="6279057"/>
  </r>
  <r>
    <x v="29"/>
    <n v="202410"/>
    <x v="2"/>
    <x v="8"/>
    <s v="Sebastián S"/>
    <s v="Vik E"/>
    <n v="77921"/>
    <n v="5230563"/>
    <n v="67.126189516129031"/>
    <n v="0"/>
    <n v="76.5"/>
    <n v="75.5"/>
    <m/>
    <n v="0"/>
  </r>
  <r>
    <x v="71"/>
    <n v="202508"/>
    <x v="1"/>
    <x v="5"/>
    <s v="Sebastián S"/>
    <s v="Rodolfo O"/>
    <n v="77920"/>
    <n v="3797319"/>
    <n v="48.733313172043005"/>
    <n v="85449.868578778318"/>
    <n v="53.5"/>
    <n v="54"/>
    <n v="44.439143010491101"/>
    <n v="4238087"/>
  </r>
  <r>
    <x v="10"/>
    <n v="202506"/>
    <x v="1"/>
    <x v="11"/>
    <s v="Sofía V"/>
    <s v="Melany A"/>
    <n v="77908"/>
    <n v="8757678"/>
    <n v="112.41090972222223"/>
    <n v="98957.147064321005"/>
    <n v="125"/>
    <n v="118.5"/>
    <n v="88.499705476630282"/>
    <n v="9478117"/>
  </r>
  <r>
    <x v="27"/>
    <n v="202411"/>
    <x v="2"/>
    <x v="7"/>
    <s v="Sofía V"/>
    <s v="Joe H"/>
    <n v="77892"/>
    <n v="4721999"/>
    <n v="60.622138888888877"/>
    <n v="0"/>
    <n v="62"/>
    <n v="58"/>
    <m/>
    <n v="0"/>
  </r>
  <r>
    <x v="98"/>
    <n v="202512"/>
    <x v="1"/>
    <x v="1"/>
    <s v="Hernán P"/>
    <s v="Daniel R"/>
    <n v="77889"/>
    <n v="5979464"/>
    <n v="76.768595430107482"/>
    <n v="73767.968975423995"/>
    <n v="87"/>
    <n v="77.5"/>
    <n v="81.05772184119742"/>
    <n v="6501169"/>
  </r>
  <r>
    <x v="68"/>
    <n v="202407"/>
    <x v="2"/>
    <x v="6"/>
    <s v="Sofía V"/>
    <s v="José A"/>
    <n v="77881"/>
    <n v="3715665"/>
    <n v="47.709751344086001"/>
    <n v="0"/>
    <n v="52"/>
    <n v="52"/>
    <m/>
    <n v="0"/>
  </r>
  <r>
    <x v="60"/>
    <n v="202409"/>
    <x v="2"/>
    <x v="4"/>
    <s v="Sofía V"/>
    <s v="Melany A"/>
    <n v="77878"/>
    <n v="6006346"/>
    <n v="77.124930555555537"/>
    <n v="0"/>
    <n v="88.5"/>
    <n v="92.5"/>
    <m/>
    <n v="0"/>
  </r>
  <r>
    <x v="92"/>
    <n v="202403"/>
    <x v="2"/>
    <x v="0"/>
    <s v="Fátima L"/>
    <s v="Fátima L"/>
    <n v="77854"/>
    <n v="666310"/>
    <n v="8.5584408602150557"/>
    <n v="0"/>
    <n v="11.5"/>
    <n v="10"/>
    <m/>
    <n v="0"/>
  </r>
  <r>
    <x v="59"/>
    <n v="202502"/>
    <x v="1"/>
    <x v="2"/>
    <s v="Sebastián S"/>
    <s v="Johanna V"/>
    <n v="77838"/>
    <n v="8081573"/>
    <n v="103.82505208333338"/>
    <n v="81890.127076405479"/>
    <n v="118"/>
    <n v="106"/>
    <n v="98.687997058054336"/>
    <n v="9081638"/>
  </r>
  <r>
    <x v="45"/>
    <n v="202501"/>
    <x v="1"/>
    <x v="10"/>
    <s v="Sofía V"/>
    <s v="Joe H"/>
    <n v="77811"/>
    <n v="4979107"/>
    <n v="63.989361559139795"/>
    <n v="89226.616433826784"/>
    <n v="68"/>
    <n v="68.5"/>
    <n v="55.802931894124441"/>
    <n v="5070456"/>
  </r>
  <r>
    <x v="64"/>
    <n v="202408"/>
    <x v="2"/>
    <x v="5"/>
    <s v="Sebastián S"/>
    <s v="Johanna V"/>
    <n v="77809"/>
    <n v="5285079"/>
    <n v="67.923897849462364"/>
    <n v="0"/>
    <n v="75.5"/>
    <n v="70.5"/>
    <m/>
    <n v="0"/>
  </r>
  <r>
    <x v="63"/>
    <n v="202509"/>
    <x v="1"/>
    <x v="4"/>
    <s v="Sebastián S"/>
    <s v="Johanna V"/>
    <n v="77797"/>
    <n v="7990911"/>
    <n v="102.71474305555564"/>
    <n v="87735.90512717684"/>
    <n v="123"/>
    <n v="115.5"/>
    <n v="91.079140044396212"/>
    <n v="9594209"/>
  </r>
  <r>
    <x v="14"/>
    <n v="202506"/>
    <x v="1"/>
    <x v="11"/>
    <s v="Sofía V"/>
    <s v="Melany A"/>
    <n v="77795"/>
    <n v="4358586"/>
    <n v="56.026687499999994"/>
    <n v="92755.309060763306"/>
    <n v="59.5"/>
    <n v="55.5"/>
    <n v="46.990147239385749"/>
    <n v="4796049"/>
  </r>
  <r>
    <x v="55"/>
    <n v="202402"/>
    <x v="2"/>
    <x v="2"/>
    <s v="Sebastián S"/>
    <s v="Vik E"/>
    <n v="77782"/>
    <n v="5219280"/>
    <n v="67.101637931034489"/>
    <n v="0"/>
    <n v="69.5"/>
    <n v="59"/>
    <m/>
    <n v="0"/>
  </r>
  <r>
    <x v="63"/>
    <n v="202602"/>
    <x v="0"/>
    <x v="2"/>
    <s v="Sebastián S"/>
    <s v="Johanna V"/>
    <n v="77741"/>
    <n v="8458734"/>
    <n v="108.80593750000004"/>
    <n v="85333.709714266341"/>
    <n v="123"/>
    <n v="115.5"/>
    <n v="102.59248347357834"/>
    <n v="8754597"/>
  </r>
  <r>
    <x v="18"/>
    <n v="202506"/>
    <x v="1"/>
    <x v="11"/>
    <s v="Sofía V"/>
    <s v="Joe H"/>
    <n v="77722"/>
    <n v="3388587"/>
    <n v="43.598625000000013"/>
    <n v="83329.829630279492"/>
    <n v="50.5"/>
    <n v="51.5"/>
    <n v="40.664753966671881"/>
    <n v="3897967"/>
  </r>
  <r>
    <x v="51"/>
    <n v="202507"/>
    <x v="1"/>
    <x v="6"/>
    <s v="Sofía V"/>
    <s v="Melany A"/>
    <n v="77719"/>
    <n v="2959744"/>
    <n v="38.082775537634397"/>
    <n v="86569.649045567363"/>
    <n v="43.5"/>
    <n v="41"/>
    <n v="34.189167943167803"/>
    <n v="3353528"/>
  </r>
  <r>
    <x v="71"/>
    <n v="202507"/>
    <x v="1"/>
    <x v="6"/>
    <s v="Sebastián S"/>
    <s v="Rodolfo O"/>
    <n v="77718"/>
    <n v="4087533"/>
    <n v="52.594274193548358"/>
    <n v="89436.014828522573"/>
    <n v="53.5"/>
    <n v="54"/>
    <n v="45.703436225743154"/>
    <n v="5005181"/>
  </r>
  <r>
    <x v="83"/>
    <n v="202511"/>
    <x v="1"/>
    <x v="7"/>
    <s v="Hernán P"/>
    <s v="Daniel R"/>
    <n v="77679"/>
    <n v="3136975"/>
    <n v="40.384069444444449"/>
    <n v="81302.034453787244"/>
    <n v="51"/>
    <n v="49"/>
    <n v="38.584216140164159"/>
    <n v="3576945"/>
  </r>
  <r>
    <x v="34"/>
    <n v="202405"/>
    <x v="2"/>
    <x v="3"/>
    <s v="Hernán P"/>
    <s v="Daniel R"/>
    <n v="77670"/>
    <n v="1068107"/>
    <n v="13.751895161290324"/>
    <n v="0"/>
    <n v="15"/>
    <n v="15"/>
    <m/>
    <n v="0"/>
  </r>
  <r>
    <x v="59"/>
    <n v="202602"/>
    <x v="0"/>
    <x v="2"/>
    <s v="Sebastián S"/>
    <s v="Johanna V"/>
    <n v="77660"/>
    <n v="8375768"/>
    <n v="107.85124999999996"/>
    <n v="87469.450134649785"/>
    <n v="118"/>
    <n v="106"/>
    <n v="102.17544085783207"/>
    <n v="8937230"/>
  </r>
  <r>
    <x v="53"/>
    <n v="202505"/>
    <x v="1"/>
    <x v="3"/>
    <s v="Sebastián S"/>
    <s v="Johanna V"/>
    <n v="77633"/>
    <n v="4930016"/>
    <n v="63.504536290322569"/>
    <n v="78810.789138145105"/>
    <n v="68"/>
    <n v="60.5"/>
    <n v="62.555092950006127"/>
    <n v="5072706"/>
  </r>
  <r>
    <x v="63"/>
    <n v="202404"/>
    <x v="2"/>
    <x v="9"/>
    <s v="Sebastián S"/>
    <s v="Johanna V"/>
    <n v="77627"/>
    <n v="8762784"/>
    <n v="112.88277777777776"/>
    <n v="0"/>
    <n v="123"/>
    <n v="115.5"/>
    <m/>
    <n v="0"/>
  </r>
  <r>
    <x v="84"/>
    <n v="202503"/>
    <x v="1"/>
    <x v="0"/>
    <s v="Sofía V"/>
    <s v="Melany A"/>
    <n v="77618"/>
    <n v="3987514"/>
    <n v="51.373649193548381"/>
    <n v="71361.425608786129"/>
    <n v="52.5"/>
    <n v="52.5"/>
    <n v="55.877719453926524"/>
    <n v="4103256"/>
  </r>
  <r>
    <x v="65"/>
    <n v="202502"/>
    <x v="1"/>
    <x v="2"/>
    <s v="Sebastián S"/>
    <s v="Johanna V"/>
    <n v="77592"/>
    <n v="7317776"/>
    <n v="94.310677083333346"/>
    <n v="92069.189795613886"/>
    <n v="103"/>
    <n v="91"/>
    <n v="79.481272901878128"/>
    <n v="7677417"/>
  </r>
  <r>
    <x v="53"/>
    <n v="202504"/>
    <x v="1"/>
    <x v="9"/>
    <s v="Sebastián S"/>
    <s v="Johanna V"/>
    <n v="77569"/>
    <n v="4536700"/>
    <n v="58.486166666666684"/>
    <n v="80230.008008132732"/>
    <n v="68"/>
    <n v="60.5"/>
    <n v="56.54616835561233"/>
    <n v="5248395"/>
  </r>
  <r>
    <x v="58"/>
    <n v="202407"/>
    <x v="2"/>
    <x v="6"/>
    <s v="Sebastián S"/>
    <s v="Rodolfo O"/>
    <n v="77539"/>
    <n v="4833104"/>
    <n v="62.33095430107528"/>
    <n v="0"/>
    <n v="66.5"/>
    <n v="63.5"/>
    <m/>
    <n v="0"/>
  </r>
  <r>
    <x v="64"/>
    <n v="202506"/>
    <x v="1"/>
    <x v="11"/>
    <s v="Sebastián S"/>
    <s v="Johanna V"/>
    <n v="77515"/>
    <n v="4818380"/>
    <n v="62.160680555555572"/>
    <n v="75577.544404452827"/>
    <n v="75.5"/>
    <n v="70.5"/>
    <n v="63.75412403205992"/>
    <n v="5689564"/>
  </r>
  <r>
    <x v="18"/>
    <n v="202502"/>
    <x v="1"/>
    <x v="2"/>
    <s v="Sofía V"/>
    <s v="Joe H"/>
    <n v="77511"/>
    <n v="3836060"/>
    <n v="49.490677083333338"/>
    <n v="72973.815592239072"/>
    <n v="50.5"/>
    <n v="51.5"/>
    <n v="52.567616190374643"/>
    <n v="3683394"/>
  </r>
  <r>
    <x v="54"/>
    <n v="202606"/>
    <x v="0"/>
    <x v="11"/>
    <s v="Sebastián S"/>
    <s v="Rodolfo O"/>
    <n v="77446"/>
    <n v="5363356"/>
    <n v="69.25265277777919"/>
    <n v="79894.144219831898"/>
    <n v="80"/>
    <n v="80.5"/>
    <n v="67.651321791845987"/>
    <n v="5404944"/>
  </r>
  <r>
    <x v="41"/>
    <n v="202501"/>
    <x v="1"/>
    <x v="10"/>
    <s v="Sebastián S"/>
    <s v="Rodolfo O"/>
    <n v="77441"/>
    <n v="4818334"/>
    <n v="62.21913306451615"/>
    <n v="76411.076787460624"/>
    <n v="64.5"/>
    <n v="64"/>
    <n v="63.058050253660447"/>
    <n v="5306480"/>
  </r>
  <r>
    <x v="85"/>
    <n v="202408"/>
    <x v="2"/>
    <x v="5"/>
    <s v="Hernán P"/>
    <s v="Daniel R"/>
    <n v="77435"/>
    <n v="2608949"/>
    <n v="33.692016129032261"/>
    <n v="0"/>
    <n v="44"/>
    <n v="40.5"/>
    <m/>
    <n v="0"/>
  </r>
  <r>
    <x v="83"/>
    <n v="202411"/>
    <x v="2"/>
    <x v="7"/>
    <s v="Hernán P"/>
    <s v="Daniel R"/>
    <n v="77431"/>
    <n v="3324177"/>
    <n v="42.93109722222222"/>
    <n v="0"/>
    <n v="51"/>
    <n v="49"/>
    <m/>
    <n v="0"/>
  </r>
  <r>
    <x v="70"/>
    <n v="202605"/>
    <x v="0"/>
    <x v="3"/>
    <s v="Sebastián S"/>
    <s v="Vik E"/>
    <n v="77425"/>
    <n v="3924158"/>
    <n v="50.683575268817542"/>
    <n v="76875.959932802434"/>
    <n v="60.5"/>
    <n v="57.5"/>
    <n v="51.161312105083525"/>
    <n v="3933075"/>
  </r>
  <r>
    <x v="87"/>
    <n v="202402"/>
    <x v="2"/>
    <x v="2"/>
    <s v="Fátima L"/>
    <s v="Fátima L"/>
    <n v="77418"/>
    <n v="670315"/>
    <n v="8.6584267241379322"/>
    <n v="0"/>
    <n v="11"/>
    <n v="11"/>
    <m/>
    <n v="0"/>
  </r>
  <r>
    <x v="76"/>
    <n v="202602"/>
    <x v="0"/>
    <x v="2"/>
    <s v="Hernán P"/>
    <s v="Daniel R"/>
    <n v="77417"/>
    <n v="6875470"/>
    <n v="88.811354166666703"/>
    <n v="82590.803794259074"/>
    <n v="106"/>
    <n v="94.5"/>
    <n v="88.413034538205707"/>
    <n v="7302104"/>
  </r>
  <r>
    <x v="66"/>
    <n v="202602"/>
    <x v="0"/>
    <x v="2"/>
    <s v="Sebastián S"/>
    <s v="Rodolfo O"/>
    <n v="77401"/>
    <n v="3996361"/>
    <n v="51.631770833333327"/>
    <n v="73570.638941594327"/>
    <n v="55"/>
    <n v="55.5"/>
    <n v="48.91205759483401"/>
    <n v="3598491"/>
  </r>
  <r>
    <x v="72"/>
    <n v="202411"/>
    <x v="2"/>
    <x v="7"/>
    <s v="Sebastián S"/>
    <s v="Vik E"/>
    <n v="77397"/>
    <n v="5642601"/>
    <n v="72.904368055555551"/>
    <n v="0"/>
    <n v="79.5"/>
    <n v="67"/>
    <m/>
    <n v="0"/>
  </r>
  <r>
    <x v="13"/>
    <n v="202409"/>
    <x v="2"/>
    <x v="4"/>
    <s v="Sebastián S"/>
    <s v="Rodolfo O"/>
    <n v="77397"/>
    <n v="5460514"/>
    <n v="70.551833333333349"/>
    <n v="0"/>
    <n v="78"/>
    <n v="74.5"/>
    <m/>
    <n v="0"/>
  </r>
  <r>
    <x v="43"/>
    <n v="202404"/>
    <x v="2"/>
    <x v="9"/>
    <s v="Sofía V"/>
    <s v="José A"/>
    <n v="77389"/>
    <n v="2223680"/>
    <n v="28.733930555555553"/>
    <n v="0"/>
    <n v="32.5"/>
    <n v="32"/>
    <m/>
    <n v="0"/>
  </r>
  <r>
    <x v="4"/>
    <n v="202502"/>
    <x v="1"/>
    <x v="2"/>
    <s v="Sofía V"/>
    <s v="José A"/>
    <n v="77384"/>
    <n v="6624481"/>
    <n v="85.605833333333322"/>
    <n v="77014.272149026874"/>
    <n v="107.5"/>
    <n v="102.5"/>
    <n v="86.01627743986549"/>
    <n v="8933510"/>
  </r>
  <r>
    <x v="58"/>
    <n v="202510"/>
    <x v="1"/>
    <x v="8"/>
    <s v="Sebastián S"/>
    <s v="Rodolfo O"/>
    <n v="77359"/>
    <n v="4154840"/>
    <n v="53.708770161290303"/>
    <n v="82125.994111583612"/>
    <n v="66.5"/>
    <n v="63.5"/>
    <n v="50.591045197637037"/>
    <n v="4781323"/>
  </r>
  <r>
    <x v="67"/>
    <n v="202409"/>
    <x v="2"/>
    <x v="4"/>
    <s v="Hernán P"/>
    <s v="Daniel R"/>
    <n v="77356"/>
    <n v="1007572"/>
    <n v="13.025152777777778"/>
    <n v="0"/>
    <n v="15.5"/>
    <n v="14.5"/>
    <m/>
    <n v="0"/>
  </r>
  <r>
    <x v="46"/>
    <n v="202405"/>
    <x v="2"/>
    <x v="3"/>
    <s v="Sofía V"/>
    <s v="José A"/>
    <n v="77352"/>
    <n v="4401075"/>
    <n v="56.896827956989249"/>
    <n v="0"/>
    <n v="58"/>
    <n v="58.5"/>
    <m/>
    <n v="0"/>
  </r>
  <r>
    <x v="72"/>
    <n v="202408"/>
    <x v="2"/>
    <x v="5"/>
    <s v="Sebastián S"/>
    <s v="Vik E"/>
    <n v="77341"/>
    <n v="5293435"/>
    <n v="68.44268817204302"/>
    <n v="0"/>
    <n v="79.5"/>
    <n v="67"/>
    <m/>
    <n v="0"/>
  </r>
  <r>
    <x v="28"/>
    <n v="202404"/>
    <x v="2"/>
    <x v="9"/>
    <s v="Sebastián S"/>
    <s v="Rodolfo O"/>
    <n v="77338"/>
    <n v="4852875"/>
    <n v="62.748777777777775"/>
    <n v="0"/>
    <n v="65.5"/>
    <n v="66"/>
    <m/>
    <n v="0"/>
  </r>
  <r>
    <x v="9"/>
    <n v="202410"/>
    <x v="2"/>
    <x v="8"/>
    <s v="Sofía V"/>
    <s v="Joe H"/>
    <n v="77300"/>
    <n v="4975933"/>
    <n v="64.371350806451602"/>
    <n v="0"/>
    <n v="70.5"/>
    <n v="69.5"/>
    <m/>
    <n v="0"/>
  </r>
  <r>
    <x v="68"/>
    <n v="202606"/>
    <x v="0"/>
    <x v="11"/>
    <s v="Sofía V"/>
    <s v="José A"/>
    <n v="77291"/>
    <n v="3502788"/>
    <n v="45.319604166666487"/>
    <n v="75264.511381440243"/>
    <n v="52"/>
    <n v="52"/>
    <n v="46.517920556956689"/>
    <n v="3501149"/>
  </r>
  <r>
    <x v="76"/>
    <n v="202507"/>
    <x v="1"/>
    <x v="6"/>
    <s v="Hernán P"/>
    <s v="Daniel R"/>
    <n v="77246"/>
    <n v="7006563"/>
    <n v="90.704052419354838"/>
    <n v="80862.923328454985"/>
    <n v="106"/>
    <n v="94.5"/>
    <n v="86.647413939516213"/>
    <n v="7539711"/>
  </r>
  <r>
    <x v="83"/>
    <n v="202508"/>
    <x v="1"/>
    <x v="5"/>
    <s v="Hernán P"/>
    <s v="Daniel R"/>
    <n v="77214"/>
    <n v="3175247"/>
    <n v="41.122883064516124"/>
    <n v="78674.120121219137"/>
    <n v="51"/>
    <n v="49"/>
    <n v="40.359482319060682"/>
    <n v="3562969"/>
  </r>
  <r>
    <x v="18"/>
    <n v="202411"/>
    <x v="2"/>
    <x v="7"/>
    <s v="Sofía V"/>
    <s v="Joe H"/>
    <n v="77205"/>
    <n v="3722047"/>
    <n v="48.210166666666659"/>
    <n v="0"/>
    <n v="50.5"/>
    <n v="51.5"/>
    <m/>
    <n v="0"/>
  </r>
  <r>
    <x v="18"/>
    <n v="202509"/>
    <x v="1"/>
    <x v="4"/>
    <s v="Sofía V"/>
    <s v="Joe H"/>
    <n v="77198"/>
    <n v="3194451"/>
    <n v="41.379965277777778"/>
    <n v="80521.278677796538"/>
    <n v="50.5"/>
    <n v="51.5"/>
    <n v="39.672133781959658"/>
    <n v="3719033"/>
  </r>
  <r>
    <x v="85"/>
    <n v="202603"/>
    <x v="0"/>
    <x v="0"/>
    <s v="Hernán P"/>
    <s v="Daniel R"/>
    <n v="77160"/>
    <n v="2828630"/>
    <n v="36.659159946236564"/>
    <n v="78039.43107464294"/>
    <n v="44"/>
    <n v="40.5"/>
    <n v="35.762421795855829"/>
    <n v="2790879"/>
  </r>
  <r>
    <x v="60"/>
    <n v="202410"/>
    <x v="2"/>
    <x v="8"/>
    <s v="Sofía V"/>
    <s v="Melany A"/>
    <n v="77143"/>
    <n v="5978903"/>
    <n v="77.504065860215093"/>
    <n v="0"/>
    <n v="88.5"/>
    <n v="92.5"/>
    <m/>
    <n v="0"/>
  </r>
  <r>
    <x v="12"/>
    <n v="202506"/>
    <x v="1"/>
    <x v="11"/>
    <s v="Sofía V"/>
    <s v="Melany A"/>
    <n v="77124"/>
    <n v="7322575"/>
    <n v="94.944937499999966"/>
    <n v="97487.703078733306"/>
    <n v="96.5"/>
    <n v="94"/>
    <n v="75.112809090251318"/>
    <n v="8172984"/>
  </r>
  <r>
    <x v="95"/>
    <n v="202507"/>
    <x v="1"/>
    <x v="6"/>
    <s v="Fátima L"/>
    <s v="Fátima L"/>
    <n v="77120"/>
    <n v="332813"/>
    <n v="4.3155376344086021"/>
    <n v="43445.670491886383"/>
    <n v="8.5"/>
    <n v="6.5"/>
    <n v="7.6604447861416682"/>
    <n v="363008"/>
  </r>
  <r>
    <x v="94"/>
    <n v="202605"/>
    <x v="0"/>
    <x v="3"/>
    <s v="Hernán P"/>
    <s v="Daniel R"/>
    <n v="77117"/>
    <n v="2076233"/>
    <n v="26.923326612903452"/>
    <n v="0"/>
    <n v="33"/>
    <n v="31.5"/>
    <n v="35.22317754154448"/>
    <m/>
  </r>
  <r>
    <x v="81"/>
    <n v="202408"/>
    <x v="2"/>
    <x v="5"/>
    <s v="Fátima L"/>
    <s v="Fátima L"/>
    <n v="77100"/>
    <n v="801444"/>
    <n v="10.394811827956991"/>
    <n v="0"/>
    <n v="11.5"/>
    <n v="12"/>
    <m/>
    <n v="0"/>
  </r>
  <r>
    <x v="45"/>
    <n v="202409"/>
    <x v="2"/>
    <x v="4"/>
    <s v="Sofía V"/>
    <s v="Joe H"/>
    <n v="77078"/>
    <n v="5046131"/>
    <n v="65.467694444444433"/>
    <n v="0"/>
    <n v="68"/>
    <n v="68.5"/>
    <m/>
    <n v="0"/>
  </r>
  <r>
    <x v="73"/>
    <n v="202605"/>
    <x v="0"/>
    <x v="3"/>
    <s v="Fátima L"/>
    <s v="Fátima L"/>
    <n v="77060"/>
    <n v="838266"/>
    <n v="10.878084677419388"/>
    <n v="75857.678209750811"/>
    <n v="13.5"/>
    <n v="12"/>
    <n v="11.788780293634797"/>
    <n v="894270"/>
  </r>
  <r>
    <x v="76"/>
    <n v="202407"/>
    <x v="2"/>
    <x v="6"/>
    <s v="Hernán P"/>
    <s v="Daniel R"/>
    <n v="77012"/>
    <n v="7151576"/>
    <n v="92.862762096774091"/>
    <n v="0"/>
    <n v="106"/>
    <n v="94.5"/>
    <m/>
    <n v="0"/>
  </r>
  <r>
    <x v="27"/>
    <n v="202405"/>
    <x v="2"/>
    <x v="3"/>
    <s v="Sofía V"/>
    <s v="Joe H"/>
    <n v="76989"/>
    <n v="4578275"/>
    <n v="59.466458333333328"/>
    <n v="0"/>
    <n v="62"/>
    <n v="58"/>
    <m/>
    <n v="0"/>
  </r>
  <r>
    <x v="68"/>
    <n v="202501"/>
    <x v="1"/>
    <x v="10"/>
    <s v="Sofía V"/>
    <s v="José A"/>
    <n v="76982"/>
    <n v="3641138"/>
    <n v="47.298313172043009"/>
    <n v="77187.448624444121"/>
    <n v="52"/>
    <n v="52"/>
    <n v="47.172672434296594"/>
    <n v="3599719"/>
  </r>
  <r>
    <x v="51"/>
    <n v="202604"/>
    <x v="0"/>
    <x v="9"/>
    <s v="Sofía V"/>
    <s v="Melany A"/>
    <n v="76970"/>
    <n v="2853081"/>
    <n v="37.067527777777336"/>
    <n v="76587.850236283659"/>
    <n v="43.5"/>
    <n v="41"/>
    <n v="38.914029696684921"/>
    <n v="2980342"/>
  </r>
  <r>
    <x v="51"/>
    <n v="202508"/>
    <x v="1"/>
    <x v="5"/>
    <s v="Sofía V"/>
    <s v="Melany A"/>
    <n v="76969"/>
    <n v="2769008"/>
    <n v="35.975530913978496"/>
    <n v="79457.400470963054"/>
    <n v="43.5"/>
    <n v="41"/>
    <n v="34.848963137321711"/>
    <n v="3126650"/>
  </r>
  <r>
    <x v="66"/>
    <n v="202606"/>
    <x v="0"/>
    <x v="11"/>
    <s v="Sebastián S"/>
    <s v="Rodolfo O"/>
    <n v="76950"/>
    <n v="3962124"/>
    <n v="51.489277777777559"/>
    <n v="78000.088291173175"/>
    <n v="55"/>
    <n v="55.5"/>
    <n v="48.91205759483401"/>
    <n v="3815145"/>
  </r>
  <r>
    <x v="47"/>
    <n v="202502"/>
    <x v="1"/>
    <x v="2"/>
    <s v="Sebastián S"/>
    <s v="Vik E"/>
    <n v="76901"/>
    <n v="4394655"/>
    <n v="57.146770833333321"/>
    <n v="75463.114327022748"/>
    <n v="61.5"/>
    <n v="48.5"/>
    <n v="58.235796643053582"/>
    <n v="4296943"/>
  </r>
  <r>
    <x v="43"/>
    <n v="202408"/>
    <x v="2"/>
    <x v="5"/>
    <s v="Sofía V"/>
    <s v="José A"/>
    <n v="76876"/>
    <n v="2345975"/>
    <n v="30.516424731182806"/>
    <n v="0"/>
    <n v="32.5"/>
    <n v="32"/>
    <m/>
    <n v="0"/>
  </r>
  <r>
    <x v="79"/>
    <n v="202505"/>
    <x v="1"/>
    <x v="3"/>
    <s v="Sebastián S"/>
    <s v="Vik E"/>
    <n v="76804"/>
    <n v="5827640"/>
    <n v="75.876612903225777"/>
    <n v="66550.077904513179"/>
    <n v="84.5"/>
    <n v="78.5"/>
    <n v="87.567744824605086"/>
    <n v="5930252"/>
  </r>
  <r>
    <x v="41"/>
    <n v="202409"/>
    <x v="2"/>
    <x v="4"/>
    <s v="Sebastián S"/>
    <s v="Rodolfo O"/>
    <n v="76793"/>
    <n v="4579596"/>
    <n v="59.635333333333342"/>
    <n v="0"/>
    <n v="64.5"/>
    <n v="64"/>
    <m/>
    <n v="0"/>
  </r>
  <r>
    <x v="41"/>
    <n v="202404"/>
    <x v="2"/>
    <x v="9"/>
    <s v="Sebastián S"/>
    <s v="Rodolfo O"/>
    <n v="76792"/>
    <n v="4788916"/>
    <n v="62.362319444444445"/>
    <n v="0"/>
    <n v="64.5"/>
    <n v="64"/>
    <m/>
    <n v="0"/>
  </r>
  <r>
    <x v="76"/>
    <n v="202405"/>
    <x v="2"/>
    <x v="3"/>
    <s v="Hernán P"/>
    <s v="Daniel R"/>
    <n v="76773"/>
    <n v="7450708"/>
    <n v="97.048084677419297"/>
    <n v="0"/>
    <n v="106"/>
    <n v="94.5"/>
    <m/>
    <n v="0"/>
  </r>
  <r>
    <x v="34"/>
    <n v="202407"/>
    <x v="2"/>
    <x v="6"/>
    <s v="Hernán P"/>
    <s v="Daniel R"/>
    <n v="76767"/>
    <n v="1058009"/>
    <n v="13.782096774193549"/>
    <n v="0"/>
    <n v="15"/>
    <n v="15"/>
    <m/>
    <n v="0"/>
  </r>
  <r>
    <x v="52"/>
    <n v="202402"/>
    <x v="2"/>
    <x v="2"/>
    <s v="Sebastián S"/>
    <s v="Vik E"/>
    <n v="76739"/>
    <n v="6169373"/>
    <n v="80.394647988505724"/>
    <n v="0"/>
    <n v="80"/>
    <n v="78"/>
    <m/>
    <n v="0"/>
  </r>
  <r>
    <x v="0"/>
    <n v="202601"/>
    <x v="0"/>
    <x v="10"/>
    <s v="Fátima L"/>
    <s v="Fátima L"/>
    <n v="76714"/>
    <n v="1096297"/>
    <n v="14.290772849462362"/>
    <n v="131760.14977041513"/>
    <n v="13.5"/>
    <n v="12.5"/>
    <n v="11.712938172043014"/>
    <n v="1543298"/>
  </r>
  <r>
    <x v="68"/>
    <n v="202408"/>
    <x v="2"/>
    <x v="5"/>
    <s v="Sofía V"/>
    <s v="José A"/>
    <n v="76713"/>
    <n v="3590262"/>
    <n v="46.800974462365609"/>
    <n v="0"/>
    <n v="52"/>
    <n v="52"/>
    <m/>
    <n v="0"/>
  </r>
  <r>
    <x v="80"/>
    <n v="202412"/>
    <x v="2"/>
    <x v="1"/>
    <s v="Fátima L"/>
    <s v="Fátima L"/>
    <n v="76709"/>
    <n v="747548"/>
    <n v="9.7452419354838735"/>
    <n v="0"/>
    <n v="10"/>
    <n v="9"/>
    <m/>
    <n v="0"/>
  </r>
  <r>
    <x v="63"/>
    <n v="202405"/>
    <x v="2"/>
    <x v="3"/>
    <s v="Sebastián S"/>
    <s v="Johanna V"/>
    <n v="76704"/>
    <n v="8851306"/>
    <n v="115.39570564516129"/>
    <n v="0"/>
    <n v="123"/>
    <n v="115.5"/>
    <m/>
    <n v="0"/>
  </r>
  <r>
    <x v="18"/>
    <n v="202409"/>
    <x v="2"/>
    <x v="4"/>
    <s v="Sofía V"/>
    <s v="Joe H"/>
    <n v="76687"/>
    <n v="3520431"/>
    <n v="45.906534722222247"/>
    <n v="0"/>
    <n v="50.5"/>
    <n v="51.5"/>
    <m/>
    <n v="0"/>
  </r>
  <r>
    <x v="45"/>
    <n v="202410"/>
    <x v="2"/>
    <x v="8"/>
    <s v="Sofía V"/>
    <s v="Joe H"/>
    <n v="76664"/>
    <n v="5167453"/>
    <n v="67.403743279569895"/>
    <n v="0"/>
    <n v="68"/>
    <n v="68.5"/>
    <m/>
    <n v="0"/>
  </r>
  <r>
    <x v="54"/>
    <n v="202407"/>
    <x v="2"/>
    <x v="6"/>
    <s v="Sebastián S"/>
    <s v="Rodolfo O"/>
    <n v="76661"/>
    <n v="6204462"/>
    <n v="80.933924731182771"/>
    <n v="0"/>
    <n v="80"/>
    <n v="80.5"/>
    <m/>
    <n v="0"/>
  </r>
  <r>
    <x v="23"/>
    <n v="202402"/>
    <x v="2"/>
    <x v="2"/>
    <s v="Sebastián S"/>
    <s v="Rodolfo O"/>
    <n v="76649"/>
    <n v="7195672"/>
    <n v="93.87854885057466"/>
    <n v="0"/>
    <n v="94.5"/>
    <n v="97"/>
    <m/>
    <n v="0"/>
  </r>
  <r>
    <x v="58"/>
    <n v="202502"/>
    <x v="1"/>
    <x v="2"/>
    <s v="Sebastián S"/>
    <s v="Rodolfo O"/>
    <n v="76616"/>
    <n v="4326984"/>
    <n v="56.476093749999997"/>
    <n v="75638.975330318091"/>
    <n v="66.5"/>
    <n v="63.5"/>
    <n v="57.205749431479042"/>
    <n v="4770949"/>
  </r>
  <r>
    <x v="53"/>
    <n v="202501"/>
    <x v="1"/>
    <x v="10"/>
    <s v="Sebastián S"/>
    <s v="Johanna V"/>
    <n v="76596"/>
    <n v="4583942"/>
    <n v="59.84562500000002"/>
    <n v="82393.425382969217"/>
    <n v="68"/>
    <n v="60.5"/>
    <n v="55.634797663692027"/>
    <n v="5043672"/>
  </r>
  <r>
    <x v="99"/>
    <n v="202512"/>
    <x v="1"/>
    <x v="1"/>
    <s v="Hernán P"/>
    <s v="Daniel R"/>
    <n v="76572"/>
    <n v="3974929"/>
    <n v="51.910786290322562"/>
    <n v="73110.688422179766"/>
    <n v="53.5"/>
    <n v="51"/>
    <n v="54.368640424320184"/>
    <n v="4477682"/>
  </r>
  <r>
    <x v="46"/>
    <n v="202402"/>
    <x v="2"/>
    <x v="2"/>
    <s v="Sofía V"/>
    <s v="José A"/>
    <n v="76559"/>
    <n v="4106156"/>
    <n v="53.633577586206918"/>
    <n v="0"/>
    <n v="58"/>
    <n v="58.5"/>
    <m/>
    <n v="0"/>
  </r>
  <r>
    <x v="27"/>
    <n v="202410"/>
    <x v="2"/>
    <x v="8"/>
    <s v="Sofía V"/>
    <s v="Joe H"/>
    <n v="76557"/>
    <n v="4472869"/>
    <n v="58.425490591397839"/>
    <n v="0"/>
    <n v="62"/>
    <n v="58"/>
    <m/>
    <n v="0"/>
  </r>
  <r>
    <x v="39"/>
    <n v="202506"/>
    <x v="1"/>
    <x v="11"/>
    <s v="Sofía V"/>
    <s v="Melany A"/>
    <n v="76546"/>
    <n v="4212440"/>
    <n v="55.031472222222213"/>
    <n v="77051.998214384046"/>
    <n v="60.5"/>
    <n v="60.5"/>
    <n v="54.670096657060128"/>
    <n v="5207146"/>
  </r>
  <r>
    <x v="90"/>
    <n v="202403"/>
    <x v="2"/>
    <x v="0"/>
    <s v="Sebastián S"/>
    <s v="Vik E"/>
    <n v="76534"/>
    <n v="3758769"/>
    <n v="49.112715053763438"/>
    <n v="0"/>
    <n v="47.5"/>
    <n v="43"/>
    <m/>
    <n v="0"/>
  </r>
  <r>
    <x v="89"/>
    <n v="202412"/>
    <x v="2"/>
    <x v="1"/>
    <s v="Sebastián S"/>
    <s v="Rodolfo O"/>
    <n v="76532"/>
    <n v="2794673"/>
    <n v="36.516290322580659"/>
    <n v="0"/>
    <n v="34"/>
    <n v="34"/>
    <m/>
    <n v="0"/>
  </r>
  <r>
    <x v="66"/>
    <n v="202510"/>
    <x v="1"/>
    <x v="8"/>
    <s v="Sebastián S"/>
    <s v="Rodolfo O"/>
    <n v="76506"/>
    <n v="3837802"/>
    <n v="50.163655913978509"/>
    <n v="78755.303365436499"/>
    <n v="55"/>
    <n v="55.5"/>
    <n v="48.730713564672833"/>
    <n v="3890353"/>
  </r>
  <r>
    <x v="72"/>
    <n v="202508"/>
    <x v="1"/>
    <x v="5"/>
    <s v="Sebastián S"/>
    <s v="Vik E"/>
    <n v="76501"/>
    <n v="5118789"/>
    <n v="66.91115591397849"/>
    <n v="81208.182764953628"/>
    <n v="79.5"/>
    <n v="67"/>
    <n v="63.032924832410785"/>
    <n v="5489758"/>
  </r>
  <r>
    <x v="55"/>
    <n v="202510"/>
    <x v="1"/>
    <x v="8"/>
    <s v="Sebastián S"/>
    <s v="Vik E"/>
    <n v="76473"/>
    <n v="3857728"/>
    <n v="50.445584677419362"/>
    <n v="79008.213701093453"/>
    <n v="69.5"/>
    <n v="59"/>
    <n v="48.826924053677345"/>
    <n v="5035539"/>
  </r>
  <r>
    <x v="9"/>
    <n v="202406"/>
    <x v="2"/>
    <x v="11"/>
    <s v="Sofía V"/>
    <s v="Joe H"/>
    <n v="76465"/>
    <n v="4912218"/>
    <n v="64.241527777777762"/>
    <n v="0"/>
    <n v="70.5"/>
    <n v="69.5"/>
    <m/>
    <n v="0"/>
  </r>
  <r>
    <x v="46"/>
    <n v="202503"/>
    <x v="1"/>
    <x v="0"/>
    <s v="Sofía V"/>
    <s v="José A"/>
    <n v="76433"/>
    <n v="3817957"/>
    <n v="49.951586021505385"/>
    <n v="86576.093666775865"/>
    <n v="58"/>
    <n v="58.5"/>
    <n v="44.099432860703963"/>
    <n v="5047407"/>
  </r>
  <r>
    <x v="53"/>
    <n v="202404"/>
    <x v="2"/>
    <x v="9"/>
    <s v="Sebastián S"/>
    <s v="Johanna V"/>
    <n v="76410"/>
    <n v="4888689"/>
    <n v="63.98009722222222"/>
    <n v="0"/>
    <n v="68"/>
    <n v="60.5"/>
    <m/>
    <n v="0"/>
  </r>
  <r>
    <x v="38"/>
    <n v="202508"/>
    <x v="1"/>
    <x v="5"/>
    <s v="Sofía V"/>
    <s v="Melany A"/>
    <n v="76364"/>
    <n v="3844589"/>
    <n v="50.345383064516128"/>
    <n v="74075.692024056436"/>
    <n v="56"/>
    <n v="60"/>
    <n v="51.900812465598719"/>
    <n v="4601118"/>
  </r>
  <r>
    <x v="43"/>
    <n v="202402"/>
    <x v="2"/>
    <x v="2"/>
    <s v="Sofía V"/>
    <s v="José A"/>
    <n v="76350"/>
    <n v="2480000"/>
    <n v="32.481860632183924"/>
    <n v="0"/>
    <n v="32.5"/>
    <n v="32"/>
    <m/>
    <n v="0"/>
  </r>
  <r>
    <x v="71"/>
    <n v="202601"/>
    <x v="0"/>
    <x v="10"/>
    <s v="Sebastián S"/>
    <s v="Rodolfo O"/>
    <n v="76350"/>
    <n v="3861838"/>
    <n v="50.580833333333324"/>
    <n v="83372.045200923327"/>
    <n v="53.5"/>
    <n v="54"/>
    <n v="47.165198395018514"/>
    <n v="3932259"/>
  </r>
  <r>
    <x v="51"/>
    <n v="202502"/>
    <x v="1"/>
    <x v="2"/>
    <s v="Sofía V"/>
    <s v="Melany A"/>
    <n v="76328"/>
    <n v="3138435"/>
    <n v="41.117760416666663"/>
    <n v="73432.452914519265"/>
    <n v="43.5"/>
    <n v="41"/>
    <n v="42.739067611609904"/>
    <n v="3050269"/>
  </r>
  <r>
    <x v="61"/>
    <n v="202505"/>
    <x v="1"/>
    <x v="3"/>
    <s v="Sofía V"/>
    <s v="Joe H"/>
    <n v="76297"/>
    <n v="2596911"/>
    <n v="34.036700268817214"/>
    <n v="69131.188975442579"/>
    <n v="41.5"/>
    <n v="35.5"/>
    <n v="37.564973472718641"/>
    <n v="2446850"/>
  </r>
  <r>
    <x v="87"/>
    <n v="202403"/>
    <x v="2"/>
    <x v="0"/>
    <s v="Fátima L"/>
    <s v="Fátima L"/>
    <n v="76279"/>
    <n v="747959"/>
    <n v="9.8055981182795726"/>
    <n v="0"/>
    <n v="11"/>
    <n v="11"/>
    <m/>
    <n v="0"/>
  </r>
  <r>
    <x v="72"/>
    <n v="202504"/>
    <x v="1"/>
    <x v="9"/>
    <s v="Sebastián S"/>
    <s v="Vik E"/>
    <n v="76277"/>
    <n v="5275543"/>
    <n v="69.163159722222261"/>
    <n v="70034.877928006506"/>
    <n v="79.5"/>
    <n v="67"/>
    <n v="75.327366393400183"/>
    <n v="5521501"/>
  </r>
  <r>
    <x v="18"/>
    <n v="202510"/>
    <x v="1"/>
    <x v="8"/>
    <s v="Sofía V"/>
    <s v="Joe H"/>
    <n v="76263"/>
    <n v="3207341"/>
    <n v="42.056263440860207"/>
    <n v="79297.955725797932"/>
    <n v="50.5"/>
    <n v="51.5"/>
    <n v="40.446709888595002"/>
    <n v="3820788"/>
  </r>
  <r>
    <x v="64"/>
    <n v="202606"/>
    <x v="0"/>
    <x v="11"/>
    <s v="Sebastián S"/>
    <s v="Johanna V"/>
    <n v="76221"/>
    <n v="4650711"/>
    <n v="61.015986111111239"/>
    <n v="79417.040957913239"/>
    <n v="75.5"/>
    <n v="70.5"/>
    <n v="63.423114179855602"/>
    <n v="5036876"/>
  </r>
  <r>
    <x v="50"/>
    <n v="202410"/>
    <x v="2"/>
    <x v="8"/>
    <s v="Sebastián S"/>
    <s v="Vik E"/>
    <n v="76175"/>
    <n v="5418403"/>
    <n v="71.130537634408597"/>
    <n v="0"/>
    <n v="75.5"/>
    <n v="74"/>
    <m/>
    <n v="0"/>
  </r>
  <r>
    <x v="55"/>
    <n v="202404"/>
    <x v="2"/>
    <x v="9"/>
    <s v="Sebastián S"/>
    <s v="Vik E"/>
    <n v="76172"/>
    <n v="4715349"/>
    <n v="61.904256944444441"/>
    <n v="0"/>
    <n v="69.5"/>
    <n v="59"/>
    <m/>
    <n v="0"/>
  </r>
  <r>
    <x v="100"/>
    <n v="202512"/>
    <x v="1"/>
    <x v="1"/>
    <s v="Hernán P"/>
    <s v="Daniel R"/>
    <n v="76090"/>
    <n v="2448997"/>
    <n v="32.18565188172041"/>
    <n v="69537.837267332652"/>
    <n v="41.5"/>
    <n v="43"/>
    <n v="35.218198699292678"/>
    <n v="2818179"/>
  </r>
  <r>
    <x v="45"/>
    <n v="202502"/>
    <x v="1"/>
    <x v="2"/>
    <s v="Sofía V"/>
    <s v="Joe H"/>
    <n v="76043"/>
    <n v="4813520"/>
    <n v="63.300104166666664"/>
    <n v="74437.675016909983"/>
    <n v="68"/>
    <n v="68.5"/>
    <n v="64.665104315879219"/>
    <n v="4381358"/>
  </r>
  <r>
    <x v="71"/>
    <n v="202505"/>
    <x v="1"/>
    <x v="3"/>
    <s v="Sebastián S"/>
    <s v="Rodolfo O"/>
    <n v="76043"/>
    <n v="4047688"/>
    <n v="53.229260752688148"/>
    <n v="68490.423082853522"/>
    <n v="53.5"/>
    <n v="54"/>
    <n v="59.098605437193349"/>
    <n v="3871255"/>
  </r>
  <r>
    <x v="58"/>
    <n v="202406"/>
    <x v="2"/>
    <x v="11"/>
    <s v="Sebastián S"/>
    <s v="Rodolfo O"/>
    <n v="76028"/>
    <n v="4995753"/>
    <n v="65.709340277777798"/>
    <n v="0"/>
    <n v="66.5"/>
    <n v="63.5"/>
    <m/>
    <n v="0"/>
  </r>
  <r>
    <x v="82"/>
    <n v="202605"/>
    <x v="0"/>
    <x v="3"/>
    <s v="Sebastián S"/>
    <s v="Vik E"/>
    <n v="76028"/>
    <n v="3899155"/>
    <n v="51.285819892472936"/>
    <n v="73023.278758985951"/>
    <n v="61.5"/>
    <n v="56"/>
    <n v="52.842490794418893"/>
    <n v="3858732"/>
  </r>
  <r>
    <x v="71"/>
    <n v="202509"/>
    <x v="1"/>
    <x v="4"/>
    <s v="Sebastián S"/>
    <s v="Rodolfo O"/>
    <n v="76015"/>
    <n v="3428349"/>
    <n v="45.100902777777783"/>
    <n v="71276.34962219336"/>
    <n v="53.5"/>
    <n v="54"/>
    <n v="48.099384272234303"/>
    <n v="3814892"/>
  </r>
  <r>
    <x v="23"/>
    <n v="202404"/>
    <x v="2"/>
    <x v="9"/>
    <s v="Sebastián S"/>
    <s v="Rodolfo O"/>
    <n v="75952"/>
    <n v="6932312"/>
    <n v="91.272756944444509"/>
    <n v="0"/>
    <n v="94.5"/>
    <n v="97"/>
    <m/>
    <n v="0"/>
  </r>
  <r>
    <x v="58"/>
    <n v="202409"/>
    <x v="2"/>
    <x v="4"/>
    <s v="Sebastián S"/>
    <s v="Rodolfo O"/>
    <n v="75920"/>
    <n v="4511801"/>
    <n v="59.42849305555557"/>
    <n v="0"/>
    <n v="66.5"/>
    <n v="63.5"/>
    <m/>
    <n v="0"/>
  </r>
  <r>
    <x v="27"/>
    <n v="202406"/>
    <x v="2"/>
    <x v="11"/>
    <s v="Sofía V"/>
    <s v="Joe H"/>
    <n v="75903"/>
    <n v="4729921"/>
    <n v="62.314923611111105"/>
    <n v="0"/>
    <n v="62"/>
    <n v="58"/>
    <m/>
    <n v="0"/>
  </r>
  <r>
    <x v="72"/>
    <n v="202406"/>
    <x v="2"/>
    <x v="11"/>
    <s v="Sebastián S"/>
    <s v="Vik E"/>
    <n v="75894"/>
    <n v="5466581"/>
    <n v="72.029027777777841"/>
    <n v="0"/>
    <n v="79.5"/>
    <n v="67"/>
    <m/>
    <n v="0"/>
  </r>
  <r>
    <x v="29"/>
    <n v="202506"/>
    <x v="1"/>
    <x v="11"/>
    <s v="Sebastián S"/>
    <s v="Vik E"/>
    <n v="75892"/>
    <n v="5292469"/>
    <n v="69.736916666666673"/>
    <n v="101428.26423251473"/>
    <n v="76.5"/>
    <n v="75.5"/>
    <n v="52.179425429853701"/>
    <n v="6334515"/>
  </r>
  <r>
    <x v="82"/>
    <n v="202604"/>
    <x v="0"/>
    <x v="9"/>
    <s v="Sebastián S"/>
    <s v="Vik E"/>
    <n v="75863"/>
    <n v="3934945"/>
    <n v="51.869173611111833"/>
    <n v="71651.442221567166"/>
    <n v="61.5"/>
    <n v="56"/>
    <n v="52.842490794418893"/>
    <n v="3786241"/>
  </r>
  <r>
    <x v="49"/>
    <n v="202405"/>
    <x v="2"/>
    <x v="3"/>
    <s v="Sebastián S"/>
    <s v="Vik E"/>
    <n v="75845"/>
    <n v="4960387"/>
    <n v="65.401922043010757"/>
    <n v="0"/>
    <n v="66"/>
    <n v="64.5"/>
    <m/>
    <n v="0"/>
  </r>
  <r>
    <x v="42"/>
    <n v="202503"/>
    <x v="1"/>
    <x v="0"/>
    <s v="Hernán P"/>
    <s v="Daniel R"/>
    <n v="75842"/>
    <n v="1850048"/>
    <n v="24.393353494623657"/>
    <n v="92888.803197786125"/>
    <n v="22.5"/>
    <n v="21"/>
    <n v="19.916804784972115"/>
    <n v="2035698"/>
  </r>
  <r>
    <x v="83"/>
    <n v="202603"/>
    <x v="0"/>
    <x v="0"/>
    <s v="Hernán P"/>
    <s v="Daniel R"/>
    <n v="75789"/>
    <n v="3517102"/>
    <n v="46.406659946236559"/>
    <n v="85673.939962916993"/>
    <n v="51"/>
    <n v="49"/>
    <n v="41.451897990651069"/>
    <n v="3551347"/>
  </r>
  <r>
    <x v="41"/>
    <n v="202509"/>
    <x v="1"/>
    <x v="4"/>
    <s v="Sebastián S"/>
    <s v="Rodolfo O"/>
    <n v="75780"/>
    <n v="4420080"/>
    <n v="58.327888888888907"/>
    <n v="80632.997691525146"/>
    <n v="64.5"/>
    <n v="64"/>
    <n v="54.817259267846474"/>
    <n v="5142384"/>
  </r>
  <r>
    <x v="29"/>
    <n v="202409"/>
    <x v="2"/>
    <x v="4"/>
    <s v="Sebastián S"/>
    <s v="Vik E"/>
    <n v="75778"/>
    <n v="5244059"/>
    <n v="69.203166666666689"/>
    <n v="0"/>
    <n v="76.5"/>
    <n v="75.5"/>
    <m/>
    <n v="0"/>
  </r>
  <r>
    <x v="64"/>
    <n v="202403"/>
    <x v="2"/>
    <x v="0"/>
    <s v="Sebastián S"/>
    <s v="Johanna V"/>
    <n v="75735"/>
    <n v="6093554"/>
    <n v="80.458413978494647"/>
    <n v="0"/>
    <n v="75.5"/>
    <n v="70.5"/>
    <m/>
    <n v="0"/>
  </r>
  <r>
    <x v="55"/>
    <n v="202604"/>
    <x v="0"/>
    <x v="9"/>
    <s v="Sebastián S"/>
    <s v="Vik E"/>
    <n v="75712"/>
    <n v="4046590"/>
    <n v="53.447041666667523"/>
    <n v="76015.780134736662"/>
    <n v="69.5"/>
    <n v="59"/>
    <n v="57.926444284268129"/>
    <n v="4403324"/>
  </r>
  <r>
    <x v="51"/>
    <n v="202505"/>
    <x v="1"/>
    <x v="3"/>
    <s v="Sofía V"/>
    <s v="Melany A"/>
    <n v="75700"/>
    <n v="2988564"/>
    <n v="39.479294354838693"/>
    <n v="64615.012334371597"/>
    <n v="43.5"/>
    <n v="41"/>
    <n v="46.251854051109561"/>
    <n v="2797794"/>
  </r>
  <r>
    <x v="98"/>
    <n v="202606"/>
    <x v="0"/>
    <x v="11"/>
    <s v="Hernán P"/>
    <s v="Daniel R"/>
    <n v="75694"/>
    <n v="5143879"/>
    <n v="67.955951388888607"/>
    <n v="73459.505316510156"/>
    <n v="87"/>
    <n v="77.5"/>
    <n v="73.970842069892498"/>
    <n v="5433861"/>
  </r>
  <r>
    <x v="51"/>
    <n v="202408"/>
    <x v="2"/>
    <x v="5"/>
    <s v="Sofía V"/>
    <s v="Melany A"/>
    <n v="75674"/>
    <n v="3074923"/>
    <n v="40.633965053763454"/>
    <n v="0"/>
    <n v="43.5"/>
    <n v="41"/>
    <m/>
    <n v="0"/>
  </r>
  <r>
    <x v="41"/>
    <n v="202405"/>
    <x v="2"/>
    <x v="3"/>
    <s v="Sebastián S"/>
    <s v="Rodolfo O"/>
    <n v="75652"/>
    <n v="4932519"/>
    <n v="65.200342741935472"/>
    <n v="0"/>
    <n v="64.5"/>
    <n v="64"/>
    <m/>
    <n v="0"/>
  </r>
  <r>
    <x v="50"/>
    <n v="202409"/>
    <x v="2"/>
    <x v="4"/>
    <s v="Sebastián S"/>
    <s v="Vik E"/>
    <n v="75634"/>
    <n v="5516483"/>
    <n v="72.936986111111125"/>
    <n v="0"/>
    <n v="75.5"/>
    <n v="74"/>
    <m/>
    <n v="0"/>
  </r>
  <r>
    <x v="72"/>
    <n v="202505"/>
    <x v="1"/>
    <x v="3"/>
    <s v="Sebastián S"/>
    <s v="Vik E"/>
    <n v="75624"/>
    <n v="5368882"/>
    <n v="70.994677419354844"/>
    <n v="70354.586906211538"/>
    <n v="79.5"/>
    <n v="67"/>
    <n v="76.311761408778679"/>
    <n v="5403018"/>
  </r>
  <r>
    <x v="52"/>
    <n v="202404"/>
    <x v="2"/>
    <x v="9"/>
    <s v="Sebastián S"/>
    <s v="Vik E"/>
    <n v="75618"/>
    <n v="5969341"/>
    <n v="78.940895833333371"/>
    <n v="0"/>
    <n v="80"/>
    <n v="78"/>
    <m/>
    <n v="0"/>
  </r>
  <r>
    <x v="34"/>
    <n v="202506"/>
    <x v="1"/>
    <x v="11"/>
    <s v="Hernán P"/>
    <s v="Daniel R"/>
    <n v="75587"/>
    <n v="1012839"/>
    <n v="13.399701388888889"/>
    <n v="93000.894029512827"/>
    <n v="15"/>
    <n v="15"/>
    <n v="10.890634123136348"/>
    <n v="1088957"/>
  </r>
  <r>
    <x v="55"/>
    <n v="202406"/>
    <x v="2"/>
    <x v="11"/>
    <s v="Sebastián S"/>
    <s v="Vik E"/>
    <n v="75568"/>
    <n v="4803306"/>
    <n v="63.562527777777788"/>
    <n v="0"/>
    <n v="69.5"/>
    <n v="59"/>
    <m/>
    <n v="0"/>
  </r>
  <r>
    <x v="58"/>
    <n v="202606"/>
    <x v="0"/>
    <x v="11"/>
    <s v="Sebastián S"/>
    <s v="Rodolfo O"/>
    <n v="75558"/>
    <n v="4235429"/>
    <n v="56.055368055555583"/>
    <n v="2.5598265104194331"/>
    <n v="66.5"/>
    <n v="63.5"/>
    <n v="54.652141241039438"/>
    <n v="140"/>
  </r>
  <r>
    <x v="18"/>
    <n v="202410"/>
    <x v="2"/>
    <x v="8"/>
    <s v="Sofía V"/>
    <s v="Joe H"/>
    <n v="75522"/>
    <n v="3457750"/>
    <n v="45.784751344086011"/>
    <n v="0"/>
    <n v="50.5"/>
    <n v="51.5"/>
    <m/>
    <n v="0"/>
  </r>
  <r>
    <x v="50"/>
    <n v="202509"/>
    <x v="1"/>
    <x v="4"/>
    <s v="Sebastián S"/>
    <s v="Vik E"/>
    <n v="75499"/>
    <n v="4270063"/>
    <n v="56.558152777777792"/>
    <n v="79415.224967975548"/>
    <n v="75.5"/>
    <n v="74"/>
    <n v="53.768823946817719"/>
    <n v="6145122"/>
  </r>
  <r>
    <x v="83"/>
    <n v="202401"/>
    <x v="2"/>
    <x v="10"/>
    <s v="Hernán P"/>
    <s v="Daniel R"/>
    <n v="75458"/>
    <n v="3253731"/>
    <n v="43.119529569892478"/>
    <n v="0"/>
    <n v="51"/>
    <n v="49"/>
    <m/>
    <n v="0"/>
  </r>
  <r>
    <x v="64"/>
    <n v="202501"/>
    <x v="1"/>
    <x v="10"/>
    <s v="Sebastián S"/>
    <s v="Johanna V"/>
    <n v="75403"/>
    <n v="4982684"/>
    <n v="66.080893817204284"/>
    <n v="72471.919261342962"/>
    <n v="75.5"/>
    <n v="70.5"/>
    <n v="68.753308740614514"/>
    <n v="5337107"/>
  </r>
  <r>
    <x v="68"/>
    <n v="202508"/>
    <x v="1"/>
    <x v="5"/>
    <s v="Sofía V"/>
    <s v="José A"/>
    <n v="75398"/>
    <n v="3420153"/>
    <n v="45.36108198924731"/>
    <n v="80549.075287554442"/>
    <n v="52"/>
    <n v="52"/>
    <n v="42.460488190463984"/>
    <n v="3529703"/>
  </r>
  <r>
    <x v="41"/>
    <n v="202410"/>
    <x v="2"/>
    <x v="8"/>
    <s v="Sebastián S"/>
    <s v="Rodolfo O"/>
    <n v="75380"/>
    <n v="4526479"/>
    <n v="60.048568548387088"/>
    <n v="0"/>
    <n v="64.5"/>
    <n v="64"/>
    <m/>
    <n v="0"/>
  </r>
  <r>
    <x v="39"/>
    <n v="202401"/>
    <x v="2"/>
    <x v="10"/>
    <s v="Sofía V"/>
    <s v="Melany A"/>
    <n v="75307"/>
    <n v="4858036"/>
    <n v="64.509798387096765"/>
    <n v="0"/>
    <n v="60.5"/>
    <n v="60.5"/>
    <m/>
    <n v="0"/>
  </r>
  <r>
    <x v="70"/>
    <n v="202604"/>
    <x v="0"/>
    <x v="9"/>
    <s v="Sebastián S"/>
    <s v="Vik E"/>
    <n v="75292"/>
    <n v="3761302"/>
    <n v="49.956326388888876"/>
    <n v="69493.953135864271"/>
    <n v="60.5"/>
    <n v="57.5"/>
    <n v="51.161312105083525"/>
    <n v="3555402"/>
  </r>
  <r>
    <x v="87"/>
    <n v="202512"/>
    <x v="1"/>
    <x v="1"/>
    <s v="Fátima L"/>
    <s v="Fátima L"/>
    <n v="75291"/>
    <n v="823043"/>
    <n v="10.931478494623649"/>
    <n v="76994.781998471823"/>
    <n v="11"/>
    <n v="11"/>
    <n v="10.689595562675086"/>
    <n v="915150"/>
  </r>
  <r>
    <x v="83"/>
    <n v="202605"/>
    <x v="0"/>
    <x v="3"/>
    <s v="Hernán P"/>
    <s v="Daniel R"/>
    <n v="75267"/>
    <n v="3314037"/>
    <n v="44.030517473118664"/>
    <n v="78303.04922423698"/>
    <n v="51"/>
    <n v="49"/>
    <n v="41.451897990651069"/>
    <n v="3245810"/>
  </r>
  <r>
    <x v="55"/>
    <n v="202411"/>
    <x v="2"/>
    <x v="7"/>
    <s v="Sebastián S"/>
    <s v="Vik E"/>
    <n v="75261"/>
    <n v="4689421"/>
    <n v="62.309138888888882"/>
    <n v="0"/>
    <n v="69.5"/>
    <n v="59"/>
    <m/>
    <n v="0"/>
  </r>
  <r>
    <x v="55"/>
    <n v="202410"/>
    <x v="2"/>
    <x v="8"/>
    <s v="Sebastián S"/>
    <s v="Vik E"/>
    <n v="75246"/>
    <n v="4393749"/>
    <n v="58.391854838709662"/>
    <n v="0"/>
    <n v="69.5"/>
    <n v="59"/>
    <m/>
    <n v="0"/>
  </r>
  <r>
    <x v="71"/>
    <n v="202604"/>
    <x v="0"/>
    <x v="9"/>
    <s v="Sebastián S"/>
    <s v="Rodolfo O"/>
    <n v="75212"/>
    <n v="3956770"/>
    <n v="52.60815972222192"/>
    <n v="88970.061869668774"/>
    <n v="53.5"/>
    <n v="54"/>
    <n v="47.165198395018514"/>
    <n v="4196291"/>
  </r>
  <r>
    <x v="85"/>
    <n v="202510"/>
    <x v="1"/>
    <x v="8"/>
    <s v="Hernán P"/>
    <s v="Daniel R"/>
    <n v="75209"/>
    <n v="2406773"/>
    <n v="32.001196236559132"/>
    <n v="68801.436131002294"/>
    <n v="44"/>
    <n v="40.5"/>
    <n v="34.981429390766671"/>
    <n v="2841235"/>
  </r>
  <r>
    <x v="81"/>
    <n v="202401"/>
    <x v="2"/>
    <x v="10"/>
    <s v="Fátima L"/>
    <s v="Fátima L"/>
    <n v="75188"/>
    <n v="815353"/>
    <n v="10.844119623655914"/>
    <n v="0"/>
    <n v="11.5"/>
    <n v="12"/>
    <m/>
    <n v="0"/>
  </r>
  <r>
    <x v="38"/>
    <n v="202401"/>
    <x v="2"/>
    <x v="10"/>
    <s v="Sofía V"/>
    <s v="Melany A"/>
    <n v="75180"/>
    <n v="4364031"/>
    <n v="58.047876344086013"/>
    <n v="0"/>
    <n v="56"/>
    <n v="60"/>
    <m/>
    <n v="0"/>
  </r>
  <r>
    <x v="90"/>
    <n v="202603"/>
    <x v="0"/>
    <x v="0"/>
    <s v="Sebastián S"/>
    <s v="Vik E"/>
    <n v="75155"/>
    <n v="3314990"/>
    <n v="44.108561827957004"/>
    <n v="84795.749823371763"/>
    <n v="47.5"/>
    <n v="43"/>
    <n v="41.487905995618128"/>
    <n v="3517998"/>
  </r>
  <r>
    <x v="19"/>
    <n v="202409"/>
    <x v="2"/>
    <x v="4"/>
    <s v="Sofía V"/>
    <s v="Joe H"/>
    <n v="75145"/>
    <n v="4052969"/>
    <n v="53.935388888888895"/>
    <n v="0"/>
    <n v="57.5"/>
    <n v="56.5"/>
    <m/>
    <n v="0"/>
  </r>
  <r>
    <x v="49"/>
    <n v="202404"/>
    <x v="2"/>
    <x v="9"/>
    <s v="Sebastián S"/>
    <s v="Vik E"/>
    <n v="75114"/>
    <n v="4834626"/>
    <n v="64.363784722222221"/>
    <n v="0"/>
    <n v="66"/>
    <n v="64.5"/>
    <m/>
    <n v="0"/>
  </r>
  <r>
    <x v="79"/>
    <n v="202403"/>
    <x v="2"/>
    <x v="0"/>
    <s v="Sebastián S"/>
    <s v="Vik E"/>
    <n v="75070"/>
    <n v="6217800"/>
    <n v="82.827123655913979"/>
    <n v="0"/>
    <n v="84.5"/>
    <n v="78.5"/>
    <m/>
    <n v="0"/>
  </r>
  <r>
    <x v="55"/>
    <n v="202401"/>
    <x v="2"/>
    <x v="10"/>
    <s v="Sebastián S"/>
    <s v="Vik E"/>
    <n v="75059"/>
    <n v="4709411"/>
    <n v="62.742533602150552"/>
    <n v="0"/>
    <n v="69.5"/>
    <n v="59"/>
    <m/>
    <n v="0"/>
  </r>
  <r>
    <x v="53"/>
    <n v="202405"/>
    <x v="2"/>
    <x v="3"/>
    <s v="Sebastián S"/>
    <s v="Johanna V"/>
    <n v="75058"/>
    <n v="4748738"/>
    <n v="63.267674731182815"/>
    <n v="0"/>
    <n v="68"/>
    <n v="60.5"/>
    <m/>
    <n v="0"/>
  </r>
  <r>
    <x v="66"/>
    <n v="202410"/>
    <x v="2"/>
    <x v="8"/>
    <s v="Sebastián S"/>
    <s v="Rodolfo O"/>
    <n v="75005"/>
    <n v="3631068"/>
    <n v="48.410974462365566"/>
    <n v="0"/>
    <n v="55"/>
    <n v="55.5"/>
    <m/>
    <n v="0"/>
  </r>
  <r>
    <x v="54"/>
    <n v="202405"/>
    <x v="2"/>
    <x v="3"/>
    <s v="Sebastián S"/>
    <s v="Rodolfo O"/>
    <n v="74979"/>
    <n v="5849534"/>
    <n v="78.015893817204329"/>
    <n v="0"/>
    <n v="80"/>
    <n v="80.5"/>
    <m/>
    <n v="0"/>
  </r>
  <r>
    <x v="78"/>
    <n v="202511"/>
    <x v="1"/>
    <x v="7"/>
    <s v="Sebastián S"/>
    <s v="Vik E"/>
    <n v="74944"/>
    <n v="3676394"/>
    <n v="49.054930555555586"/>
    <n v="65205.360973275463"/>
    <n v="63"/>
    <n v="59"/>
    <n v="56.381776208658323"/>
    <n v="3848820"/>
  </r>
  <r>
    <x v="27"/>
    <n v="202409"/>
    <x v="2"/>
    <x v="4"/>
    <s v="Sofía V"/>
    <s v="Joe H"/>
    <n v="74936"/>
    <n v="4322746"/>
    <n v="57.685784722222223"/>
    <n v="0"/>
    <n v="62"/>
    <n v="58"/>
    <m/>
    <n v="0"/>
  </r>
  <r>
    <x v="79"/>
    <n v="202504"/>
    <x v="1"/>
    <x v="9"/>
    <s v="Sebastián S"/>
    <s v="Vik E"/>
    <n v="74928"/>
    <n v="5580085"/>
    <n v="74.472756944444441"/>
    <n v="64918.422470237027"/>
    <n v="84.5"/>
    <n v="78.5"/>
    <n v="85.955333134570338"/>
    <n v="6018322"/>
  </r>
  <r>
    <x v="83"/>
    <n v="202408"/>
    <x v="2"/>
    <x v="5"/>
    <s v="Hernán P"/>
    <s v="Daniel R"/>
    <n v="74928"/>
    <n v="3355617"/>
    <n v="44.784711021505373"/>
    <n v="0"/>
    <n v="51"/>
    <n v="49"/>
    <m/>
    <n v="0"/>
  </r>
  <r>
    <x v="27"/>
    <n v="202506"/>
    <x v="1"/>
    <x v="11"/>
    <s v="Sofía V"/>
    <s v="Joe H"/>
    <n v="74908"/>
    <n v="4512287"/>
    <n v="60.237673611111141"/>
    <n v="79698.670714802254"/>
    <n v="62"/>
    <n v="58"/>
    <n v="56.616839020402175"/>
    <n v="4878582"/>
  </r>
  <r>
    <x v="71"/>
    <n v="202602"/>
    <x v="0"/>
    <x v="2"/>
    <s v="Sebastián S"/>
    <s v="Rodolfo O"/>
    <n v="74810"/>
    <n v="3908547"/>
    <n v="52.246510416666659"/>
    <n v="78197.936332428129"/>
    <n v="53.5"/>
    <n v="54"/>
    <n v="47.165198395018514"/>
    <n v="3688221"/>
  </r>
  <r>
    <x v="71"/>
    <n v="202411"/>
    <x v="2"/>
    <x v="7"/>
    <s v="Sebastián S"/>
    <s v="Rodolfo O"/>
    <n v="74806"/>
    <n v="3985576"/>
    <n v="53.278652777777779"/>
    <n v="0"/>
    <n v="53.5"/>
    <n v="54"/>
    <m/>
    <n v="0"/>
  </r>
  <r>
    <x v="87"/>
    <n v="202410"/>
    <x v="2"/>
    <x v="8"/>
    <s v="Fátima L"/>
    <s v="Fátima L"/>
    <n v="74722"/>
    <n v="638661"/>
    <n v="8.547197580645161"/>
    <n v="0"/>
    <n v="11"/>
    <n v="11"/>
    <m/>
    <n v="0"/>
  </r>
  <r>
    <x v="72"/>
    <n v="202401"/>
    <x v="2"/>
    <x v="10"/>
    <s v="Sebastián S"/>
    <s v="Vik E"/>
    <n v="74669"/>
    <n v="4759244"/>
    <n v="63.738010752688211"/>
    <n v="0"/>
    <n v="79.5"/>
    <n v="67"/>
    <m/>
    <n v="0"/>
  </r>
  <r>
    <x v="83"/>
    <n v="202604"/>
    <x v="0"/>
    <x v="9"/>
    <s v="Hernán P"/>
    <s v="Daniel R"/>
    <n v="74649"/>
    <n v="3272377"/>
    <n v="43.836576388888751"/>
    <n v="78220.6883972184"/>
    <n v="51"/>
    <n v="49"/>
    <n v="41.451897990651069"/>
    <n v="3242396"/>
  </r>
  <r>
    <x v="77"/>
    <n v="202503"/>
    <x v="1"/>
    <x v="0"/>
    <s v="Fátima L"/>
    <s v="Fátima L"/>
    <n v="74643"/>
    <n v="1087934"/>
    <n v="14.575241935483872"/>
    <n v="70365.775449378445"/>
    <n v="17"/>
    <n v="13.5"/>
    <n v="15.461124005983081"/>
    <n v="1168364"/>
  </r>
  <r>
    <x v="55"/>
    <n v="202508"/>
    <x v="1"/>
    <x v="5"/>
    <s v="Sebastián S"/>
    <s v="Vik E"/>
    <n v="74609"/>
    <n v="4304277"/>
    <n v="57.69077284946237"/>
    <n v="81948.954196625768"/>
    <n v="69.5"/>
    <n v="59"/>
    <n v="52.523875041436803"/>
    <n v="4954131"/>
  </r>
  <r>
    <x v="66"/>
    <n v="202501"/>
    <x v="1"/>
    <x v="10"/>
    <s v="Sebastián S"/>
    <s v="Rodolfo O"/>
    <n v="74604"/>
    <n v="3886033"/>
    <n v="52.088844086021489"/>
    <n v="73440.866713335679"/>
    <n v="55"/>
    <n v="55.5"/>
    <n v="52.91377367819598"/>
    <n v="3666468"/>
  </r>
  <r>
    <x v="93"/>
    <n v="202412"/>
    <x v="2"/>
    <x v="1"/>
    <s v="Hernán P"/>
    <s v="Daniel R"/>
    <n v="74584"/>
    <n v="3519612"/>
    <n v="47.189643817204299"/>
    <n v="0"/>
    <n v="45.5"/>
    <n v="42.5"/>
    <m/>
    <n v="0"/>
  </r>
  <r>
    <x v="82"/>
    <n v="202411"/>
    <x v="2"/>
    <x v="7"/>
    <s v="Sebastián S"/>
    <s v="Vik E"/>
    <n v="74557"/>
    <n v="3847608"/>
    <n v="51.606041666666691"/>
    <n v="0"/>
    <n v="61.5"/>
    <n v="56"/>
    <m/>
    <n v="0"/>
  </r>
  <r>
    <x v="88"/>
    <n v="202604"/>
    <x v="0"/>
    <x v="9"/>
    <s v="Sofía V"/>
    <s v="José A"/>
    <n v="74542"/>
    <n v="5455207"/>
    <n v="73.18290972222384"/>
    <n v="59352.996215476203"/>
    <n v="84"/>
    <n v="76.5"/>
    <n v="84"/>
    <n v="4985652"/>
  </r>
  <r>
    <x v="54"/>
    <n v="202410"/>
    <x v="2"/>
    <x v="8"/>
    <s v="Sebastián S"/>
    <s v="Rodolfo O"/>
    <n v="74502"/>
    <n v="5317316"/>
    <n v="71.371538978494627"/>
    <n v="0"/>
    <n v="80"/>
    <n v="80.5"/>
    <m/>
    <n v="0"/>
  </r>
  <r>
    <x v="66"/>
    <n v="202409"/>
    <x v="2"/>
    <x v="4"/>
    <s v="Sebastián S"/>
    <s v="Rodolfo O"/>
    <n v="74463"/>
    <n v="3616117"/>
    <n v="48.562500000000021"/>
    <n v="0"/>
    <n v="55"/>
    <n v="55.5"/>
    <m/>
    <n v="0"/>
  </r>
  <r>
    <x v="79"/>
    <n v="202506"/>
    <x v="1"/>
    <x v="11"/>
    <s v="Sebastián S"/>
    <s v="Vik E"/>
    <n v="74423"/>
    <n v="5329797"/>
    <n v="71.614909722222222"/>
    <n v="71575.027423999723"/>
    <n v="84.5"/>
    <n v="78.5"/>
    <n v="74.464471922966695"/>
    <n v="5965055"/>
  </r>
  <r>
    <x v="97"/>
    <n v="202504"/>
    <x v="1"/>
    <x v="9"/>
    <s v="María R"/>
    <s v="María R"/>
    <n v="74415"/>
    <n v="5580877"/>
    <n v="74.996249999999975"/>
    <n v="70463.387802782614"/>
    <n v="94"/>
    <n v="77.5"/>
    <n v="79.202506635362369"/>
    <n v="5592512"/>
  </r>
  <r>
    <x v="83"/>
    <n v="202502"/>
    <x v="1"/>
    <x v="2"/>
    <s v="Hernán P"/>
    <s v="Daniel R"/>
    <n v="74331"/>
    <n v="3056100"/>
    <n v="41.114895833333321"/>
    <n v="75539.4455014001"/>
    <n v="51"/>
    <n v="49"/>
    <n v="40.457007722453518"/>
    <n v="3177678"/>
  </r>
  <r>
    <x v="77"/>
    <n v="202507"/>
    <x v="1"/>
    <x v="6"/>
    <s v="Fátima L"/>
    <s v="Fátima L"/>
    <n v="74315"/>
    <n v="975142"/>
    <n v="13.121754032258067"/>
    <n v="72041.870350805897"/>
    <n v="17"/>
    <n v="13.5"/>
    <n v="13.535773089337784"/>
    <n v="1125727"/>
  </r>
  <r>
    <x v="67"/>
    <n v="202410"/>
    <x v="2"/>
    <x v="8"/>
    <s v="Hernán P"/>
    <s v="Daniel R"/>
    <n v="74297"/>
    <n v="1008089"/>
    <n v="13.568427419354839"/>
    <n v="0"/>
    <n v="15.5"/>
    <n v="14.5"/>
    <m/>
    <n v="0"/>
  </r>
  <r>
    <x v="54"/>
    <n v="202411"/>
    <x v="2"/>
    <x v="7"/>
    <s v="Sebastián S"/>
    <s v="Rodolfo O"/>
    <n v="74278"/>
    <n v="5738624"/>
    <n v="77.259097222222266"/>
    <n v="0"/>
    <n v="80"/>
    <n v="80.5"/>
    <m/>
    <n v="0"/>
  </r>
  <r>
    <x v="70"/>
    <n v="202407"/>
    <x v="2"/>
    <x v="6"/>
    <s v="Sebastián S"/>
    <s v="Vik E"/>
    <n v="74276"/>
    <n v="3931898"/>
    <n v="52.936229838709664"/>
    <n v="0"/>
    <n v="60.5"/>
    <n v="57.5"/>
    <m/>
    <n v="0"/>
  </r>
  <r>
    <x v="60"/>
    <n v="202406"/>
    <x v="2"/>
    <x v="11"/>
    <s v="Sofía V"/>
    <s v="Melany A"/>
    <n v="74274"/>
    <n v="6101532"/>
    <n v="82.148694444444487"/>
    <n v="0"/>
    <n v="88.5"/>
    <n v="92.5"/>
    <m/>
    <n v="0"/>
  </r>
  <r>
    <x v="34"/>
    <n v="202404"/>
    <x v="2"/>
    <x v="9"/>
    <s v="Hernán P"/>
    <s v="Daniel R"/>
    <n v="74274"/>
    <n v="984886"/>
    <n v="13.260187500000001"/>
    <n v="0"/>
    <n v="15"/>
    <n v="15"/>
    <m/>
    <n v="0"/>
  </r>
  <r>
    <x v="71"/>
    <n v="202506"/>
    <x v="1"/>
    <x v="11"/>
    <s v="Sebastián S"/>
    <s v="Rodolfo O"/>
    <n v="74273"/>
    <n v="3653533"/>
    <n v="49.190458333333332"/>
    <n v="83880.284237086365"/>
    <n v="53.5"/>
    <n v="54"/>
    <n v="43.556518593491433"/>
    <n v="4217836"/>
  </r>
  <r>
    <x v="87"/>
    <n v="202406"/>
    <x v="2"/>
    <x v="11"/>
    <s v="Fátima L"/>
    <s v="Fátima L"/>
    <n v="74258"/>
    <n v="669361"/>
    <n v="9.0140069444444464"/>
    <n v="0"/>
    <n v="11"/>
    <n v="11"/>
    <m/>
    <n v="0"/>
  </r>
  <r>
    <x v="61"/>
    <n v="202504"/>
    <x v="1"/>
    <x v="9"/>
    <s v="Sofía V"/>
    <s v="Joe H"/>
    <n v="74249"/>
    <n v="2543720"/>
    <n v="34.259263888888896"/>
    <n v="67101.927661152993"/>
    <n v="41.5"/>
    <n v="35.5"/>
    <n v="37.908297252578393"/>
    <n v="2426925"/>
  </r>
  <r>
    <x v="83"/>
    <n v="202409"/>
    <x v="2"/>
    <x v="4"/>
    <s v="Hernán P"/>
    <s v="Daniel R"/>
    <n v="74224"/>
    <n v="3306817"/>
    <n v="44.551791666666674"/>
    <n v="0"/>
    <n v="51"/>
    <n v="49"/>
    <m/>
    <n v="0"/>
  </r>
  <r>
    <x v="70"/>
    <n v="202601"/>
    <x v="0"/>
    <x v="10"/>
    <s v="Sebastián S"/>
    <s v="Vik E"/>
    <n v="74195"/>
    <n v="3565543"/>
    <n v="48.056693548387102"/>
    <n v="69377.560690968239"/>
    <n v="60.5"/>
    <n v="57.5"/>
    <n v="51.161312105083525"/>
    <n v="3549447"/>
  </r>
  <r>
    <x v="85"/>
    <n v="202503"/>
    <x v="1"/>
    <x v="0"/>
    <s v="Hernán P"/>
    <s v="Daniel R"/>
    <n v="74135"/>
    <n v="2771957"/>
    <n v="37.390819892473125"/>
    <n v="77020.584407557573"/>
    <n v="44"/>
    <n v="40.5"/>
    <n v="35.989821179907906"/>
    <n v="2903506"/>
  </r>
  <r>
    <x v="95"/>
    <n v="202604"/>
    <x v="0"/>
    <x v="9"/>
    <s v="Fátima L"/>
    <s v="Fátima L"/>
    <n v="74105"/>
    <n v="343397"/>
    <n v="4.6339027777777773"/>
    <n v="49195.819611452709"/>
    <n v="8.5"/>
    <n v="6.5"/>
    <n v="7.4225653700663532"/>
    <n v="365159"/>
  </r>
  <r>
    <x v="38"/>
    <n v="202402"/>
    <x v="2"/>
    <x v="2"/>
    <s v="Sofía V"/>
    <s v="Melany A"/>
    <n v="74105"/>
    <n v="4406496"/>
    <n v="59.463038793103429"/>
    <n v="0"/>
    <n v="56"/>
    <n v="60"/>
    <m/>
    <n v="0"/>
  </r>
  <r>
    <x v="55"/>
    <n v="202409"/>
    <x v="2"/>
    <x v="4"/>
    <s v="Sebastián S"/>
    <s v="Vik E"/>
    <n v="74092"/>
    <n v="4498150"/>
    <n v="60.710027777777789"/>
    <n v="0"/>
    <n v="69.5"/>
    <n v="59"/>
    <m/>
    <n v="0"/>
  </r>
  <r>
    <x v="38"/>
    <n v="202406"/>
    <x v="2"/>
    <x v="11"/>
    <s v="Sofía V"/>
    <s v="Melany A"/>
    <n v="74056"/>
    <n v="4311110"/>
    <n v="58.213847222222206"/>
    <n v="0"/>
    <n v="56"/>
    <n v="60"/>
    <m/>
    <n v="0"/>
  </r>
  <r>
    <x v="81"/>
    <n v="202406"/>
    <x v="2"/>
    <x v="11"/>
    <s v="Fátima L"/>
    <s v="Fátima L"/>
    <n v="74051"/>
    <n v="796514"/>
    <n v="10.756277777777777"/>
    <n v="0"/>
    <n v="11.5"/>
    <n v="12"/>
    <m/>
    <n v="0"/>
  </r>
  <r>
    <x v="80"/>
    <n v="202606"/>
    <x v="0"/>
    <x v="11"/>
    <s v="Fátima L"/>
    <s v="Fátima L"/>
    <n v="74037"/>
    <n v="489090"/>
    <n v="6.6060069444444443"/>
    <n v="53405.598474347331"/>
    <n v="10"/>
    <n v="9"/>
    <n v="8.1521894564878892"/>
    <n v="435373"/>
  </r>
  <r>
    <x v="57"/>
    <n v="202411"/>
    <x v="2"/>
    <x v="7"/>
    <s v="Hernán P"/>
    <s v="Daniel R"/>
    <n v="74001"/>
    <n v="3293911"/>
    <n v="44.511590277777785"/>
    <n v="0"/>
    <n v="53.5"/>
    <n v="52"/>
    <m/>
    <n v="0"/>
  </r>
  <r>
    <x v="55"/>
    <n v="202405"/>
    <x v="2"/>
    <x v="3"/>
    <s v="Sebastián S"/>
    <s v="Vik E"/>
    <n v="73990"/>
    <n v="4843053"/>
    <n v="65.455221774193532"/>
    <n v="0"/>
    <n v="69.5"/>
    <n v="59"/>
    <m/>
    <n v="0"/>
  </r>
  <r>
    <x v="101"/>
    <n v="202401"/>
    <x v="2"/>
    <x v="10"/>
    <s v="Fátima L"/>
    <s v="Fátima L"/>
    <n v="73981"/>
    <n v="993713"/>
    <n v="13.432096774193548"/>
    <n v="0"/>
    <n v="13.5"/>
    <n v="14.5"/>
    <m/>
    <n v="0"/>
  </r>
  <r>
    <x v="73"/>
    <n v="202508"/>
    <x v="1"/>
    <x v="5"/>
    <s v="Fátima L"/>
    <s v="Fátima L"/>
    <n v="73975"/>
    <n v="887713"/>
    <n v="12.000154569892471"/>
    <n v="87803.36417942305"/>
    <n v="13.5"/>
    <n v="12"/>
    <n v="10.110240630256374"/>
    <n v="1032923"/>
  </r>
  <r>
    <x v="9"/>
    <n v="202505"/>
    <x v="1"/>
    <x v="3"/>
    <s v="Sofía V"/>
    <s v="Joe H"/>
    <n v="73966"/>
    <n v="4831829"/>
    <n v="65.324771505376361"/>
    <n v="76922.584217211683"/>
    <n v="70.5"/>
    <n v="69.5"/>
    <n v="62.814173225850411"/>
    <n v="4659850"/>
  </r>
  <r>
    <x v="54"/>
    <n v="202406"/>
    <x v="2"/>
    <x v="11"/>
    <s v="Sebastián S"/>
    <s v="Rodolfo O"/>
    <n v="73959"/>
    <n v="5909546"/>
    <n v="79.902715277777801"/>
    <n v="0"/>
    <n v="80"/>
    <n v="80.5"/>
    <m/>
    <n v="0"/>
  </r>
  <r>
    <x v="83"/>
    <n v="202606"/>
    <x v="0"/>
    <x v="11"/>
    <s v="Hernán P"/>
    <s v="Daniel R"/>
    <n v="73943"/>
    <n v="3126983"/>
    <n v="42.289041666666293"/>
    <n v="76177.788076487588"/>
    <n v="51"/>
    <n v="49"/>
    <n v="41.451897990651069"/>
    <n v="3157714"/>
  </r>
  <r>
    <x v="70"/>
    <n v="202602"/>
    <x v="0"/>
    <x v="2"/>
    <s v="Sebastián S"/>
    <s v="Vik E"/>
    <n v="73922"/>
    <n v="3822749"/>
    <n v="51.713541666666679"/>
    <n v="71304.762110225856"/>
    <n v="60.5"/>
    <n v="57.5"/>
    <n v="51.161312105083525"/>
    <n v="3648045"/>
  </r>
  <r>
    <x v="71"/>
    <n v="202606"/>
    <x v="0"/>
    <x v="11"/>
    <s v="Sebastián S"/>
    <s v="Rodolfo O"/>
    <n v="73911"/>
    <n v="3678585"/>
    <n v="49.770583333332979"/>
    <n v="83595.802487209105"/>
    <n v="53.5"/>
    <n v="54"/>
    <n v="47.165198395018514"/>
    <n v="3942813"/>
  </r>
  <r>
    <x v="23"/>
    <n v="202401"/>
    <x v="2"/>
    <x v="10"/>
    <s v="Sebastián S"/>
    <s v="Rodolfo O"/>
    <n v="73885"/>
    <n v="6715409"/>
    <n v="90.890483870967714"/>
    <n v="0"/>
    <n v="94.5"/>
    <n v="97"/>
    <m/>
    <n v="0"/>
  </r>
  <r>
    <x v="85"/>
    <n v="202508"/>
    <x v="1"/>
    <x v="5"/>
    <s v="Hernán P"/>
    <s v="Daniel R"/>
    <n v="73845"/>
    <n v="2514628"/>
    <n v="34.052647849462367"/>
    <n v="81306.985637451202"/>
    <n v="44"/>
    <n v="40.5"/>
    <n v="30.927577996960267"/>
    <n v="2716346"/>
  </r>
  <r>
    <x v="81"/>
    <n v="202403"/>
    <x v="2"/>
    <x v="0"/>
    <s v="Fátima L"/>
    <s v="Fátima L"/>
    <n v="73827"/>
    <n v="847372"/>
    <n v="11.477836021505381"/>
    <n v="0"/>
    <n v="11.5"/>
    <n v="12"/>
    <m/>
    <n v="0"/>
  </r>
  <r>
    <x v="55"/>
    <n v="202601"/>
    <x v="0"/>
    <x v="10"/>
    <s v="Sebastián S"/>
    <s v="Vik E"/>
    <n v="73798"/>
    <n v="3993660"/>
    <n v="54.116256720430108"/>
    <n v="80385.83038773913"/>
    <n v="69.5"/>
    <n v="59"/>
    <n v="57.926444284268129"/>
    <n v="4656465"/>
  </r>
  <r>
    <x v="68"/>
    <n v="202409"/>
    <x v="2"/>
    <x v="4"/>
    <s v="Sofía V"/>
    <s v="José A"/>
    <n v="73795"/>
    <n v="3238743"/>
    <n v="43.888493055555564"/>
    <n v="0"/>
    <n v="52"/>
    <n v="52"/>
    <m/>
    <n v="0"/>
  </r>
  <r>
    <x v="54"/>
    <n v="202509"/>
    <x v="1"/>
    <x v="4"/>
    <s v="Sebastián S"/>
    <s v="Rodolfo O"/>
    <n v="73787"/>
    <n v="4966132"/>
    <n v="67.303833333333358"/>
    <n v="74655.010215610964"/>
    <n v="80"/>
    <n v="80.5"/>
    <n v="66.521074950727709"/>
    <n v="6280385"/>
  </r>
  <r>
    <x v="73"/>
    <n v="202502"/>
    <x v="1"/>
    <x v="2"/>
    <s v="Fátima L"/>
    <s v="Fátima L"/>
    <n v="73759"/>
    <n v="832190"/>
    <n v="11.282552083333334"/>
    <n v="88657.532303219152"/>
    <n v="13.5"/>
    <n v="12"/>
    <n v="9.3865735756530082"/>
    <n v="964835"/>
  </r>
  <r>
    <x v="18"/>
    <n v="202405"/>
    <x v="2"/>
    <x v="3"/>
    <s v="Sofía V"/>
    <s v="Joe H"/>
    <n v="73747"/>
    <n v="3772178"/>
    <n v="51.150524193548364"/>
    <n v="0"/>
    <n v="50.5"/>
    <n v="51.5"/>
    <m/>
    <n v="0"/>
  </r>
  <r>
    <x v="83"/>
    <n v="202509"/>
    <x v="1"/>
    <x v="4"/>
    <s v="Hernán P"/>
    <s v="Daniel R"/>
    <n v="73721"/>
    <n v="2920182"/>
    <n v="39.611055555555538"/>
    <n v="77935.313252459935"/>
    <n v="51"/>
    <n v="49"/>
    <n v="37.469305994068456"/>
    <n v="3523581"/>
  </r>
  <r>
    <x v="88"/>
    <n v="202603"/>
    <x v="0"/>
    <x v="0"/>
    <s v="Sofía V"/>
    <s v="José A"/>
    <n v="73717"/>
    <n v="5888404"/>
    <n v="79.87898521505376"/>
    <n v="63297.49062142858"/>
    <n v="84"/>
    <n v="76.5"/>
    <n v="84"/>
    <n v="5316989"/>
  </r>
  <r>
    <x v="87"/>
    <n v="202407"/>
    <x v="2"/>
    <x v="6"/>
    <s v="Fátima L"/>
    <s v="Fátima L"/>
    <n v="73716"/>
    <n v="688852"/>
    <n v="9.3446706989247321"/>
    <n v="0"/>
    <n v="11"/>
    <n v="11"/>
    <m/>
    <n v="0"/>
  </r>
  <r>
    <x v="82"/>
    <n v="202410"/>
    <x v="2"/>
    <x v="8"/>
    <s v="Sebastián S"/>
    <s v="Vik E"/>
    <n v="73703"/>
    <n v="3699229"/>
    <n v="50.19084677419356"/>
    <n v="0"/>
    <n v="61.5"/>
    <n v="56"/>
    <m/>
    <n v="0"/>
  </r>
  <r>
    <x v="97"/>
    <n v="202605"/>
    <x v="0"/>
    <x v="3"/>
    <s v="María R"/>
    <s v="María R"/>
    <n v="73684"/>
    <n v="5697147"/>
    <n v="77.318716397849016"/>
    <n v="71502.784526909949"/>
    <n v="94"/>
    <n v="77.5"/>
    <n v="81.023149648384276"/>
    <n v="5793381"/>
  </r>
  <r>
    <x v="71"/>
    <n v="202510"/>
    <x v="1"/>
    <x v="8"/>
    <s v="Sebastián S"/>
    <s v="Rodolfo O"/>
    <n v="73629"/>
    <n v="3544848"/>
    <n v="48.144852150537616"/>
    <n v="76273.111973167703"/>
    <n v="53.5"/>
    <n v="54"/>
    <n v="46.475727399808349"/>
    <n v="4139919"/>
  </r>
  <r>
    <x v="61"/>
    <n v="202406"/>
    <x v="2"/>
    <x v="11"/>
    <s v="Sofía V"/>
    <s v="Joe H"/>
    <n v="73613"/>
    <n v="2351662"/>
    <n v="31.946444444444445"/>
    <n v="0"/>
    <n v="41.5"/>
    <n v="35.5"/>
    <m/>
    <n v="0"/>
  </r>
  <r>
    <x v="21"/>
    <n v="202502"/>
    <x v="1"/>
    <x v="2"/>
    <s v="Sebastián S"/>
    <s v="Rodolfo O"/>
    <n v="73610"/>
    <n v="5195536"/>
    <n v="70.582187500000003"/>
    <n v="87532.266105166374"/>
    <n v="84.5"/>
    <n v="86.5"/>
    <n v="59.355668500090928"/>
    <n v="6389988"/>
  </r>
  <r>
    <x v="85"/>
    <n v="202405"/>
    <x v="2"/>
    <x v="3"/>
    <s v="Hernán P"/>
    <s v="Daniel R"/>
    <n v="73592"/>
    <n v="2583157"/>
    <n v="35.100907258064531"/>
    <n v="0"/>
    <n v="44"/>
    <n v="40.5"/>
    <m/>
    <n v="0"/>
  </r>
  <r>
    <x v="50"/>
    <n v="202402"/>
    <x v="2"/>
    <x v="2"/>
    <s v="Sebastián S"/>
    <s v="Vik E"/>
    <n v="73591"/>
    <n v="5403245"/>
    <n v="73.423110632183892"/>
    <n v="0"/>
    <n v="75.5"/>
    <n v="74"/>
    <m/>
    <n v="0"/>
  </r>
  <r>
    <x v="70"/>
    <n v="202408"/>
    <x v="2"/>
    <x v="5"/>
    <s v="Sebastián S"/>
    <s v="Vik E"/>
    <n v="73585"/>
    <n v="3677372"/>
    <n v="49.974213709677414"/>
    <n v="0"/>
    <n v="60.5"/>
    <n v="57.5"/>
    <m/>
    <n v="0"/>
  </r>
  <r>
    <x v="68"/>
    <n v="202509"/>
    <x v="1"/>
    <x v="4"/>
    <s v="Sofía V"/>
    <s v="José A"/>
    <n v="73569"/>
    <n v="3186003"/>
    <n v="43.306569444444456"/>
    <n v="77484.555136019408"/>
    <n v="52"/>
    <n v="52"/>
    <n v="41.117913039665339"/>
    <n v="3532718"/>
  </r>
  <r>
    <x v="87"/>
    <n v="202603"/>
    <x v="0"/>
    <x v="0"/>
    <s v="Fátima L"/>
    <s v="Fátima L"/>
    <n v="73555"/>
    <n v="742546"/>
    <n v="10.095147849462366"/>
    <n v="69574.495254115493"/>
    <n v="11"/>
    <n v="11"/>
    <n v="10.04229432420742"/>
    <n v="698688"/>
  </r>
  <r>
    <x v="66"/>
    <n v="202403"/>
    <x v="2"/>
    <x v="0"/>
    <s v="Sebastián S"/>
    <s v="Rodolfo O"/>
    <n v="73549"/>
    <n v="4347740"/>
    <n v="59.113165322580635"/>
    <n v="0"/>
    <n v="55"/>
    <n v="55.5"/>
    <m/>
    <n v="0"/>
  </r>
  <r>
    <x v="36"/>
    <n v="202502"/>
    <x v="1"/>
    <x v="2"/>
    <s v="Sebastián S"/>
    <s v="Rodolfo O"/>
    <n v="73548"/>
    <n v="5643194"/>
    <n v="76.727656249999995"/>
    <n v="94018.511933103538"/>
    <n v="81"/>
    <n v="77"/>
    <n v="60.022160465752428"/>
    <n v="6408999"/>
  </r>
  <r>
    <x v="92"/>
    <n v="202508"/>
    <x v="1"/>
    <x v="5"/>
    <s v="Fátima L"/>
    <s v="Fátima L"/>
    <n v="73544"/>
    <n v="592531"/>
    <n v="8.0568212365591396"/>
    <n v="60646.399546899738"/>
    <n v="11.5"/>
    <n v="10"/>
    <n v="9.7702542018471785"/>
    <n v="663428"/>
  </r>
  <r>
    <x v="47"/>
    <n v="202406"/>
    <x v="2"/>
    <x v="11"/>
    <s v="Sebastián S"/>
    <s v="Vik E"/>
    <n v="73535"/>
    <n v="4639843"/>
    <n v="63.096784722222232"/>
    <n v="0"/>
    <n v="61.5"/>
    <n v="48.5"/>
    <m/>
    <n v="0"/>
  </r>
  <r>
    <x v="98"/>
    <n v="202605"/>
    <x v="0"/>
    <x v="3"/>
    <s v="Hernán P"/>
    <s v="Daniel R"/>
    <n v="73532"/>
    <n v="5111049"/>
    <n v="69.507788978494958"/>
    <n v="69247.601854526831"/>
    <n v="87"/>
    <n v="77.5"/>
    <n v="73.970842069892498"/>
    <n v="5122303"/>
  </r>
  <r>
    <x v="68"/>
    <n v="202401"/>
    <x v="2"/>
    <x v="10"/>
    <s v="Sofía V"/>
    <s v="José A"/>
    <n v="73512"/>
    <n v="3495412"/>
    <n v="47.548958333333324"/>
    <n v="0"/>
    <n v="52"/>
    <n v="52"/>
    <m/>
    <n v="0"/>
  </r>
  <r>
    <x v="85"/>
    <n v="202606"/>
    <x v="0"/>
    <x v="11"/>
    <s v="Hernán P"/>
    <s v="Daniel R"/>
    <n v="73488"/>
    <n v="2564150"/>
    <n v="34.892277777777515"/>
    <n v="72084.328293413564"/>
    <n v="44"/>
    <n v="40.5"/>
    <n v="35.762421795855829"/>
    <n v="2577910"/>
  </r>
  <r>
    <x v="43"/>
    <n v="202409"/>
    <x v="2"/>
    <x v="4"/>
    <s v="Sofía V"/>
    <s v="José A"/>
    <n v="73459"/>
    <n v="2033519"/>
    <n v="27.682277777777777"/>
    <n v="0"/>
    <n v="32.5"/>
    <n v="32"/>
    <m/>
    <n v="0"/>
  </r>
  <r>
    <x v="98"/>
    <n v="202604"/>
    <x v="0"/>
    <x v="9"/>
    <s v="Hernán P"/>
    <s v="Daniel R"/>
    <n v="73443"/>
    <n v="4982382"/>
    <n v="67.839868055555783"/>
    <n v="66279.986475853919"/>
    <n v="87"/>
    <n v="77.5"/>
    <n v="73.970842069892498"/>
    <n v="4902786"/>
  </r>
  <r>
    <x v="55"/>
    <n v="202501"/>
    <x v="1"/>
    <x v="10"/>
    <s v="Sebastián S"/>
    <s v="Vik E"/>
    <n v="73443"/>
    <n v="4422922"/>
    <n v="60.22281586021505"/>
    <n v="78812.265963874161"/>
    <n v="69.5"/>
    <n v="59"/>
    <n v="56.119718750725553"/>
    <n v="4869251"/>
  </r>
  <r>
    <x v="78"/>
    <n v="202408"/>
    <x v="2"/>
    <x v="5"/>
    <s v="Sebastián S"/>
    <s v="Vik E"/>
    <n v="73418"/>
    <n v="3774225"/>
    <n v="51.407284946236565"/>
    <n v="0"/>
    <n v="63"/>
    <n v="59"/>
    <m/>
    <n v="0"/>
  </r>
  <r>
    <x v="7"/>
    <n v="202405"/>
    <x v="2"/>
    <x v="3"/>
    <s v="Sebastián S"/>
    <s v="Rodolfo O"/>
    <n v="73391"/>
    <n v="4711532"/>
    <n v="64.197338709677425"/>
    <n v="0"/>
    <n v="65.5"/>
    <n v="63"/>
    <m/>
    <n v="0"/>
  </r>
  <r>
    <x v="63"/>
    <n v="202402"/>
    <x v="2"/>
    <x v="2"/>
    <s v="Sebastián S"/>
    <s v="Johanna V"/>
    <n v="73387"/>
    <n v="8578090"/>
    <n v="116.8879310344828"/>
    <n v="0"/>
    <n v="123"/>
    <n v="115.5"/>
    <m/>
    <n v="0"/>
  </r>
  <r>
    <x v="39"/>
    <n v="202406"/>
    <x v="2"/>
    <x v="11"/>
    <s v="Sofía V"/>
    <s v="Melany A"/>
    <n v="73383"/>
    <n v="4794611"/>
    <n v="65.336930555555554"/>
    <n v="0"/>
    <n v="60.5"/>
    <n v="60.5"/>
    <m/>
    <n v="0"/>
  </r>
  <r>
    <x v="83"/>
    <n v="202510"/>
    <x v="1"/>
    <x v="8"/>
    <s v="Hernán P"/>
    <s v="Daniel R"/>
    <n v="73353"/>
    <n v="3001171"/>
    <n v="40.913870967741936"/>
    <n v="83281.28995008707"/>
    <n v="51"/>
    <n v="49"/>
    <n v="36.03656141491912"/>
    <n v="3624264"/>
  </r>
  <r>
    <x v="85"/>
    <n v="202403"/>
    <x v="2"/>
    <x v="0"/>
    <s v="Hernán P"/>
    <s v="Daniel R"/>
    <n v="73353"/>
    <n v="2923311"/>
    <n v="39.852674731182788"/>
    <n v="0"/>
    <n v="44"/>
    <n v="40.5"/>
    <m/>
    <n v="0"/>
  </r>
  <r>
    <x v="83"/>
    <n v="202501"/>
    <x v="1"/>
    <x v="10"/>
    <s v="Hernán P"/>
    <s v="Daniel R"/>
    <n v="73353"/>
    <n v="3222757"/>
    <n v="43.93506720430107"/>
    <n v="79231.322432734945"/>
    <n v="51"/>
    <n v="49"/>
    <n v="40.675295085930522"/>
    <n v="3386464"/>
  </r>
  <r>
    <x v="4"/>
    <n v="202402"/>
    <x v="2"/>
    <x v="2"/>
    <s v="Sofía V"/>
    <s v="José A"/>
    <n v="73347"/>
    <n v="7496296"/>
    <n v="102.20326867816098"/>
    <n v="0"/>
    <n v="107.5"/>
    <n v="102.5"/>
    <m/>
    <n v="0"/>
  </r>
  <r>
    <x v="87"/>
    <n v="202412"/>
    <x v="2"/>
    <x v="1"/>
    <s v="Fátima L"/>
    <s v="Fátima L"/>
    <n v="73328"/>
    <n v="803609"/>
    <n v="10.959045698924733"/>
    <n v="0"/>
    <n v="11"/>
    <n v="11"/>
    <m/>
    <n v="0"/>
  </r>
  <r>
    <x v="42"/>
    <n v="202603"/>
    <x v="0"/>
    <x v="0"/>
    <s v="Hernán P"/>
    <s v="Daniel R"/>
    <n v="73322"/>
    <n v="1656529"/>
    <n v="22.592594086021517"/>
    <n v="97279.004892406097"/>
    <n v="22.5"/>
    <n v="21"/>
    <n v="19.647967156057994"/>
    <n v="1911335"/>
  </r>
  <r>
    <x v="34"/>
    <n v="202508"/>
    <x v="1"/>
    <x v="5"/>
    <s v="Hernán P"/>
    <s v="Daniel R"/>
    <n v="73303"/>
    <n v="1095381"/>
    <n v="14.943259408602147"/>
    <n v="84746.670876349483"/>
    <n v="15"/>
    <n v="15"/>
    <n v="12.925362243411637"/>
    <n v="1108959"/>
  </r>
  <r>
    <x v="68"/>
    <n v="202411"/>
    <x v="2"/>
    <x v="7"/>
    <s v="Sofía V"/>
    <s v="José A"/>
    <n v="73297"/>
    <n v="3610543"/>
    <n v="49.259048611111098"/>
    <n v="0"/>
    <n v="52"/>
    <n v="52"/>
    <m/>
    <n v="0"/>
  </r>
  <r>
    <x v="85"/>
    <n v="202401"/>
    <x v="2"/>
    <x v="10"/>
    <s v="Hernán P"/>
    <s v="Daniel R"/>
    <n v="73284"/>
    <n v="2644882"/>
    <n v="36.090974462365594"/>
    <n v="0"/>
    <n v="44"/>
    <n v="40.5"/>
    <m/>
    <n v="0"/>
  </r>
  <r>
    <x v="9"/>
    <n v="202405"/>
    <x v="2"/>
    <x v="3"/>
    <s v="Sofía V"/>
    <s v="Joe H"/>
    <n v="73260"/>
    <n v="4625987"/>
    <n v="63.145127688172074"/>
    <n v="0"/>
    <n v="70.5"/>
    <n v="69.5"/>
    <m/>
    <n v="0"/>
  </r>
  <r>
    <x v="77"/>
    <n v="202506"/>
    <x v="1"/>
    <x v="11"/>
    <s v="Fátima L"/>
    <s v="Fátima L"/>
    <n v="73258"/>
    <n v="936717"/>
    <n v="12.786520833333336"/>
    <n v="74062.059031598794"/>
    <n v="17"/>
    <n v="13.5"/>
    <n v="12.64772951559917"/>
    <n v="1094734"/>
  </r>
  <r>
    <x v="54"/>
    <n v="202510"/>
    <x v="1"/>
    <x v="8"/>
    <s v="Sebastián S"/>
    <s v="Rodolfo O"/>
    <n v="73254"/>
    <n v="4954457"/>
    <n v="67.633783602150544"/>
    <n v="78227.004123902967"/>
    <n v="80"/>
    <n v="80.5"/>
    <n v="63.334357559605451"/>
    <n v="6290140"/>
  </r>
  <r>
    <x v="79"/>
    <n v="202601"/>
    <x v="0"/>
    <x v="10"/>
    <s v="Sebastián S"/>
    <s v="Vik E"/>
    <n v="73234"/>
    <n v="5631449"/>
    <n v="76.89674059139783"/>
    <n v="78326.139695577149"/>
    <n v="84.5"/>
    <n v="78.5"/>
    <n v="72.494656792343278"/>
    <n v="5678227"/>
  </r>
  <r>
    <x v="64"/>
    <n v="202509"/>
    <x v="1"/>
    <x v="4"/>
    <s v="Sebastián S"/>
    <s v="Johanna V"/>
    <n v="73232"/>
    <n v="4336969"/>
    <n v="59.222381944444471"/>
    <n v="71479.203381137835"/>
    <n v="75.5"/>
    <n v="70.5"/>
    <n v="60.67456035953046"/>
    <n v="5321722"/>
  </r>
  <r>
    <x v="100"/>
    <n v="202604"/>
    <x v="0"/>
    <x v="9"/>
    <s v="Hernán P"/>
    <s v="Daniel R"/>
    <n v="73180"/>
    <n v="2112674"/>
    <n v="28.869506944444428"/>
    <n v="66021.987994702213"/>
    <n v="41.5"/>
    <n v="43"/>
    <n v="33.730466012000377"/>
    <n v="2226952"/>
  </r>
  <r>
    <x v="97"/>
    <n v="202512"/>
    <x v="1"/>
    <x v="1"/>
    <s v="María R"/>
    <s v="María R"/>
    <n v="73172"/>
    <n v="6243182"/>
    <n v="85.322049731182716"/>
    <n v="76710.920715149448"/>
    <n v="94"/>
    <n v="77.5"/>
    <n v="81.38583231431673"/>
    <n v="6733325"/>
  </r>
  <r>
    <x v="13"/>
    <n v="202506"/>
    <x v="1"/>
    <x v="11"/>
    <s v="Sebastián S"/>
    <s v="Rodolfo O"/>
    <n v="73156"/>
    <n v="5266541"/>
    <n v="71.990965277777789"/>
    <n v="102171.83682787306"/>
    <n v="78"/>
    <n v="74.5"/>
    <n v="51.545917480885066"/>
    <n v="6014389"/>
  </r>
  <r>
    <x v="97"/>
    <n v="202503"/>
    <x v="1"/>
    <x v="0"/>
    <s v="María R"/>
    <s v="María R"/>
    <n v="73090"/>
    <n v="5723821"/>
    <n v="78.312358870967785"/>
    <n v="72824.594489602867"/>
    <n v="94"/>
    <n v="77.5"/>
    <n v="78.597365493290681"/>
    <n v="5633688"/>
  </r>
  <r>
    <x v="55"/>
    <n v="202502"/>
    <x v="1"/>
    <x v="2"/>
    <s v="Sebastián S"/>
    <s v="Vik E"/>
    <n v="73078"/>
    <n v="4529475"/>
    <n v="61.981406250000013"/>
    <n v="81670.789990737147"/>
    <n v="69.5"/>
    <n v="59"/>
    <n v="55.460153997698797"/>
    <n v="5119402"/>
  </r>
  <r>
    <x v="68"/>
    <n v="202510"/>
    <x v="1"/>
    <x v="8"/>
    <s v="Sofía V"/>
    <s v="José A"/>
    <n v="73074"/>
    <n v="3299508"/>
    <n v="45.152822580645157"/>
    <n v="75390.906769903289"/>
    <n v="52"/>
    <n v="52"/>
    <n v="43.765326766399809"/>
    <n v="3502858"/>
  </r>
  <r>
    <x v="97"/>
    <n v="202412"/>
    <x v="2"/>
    <x v="1"/>
    <s v="María R"/>
    <s v="María R"/>
    <n v="73058"/>
    <n v="6494566"/>
    <n v="88.896001344086031"/>
    <n v="0"/>
    <n v="94"/>
    <n v="77.5"/>
    <m/>
    <n v="0"/>
  </r>
  <r>
    <x v="79"/>
    <n v="202501"/>
    <x v="1"/>
    <x v="10"/>
    <s v="Sebastián S"/>
    <s v="Vik E"/>
    <n v="73057"/>
    <n v="5564635"/>
    <n v="76.168138440860119"/>
    <n v="71183.375077397199"/>
    <n v="84.5"/>
    <n v="78.5"/>
    <n v="78.173245985451089"/>
    <n v="5578169"/>
  </r>
  <r>
    <x v="66"/>
    <n v="202507"/>
    <x v="1"/>
    <x v="6"/>
    <s v="Sebastián S"/>
    <s v="Rodolfo O"/>
    <n v="73023"/>
    <n v="4188129"/>
    <n v="57.353803763440858"/>
    <n v="83648.713136982347"/>
    <n v="55"/>
    <n v="55.5"/>
    <n v="50.06805786888269"/>
    <n v="4338730"/>
  </r>
  <r>
    <x v="82"/>
    <n v="202401"/>
    <x v="2"/>
    <x v="10"/>
    <s v="Sebastián S"/>
    <s v="Vik E"/>
    <n v="73004"/>
    <n v="3682621"/>
    <n v="50.444220430107549"/>
    <n v="0"/>
    <n v="61.5"/>
    <n v="56"/>
    <m/>
    <n v="0"/>
  </r>
  <r>
    <x v="93"/>
    <n v="202603"/>
    <x v="0"/>
    <x v="0"/>
    <s v="Hernán P"/>
    <s v="Daniel R"/>
    <n v="72993"/>
    <n v="2766432"/>
    <n v="37.899966397849461"/>
    <n v="68513.959981004096"/>
    <n v="45.5"/>
    <n v="42.5"/>
    <n v="36.981595266169094"/>
    <n v="2533756"/>
  </r>
  <r>
    <x v="83"/>
    <n v="202405"/>
    <x v="2"/>
    <x v="3"/>
    <s v="Hernán P"/>
    <s v="Daniel R"/>
    <n v="72918"/>
    <n v="3348839"/>
    <n v="45.926256720430089"/>
    <n v="0"/>
    <n v="51"/>
    <n v="49"/>
    <m/>
    <n v="0"/>
  </r>
  <r>
    <x v="50"/>
    <n v="202510"/>
    <x v="1"/>
    <x v="8"/>
    <s v="Sebastián S"/>
    <s v="Vik E"/>
    <n v="72894"/>
    <n v="4382270"/>
    <n v="60.118380376344106"/>
    <n v="79984.252568728698"/>
    <n v="75.5"/>
    <n v="74"/>
    <n v="54.789163857403196"/>
    <n v="6628934"/>
  </r>
  <r>
    <x v="55"/>
    <n v="202606"/>
    <x v="0"/>
    <x v="11"/>
    <s v="Sebastián S"/>
    <s v="Vik E"/>
    <n v="72885"/>
    <n v="3636438"/>
    <n v="49.892645833333241"/>
    <n v="74231.660731639335"/>
    <n v="69.5"/>
    <n v="59"/>
    <n v="57.926444284268129"/>
    <n v="4299976"/>
  </r>
  <r>
    <x v="72"/>
    <n v="202509"/>
    <x v="1"/>
    <x v="4"/>
    <s v="Sebastián S"/>
    <s v="Vik E"/>
    <n v="72883"/>
    <n v="4752266"/>
    <n v="65.204173611111145"/>
    <n v="72504.170119938004"/>
    <n v="79.5"/>
    <n v="67"/>
    <n v="65.544729111976523"/>
    <n v="4983333"/>
  </r>
  <r>
    <x v="98"/>
    <n v="202603"/>
    <x v="0"/>
    <x v="0"/>
    <s v="Hernán P"/>
    <s v="Daniel R"/>
    <n v="72883"/>
    <n v="5404223"/>
    <n v="74.149758064516135"/>
    <n v="72725.683286355183"/>
    <n v="87"/>
    <n v="77.5"/>
    <n v="73.970842069892498"/>
    <n v="5379580"/>
  </r>
  <r>
    <x v="71"/>
    <n v="202504"/>
    <x v="1"/>
    <x v="9"/>
    <s v="Sebastián S"/>
    <s v="Rodolfo O"/>
    <n v="72860"/>
    <n v="3736759"/>
    <n v="51.28656944444446"/>
    <n v="64211.291223798486"/>
    <n v="53.5"/>
    <n v="54"/>
    <n v="58.194741279631096"/>
    <n v="4032579"/>
  </r>
  <r>
    <x v="34"/>
    <n v="202501"/>
    <x v="1"/>
    <x v="10"/>
    <s v="Hernán P"/>
    <s v="Daniel R"/>
    <n v="72853"/>
    <n v="1035404"/>
    <n v="14.212211021505381"/>
    <n v="83327.937777939413"/>
    <n v="15"/>
    <n v="15"/>
    <n v="12.425649999394526"/>
    <n v="1048469"/>
  </r>
  <r>
    <x v="76"/>
    <n v="202411"/>
    <x v="2"/>
    <x v="7"/>
    <s v="Hernán P"/>
    <s v="Daniel R"/>
    <n v="72846"/>
    <n v="7280778"/>
    <n v="99.947749999999971"/>
    <n v="0"/>
    <n v="106"/>
    <n v="94.5"/>
    <m/>
    <n v="0"/>
  </r>
  <r>
    <x v="61"/>
    <n v="202501"/>
    <x v="1"/>
    <x v="10"/>
    <s v="Sofía V"/>
    <s v="Joe H"/>
    <n v="72842"/>
    <n v="2380725"/>
    <n v="32.683555107526892"/>
    <n v="64571.915303091155"/>
    <n v="41.5"/>
    <n v="35.5"/>
    <n v="36.869355025713958"/>
    <n v="2126328"/>
  </r>
  <r>
    <x v="41"/>
    <n v="202401"/>
    <x v="2"/>
    <x v="10"/>
    <s v="Sebastián S"/>
    <s v="Rodolfo O"/>
    <n v="72772"/>
    <n v="4915108"/>
    <n v="67.540779569892422"/>
    <n v="0"/>
    <n v="64.5"/>
    <n v="64"/>
    <m/>
    <n v="0"/>
  </r>
  <r>
    <x v="51"/>
    <n v="202406"/>
    <x v="2"/>
    <x v="11"/>
    <s v="Sofía V"/>
    <s v="Melany A"/>
    <n v="72750"/>
    <n v="2912127"/>
    <n v="40.029062500000009"/>
    <n v="0"/>
    <n v="43.5"/>
    <n v="41"/>
    <m/>
    <n v="0"/>
  </r>
  <r>
    <x v="72"/>
    <n v="202501"/>
    <x v="1"/>
    <x v="10"/>
    <s v="Sebastián S"/>
    <s v="Vik E"/>
    <n v="72719"/>
    <n v="5042939"/>
    <n v="69.348360215053759"/>
    <n v="78402.290783592398"/>
    <n v="79.5"/>
    <n v="67"/>
    <n v="64.321320838948736"/>
    <n v="5001147"/>
  </r>
  <r>
    <x v="58"/>
    <n v="202405"/>
    <x v="2"/>
    <x v="3"/>
    <s v="Sebastián S"/>
    <s v="Rodolfo O"/>
    <n v="72691"/>
    <n v="4660940"/>
    <n v="64.120235215053754"/>
    <n v="0"/>
    <n v="66.5"/>
    <n v="63.5"/>
    <m/>
    <n v="0"/>
  </r>
  <r>
    <x v="77"/>
    <n v="202508"/>
    <x v="1"/>
    <x v="5"/>
    <s v="Fátima L"/>
    <s v="Fátima L"/>
    <n v="72644"/>
    <n v="960818"/>
    <n v="13.226424731182792"/>
    <n v="69490.023691203591"/>
    <n v="17"/>
    <n v="13.5"/>
    <n v="13.826697545386294"/>
    <n v="1106307"/>
  </r>
  <r>
    <x v="71"/>
    <n v="202410"/>
    <x v="2"/>
    <x v="8"/>
    <s v="Sebastián S"/>
    <s v="Rodolfo O"/>
    <n v="72641"/>
    <n v="3755473"/>
    <n v="51.699045698924721"/>
    <n v="0"/>
    <n v="53.5"/>
    <n v="54"/>
    <m/>
    <n v="0"/>
  </r>
  <r>
    <x v="27"/>
    <n v="202404"/>
    <x v="2"/>
    <x v="9"/>
    <s v="Sofía V"/>
    <s v="Joe H"/>
    <n v="72608"/>
    <n v="4437183"/>
    <n v="61.111749999999994"/>
    <n v="0"/>
    <n v="62"/>
    <n v="58"/>
    <m/>
    <n v="0"/>
  </r>
  <r>
    <x v="61"/>
    <n v="202409"/>
    <x v="2"/>
    <x v="4"/>
    <s v="Sofía V"/>
    <s v="Joe H"/>
    <n v="72601"/>
    <n v="2573365"/>
    <n v="35.445083333333329"/>
    <n v="0"/>
    <n v="41.5"/>
    <n v="35.5"/>
    <m/>
    <n v="0"/>
  </r>
  <r>
    <x v="58"/>
    <n v="202404"/>
    <x v="2"/>
    <x v="9"/>
    <s v="Sebastián S"/>
    <s v="Rodolfo O"/>
    <n v="72585"/>
    <n v="4708195"/>
    <n v="64.864187500000014"/>
    <n v="0"/>
    <n v="66.5"/>
    <n v="63.5"/>
    <m/>
    <n v="0"/>
  </r>
  <r>
    <x v="91"/>
    <n v="202412"/>
    <x v="2"/>
    <x v="1"/>
    <s v="Hernán P"/>
    <s v="Daniel R"/>
    <n v="72564"/>
    <n v="1532013"/>
    <n v="21.112479838709675"/>
    <n v="0"/>
    <n v="19"/>
    <n v="21.5"/>
    <m/>
    <n v="0"/>
  </r>
  <r>
    <x v="0"/>
    <n v="202403"/>
    <x v="2"/>
    <x v="0"/>
    <s v="Fátima L"/>
    <s v="Fátima L"/>
    <n v="72564"/>
    <n v="960131"/>
    <n v="13.231599462365594"/>
    <n v="0"/>
    <n v="13.5"/>
    <n v="12.5"/>
    <m/>
    <n v="0"/>
  </r>
  <r>
    <x v="96"/>
    <n v="202412"/>
    <x v="2"/>
    <x v="1"/>
    <s v="Fátima L"/>
    <s v="Fátima L"/>
    <n v="72552"/>
    <n v="816362"/>
    <n v="11.252170698924735"/>
    <n v="0"/>
    <n v="11.5"/>
    <n v="10"/>
    <m/>
    <n v="0"/>
  </r>
  <r>
    <x v="70"/>
    <n v="202501"/>
    <x v="1"/>
    <x v="10"/>
    <s v="Sebastián S"/>
    <s v="Vik E"/>
    <n v="72530"/>
    <n v="3618133"/>
    <n v="49.884361559139812"/>
    <n v="69997.757721901507"/>
    <n v="60.5"/>
    <n v="57.5"/>
    <n v="51.689263024320105"/>
    <n v="3361862"/>
  </r>
  <r>
    <x v="79"/>
    <n v="202511"/>
    <x v="1"/>
    <x v="7"/>
    <s v="Sebastián S"/>
    <s v="Vik E"/>
    <n v="72498"/>
    <n v="5624534"/>
    <n v="77.582361111111211"/>
    <n v="74494.673903316143"/>
    <n v="84.5"/>
    <n v="78.5"/>
    <n v="75.502498706147406"/>
    <n v="5798059"/>
  </r>
  <r>
    <x v="81"/>
    <n v="202503"/>
    <x v="1"/>
    <x v="0"/>
    <s v="Fátima L"/>
    <s v="Fátima L"/>
    <n v="72466"/>
    <n v="814927"/>
    <n v="11.245584677419355"/>
    <n v="77518.152405465866"/>
    <n v="11.5"/>
    <n v="12"/>
    <n v="10.512726306187592"/>
    <n v="828927"/>
  </r>
  <r>
    <x v="83"/>
    <n v="202601"/>
    <x v="0"/>
    <x v="10"/>
    <s v="Hernán P"/>
    <s v="Daniel R"/>
    <n v="72434"/>
    <n v="3047886"/>
    <n v="42.077950268817197"/>
    <n v="84340.915088821697"/>
    <n v="51"/>
    <n v="49"/>
    <n v="41.451897990651069"/>
    <n v="3496091"/>
  </r>
  <r>
    <x v="74"/>
    <n v="202412"/>
    <x v="2"/>
    <x v="1"/>
    <s v="Sebastián S"/>
    <s v="Rodolfo O"/>
    <n v="72431"/>
    <n v="2149342"/>
    <n v="29.674448924731184"/>
    <n v="0"/>
    <n v="27"/>
    <n v="27"/>
    <m/>
    <n v="0"/>
  </r>
  <r>
    <x v="66"/>
    <n v="202502"/>
    <x v="1"/>
    <x v="2"/>
    <s v="Sebastián S"/>
    <s v="Rodolfo O"/>
    <n v="72430"/>
    <n v="3734887"/>
    <n v="51.56541666666665"/>
    <n v="66736.408601227798"/>
    <n v="55"/>
    <n v="55.5"/>
    <n v="55.964759690878644"/>
    <n v="3481997"/>
  </r>
  <r>
    <x v="57"/>
    <n v="202604"/>
    <x v="0"/>
    <x v="9"/>
    <s v="Hernán P"/>
    <s v="Daniel R"/>
    <n v="72425"/>
    <n v="3010500"/>
    <n v="41.566972222222326"/>
    <n v="70225.550716718993"/>
    <n v="53.5"/>
    <n v="52"/>
    <n v="43.483853774506514"/>
    <n v="3053678"/>
  </r>
  <r>
    <x v="75"/>
    <n v="202604"/>
    <x v="0"/>
    <x v="9"/>
    <s v="Hernán P"/>
    <s v="Daniel R"/>
    <n v="72382"/>
    <n v="1607803"/>
    <n v="22.212749999999989"/>
    <n v="54606.774989499521"/>
    <n v="31"/>
    <n v="27"/>
    <n v="27.070532526124346"/>
    <n v="1478234"/>
  </r>
  <r>
    <x v="79"/>
    <n v="202602"/>
    <x v="0"/>
    <x v="2"/>
    <s v="Sebastián S"/>
    <s v="Vik E"/>
    <n v="72365"/>
    <n v="5584141"/>
    <n v="77.166562499999998"/>
    <n v="75062.822124771192"/>
    <n v="84.5"/>
    <n v="78.5"/>
    <n v="72.494656792343278"/>
    <n v="5441654"/>
  </r>
  <r>
    <x v="60"/>
    <n v="202405"/>
    <x v="2"/>
    <x v="3"/>
    <s v="Sofía V"/>
    <s v="Melany A"/>
    <n v="72249"/>
    <n v="5971887"/>
    <n v="82.657486559139812"/>
    <n v="0"/>
    <n v="88.5"/>
    <n v="92.5"/>
    <m/>
    <n v="0"/>
  </r>
  <r>
    <x v="64"/>
    <n v="202601"/>
    <x v="0"/>
    <x v="10"/>
    <s v="Sebastián S"/>
    <s v="Johanna V"/>
    <n v="72234"/>
    <n v="4956015"/>
    <n v="68.610772849462379"/>
    <n v="77006.41506107639"/>
    <n v="75.5"/>
    <n v="70.5"/>
    <n v="63.423114179855602"/>
    <n v="4883987"/>
  </r>
  <r>
    <x v="102"/>
    <n v="202412"/>
    <x v="2"/>
    <x v="1"/>
    <s v="Fátima L"/>
    <s v="Fátima L"/>
    <n v="72219"/>
    <n v="793260"/>
    <n v="10.984025537634411"/>
    <n v="0"/>
    <n v="11"/>
    <n v="12"/>
    <m/>
    <n v="0"/>
  </r>
  <r>
    <x v="58"/>
    <n v="202602"/>
    <x v="0"/>
    <x v="2"/>
    <s v="Sebastián S"/>
    <s v="Rodolfo O"/>
    <n v="72204"/>
    <n v="4465768"/>
    <n v="61.849322916666658"/>
    <n v="96079.222940984459"/>
    <n v="66.5"/>
    <n v="63.5"/>
    <n v="54.652141241039438"/>
    <n v="5250935"/>
  </r>
  <r>
    <x v="43"/>
    <n v="202510"/>
    <x v="1"/>
    <x v="8"/>
    <s v="Sofía V"/>
    <s v="José A"/>
    <n v="72144"/>
    <n v="2259933"/>
    <n v="31.325094086021508"/>
    <n v="83962.654350323384"/>
    <n v="32.5"/>
    <n v="32"/>
    <n v="26.915931106354975"/>
    <n v="2262924"/>
  </r>
  <r>
    <x v="34"/>
    <n v="202510"/>
    <x v="1"/>
    <x v="8"/>
    <s v="Hernán P"/>
    <s v="Daniel R"/>
    <n v="72133"/>
    <n v="1045521"/>
    <n v="14.494327956989247"/>
    <n v="88267.452543987223"/>
    <n v="15"/>
    <n v="15"/>
    <n v="11.844920181410865"/>
    <n v="1070703"/>
  </r>
  <r>
    <x v="34"/>
    <n v="202505"/>
    <x v="1"/>
    <x v="3"/>
    <s v="Hernán P"/>
    <s v="Daniel R"/>
    <n v="72109"/>
    <n v="1074969"/>
    <n v="14.90750672043011"/>
    <n v="81553.2871903286"/>
    <n v="15"/>
    <n v="15"/>
    <n v="13.181180269180864"/>
    <n v="1126548"/>
  </r>
  <r>
    <x v="58"/>
    <n v="202402"/>
    <x v="2"/>
    <x v="2"/>
    <s v="Sebastián S"/>
    <s v="Rodolfo O"/>
    <n v="72037"/>
    <n v="4725625"/>
    <n v="65.599856321839098"/>
    <n v="0"/>
    <n v="66.5"/>
    <n v="63.5"/>
    <m/>
    <n v="0"/>
  </r>
  <r>
    <x v="66"/>
    <n v="202505"/>
    <x v="1"/>
    <x v="3"/>
    <s v="Sebastián S"/>
    <s v="Rodolfo O"/>
    <n v="72037"/>
    <n v="3962713"/>
    <n v="55.00950940860217"/>
    <n v="70010.566028617148"/>
    <n v="55"/>
    <n v="55.5"/>
    <n v="56.601641506229534"/>
    <n v="3869134"/>
  </r>
  <r>
    <x v="81"/>
    <n v="202501"/>
    <x v="1"/>
    <x v="10"/>
    <s v="Fátima L"/>
    <s v="Fátima L"/>
    <n v="72009"/>
    <n v="750959"/>
    <n v="10.428682795698927"/>
    <n v="78947.918384486911"/>
    <n v="11.5"/>
    <n v="12"/>
    <n v="9.5120782835936275"/>
    <n v="835410"/>
  </r>
  <r>
    <x v="64"/>
    <n v="202406"/>
    <x v="2"/>
    <x v="11"/>
    <s v="Sebastián S"/>
    <s v="Johanna V"/>
    <n v="71979"/>
    <n v="5462441"/>
    <n v="75.889770833333358"/>
    <n v="0"/>
    <n v="75.5"/>
    <n v="70.5"/>
    <m/>
    <n v="0"/>
  </r>
  <r>
    <x v="61"/>
    <n v="202410"/>
    <x v="2"/>
    <x v="8"/>
    <s v="Sofía V"/>
    <s v="Joe H"/>
    <n v="71949"/>
    <n v="2606113"/>
    <n v="36.221518817204284"/>
    <n v="0"/>
    <n v="41.5"/>
    <n v="35.5"/>
    <m/>
    <n v="0"/>
  </r>
  <r>
    <x v="83"/>
    <n v="202402"/>
    <x v="2"/>
    <x v="2"/>
    <s v="Hernán P"/>
    <s v="Daniel R"/>
    <n v="71942"/>
    <n v="3209254"/>
    <n v="44.608706896551723"/>
    <n v="0"/>
    <n v="51"/>
    <n v="49"/>
    <m/>
    <n v="0"/>
  </r>
  <r>
    <x v="92"/>
    <n v="202605"/>
    <x v="0"/>
    <x v="3"/>
    <s v="Fátima L"/>
    <s v="Fátima L"/>
    <n v="71932"/>
    <n v="629010"/>
    <n v="8.7444959677419316"/>
    <n v="57870.213084584815"/>
    <n v="11.5"/>
    <n v="10"/>
    <n v="10.042294324207418"/>
    <n v="581150"/>
  </r>
  <r>
    <x v="47"/>
    <n v="202402"/>
    <x v="2"/>
    <x v="2"/>
    <s v="Sebastián S"/>
    <s v="Vik E"/>
    <n v="71870"/>
    <n v="4454557"/>
    <n v="61.981077586206915"/>
    <n v="0"/>
    <n v="61.5"/>
    <n v="48.5"/>
    <m/>
    <n v="0"/>
  </r>
  <r>
    <x v="94"/>
    <n v="202603"/>
    <x v="0"/>
    <x v="0"/>
    <s v="Hernán P"/>
    <s v="Daniel R"/>
    <n v="71867"/>
    <n v="2134888"/>
    <n v="29.706014784946237"/>
    <n v="0"/>
    <n v="33"/>
    <n v="31.5"/>
    <n v="35.22317754154448"/>
    <n v="0"/>
  </r>
  <r>
    <x v="98"/>
    <n v="202410"/>
    <x v="2"/>
    <x v="8"/>
    <s v="Hernán P"/>
    <s v="Daniel R"/>
    <n v="71855"/>
    <n v="5529380"/>
    <n v="76.952110215053736"/>
    <n v="0"/>
    <n v="87"/>
    <n v="77.5"/>
    <m/>
    <n v="0"/>
  </r>
  <r>
    <x v="67"/>
    <n v="202508"/>
    <x v="1"/>
    <x v="5"/>
    <s v="Hernán P"/>
    <s v="Daniel R"/>
    <n v="71848"/>
    <n v="1090271"/>
    <n v="15.174758064516125"/>
    <n v="86839.824264342169"/>
    <n v="15.5"/>
    <n v="14.5"/>
    <n v="12.554963454108265"/>
    <n v="1109423"/>
  </r>
  <r>
    <x v="68"/>
    <n v="202410"/>
    <x v="2"/>
    <x v="8"/>
    <s v="Sofía V"/>
    <s v="José A"/>
    <n v="71801"/>
    <n v="3378276"/>
    <n v="47.050631720430104"/>
    <n v="0"/>
    <n v="52"/>
    <n v="52"/>
    <m/>
    <n v="0"/>
  </r>
  <r>
    <x v="51"/>
    <n v="202501"/>
    <x v="1"/>
    <x v="10"/>
    <s v="Sofía V"/>
    <s v="Melany A"/>
    <n v="71775"/>
    <n v="2843180"/>
    <n v="39.612661290322599"/>
    <n v="69521.171297107896"/>
    <n v="43.5"/>
    <n v="41"/>
    <n v="40.896605407427558"/>
    <n v="3003677"/>
  </r>
  <r>
    <x v="60"/>
    <n v="202510"/>
    <x v="1"/>
    <x v="8"/>
    <s v="Sofía V"/>
    <s v="Melany A"/>
    <n v="71767"/>
    <n v="8080249"/>
    <n v="112.58940188172052"/>
    <n v="81000.243443003492"/>
    <n v="88.5"/>
    <n v="92.5"/>
    <n v="99.755858705359771"/>
    <n v="6368843"/>
  </r>
  <r>
    <x v="89"/>
    <n v="202503"/>
    <x v="1"/>
    <x v="0"/>
    <s v="Sebastián S"/>
    <s v="Rodolfo O"/>
    <n v="71746"/>
    <n v="2479490"/>
    <n v="34.559159946236555"/>
    <n v="71840.276422153634"/>
    <n v="34"/>
    <n v="34"/>
    <n v="34.513924827207255"/>
    <n v="2416430"/>
  </r>
  <r>
    <x v="39"/>
    <n v="202411"/>
    <x v="2"/>
    <x v="7"/>
    <s v="Sofía V"/>
    <s v="Melany A"/>
    <n v="71746"/>
    <n v="4582563"/>
    <n v="63.872423611111081"/>
    <n v="0"/>
    <n v="60.5"/>
    <n v="60.5"/>
    <m/>
    <n v="0"/>
  </r>
  <r>
    <x v="97"/>
    <n v="202604"/>
    <x v="0"/>
    <x v="9"/>
    <s v="María R"/>
    <s v="María R"/>
    <n v="71742"/>
    <n v="5606053"/>
    <n v="78.141729166668043"/>
    <n v="71887.976023851748"/>
    <n v="94"/>
    <n v="77.5"/>
    <n v="81.023149648384276"/>
    <n v="5824590"/>
  </r>
  <r>
    <x v="81"/>
    <n v="202505"/>
    <x v="1"/>
    <x v="3"/>
    <s v="Fátima L"/>
    <s v="Fátima L"/>
    <n v="71737"/>
    <n v="752476"/>
    <n v="10.489415322580646"/>
    <n v="74944.557617107945"/>
    <n v="11.5"/>
    <n v="12"/>
    <n v="10.040433674242259"/>
    <n v="820972"/>
  </r>
  <r>
    <x v="67"/>
    <n v="202404"/>
    <x v="2"/>
    <x v="9"/>
    <s v="Hernán P"/>
    <s v="Daniel R"/>
    <n v="71733"/>
    <n v="1041122"/>
    <n v="14.513819444444444"/>
    <n v="0"/>
    <n v="15.5"/>
    <n v="14.5"/>
    <m/>
    <n v="0"/>
  </r>
  <r>
    <x v="85"/>
    <n v="202504"/>
    <x v="1"/>
    <x v="9"/>
    <s v="Hernán P"/>
    <s v="Daniel R"/>
    <n v="71725"/>
    <n v="2544245"/>
    <n v="35.472159722222216"/>
    <n v="72354.913017415325"/>
    <n v="44"/>
    <n v="40.5"/>
    <n v="35.163406517918389"/>
    <n v="2741018"/>
  </r>
  <r>
    <x v="94"/>
    <n v="202604"/>
    <x v="0"/>
    <x v="9"/>
    <s v="Hernán P"/>
    <s v="Daniel R"/>
    <n v="71680"/>
    <n v="2039024"/>
    <n v="28.446201388888674"/>
    <n v="0"/>
    <n v="33"/>
    <n v="31.5"/>
    <n v="35.22317754154448"/>
    <m/>
  </r>
  <r>
    <x v="55"/>
    <n v="202602"/>
    <x v="0"/>
    <x v="2"/>
    <s v="Sebastián S"/>
    <s v="Vik E"/>
    <n v="71669"/>
    <n v="4138428"/>
    <n v="57.743645833333332"/>
    <n v="83303.730995802282"/>
    <n v="69.5"/>
    <n v="59"/>
    <n v="57.926444284268129"/>
    <n v="4825489"/>
  </r>
  <r>
    <x v="70"/>
    <n v="202511"/>
    <x v="1"/>
    <x v="7"/>
    <s v="Sebastián S"/>
    <s v="Vik E"/>
    <n v="71643"/>
    <n v="3769598"/>
    <n v="52.616277777777782"/>
    <n v="72733.90955278599"/>
    <n v="60.5"/>
    <n v="57.5"/>
    <n v="51.827245547198956"/>
    <n v="3660767"/>
  </r>
  <r>
    <x v="98"/>
    <n v="202506"/>
    <x v="1"/>
    <x v="11"/>
    <s v="Hernán P"/>
    <s v="Daniel R"/>
    <n v="71633"/>
    <n v="5241607"/>
    <n v="73.173527777777821"/>
    <n v="62695.975172654558"/>
    <n v="87"/>
    <n v="77.5"/>
    <n v="83.60356666541135"/>
    <n v="5318382"/>
  </r>
  <r>
    <x v="9"/>
    <n v="202409"/>
    <x v="2"/>
    <x v="4"/>
    <s v="Sofía V"/>
    <s v="Joe H"/>
    <n v="71592"/>
    <n v="4583148"/>
    <n v="64.017284722222243"/>
    <n v="0"/>
    <n v="70.5"/>
    <n v="69.5"/>
    <m/>
    <n v="0"/>
  </r>
  <r>
    <x v="79"/>
    <n v="202502"/>
    <x v="1"/>
    <x v="2"/>
    <s v="Sebastián S"/>
    <s v="Vik E"/>
    <n v="71586"/>
    <n v="5423674"/>
    <n v="75.764062500000023"/>
    <n v="65727.196999850275"/>
    <n v="84.5"/>
    <n v="78.5"/>
    <n v="82.517962389486271"/>
    <n v="5350985"/>
  </r>
  <r>
    <x v="85"/>
    <n v="202402"/>
    <x v="2"/>
    <x v="2"/>
    <s v="Hernán P"/>
    <s v="Daniel R"/>
    <n v="71549"/>
    <n v="2573890"/>
    <n v="35.973663793103455"/>
    <n v="0"/>
    <n v="44"/>
    <n v="40.5"/>
    <m/>
    <n v="0"/>
  </r>
  <r>
    <x v="55"/>
    <n v="202509"/>
    <x v="1"/>
    <x v="4"/>
    <s v="Sebastián S"/>
    <s v="Vik E"/>
    <n v="71548"/>
    <n v="3775263"/>
    <n v="52.765270833333361"/>
    <n v="77796.983989007858"/>
    <n v="69.5"/>
    <n v="59"/>
    <n v="48.527118358899592"/>
    <n v="4978333"/>
  </r>
  <r>
    <x v="66"/>
    <n v="202508"/>
    <x v="1"/>
    <x v="5"/>
    <s v="Sebastián S"/>
    <s v="Rodolfo O"/>
    <n v="71540"/>
    <n v="3918882"/>
    <n v="54.778575268817235"/>
    <n v="85359.837322305844"/>
    <n v="55"/>
    <n v="55.5"/>
    <n v="45.910143375776272"/>
    <n v="4037493"/>
  </r>
  <r>
    <x v="47"/>
    <n v="202405"/>
    <x v="2"/>
    <x v="3"/>
    <s v="Sebastián S"/>
    <s v="Vik E"/>
    <n v="71536"/>
    <n v="4561203"/>
    <n v="63.760920698924728"/>
    <n v="0"/>
    <n v="61.5"/>
    <n v="48.5"/>
    <m/>
    <n v="0"/>
  </r>
  <r>
    <x v="98"/>
    <n v="202403"/>
    <x v="2"/>
    <x v="0"/>
    <s v="Hernán P"/>
    <s v="Daniel R"/>
    <n v="71441"/>
    <n v="5363460"/>
    <n v="75.07537634408601"/>
    <n v="0"/>
    <n v="87"/>
    <n v="77.5"/>
    <m/>
    <n v="0"/>
  </r>
  <r>
    <x v="39"/>
    <n v="202402"/>
    <x v="2"/>
    <x v="2"/>
    <s v="Sofía V"/>
    <s v="Melany A"/>
    <n v="71395"/>
    <n v="4789909"/>
    <n v="67.090323275862076"/>
    <n v="0"/>
    <n v="60.5"/>
    <n v="60.5"/>
    <m/>
    <n v="0"/>
  </r>
  <r>
    <x v="39"/>
    <n v="202409"/>
    <x v="2"/>
    <x v="4"/>
    <s v="Sofía V"/>
    <s v="Melany A"/>
    <n v="71394"/>
    <n v="4267169"/>
    <n v="59.769208333333317"/>
    <n v="0"/>
    <n v="60.5"/>
    <n v="60.5"/>
    <m/>
    <n v="0"/>
  </r>
  <r>
    <x v="81"/>
    <n v="202405"/>
    <x v="2"/>
    <x v="3"/>
    <s v="Fátima L"/>
    <s v="Fátima L"/>
    <n v="71376"/>
    <n v="791350"/>
    <n v="11.087096774193547"/>
    <n v="0"/>
    <n v="11.5"/>
    <n v="12"/>
    <m/>
    <n v="0"/>
  </r>
  <r>
    <x v="98"/>
    <n v="202508"/>
    <x v="1"/>
    <x v="5"/>
    <s v="Hernán P"/>
    <s v="Daniel R"/>
    <n v="71336"/>
    <n v="5175514"/>
    <n v="72.551048387096785"/>
    <n v="66488.263656043186"/>
    <n v="87"/>
    <n v="77.5"/>
    <n v="77.841013517422354"/>
    <n v="5462962"/>
  </r>
  <r>
    <x v="83"/>
    <n v="202406"/>
    <x v="2"/>
    <x v="11"/>
    <s v="Hernán P"/>
    <s v="Daniel R"/>
    <n v="71335"/>
    <n v="3308607"/>
    <n v="46.381270833333346"/>
    <n v="0"/>
    <n v="51"/>
    <n v="49"/>
    <m/>
    <n v="0"/>
  </r>
  <r>
    <x v="67"/>
    <n v="202406"/>
    <x v="2"/>
    <x v="11"/>
    <s v="Hernán P"/>
    <s v="Daniel R"/>
    <n v="71334"/>
    <n v="1037031"/>
    <n v="14.537687500000006"/>
    <n v="0"/>
    <n v="15.5"/>
    <n v="14.5"/>
    <m/>
    <n v="0"/>
  </r>
  <r>
    <x v="66"/>
    <n v="202406"/>
    <x v="2"/>
    <x v="11"/>
    <s v="Sebastián S"/>
    <s v="Rodolfo O"/>
    <n v="71317"/>
    <n v="3691100"/>
    <n v="51.756055555555555"/>
    <n v="0"/>
    <n v="55"/>
    <n v="55.5"/>
    <m/>
    <n v="0"/>
  </r>
  <r>
    <x v="55"/>
    <n v="202507"/>
    <x v="1"/>
    <x v="6"/>
    <s v="Sebastián S"/>
    <s v="Vik E"/>
    <n v="71299"/>
    <n v="4398569"/>
    <n v="61.691451612903229"/>
    <n v="82779.102495847124"/>
    <n v="69.5"/>
    <n v="59"/>
    <n v="53.136223000493025"/>
    <n v="5248901"/>
  </r>
  <r>
    <x v="75"/>
    <n v="202605"/>
    <x v="0"/>
    <x v="3"/>
    <s v="Hernán P"/>
    <s v="Daniel R"/>
    <n v="71291"/>
    <n v="1731113"/>
    <n v="24.282190860215206"/>
    <n v="58931.556494518583"/>
    <n v="31"/>
    <n v="27"/>
    <n v="27.070532526124346"/>
    <n v="1595309"/>
  </r>
  <r>
    <x v="82"/>
    <n v="202502"/>
    <x v="1"/>
    <x v="2"/>
    <s v="Sebastián S"/>
    <s v="Vik E"/>
    <n v="71287"/>
    <n v="3811966"/>
    <n v="53.47369791666668"/>
    <n v="68211.041530521819"/>
    <n v="61.5"/>
    <n v="56"/>
    <n v="55.884889080520665"/>
    <n v="3723168"/>
  </r>
  <r>
    <x v="57"/>
    <n v="202402"/>
    <x v="2"/>
    <x v="2"/>
    <s v="Hernán P"/>
    <s v="Daniel R"/>
    <n v="71261"/>
    <n v="3687926"/>
    <n v="51.752277298850608"/>
    <n v="0"/>
    <n v="53.5"/>
    <n v="52"/>
    <m/>
    <n v="0"/>
  </r>
  <r>
    <x v="51"/>
    <n v="202411"/>
    <x v="2"/>
    <x v="7"/>
    <s v="Sofía V"/>
    <s v="Melany A"/>
    <n v="71256"/>
    <n v="2693860"/>
    <n v="37.805395833333343"/>
    <n v="0"/>
    <n v="43.5"/>
    <n v="41"/>
    <m/>
    <n v="0"/>
  </r>
  <r>
    <x v="68"/>
    <n v="202402"/>
    <x v="2"/>
    <x v="2"/>
    <s v="Sofía V"/>
    <s v="José A"/>
    <n v="71250"/>
    <n v="3384962"/>
    <n v="47.508074712643669"/>
    <n v="0"/>
    <n v="52"/>
    <n v="52"/>
    <m/>
    <n v="0"/>
  </r>
  <r>
    <x v="53"/>
    <n v="202402"/>
    <x v="2"/>
    <x v="2"/>
    <s v="Sebastián S"/>
    <s v="Johanna V"/>
    <n v="71247"/>
    <n v="4671774"/>
    <n v="65.571192528735665"/>
    <n v="0"/>
    <n v="68"/>
    <n v="60.5"/>
    <m/>
    <n v="0"/>
  </r>
  <r>
    <x v="87"/>
    <n v="202604"/>
    <x v="0"/>
    <x v="9"/>
    <s v="Fátima L"/>
    <s v="Fátima L"/>
    <n v="71246"/>
    <n v="679758"/>
    <n v="9.5409999999999933"/>
    <n v="67766.15641104606"/>
    <n v="11"/>
    <n v="11"/>
    <n v="10.04229432420742"/>
    <n v="680528"/>
  </r>
  <r>
    <x v="82"/>
    <n v="202501"/>
    <x v="1"/>
    <x v="10"/>
    <s v="Sebastián S"/>
    <s v="Vik E"/>
    <n v="71241"/>
    <n v="3628386"/>
    <n v="50.931303763440873"/>
    <n v="76654.013116478571"/>
    <n v="61.5"/>
    <n v="56"/>
    <n v="47.334588398999223"/>
    <n v="3820388"/>
  </r>
  <r>
    <x v="102"/>
    <n v="202401"/>
    <x v="2"/>
    <x v="10"/>
    <s v="Fátima L"/>
    <s v="Fátima L"/>
    <n v="71237"/>
    <n v="721389"/>
    <n v="10.126572580645162"/>
    <n v="0"/>
    <n v="11"/>
    <n v="12"/>
    <m/>
    <n v="0"/>
  </r>
  <r>
    <x v="61"/>
    <n v="202503"/>
    <x v="1"/>
    <x v="0"/>
    <s v="Sofía V"/>
    <s v="Joe H"/>
    <n v="71148"/>
    <n v="2573285"/>
    <n v="36.167842741935488"/>
    <n v="68548.90710025336"/>
    <n v="41.5"/>
    <n v="35.5"/>
    <n v="37.539407539153729"/>
    <n v="2454686"/>
  </r>
  <r>
    <x v="97"/>
    <n v="202505"/>
    <x v="1"/>
    <x v="3"/>
    <s v="María R"/>
    <s v="María R"/>
    <n v="71144"/>
    <n v="5558760"/>
    <n v="78.133501344086028"/>
    <n v="66564.511309523441"/>
    <n v="94"/>
    <n v="77.5"/>
    <n v="83.509360177706313"/>
    <n v="5550094"/>
  </r>
  <r>
    <x v="39"/>
    <n v="202405"/>
    <x v="2"/>
    <x v="3"/>
    <s v="Sofía V"/>
    <s v="Melany A"/>
    <n v="71136"/>
    <n v="4580161"/>
    <n v="64.386122311827975"/>
    <n v="0"/>
    <n v="60.5"/>
    <n v="60.5"/>
    <m/>
    <n v="0"/>
  </r>
  <r>
    <x v="54"/>
    <n v="202409"/>
    <x v="2"/>
    <x v="4"/>
    <s v="Sebastián S"/>
    <s v="Rodolfo O"/>
    <n v="71100"/>
    <n v="5325657"/>
    <n v="74.903743055555566"/>
    <n v="0"/>
    <n v="80"/>
    <n v="80.5"/>
    <m/>
    <n v="0"/>
  </r>
  <r>
    <x v="61"/>
    <n v="202411"/>
    <x v="2"/>
    <x v="7"/>
    <s v="Sofía V"/>
    <s v="Joe H"/>
    <n v="71064"/>
    <n v="2730367"/>
    <n v="38.421006944444436"/>
    <n v="0"/>
    <n v="41.5"/>
    <n v="35.5"/>
    <m/>
    <n v="0"/>
  </r>
  <r>
    <x v="43"/>
    <n v="202509"/>
    <x v="1"/>
    <x v="4"/>
    <s v="Sofía V"/>
    <s v="José A"/>
    <n v="71059"/>
    <n v="2151722"/>
    <n v="30.28083333333333"/>
    <n v="77132.204009384266"/>
    <n v="32.5"/>
    <n v="32"/>
    <n v="27.896549795701571"/>
    <n v="2167554"/>
  </r>
  <r>
    <x v="69"/>
    <n v="202601"/>
    <x v="0"/>
    <x v="10"/>
    <s v="Sofía V"/>
    <s v="José A"/>
    <n v="71055"/>
    <n v="6021223"/>
    <n v="84.740315860215006"/>
    <n v="84608.166271428563"/>
    <n v="84"/>
    <n v="76"/>
    <n v="84"/>
    <n v="7107086"/>
  </r>
  <r>
    <x v="18"/>
    <n v="202404"/>
    <x v="2"/>
    <x v="9"/>
    <s v="Sofía V"/>
    <s v="Joe H"/>
    <n v="71048"/>
    <n v="3646882"/>
    <n v="51.329541666666685"/>
    <n v="0"/>
    <n v="50.5"/>
    <n v="51.5"/>
    <m/>
    <n v="0"/>
  </r>
  <r>
    <x v="98"/>
    <n v="202503"/>
    <x v="1"/>
    <x v="0"/>
    <s v="Hernán P"/>
    <s v="Daniel R"/>
    <n v="71034"/>
    <n v="5331605"/>
    <n v="75.056935483870973"/>
    <n v="75013.053476935747"/>
    <n v="87"/>
    <n v="77.5"/>
    <n v="71.07569953327264"/>
    <n v="5407039"/>
  </r>
  <r>
    <x v="54"/>
    <n v="202404"/>
    <x v="2"/>
    <x v="9"/>
    <s v="Sebastián S"/>
    <s v="Rodolfo O"/>
    <n v="71021"/>
    <n v="5846282"/>
    <n v="82.317277777777775"/>
    <n v="0"/>
    <n v="80"/>
    <n v="80.5"/>
    <m/>
    <n v="0"/>
  </r>
  <r>
    <x v="92"/>
    <n v="202511"/>
    <x v="1"/>
    <x v="7"/>
    <s v="Fátima L"/>
    <s v="Fátima L"/>
    <n v="71015"/>
    <n v="579949"/>
    <n v="8.1666180555555563"/>
    <n v="58434.685114101325"/>
    <n v="11.5"/>
    <n v="10"/>
    <n v="9.9247321837633766"/>
    <n v="646973"/>
  </r>
  <r>
    <x v="84"/>
    <n v="202407"/>
    <x v="2"/>
    <x v="6"/>
    <s v="Sofía V"/>
    <s v="Melany A"/>
    <n v="70959"/>
    <n v="3833552"/>
    <n v="54.024522849462365"/>
    <n v="0"/>
    <n v="52.5"/>
    <n v="52.5"/>
    <m/>
    <n v="0"/>
  </r>
  <r>
    <x v="79"/>
    <n v="202411"/>
    <x v="2"/>
    <x v="7"/>
    <s v="Sebastián S"/>
    <s v="Vik E"/>
    <n v="70947"/>
    <n v="5649673"/>
    <n v="79.631951388888908"/>
    <n v="0"/>
    <n v="84.5"/>
    <n v="78.5"/>
    <m/>
    <n v="0"/>
  </r>
  <r>
    <x v="57"/>
    <n v="202508"/>
    <x v="1"/>
    <x v="5"/>
    <s v="Hernán P"/>
    <s v="Daniel R"/>
    <n v="70917"/>
    <n v="2982382"/>
    <n v="42.054428763440839"/>
    <n v="68258.789738159176"/>
    <n v="53.5"/>
    <n v="52"/>
    <n v="43.692275990248611"/>
    <n v="3249228"/>
  </r>
  <r>
    <x v="78"/>
    <n v="202407"/>
    <x v="2"/>
    <x v="6"/>
    <s v="Sebastián S"/>
    <s v="Vik E"/>
    <n v="70904"/>
    <n v="3769582"/>
    <n v="53.164341397849462"/>
    <n v="0"/>
    <n v="63"/>
    <n v="59"/>
    <m/>
    <n v="0"/>
  </r>
  <r>
    <x v="46"/>
    <n v="202502"/>
    <x v="1"/>
    <x v="2"/>
    <s v="Sofía V"/>
    <s v="José A"/>
    <n v="70899"/>
    <n v="3810704"/>
    <n v="53.748645833333356"/>
    <n v="80387.399760346962"/>
    <n v="58"/>
    <n v="58.5"/>
    <n v="47.404249563495931"/>
    <n v="4046501"/>
  </r>
  <r>
    <x v="45"/>
    <n v="202402"/>
    <x v="2"/>
    <x v="2"/>
    <s v="Sofía V"/>
    <s v="Joe H"/>
    <n v="70893"/>
    <n v="4474720"/>
    <n v="63.119331896551756"/>
    <n v="0"/>
    <n v="68"/>
    <n v="68.5"/>
    <m/>
    <n v="0"/>
  </r>
  <r>
    <x v="79"/>
    <n v="202410"/>
    <x v="2"/>
    <x v="8"/>
    <s v="Sebastián S"/>
    <s v="Vik E"/>
    <n v="70893"/>
    <n v="5418427"/>
    <n v="76.431108870967762"/>
    <n v="0"/>
    <n v="84.5"/>
    <n v="78.5"/>
    <m/>
    <n v="0"/>
  </r>
  <r>
    <x v="87"/>
    <n v="202504"/>
    <x v="1"/>
    <x v="9"/>
    <s v="Fátima L"/>
    <s v="Fátima L"/>
    <n v="70822"/>
    <n v="657392"/>
    <n v="9.282243055555556"/>
    <n v="66285.165630220232"/>
    <n v="11"/>
    <n v="11"/>
    <n v="9.9176274774259117"/>
    <n v="698243"/>
  </r>
  <r>
    <x v="61"/>
    <n v="202601"/>
    <x v="0"/>
    <x v="10"/>
    <s v="Sofía V"/>
    <s v="Joe H"/>
    <n v="70812"/>
    <n v="2723288"/>
    <n v="38.457802419354827"/>
    <n v="63000.275387293863"/>
    <n v="41.5"/>
    <n v="35.5"/>
    <n v="37.124878906032741"/>
    <n v="2338878"/>
  </r>
  <r>
    <x v="64"/>
    <n v="202602"/>
    <x v="0"/>
    <x v="2"/>
    <s v="Sebastián S"/>
    <s v="Johanna V"/>
    <n v="70812"/>
    <n v="4837239"/>
    <n v="68.310937499999994"/>
    <n v="72935.799661020879"/>
    <n v="75.5"/>
    <n v="70.5"/>
    <n v="63.423114179855602"/>
    <n v="4625816"/>
  </r>
  <r>
    <x v="64"/>
    <n v="202405"/>
    <x v="2"/>
    <x v="3"/>
    <s v="Sebastián S"/>
    <s v="Johanna V"/>
    <n v="70808"/>
    <n v="5276871"/>
    <n v="74.523467741935519"/>
    <n v="0"/>
    <n v="75.5"/>
    <n v="70.5"/>
    <m/>
    <n v="0"/>
  </r>
  <r>
    <x v="98"/>
    <n v="202401"/>
    <x v="2"/>
    <x v="10"/>
    <s v="Hernán P"/>
    <s v="Daniel R"/>
    <n v="70783"/>
    <n v="5077161"/>
    <n v="71.728783602150543"/>
    <n v="0"/>
    <n v="87"/>
    <n v="77.5"/>
    <m/>
    <n v="0"/>
  </r>
  <r>
    <x v="68"/>
    <n v="202506"/>
    <x v="1"/>
    <x v="11"/>
    <s v="Sofía V"/>
    <s v="José A"/>
    <n v="70744"/>
    <n v="3300782"/>
    <n v="46.657965277777777"/>
    <n v="74256.967469096315"/>
    <n v="52"/>
    <n v="52"/>
    <n v="44.450810913786555"/>
    <n v="3274226"/>
  </r>
  <r>
    <x v="0"/>
    <n v="202412"/>
    <x v="2"/>
    <x v="1"/>
    <s v="Fátima L"/>
    <s v="Fátima L"/>
    <n v="70744"/>
    <n v="1051277"/>
    <n v="14.860369623655917"/>
    <n v="0"/>
    <n v="13.5"/>
    <n v="12.5"/>
    <m/>
    <n v="0"/>
  </r>
  <r>
    <x v="68"/>
    <n v="202406"/>
    <x v="2"/>
    <x v="11"/>
    <s v="Sofía V"/>
    <s v="José A"/>
    <n v="70721"/>
    <n v="3358151"/>
    <n v="47.484548611111101"/>
    <n v="0"/>
    <n v="52"/>
    <n v="52"/>
    <m/>
    <n v="0"/>
  </r>
  <r>
    <x v="68"/>
    <n v="202504"/>
    <x v="1"/>
    <x v="9"/>
    <s v="Sofía V"/>
    <s v="José A"/>
    <n v="70689"/>
    <n v="3458485"/>
    <n v="48.925041666666651"/>
    <n v="69245.925712147931"/>
    <n v="52"/>
    <n v="52"/>
    <n v="49.944962023856256"/>
    <n v="3535540"/>
  </r>
  <r>
    <x v="46"/>
    <n v="202404"/>
    <x v="2"/>
    <x v="9"/>
    <s v="Sofía V"/>
    <s v="José A"/>
    <n v="70656"/>
    <n v="3990675"/>
    <n v="56.480277777777786"/>
    <n v="0"/>
    <n v="58"/>
    <n v="58.5"/>
    <m/>
    <n v="0"/>
  </r>
  <r>
    <x v="70"/>
    <n v="202409"/>
    <x v="2"/>
    <x v="4"/>
    <s v="Sebastián S"/>
    <s v="Vik E"/>
    <n v="70633"/>
    <n v="3468131"/>
    <n v="49.101013888888879"/>
    <n v="0"/>
    <n v="60.5"/>
    <n v="57.5"/>
    <m/>
    <n v="0"/>
  </r>
  <r>
    <x v="97"/>
    <n v="202603"/>
    <x v="0"/>
    <x v="0"/>
    <s v="María R"/>
    <s v="María R"/>
    <n v="70618"/>
    <n v="5651567"/>
    <n v="80.03004032258066"/>
    <n v="71839.239239153336"/>
    <n v="94"/>
    <n v="77.5"/>
    <n v="81.023149648384276"/>
    <n v="5820641"/>
  </r>
  <r>
    <x v="66"/>
    <n v="202411"/>
    <x v="2"/>
    <x v="7"/>
    <s v="Sebastián S"/>
    <s v="Rodolfo O"/>
    <n v="70550"/>
    <n v="3654668"/>
    <n v="51.802673611111111"/>
    <n v="0"/>
    <n v="55"/>
    <n v="55.5"/>
    <m/>
    <n v="0"/>
  </r>
  <r>
    <x v="57"/>
    <n v="202406"/>
    <x v="2"/>
    <x v="11"/>
    <s v="Hernán P"/>
    <s v="Daniel R"/>
    <n v="70549"/>
    <n v="3291870"/>
    <n v="46.660687500000023"/>
    <n v="0"/>
    <n v="53.5"/>
    <n v="52"/>
    <m/>
    <n v="0"/>
  </r>
  <r>
    <x v="38"/>
    <n v="202408"/>
    <x v="2"/>
    <x v="5"/>
    <s v="Sofía V"/>
    <s v="Melany A"/>
    <n v="70548"/>
    <n v="4017919"/>
    <n v="56.952762096774201"/>
    <n v="0"/>
    <n v="56"/>
    <n v="60"/>
    <m/>
    <n v="0"/>
  </r>
  <r>
    <x v="77"/>
    <n v="202406"/>
    <x v="2"/>
    <x v="11"/>
    <s v="Fátima L"/>
    <s v="Fátima L"/>
    <n v="70535"/>
    <n v="1046908"/>
    <n v="14.842333333333336"/>
    <n v="0"/>
    <n v="17"/>
    <n v="13.5"/>
    <m/>
    <n v="0"/>
  </r>
  <r>
    <x v="42"/>
    <n v="202512"/>
    <x v="1"/>
    <x v="1"/>
    <s v="Hernán P"/>
    <s v="Daniel R"/>
    <n v="70518"/>
    <n v="1861936"/>
    <n v="26.403642473118239"/>
    <n v="68137.126129965865"/>
    <n v="22.5"/>
    <n v="21"/>
    <n v="27.326309689793966"/>
    <n v="1509344"/>
  </r>
  <r>
    <x v="78"/>
    <n v="202501"/>
    <x v="1"/>
    <x v="10"/>
    <s v="Sebastián S"/>
    <s v="Vik E"/>
    <n v="70516"/>
    <n v="3637023"/>
    <n v="51.577251344086015"/>
    <n v="70196.308244983738"/>
    <n v="63"/>
    <n v="59"/>
    <n v="51.812175183157201"/>
    <n v="3729324"/>
  </r>
  <r>
    <x v="64"/>
    <n v="202502"/>
    <x v="1"/>
    <x v="2"/>
    <s v="Sebastián S"/>
    <s v="Johanna V"/>
    <n v="70511"/>
    <n v="4768710"/>
    <n v="67.630312500000002"/>
    <n v="68841.652684011482"/>
    <n v="75.5"/>
    <n v="70.5"/>
    <n v="69.270707254643469"/>
    <n v="5013216"/>
  </r>
  <r>
    <x v="64"/>
    <n v="202407"/>
    <x v="2"/>
    <x v="6"/>
    <s v="Sebastián S"/>
    <s v="Johanna V"/>
    <n v="70508"/>
    <n v="5385002"/>
    <n v="76.374139784946266"/>
    <n v="0"/>
    <n v="75.5"/>
    <n v="70.5"/>
    <m/>
    <n v="0"/>
  </r>
  <r>
    <x v="51"/>
    <n v="202606"/>
    <x v="0"/>
    <x v="11"/>
    <s v="Sofía V"/>
    <s v="Melany A"/>
    <n v="70493"/>
    <n v="2564085"/>
    <n v="36.37370138888847"/>
    <n v="70630.528090339227"/>
    <n v="43.5"/>
    <n v="41"/>
    <n v="38.914029696684921"/>
    <n v="2748518"/>
  </r>
  <r>
    <x v="67"/>
    <n v="202502"/>
    <x v="1"/>
    <x v="2"/>
    <s v="Hernán P"/>
    <s v="Daniel R"/>
    <n v="70440"/>
    <n v="955543"/>
    <n v="13.565312499999999"/>
    <n v="84249.261670013162"/>
    <n v="15.5"/>
    <n v="14.5"/>
    <n v="11.341855715515504"/>
    <n v="1026553"/>
  </r>
  <r>
    <x v="57"/>
    <n v="202507"/>
    <x v="1"/>
    <x v="6"/>
    <s v="Hernán P"/>
    <s v="Daniel R"/>
    <n v="70411"/>
    <n v="2992467"/>
    <n v="42.499973118279563"/>
    <n v="69566.043170247998"/>
    <n v="53.5"/>
    <n v="52"/>
    <n v="43.01620623551316"/>
    <n v="3250088"/>
  </r>
  <r>
    <x v="75"/>
    <n v="202603"/>
    <x v="0"/>
    <x v="0"/>
    <s v="Hernán P"/>
    <s v="Daniel R"/>
    <n v="70390"/>
    <n v="1751367"/>
    <n v="24.880954301075274"/>
    <n v="76494.195457796741"/>
    <n v="31"/>
    <n v="27"/>
    <n v="27.070532526124346"/>
    <n v="2070739"/>
  </r>
  <r>
    <x v="67"/>
    <n v="202407"/>
    <x v="2"/>
    <x v="6"/>
    <s v="Hernán P"/>
    <s v="Daniel R"/>
    <n v="70370"/>
    <n v="1018812"/>
    <n v="14.477862903225811"/>
    <n v="0"/>
    <n v="15.5"/>
    <n v="14.5"/>
    <m/>
    <n v="0"/>
  </r>
  <r>
    <x v="82"/>
    <n v="202408"/>
    <x v="2"/>
    <x v="5"/>
    <s v="Sebastián S"/>
    <s v="Vik E"/>
    <n v="70366"/>
    <n v="3602962"/>
    <n v="51.203118279569871"/>
    <n v="0"/>
    <n v="61.5"/>
    <n v="56"/>
    <m/>
    <n v="0"/>
  </r>
  <r>
    <x v="57"/>
    <n v="202401"/>
    <x v="2"/>
    <x v="10"/>
    <s v="Hernán P"/>
    <s v="Daniel R"/>
    <n v="70361"/>
    <n v="3228787"/>
    <n v="45.888810483870955"/>
    <n v="0"/>
    <n v="53.5"/>
    <n v="52"/>
    <m/>
    <n v="0"/>
  </r>
  <r>
    <x v="77"/>
    <n v="202602"/>
    <x v="0"/>
    <x v="2"/>
    <s v="Fátima L"/>
    <s v="Fátima L"/>
    <n v="70360"/>
    <n v="930383"/>
    <n v="13.223177083333333"/>
    <n v="67875.893660940055"/>
    <n v="17"/>
    <n v="13.5"/>
    <n v="14.845130740132706"/>
    <n v="1007627"/>
  </r>
  <r>
    <x v="51"/>
    <n v="202504"/>
    <x v="1"/>
    <x v="9"/>
    <s v="Sofía V"/>
    <s v="Melany A"/>
    <n v="70330"/>
    <n v="2803706"/>
    <n v="39.864805555555563"/>
    <n v="65592.681755390629"/>
    <n v="43.5"/>
    <n v="41"/>
    <n v="42.744192415483646"/>
    <n v="3004173"/>
  </r>
  <r>
    <x v="79"/>
    <n v="202409"/>
    <x v="2"/>
    <x v="4"/>
    <s v="Sebastián S"/>
    <s v="Vik E"/>
    <n v="70319"/>
    <n v="5410453"/>
    <n v="76.941375000000008"/>
    <n v="0"/>
    <n v="84.5"/>
    <n v="78.5"/>
    <m/>
    <n v="0"/>
  </r>
  <r>
    <x v="82"/>
    <n v="202606"/>
    <x v="0"/>
    <x v="11"/>
    <s v="Sebastián S"/>
    <s v="Vik E"/>
    <n v="70314"/>
    <n v="3578619"/>
    <n v="50.894715277777991"/>
    <n v="68502.847204589416"/>
    <n v="61.5"/>
    <n v="56"/>
    <n v="52.842490794418893"/>
    <n v="3619861"/>
  </r>
  <r>
    <x v="51"/>
    <n v="202410"/>
    <x v="2"/>
    <x v="8"/>
    <s v="Sofía V"/>
    <s v="Melany A"/>
    <n v="70296"/>
    <n v="2523442"/>
    <n v="35.897157258064517"/>
    <n v="0"/>
    <n v="43.5"/>
    <n v="41"/>
    <m/>
    <n v="0"/>
  </r>
  <r>
    <x v="98"/>
    <n v="202412"/>
    <x v="2"/>
    <x v="1"/>
    <s v="Hernán P"/>
    <s v="Daniel R"/>
    <n v="70255"/>
    <n v="6132746"/>
    <n v="87.292399193548349"/>
    <n v="0"/>
    <n v="87"/>
    <n v="77.5"/>
    <m/>
    <n v="0"/>
  </r>
  <r>
    <x v="57"/>
    <n v="202601"/>
    <x v="0"/>
    <x v="10"/>
    <s v="Hernán P"/>
    <s v="Daniel R"/>
    <n v="70242"/>
    <n v="2990520"/>
    <n v="42.574583333333337"/>
    <n v="72859.643322539327"/>
    <n v="53.5"/>
    <n v="52"/>
    <n v="43.483853774506514"/>
    <n v="3168218"/>
  </r>
  <r>
    <x v="34"/>
    <n v="202509"/>
    <x v="1"/>
    <x v="4"/>
    <s v="Hernán P"/>
    <s v="Daniel R"/>
    <n v="70223"/>
    <n v="1018441"/>
    <n v="14.502881944444439"/>
    <n v="85196.494534109312"/>
    <n v="15"/>
    <n v="15"/>
    <n v="11.954025873591037"/>
    <n v="983476"/>
  </r>
  <r>
    <x v="70"/>
    <n v="202406"/>
    <x v="2"/>
    <x v="11"/>
    <s v="Sebastián S"/>
    <s v="Vik E"/>
    <n v="70200"/>
    <n v="3731997"/>
    <n v="53.162666666666667"/>
    <n v="0"/>
    <n v="60.5"/>
    <n v="57.5"/>
    <m/>
    <n v="0"/>
  </r>
  <r>
    <x v="82"/>
    <n v="202511"/>
    <x v="1"/>
    <x v="7"/>
    <s v="Sebastián S"/>
    <s v="Vik E"/>
    <n v="70188"/>
    <n v="3660686"/>
    <n v="52.155250000000024"/>
    <n v="78285.192257043527"/>
    <n v="61.5"/>
    <n v="56"/>
    <n v="46.760904514105448"/>
    <n v="3798326"/>
  </r>
  <r>
    <x v="82"/>
    <n v="202602"/>
    <x v="0"/>
    <x v="2"/>
    <s v="Sebastián S"/>
    <s v="Vik E"/>
    <n v="70178"/>
    <n v="3926842"/>
    <n v="55.955520833333317"/>
    <n v="74826.504166560117"/>
    <n v="61.5"/>
    <n v="56"/>
    <n v="52.842490794418893"/>
    <n v="3954019"/>
  </r>
  <r>
    <x v="67"/>
    <n v="202405"/>
    <x v="2"/>
    <x v="3"/>
    <s v="Hernán P"/>
    <s v="Daniel R"/>
    <n v="70150"/>
    <n v="1035298"/>
    <n v="14.758333333333338"/>
    <n v="0"/>
    <n v="15.5"/>
    <n v="14.5"/>
    <m/>
    <n v="0"/>
  </r>
  <r>
    <x v="71"/>
    <n v="202401"/>
    <x v="2"/>
    <x v="10"/>
    <s v="Sebastián S"/>
    <s v="Rodolfo O"/>
    <n v="70149"/>
    <n v="3587589"/>
    <n v="51.142056451612909"/>
    <n v="0"/>
    <n v="53.5"/>
    <n v="54"/>
    <m/>
    <n v="0"/>
  </r>
  <r>
    <x v="68"/>
    <n v="202505"/>
    <x v="1"/>
    <x v="3"/>
    <s v="Sofía V"/>
    <s v="José A"/>
    <n v="70149"/>
    <n v="3582139"/>
    <n v="51.064482526881697"/>
    <n v="71777.200461531625"/>
    <n v="52"/>
    <n v="52"/>
    <n v="49.906362563134756"/>
    <n v="3538124"/>
  </r>
  <r>
    <x v="57"/>
    <n v="202605"/>
    <x v="0"/>
    <x v="3"/>
    <s v="Hernán P"/>
    <s v="Daniel R"/>
    <n v="70139"/>
    <n v="3170605"/>
    <n v="45.204852150537803"/>
    <n v="73725.175832495152"/>
    <n v="53.5"/>
    <n v="52"/>
    <n v="43.483853774506514"/>
    <n v="3205855"/>
  </r>
  <r>
    <x v="85"/>
    <n v="202509"/>
    <x v="1"/>
    <x v="4"/>
    <s v="Hernán P"/>
    <s v="Daniel R"/>
    <n v="70113"/>
    <n v="2340837"/>
    <n v="33.386791666666674"/>
    <n v="70259.926068114321"/>
    <n v="44"/>
    <n v="40.5"/>
    <n v="33.316808613357324"/>
    <n v="2773529"/>
  </r>
  <r>
    <x v="98"/>
    <n v="202601"/>
    <x v="0"/>
    <x v="10"/>
    <s v="Hernán P"/>
    <s v="Daniel R"/>
    <n v="70105"/>
    <n v="4804352"/>
    <n v="68.530987903225807"/>
    <n v="75710.403406093581"/>
    <n v="87"/>
    <n v="77.5"/>
    <n v="73.970842069892498"/>
    <n v="5600362"/>
  </r>
  <r>
    <x v="98"/>
    <n v="202510"/>
    <x v="1"/>
    <x v="8"/>
    <s v="Hernán P"/>
    <s v="Daniel R"/>
    <n v="70051"/>
    <n v="4876260"/>
    <n v="69.60996639784949"/>
    <n v="75447.556249915957"/>
    <n v="87"/>
    <n v="77.5"/>
    <n v="64.631117724312404"/>
    <n v="5460769"/>
  </r>
  <r>
    <x v="67"/>
    <n v="202507"/>
    <x v="1"/>
    <x v="6"/>
    <s v="Hernán P"/>
    <s v="Daniel R"/>
    <n v="70041"/>
    <n v="1039442"/>
    <n v="14.840470430107526"/>
    <n v="73888.81602557849"/>
    <n v="15.5"/>
    <n v="14.5"/>
    <n v="14.067648338554656"/>
    <n v="1071057"/>
  </r>
  <r>
    <x v="98"/>
    <n v="202411"/>
    <x v="2"/>
    <x v="7"/>
    <s v="Hernán P"/>
    <s v="Daniel R"/>
    <n v="70035"/>
    <n v="5447213"/>
    <n v="77.777972222222218"/>
    <n v="0"/>
    <n v="87"/>
    <n v="77.5"/>
    <m/>
    <n v="0"/>
  </r>
  <r>
    <x v="95"/>
    <n v="202508"/>
    <x v="1"/>
    <x v="5"/>
    <s v="Fátima L"/>
    <s v="Fátima L"/>
    <n v="69984"/>
    <n v="328881"/>
    <n v="4.6993615591397848"/>
    <n v="53413.00596444527"/>
    <n v="8.5"/>
    <n v="6.5"/>
    <n v="6.1573211254749811"/>
    <n v="379288"/>
  </r>
  <r>
    <x v="87"/>
    <n v="202401"/>
    <x v="2"/>
    <x v="10"/>
    <s v="Fátima L"/>
    <s v="Fátima L"/>
    <n v="69982"/>
    <n v="649660"/>
    <n v="9.2832795698924766"/>
    <n v="0"/>
    <n v="11"/>
    <n v="11"/>
    <m/>
    <n v="0"/>
  </r>
  <r>
    <x v="66"/>
    <n v="202401"/>
    <x v="2"/>
    <x v="10"/>
    <s v="Sebastián S"/>
    <s v="Rodolfo O"/>
    <n v="69944"/>
    <n v="3497009"/>
    <n v="49.997499999999995"/>
    <n v="0"/>
    <n v="55"/>
    <n v="55.5"/>
    <m/>
    <n v="0"/>
  </r>
  <r>
    <x v="51"/>
    <n v="202402"/>
    <x v="2"/>
    <x v="2"/>
    <s v="Sofía V"/>
    <s v="Melany A"/>
    <n v="69936"/>
    <n v="3053011"/>
    <n v="43.654554597701143"/>
    <n v="0"/>
    <n v="43.5"/>
    <n v="41"/>
    <m/>
    <n v="0"/>
  </r>
  <r>
    <x v="94"/>
    <n v="202606"/>
    <x v="0"/>
    <x v="11"/>
    <s v="Hernán P"/>
    <s v="Daniel R"/>
    <n v="69936"/>
    <n v="1986541"/>
    <n v="28.405319444444427"/>
    <n v="0"/>
    <n v="33"/>
    <n v="31.5"/>
    <n v="35.22317754154448"/>
    <m/>
  </r>
  <r>
    <x v="81"/>
    <n v="202507"/>
    <x v="1"/>
    <x v="6"/>
    <s v="Fátima L"/>
    <s v="Fátima L"/>
    <n v="69935"/>
    <n v="719985"/>
    <n v="10.29508064516129"/>
    <n v="82577.291277390177"/>
    <n v="11.5"/>
    <n v="12"/>
    <n v="8.7189279142307416"/>
    <n v="888569"/>
  </r>
  <r>
    <x v="78"/>
    <n v="202508"/>
    <x v="1"/>
    <x v="5"/>
    <s v="Sebastián S"/>
    <s v="Vik E"/>
    <n v="69927"/>
    <n v="3498120"/>
    <n v="50.025255376344091"/>
    <n v="77089.001182314329"/>
    <n v="63"/>
    <n v="59"/>
    <n v="45.377683409426965"/>
    <n v="3970265"/>
  </r>
  <r>
    <x v="82"/>
    <n v="202601"/>
    <x v="0"/>
    <x v="10"/>
    <s v="Sebastián S"/>
    <s v="Vik E"/>
    <n v="69897"/>
    <n v="3799222"/>
    <n v="54.354247311827969"/>
    <n v="71821.342059084825"/>
    <n v="61.5"/>
    <n v="56"/>
    <n v="52.842490794418893"/>
    <n v="3795219"/>
  </r>
  <r>
    <x v="82"/>
    <n v="202409"/>
    <x v="2"/>
    <x v="4"/>
    <s v="Sebastián S"/>
    <s v="Vik E"/>
    <n v="69853"/>
    <n v="3378992"/>
    <n v="48.373062500000017"/>
    <n v="0"/>
    <n v="61.5"/>
    <n v="56"/>
    <m/>
    <n v="0"/>
  </r>
  <r>
    <x v="101"/>
    <n v="202603"/>
    <x v="0"/>
    <x v="0"/>
    <s v="Fátima L"/>
    <s v="Fátima L"/>
    <n v="69811"/>
    <n v="999878"/>
    <n v="14.322668010752686"/>
    <n v="62586.084885250384"/>
    <n v="13.5"/>
    <n v="14.5"/>
    <n v="13.189776457714554"/>
    <n v="825496"/>
  </r>
  <r>
    <x v="97"/>
    <n v="202501"/>
    <x v="1"/>
    <x v="10"/>
    <s v="María R"/>
    <s v="María R"/>
    <n v="69803"/>
    <n v="5320582"/>
    <n v="76.222379032258061"/>
    <n v="68388.997441059095"/>
    <n v="94"/>
    <n v="77.5"/>
    <n v="77.798803449129807"/>
    <n v="5172297"/>
  </r>
  <r>
    <x v="97"/>
    <n v="202508"/>
    <x v="1"/>
    <x v="5"/>
    <s v="María R"/>
    <s v="María R"/>
    <n v="69789"/>
    <n v="5398976"/>
    <n v="77.361760752688184"/>
    <n v="71586.952448746131"/>
    <n v="94"/>
    <n v="77.5"/>
    <n v="75.41843974801813"/>
    <n v="5557073"/>
  </r>
  <r>
    <x v="87"/>
    <n v="202408"/>
    <x v="2"/>
    <x v="5"/>
    <s v="Fátima L"/>
    <s v="Fátima L"/>
    <n v="69746"/>
    <n v="665656"/>
    <n v="9.5440389784946262"/>
    <n v="0"/>
    <n v="11"/>
    <n v="11"/>
    <m/>
    <n v="0"/>
  </r>
  <r>
    <x v="67"/>
    <n v="202509"/>
    <x v="1"/>
    <x v="4"/>
    <s v="Hernán P"/>
    <s v="Daniel R"/>
    <n v="69728"/>
    <n v="1006904"/>
    <n v="14.440465277777774"/>
    <n v="81223.637300053"/>
    <n v="15.5"/>
    <n v="14.5"/>
    <n v="12.396685785941072"/>
    <n v="1215443"/>
  </r>
  <r>
    <x v="61"/>
    <n v="202506"/>
    <x v="1"/>
    <x v="11"/>
    <s v="Sofía V"/>
    <s v="Joe H"/>
    <n v="69711"/>
    <n v="2536119"/>
    <n v="36.380555555555553"/>
    <n v="77293.265946827698"/>
    <n v="41.5"/>
    <n v="35.5"/>
    <n v="32.811636420495816"/>
    <n v="2568338"/>
  </r>
  <r>
    <x v="85"/>
    <n v="202407"/>
    <x v="2"/>
    <x v="6"/>
    <s v="Hernán P"/>
    <s v="Daniel R"/>
    <n v="69697"/>
    <n v="2595941"/>
    <n v="37.246209677419351"/>
    <n v="0"/>
    <n v="44"/>
    <n v="40.5"/>
    <m/>
    <n v="0"/>
  </r>
  <r>
    <x v="81"/>
    <n v="202402"/>
    <x v="2"/>
    <x v="2"/>
    <s v="Fátima L"/>
    <s v="Fátima L"/>
    <n v="69686"/>
    <n v="788843"/>
    <n v="11.31998563218391"/>
    <n v="0"/>
    <n v="11.5"/>
    <n v="12"/>
    <m/>
    <n v="0"/>
  </r>
  <r>
    <x v="98"/>
    <n v="202511"/>
    <x v="1"/>
    <x v="7"/>
    <s v="Hernán P"/>
    <s v="Daniel R"/>
    <n v="69644"/>
    <n v="4891799"/>
    <n v="70.24004166666667"/>
    <n v="73537.185582036036"/>
    <n v="87"/>
    <n v="77.5"/>
    <n v="66.521437981099297"/>
    <n v="5441491"/>
  </r>
  <r>
    <x v="99"/>
    <n v="202412"/>
    <x v="2"/>
    <x v="1"/>
    <s v="Hernán P"/>
    <s v="Daniel R"/>
    <n v="69629"/>
    <n v="4111245"/>
    <n v="59.04481182795702"/>
    <n v="0"/>
    <n v="53.5"/>
    <n v="51"/>
    <m/>
    <n v="0"/>
  </r>
  <r>
    <x v="90"/>
    <n v="202503"/>
    <x v="1"/>
    <x v="0"/>
    <s v="Sebastián S"/>
    <s v="Vik E"/>
    <n v="69617"/>
    <n v="3465965"/>
    <n v="49.786041666666662"/>
    <n v="80360.202417633787"/>
    <n v="47.5"/>
    <n v="43"/>
    <n v="43.130371324692533"/>
    <n v="3956911"/>
  </r>
  <r>
    <x v="77"/>
    <n v="202505"/>
    <x v="1"/>
    <x v="3"/>
    <s v="Fátima L"/>
    <s v="Fátima L"/>
    <n v="69598"/>
    <n v="1000164"/>
    <n v="14.370510752688176"/>
    <n v="84060.725206066098"/>
    <n v="17"/>
    <n v="13.5"/>
    <n v="11.898109819397858"/>
    <n v="1090567"/>
  </r>
  <r>
    <x v="9"/>
    <n v="202510"/>
    <x v="1"/>
    <x v="8"/>
    <s v="Sofía V"/>
    <s v="Joe H"/>
    <n v="69594"/>
    <n v="4269464"/>
    <n v="61.347849462365573"/>
    <n v="81165.451874847902"/>
    <n v="70.5"/>
    <n v="69.5"/>
    <n v="52.601989410263492"/>
    <n v="5217601"/>
  </r>
  <r>
    <x v="83"/>
    <n v="202407"/>
    <x v="2"/>
    <x v="6"/>
    <s v="Hernán P"/>
    <s v="Daniel R"/>
    <n v="69585"/>
    <n v="3256569"/>
    <n v="46.800127688172033"/>
    <n v="0"/>
    <n v="51"/>
    <n v="49"/>
    <m/>
    <n v="0"/>
  </r>
  <r>
    <x v="94"/>
    <n v="202508"/>
    <x v="1"/>
    <x v="5"/>
    <s v="Hernán P"/>
    <s v="Daniel R"/>
    <n v="69567"/>
    <n v="2243869"/>
    <n v="32.254993279569895"/>
    <n v="59099.758750926645"/>
    <n v="33"/>
    <n v="31.5"/>
    <n v="37.967479519784284"/>
    <n v="2524542"/>
  </r>
  <r>
    <x v="98"/>
    <n v="202505"/>
    <x v="1"/>
    <x v="3"/>
    <s v="Hernán P"/>
    <s v="Daniel R"/>
    <n v="69526"/>
    <n v="5120724"/>
    <n v="73.652090053763445"/>
    <n v="65970.444233809394"/>
    <n v="87"/>
    <n v="77.5"/>
    <n v="77.621481247744356"/>
    <n v="5606297"/>
  </r>
  <r>
    <x v="18"/>
    <n v="202402"/>
    <x v="2"/>
    <x v="2"/>
    <s v="Sofía V"/>
    <s v="Joe H"/>
    <n v="69499"/>
    <n v="3815119"/>
    <n v="54.894683908045977"/>
    <n v="0"/>
    <n v="50.5"/>
    <n v="51.5"/>
    <m/>
    <n v="0"/>
  </r>
  <r>
    <x v="77"/>
    <n v="202401"/>
    <x v="2"/>
    <x v="10"/>
    <s v="Fátima L"/>
    <s v="Fátima L"/>
    <n v="69467"/>
    <n v="1018705"/>
    <n v="14.664576612903225"/>
    <n v="0"/>
    <n v="17"/>
    <n v="13.5"/>
    <m/>
    <n v="0"/>
  </r>
  <r>
    <x v="74"/>
    <n v="202503"/>
    <x v="1"/>
    <x v="0"/>
    <s v="Sebastián S"/>
    <s v="Rodolfo O"/>
    <n v="69426"/>
    <n v="1823537"/>
    <n v="26.265806451612917"/>
    <n v="68787.720419018064"/>
    <n v="27"/>
    <n v="27"/>
    <n v="26.509624666902589"/>
    <n v="1779198"/>
  </r>
  <r>
    <x v="98"/>
    <n v="202404"/>
    <x v="2"/>
    <x v="9"/>
    <s v="Hernán P"/>
    <s v="Daniel R"/>
    <n v="69418"/>
    <n v="5245136"/>
    <n v="75.558534722222234"/>
    <n v="0"/>
    <n v="87"/>
    <n v="77.5"/>
    <m/>
    <n v="0"/>
  </r>
  <r>
    <x v="60"/>
    <n v="202509"/>
    <x v="1"/>
    <x v="4"/>
    <s v="Sofía V"/>
    <s v="Melany A"/>
    <n v="69413"/>
    <n v="8045446"/>
    <n v="115.90629166666677"/>
    <n v="81772.043333732538"/>
    <n v="88.5"/>
    <n v="92.5"/>
    <n v="98.388709050163826"/>
    <n v="6210214"/>
  </r>
  <r>
    <x v="82"/>
    <n v="202403"/>
    <x v="2"/>
    <x v="0"/>
    <s v="Sebastián S"/>
    <s v="Vik E"/>
    <n v="69396"/>
    <n v="4362813"/>
    <n v="62.868467741935497"/>
    <n v="0"/>
    <n v="61.5"/>
    <n v="56"/>
    <m/>
    <n v="0"/>
  </r>
  <r>
    <x v="97"/>
    <n v="202403"/>
    <x v="2"/>
    <x v="0"/>
    <s v="María R"/>
    <s v="María R"/>
    <n v="69357"/>
    <n v="5572566"/>
    <n v="80.346404569892513"/>
    <n v="0"/>
    <n v="94"/>
    <n v="77.5"/>
    <m/>
    <n v="0"/>
  </r>
  <r>
    <x v="57"/>
    <n v="202410"/>
    <x v="2"/>
    <x v="8"/>
    <s v="Hernán P"/>
    <s v="Daniel R"/>
    <n v="69350"/>
    <n v="3226436"/>
    <n v="46.523985215053756"/>
    <n v="0"/>
    <n v="53.5"/>
    <n v="52"/>
    <m/>
    <n v="0"/>
  </r>
  <r>
    <x v="94"/>
    <n v="202505"/>
    <x v="1"/>
    <x v="3"/>
    <s v="Hernán P"/>
    <s v="Daniel R"/>
    <n v="69337"/>
    <n v="2358692"/>
    <n v="34.017836021505374"/>
    <n v="60133.840312378794"/>
    <n v="33"/>
    <n v="31.5"/>
    <n v="39.224041367510225"/>
    <n v="2590234"/>
  </r>
  <r>
    <x v="53"/>
    <n v="202502"/>
    <x v="1"/>
    <x v="2"/>
    <s v="Sebastián S"/>
    <s v="Johanna V"/>
    <n v="69324"/>
    <n v="4604128"/>
    <n v="66.415104166666652"/>
    <n v="74809.724161266306"/>
    <n v="68"/>
    <n v="60.5"/>
    <n v="61.544518999628202"/>
    <n v="4732624"/>
  </r>
  <r>
    <x v="47"/>
    <n v="202404"/>
    <x v="2"/>
    <x v="9"/>
    <s v="Sebastián S"/>
    <s v="Vik E"/>
    <n v="69299"/>
    <n v="4445652"/>
    <n v="64.152083333333337"/>
    <n v="0"/>
    <n v="61.5"/>
    <n v="48.5"/>
    <m/>
    <n v="0"/>
  </r>
  <r>
    <x v="55"/>
    <n v="202504"/>
    <x v="1"/>
    <x v="9"/>
    <s v="Sebastián S"/>
    <s v="Vik E"/>
    <n v="69296"/>
    <n v="4241333"/>
    <n v="61.20566666666668"/>
    <n v="79980.22752204827"/>
    <n v="69.5"/>
    <n v="59"/>
    <n v="53.029772500094289"/>
    <n v="5098134"/>
  </r>
  <r>
    <x v="79"/>
    <n v="202407"/>
    <x v="2"/>
    <x v="6"/>
    <s v="Sebastián S"/>
    <s v="Vik E"/>
    <n v="69288"/>
    <n v="5884099"/>
    <n v="84.921760752688201"/>
    <n v="0"/>
    <n v="84.5"/>
    <n v="78.5"/>
    <m/>
    <n v="0"/>
  </r>
  <r>
    <x v="70"/>
    <n v="202411"/>
    <x v="2"/>
    <x v="7"/>
    <s v="Sebastián S"/>
    <s v="Vik E"/>
    <n v="69270"/>
    <n v="3567039"/>
    <n v="51.494430555555581"/>
    <n v="0"/>
    <n v="60.5"/>
    <n v="57.5"/>
    <m/>
    <n v="0"/>
  </r>
  <r>
    <x v="72"/>
    <n v="202410"/>
    <x v="2"/>
    <x v="8"/>
    <s v="Sebastián S"/>
    <s v="Vik E"/>
    <n v="69260"/>
    <n v="4833644"/>
    <n v="69.789670698924724"/>
    <n v="0"/>
    <n v="79.5"/>
    <n v="67"/>
    <m/>
    <n v="0"/>
  </r>
  <r>
    <x v="80"/>
    <n v="202403"/>
    <x v="2"/>
    <x v="0"/>
    <s v="Fátima L"/>
    <s v="Fátima L"/>
    <n v="69259"/>
    <n v="582289"/>
    <n v="8.4073857526881728"/>
    <n v="0"/>
    <n v="10"/>
    <n v="9"/>
    <m/>
    <n v="0"/>
  </r>
  <r>
    <x v="99"/>
    <n v="202606"/>
    <x v="0"/>
    <x v="11"/>
    <s v="Hernán P"/>
    <s v="Daniel R"/>
    <n v="69154"/>
    <n v="2929767"/>
    <n v="42.365895833333198"/>
    <n v="65058.938479453682"/>
    <n v="53.5"/>
    <n v="51"/>
    <n v="45.515809558361951"/>
    <n v="2961210"/>
  </r>
  <r>
    <x v="87"/>
    <n v="202409"/>
    <x v="2"/>
    <x v="4"/>
    <s v="Fátima L"/>
    <s v="Fátima L"/>
    <n v="69135"/>
    <n v="634753"/>
    <n v="9.1813263888888912"/>
    <n v="0"/>
    <n v="11"/>
    <n v="11"/>
    <m/>
    <n v="0"/>
  </r>
  <r>
    <x v="75"/>
    <n v="202606"/>
    <x v="0"/>
    <x v="11"/>
    <s v="Hernán P"/>
    <s v="Daniel R"/>
    <n v="69056"/>
    <n v="1641535"/>
    <n v="23.771222222222271"/>
    <n v="57171.470313944978"/>
    <n v="31"/>
    <n v="27"/>
    <n v="27.070532526124346"/>
    <n v="1547662"/>
  </r>
  <r>
    <x v="72"/>
    <n v="202409"/>
    <x v="2"/>
    <x v="4"/>
    <s v="Sebastián S"/>
    <s v="Vik E"/>
    <n v="69052"/>
    <n v="4776219"/>
    <n v="69.168847222222226"/>
    <n v="0"/>
    <n v="79.5"/>
    <n v="67"/>
    <m/>
    <n v="0"/>
  </r>
  <r>
    <x v="60"/>
    <n v="202404"/>
    <x v="2"/>
    <x v="9"/>
    <s v="Sofía V"/>
    <s v="Melany A"/>
    <n v="69045"/>
    <n v="5627454"/>
    <n v="81.504645833333328"/>
    <n v="0"/>
    <n v="88.5"/>
    <n v="92.5"/>
    <m/>
    <n v="0"/>
  </r>
  <r>
    <x v="64"/>
    <n v="202401"/>
    <x v="2"/>
    <x v="10"/>
    <s v="Sebastián S"/>
    <s v="Johanna V"/>
    <n v="69021"/>
    <n v="5052296"/>
    <n v="73.199536290322541"/>
    <n v="0"/>
    <n v="75.5"/>
    <n v="70.5"/>
    <m/>
    <n v="0"/>
  </r>
  <r>
    <x v="82"/>
    <n v="202504"/>
    <x v="1"/>
    <x v="9"/>
    <s v="Sebastián S"/>
    <s v="Vik E"/>
    <n v="68990"/>
    <n v="3569671"/>
    <n v="51.741763888888897"/>
    <n v="64328.061858291352"/>
    <n v="61.5"/>
    <n v="56"/>
    <n v="55.491655536951313"/>
    <n v="3964103"/>
  </r>
  <r>
    <x v="57"/>
    <n v="202502"/>
    <x v="1"/>
    <x v="2"/>
    <s v="Hernán P"/>
    <s v="Daniel R"/>
    <n v="68981"/>
    <n v="3056310"/>
    <n v="44.306718750000002"/>
    <n v="74824.192578787304"/>
    <n v="53.5"/>
    <n v="52"/>
    <n v="40.846547816494109"/>
    <n v="3421756"/>
  </r>
  <r>
    <x v="92"/>
    <n v="202507"/>
    <x v="1"/>
    <x v="6"/>
    <s v="Fátima L"/>
    <s v="Fátima L"/>
    <n v="68979"/>
    <n v="598305"/>
    <n v="8.673790322580647"/>
    <n v="68438.707285598284"/>
    <n v="11.5"/>
    <n v="10"/>
    <n v="8.7422044297716131"/>
    <n v="678355"/>
  </r>
  <r>
    <x v="39"/>
    <n v="202404"/>
    <x v="2"/>
    <x v="9"/>
    <s v="Sofía V"/>
    <s v="Melany A"/>
    <n v="68963"/>
    <n v="4550700"/>
    <n v="65.987444444444435"/>
    <n v="0"/>
    <n v="60.5"/>
    <n v="60.5"/>
    <m/>
    <n v="0"/>
  </r>
  <r>
    <x v="72"/>
    <n v="202506"/>
    <x v="1"/>
    <x v="11"/>
    <s v="Sebastián S"/>
    <s v="Vik E"/>
    <n v="68942"/>
    <n v="4864150"/>
    <n v="70.553923611111102"/>
    <n v="79688.842944106204"/>
    <n v="79.5"/>
    <n v="67"/>
    <n v="61.039287939112356"/>
    <n v="5574830"/>
  </r>
  <r>
    <x v="67"/>
    <n v="202506"/>
    <x v="1"/>
    <x v="11"/>
    <s v="Hernán P"/>
    <s v="Daniel R"/>
    <n v="68936"/>
    <n v="1033362"/>
    <n v="14.990159722222224"/>
    <n v="74900.673267326711"/>
    <n v="15.5"/>
    <n v="14.5"/>
    <n v="13.796425785277616"/>
    <n v="1086062"/>
  </r>
  <r>
    <x v="85"/>
    <n v="202404"/>
    <x v="2"/>
    <x v="9"/>
    <s v="Hernán P"/>
    <s v="Daniel R"/>
    <n v="68909"/>
    <n v="2564931"/>
    <n v="37.221770833333338"/>
    <n v="0"/>
    <n v="44"/>
    <n v="40.5"/>
    <m/>
    <n v="0"/>
  </r>
  <r>
    <x v="97"/>
    <n v="202601"/>
    <x v="0"/>
    <x v="10"/>
    <s v="María R"/>
    <s v="María R"/>
    <n v="68903"/>
    <n v="5175743"/>
    <n v="75.116162634408568"/>
    <n v="67196.4127157154"/>
    <n v="94"/>
    <n v="77.5"/>
    <n v="81.023149648384276"/>
    <n v="5444465"/>
  </r>
  <r>
    <x v="83"/>
    <n v="202404"/>
    <x v="2"/>
    <x v="9"/>
    <s v="Hernán P"/>
    <s v="Daniel R"/>
    <n v="68807"/>
    <n v="3359027"/>
    <n v="48.817756944444447"/>
    <n v="0"/>
    <n v="51"/>
    <n v="49"/>
    <m/>
    <n v="0"/>
  </r>
  <r>
    <x v="84"/>
    <n v="202408"/>
    <x v="2"/>
    <x v="5"/>
    <s v="Sofía V"/>
    <s v="Melany A"/>
    <n v="68799"/>
    <n v="3556032"/>
    <n v="51.686908602150538"/>
    <n v="0"/>
    <n v="52.5"/>
    <n v="52.5"/>
    <m/>
    <n v="0"/>
  </r>
  <r>
    <x v="96"/>
    <n v="202605"/>
    <x v="0"/>
    <x v="3"/>
    <s v="Fátima L"/>
    <s v="Fátima L"/>
    <n v="68767"/>
    <n v="657953"/>
    <n v="9.5677956989247388"/>
    <n v="61076.217754492849"/>
    <n v="11.5"/>
    <n v="10"/>
    <n v="10.042294324207418"/>
    <n v="613345"/>
  </r>
  <r>
    <x v="9"/>
    <n v="202509"/>
    <x v="1"/>
    <x v="4"/>
    <s v="Sofía V"/>
    <s v="Joe H"/>
    <n v="68734"/>
    <n v="4292560"/>
    <n v="62.452152777777805"/>
    <n v="75171.977769458725"/>
    <n v="70.5"/>
    <n v="69.5"/>
    <n v="57.103188945814921"/>
    <n v="4925299"/>
  </r>
  <r>
    <x v="70"/>
    <n v="202410"/>
    <x v="2"/>
    <x v="8"/>
    <s v="Sebastián S"/>
    <s v="Vik E"/>
    <n v="68717"/>
    <n v="3492481"/>
    <n v="50.824422043010749"/>
    <n v="0"/>
    <n v="60.5"/>
    <n v="57.5"/>
    <m/>
    <n v="0"/>
  </r>
  <r>
    <x v="76"/>
    <n v="202502"/>
    <x v="1"/>
    <x v="2"/>
    <s v="Hernán P"/>
    <s v="Daniel R"/>
    <n v="68621"/>
    <n v="6659969"/>
    <n v="97.053749999999994"/>
    <n v="83583.715735030972"/>
    <n v="106"/>
    <n v="94.5"/>
    <n v="79.680220859201711"/>
    <n v="6974699"/>
  </r>
  <r>
    <x v="77"/>
    <n v="202407"/>
    <x v="2"/>
    <x v="6"/>
    <s v="Fátima L"/>
    <s v="Fátima L"/>
    <n v="68611"/>
    <n v="1072349"/>
    <n v="15.629334677419358"/>
    <n v="0"/>
    <n v="17"/>
    <n v="13.5"/>
    <m/>
    <n v="0"/>
  </r>
  <r>
    <x v="100"/>
    <n v="202603"/>
    <x v="0"/>
    <x v="0"/>
    <s v="Hernán P"/>
    <s v="Daniel R"/>
    <n v="68611"/>
    <n v="2244985"/>
    <n v="32.72048387096774"/>
    <n v="68538.880218183403"/>
    <n v="41.5"/>
    <n v="43"/>
    <n v="33.730466012000377"/>
    <n v="2311848"/>
  </r>
  <r>
    <x v="51"/>
    <n v="202409"/>
    <x v="2"/>
    <x v="4"/>
    <s v="Sofía V"/>
    <s v="Melany A"/>
    <n v="68609"/>
    <n v="2688404"/>
    <n v="39.184590277777751"/>
    <n v="0"/>
    <n v="43.5"/>
    <n v="41"/>
    <m/>
    <n v="0"/>
  </r>
  <r>
    <x v="64"/>
    <n v="202411"/>
    <x v="2"/>
    <x v="7"/>
    <s v="Sebastián S"/>
    <s v="Johanna V"/>
    <n v="68589"/>
    <n v="5053187"/>
    <n v="73.673347222222233"/>
    <n v="0"/>
    <n v="75.5"/>
    <n v="70.5"/>
    <m/>
    <n v="0"/>
  </r>
  <r>
    <x v="57"/>
    <n v="202504"/>
    <x v="1"/>
    <x v="9"/>
    <s v="Hernán P"/>
    <s v="Daniel R"/>
    <n v="68517"/>
    <n v="2984682"/>
    <n v="43.56143749999999"/>
    <n v="71378.63395667811"/>
    <n v="53.5"/>
    <n v="52"/>
    <n v="41.81478622596638"/>
    <n v="3139985"/>
  </r>
  <r>
    <x v="96"/>
    <n v="202603"/>
    <x v="0"/>
    <x v="0"/>
    <s v="Fátima L"/>
    <s v="Fátima L"/>
    <n v="68503"/>
    <n v="707382"/>
    <n v="10.326223118279572"/>
    <n v="71490.500340086583"/>
    <n v="11.5"/>
    <n v="10"/>
    <n v="10.042294324207418"/>
    <n v="717929"/>
  </r>
  <r>
    <x v="87"/>
    <n v="202503"/>
    <x v="1"/>
    <x v="0"/>
    <s v="Fátima L"/>
    <s v="Fátima L"/>
    <n v="68484"/>
    <n v="686383"/>
    <n v="10.022466397849465"/>
    <n v="80092.759516213366"/>
    <n v="11"/>
    <n v="11"/>
    <n v="8.5698490618375303"/>
    <n v="745290"/>
  </r>
  <r>
    <x v="84"/>
    <n v="202505"/>
    <x v="1"/>
    <x v="3"/>
    <s v="Sofía V"/>
    <s v="Melany A"/>
    <n v="68483"/>
    <n v="3411281"/>
    <n v="49.812385752688165"/>
    <n v="59330.737594184888"/>
    <n v="52.5"/>
    <n v="52.5"/>
    <n v="57.496022269818297"/>
    <n v="3467483"/>
  </r>
  <r>
    <x v="57"/>
    <n v="202510"/>
    <x v="1"/>
    <x v="8"/>
    <s v="Hernán P"/>
    <s v="Daniel R"/>
    <n v="68466"/>
    <n v="2795187"/>
    <n v="40.826182795698926"/>
    <n v="72817.453628280811"/>
    <n v="53.5"/>
    <n v="52"/>
    <n v="38.38621993387595"/>
    <n v="3327061"/>
  </r>
  <r>
    <x v="81"/>
    <n v="202508"/>
    <x v="1"/>
    <x v="5"/>
    <s v="Fátima L"/>
    <s v="Fátima L"/>
    <n v="68421"/>
    <n v="686361"/>
    <n v="10.031404569892471"/>
    <n v="80955.405872449803"/>
    <n v="11.5"/>
    <n v="12"/>
    <n v="8.478263095628277"/>
    <n v="829307"/>
  </r>
  <r>
    <x v="89"/>
    <n v="202403"/>
    <x v="2"/>
    <x v="0"/>
    <s v="Sebastián S"/>
    <s v="Rodolfo O"/>
    <n v="68419"/>
    <n v="2416952"/>
    <n v="35.32558467741935"/>
    <n v="0"/>
    <n v="34"/>
    <n v="34"/>
    <m/>
    <n v="0"/>
  </r>
  <r>
    <x v="101"/>
    <n v="202403"/>
    <x v="2"/>
    <x v="0"/>
    <s v="Fátima L"/>
    <s v="Fátima L"/>
    <n v="68396"/>
    <n v="1041441"/>
    <n v="15.226646505376346"/>
    <n v="0"/>
    <n v="13.5"/>
    <n v="14.5"/>
    <m/>
    <n v="0"/>
  </r>
  <r>
    <x v="68"/>
    <n v="202405"/>
    <x v="2"/>
    <x v="3"/>
    <s v="Sofía V"/>
    <s v="José A"/>
    <n v="68359"/>
    <n v="3408610"/>
    <n v="49.863192204301079"/>
    <n v="0"/>
    <n v="52"/>
    <n v="52"/>
    <m/>
    <n v="0"/>
  </r>
  <r>
    <x v="85"/>
    <n v="202502"/>
    <x v="1"/>
    <x v="2"/>
    <s v="Hernán P"/>
    <s v="Daniel R"/>
    <n v="68342"/>
    <n v="2406858"/>
    <n v="35.217968750000004"/>
    <n v="75126.74506948929"/>
    <n v="44"/>
    <n v="40.5"/>
    <n v="32.037302797742008"/>
    <n v="2496087"/>
  </r>
  <r>
    <x v="91"/>
    <n v="202503"/>
    <x v="1"/>
    <x v="0"/>
    <s v="Hernán P"/>
    <s v="Daniel R"/>
    <n v="68339"/>
    <n v="1319679"/>
    <n v="19.310685483870966"/>
    <n v="71216.252269302175"/>
    <n v="19"/>
    <n v="21.5"/>
    <n v="18.530591514555848"/>
    <n v="1421687"/>
  </r>
  <r>
    <x v="72"/>
    <n v="202510"/>
    <x v="1"/>
    <x v="8"/>
    <s v="Sebastián S"/>
    <s v="Vik E"/>
    <n v="68262"/>
    <n v="4516043"/>
    <n v="66.157244623655913"/>
    <n v="72723.172830190728"/>
    <n v="79.5"/>
    <n v="67"/>
    <n v="62.099085398061511"/>
    <n v="5292564"/>
  </r>
  <r>
    <x v="96"/>
    <n v="202401"/>
    <x v="2"/>
    <x v="10"/>
    <s v="Fátima L"/>
    <s v="Fátima L"/>
    <n v="68258"/>
    <n v="709637"/>
    <n v="10.396317204301075"/>
    <n v="0"/>
    <n v="11.5"/>
    <n v="10"/>
    <m/>
    <n v="0"/>
  </r>
  <r>
    <x v="92"/>
    <n v="202606"/>
    <x v="0"/>
    <x v="11"/>
    <s v="Fátima L"/>
    <s v="Fátima L"/>
    <n v="68246"/>
    <n v="592249"/>
    <n v="8.6781041666666745"/>
    <n v="53792.800664865514"/>
    <n v="11.5"/>
    <n v="10"/>
    <n v="10.042294324207418"/>
    <n v="540203"/>
  </r>
  <r>
    <x v="97"/>
    <n v="202408"/>
    <x v="2"/>
    <x v="5"/>
    <s v="María R"/>
    <s v="María R"/>
    <n v="68178"/>
    <n v="5388798"/>
    <n v="79.040067204301081"/>
    <n v="0"/>
    <n v="94"/>
    <n v="77.5"/>
    <m/>
    <n v="0"/>
  </r>
  <r>
    <x v="79"/>
    <n v="202406"/>
    <x v="2"/>
    <x v="11"/>
    <s v="Sebastián S"/>
    <s v="Vik E"/>
    <n v="68167"/>
    <n v="5714080"/>
    <n v="83.825097222222226"/>
    <n v="0"/>
    <n v="84.5"/>
    <n v="78.5"/>
    <m/>
    <n v="0"/>
  </r>
  <r>
    <x v="96"/>
    <n v="202403"/>
    <x v="2"/>
    <x v="0"/>
    <s v="Fátima L"/>
    <s v="Fátima L"/>
    <n v="68146"/>
    <n v="778503"/>
    <n v="11.424018817204304"/>
    <n v="0"/>
    <n v="11.5"/>
    <n v="10"/>
    <m/>
    <n v="0"/>
  </r>
  <r>
    <x v="93"/>
    <n v="202503"/>
    <x v="1"/>
    <x v="0"/>
    <s v="Hernán P"/>
    <s v="Daniel R"/>
    <n v="68114"/>
    <n v="2551029"/>
    <n v="37.452446236559133"/>
    <n v="63044.220982479579"/>
    <n v="45.5"/>
    <n v="42.5"/>
    <n v="40.464126770778066"/>
    <n v="2645582"/>
  </r>
  <r>
    <x v="103"/>
    <n v="202603"/>
    <x v="0"/>
    <x v="0"/>
    <s v="María R"/>
    <s v="María R"/>
    <n v="68100"/>
    <n v="3979052"/>
    <n v="58.429865591397864"/>
    <n v="63702.456785033522"/>
    <n v="66"/>
    <n v="65.5"/>
    <n v="58.116081161406527"/>
    <n v="3702137"/>
  </r>
  <r>
    <x v="9"/>
    <n v="202506"/>
    <x v="1"/>
    <x v="11"/>
    <s v="Sofía V"/>
    <s v="Joe H"/>
    <n v="68083"/>
    <n v="4488061"/>
    <n v="65.920069444444437"/>
    <n v="80288.078520513984"/>
    <n v="70.5"/>
    <n v="69.5"/>
    <n v="55.899470166710728"/>
    <n v="4828109"/>
  </r>
  <r>
    <x v="85"/>
    <n v="202501"/>
    <x v="1"/>
    <x v="10"/>
    <s v="Hernán P"/>
    <s v="Daniel R"/>
    <n v="68081"/>
    <n v="2516043"/>
    <n v="36.956801075268828"/>
    <n v="76947.930524732437"/>
    <n v="44"/>
    <n v="40.5"/>
    <n v="32.697991392910801"/>
    <n v="2720340"/>
  </r>
  <r>
    <x v="64"/>
    <n v="202409"/>
    <x v="2"/>
    <x v="4"/>
    <s v="Sebastián S"/>
    <s v="Johanna V"/>
    <n v="68075"/>
    <n v="4742536"/>
    <n v="69.66589583333338"/>
    <n v="0"/>
    <n v="75.5"/>
    <n v="70.5"/>
    <m/>
    <n v="0"/>
  </r>
  <r>
    <x v="23"/>
    <n v="202502"/>
    <x v="1"/>
    <x v="2"/>
    <s v="Sebastián S"/>
    <s v="Rodolfo O"/>
    <n v="68029"/>
    <n v="5721232"/>
    <n v="84.099947916666665"/>
    <n v="80481.167801453019"/>
    <n v="94.5"/>
    <n v="97"/>
    <n v="71.087833542801931"/>
    <n v="7170208"/>
  </r>
  <r>
    <x v="80"/>
    <n v="202409"/>
    <x v="2"/>
    <x v="4"/>
    <s v="Fátima L"/>
    <s v="Fátima L"/>
    <n v="68012"/>
    <n v="528126"/>
    <n v="7.7651875000000006"/>
    <n v="0"/>
    <n v="10"/>
    <n v="9"/>
    <m/>
    <n v="0"/>
  </r>
  <r>
    <x v="75"/>
    <n v="202511"/>
    <x v="1"/>
    <x v="7"/>
    <s v="Hernán P"/>
    <s v="Daniel R"/>
    <n v="68009"/>
    <n v="1650909"/>
    <n v="24.274784722222218"/>
    <n v="68980.111963511372"/>
    <n v="31"/>
    <n v="27"/>
    <n v="23.93311612589563"/>
    <n v="1579422"/>
  </r>
  <r>
    <x v="91"/>
    <n v="202601"/>
    <x v="0"/>
    <x v="10"/>
    <s v="Hernán P"/>
    <s v="Daniel R"/>
    <n v="68004"/>
    <n v="1117393"/>
    <n v="16.431323924731185"/>
    <n v="65993.62656648735"/>
    <n v="19"/>
    <n v="21.5"/>
    <n v="17.464859694273773"/>
    <n v="1152569"/>
  </r>
  <r>
    <x v="85"/>
    <n v="202411"/>
    <x v="2"/>
    <x v="7"/>
    <s v="Hernán P"/>
    <s v="Daniel R"/>
    <n v="67986"/>
    <n v="2567285"/>
    <n v="37.762131944444448"/>
    <n v="0"/>
    <n v="44"/>
    <n v="40.5"/>
    <m/>
    <n v="0"/>
  </r>
  <r>
    <x v="75"/>
    <n v="202407"/>
    <x v="2"/>
    <x v="6"/>
    <s v="Hernán P"/>
    <s v="Daniel R"/>
    <n v="67984"/>
    <n v="1757976"/>
    <n v="25.858649193548384"/>
    <n v="0"/>
    <n v="31"/>
    <n v="27"/>
    <m/>
    <n v="0"/>
  </r>
  <r>
    <x v="57"/>
    <n v="202404"/>
    <x v="2"/>
    <x v="9"/>
    <s v="Hernán P"/>
    <s v="Daniel R"/>
    <n v="67980"/>
    <n v="3227990"/>
    <n v="47.484645833333332"/>
    <n v="0"/>
    <n v="53.5"/>
    <n v="52"/>
    <m/>
    <n v="0"/>
  </r>
  <r>
    <x v="85"/>
    <n v="202507"/>
    <x v="1"/>
    <x v="6"/>
    <s v="Hernán P"/>
    <s v="Daniel R"/>
    <n v="67976"/>
    <n v="2465488"/>
    <n v="36.270020161290326"/>
    <n v="73181.619797208215"/>
    <n v="44"/>
    <n v="40.5"/>
    <n v="33.689988235188743"/>
    <n v="2696459"/>
  </r>
  <r>
    <x v="60"/>
    <n v="202504"/>
    <x v="1"/>
    <x v="9"/>
    <s v="Sofía V"/>
    <s v="Melany A"/>
    <n v="67974"/>
    <n v="9037321"/>
    <n v="132.95187499999997"/>
    <n v="72496.814802223686"/>
    <n v="88.5"/>
    <n v="92.5"/>
    <n v="124.65818442719775"/>
    <n v="6319758"/>
  </r>
  <r>
    <x v="84"/>
    <n v="202403"/>
    <x v="2"/>
    <x v="0"/>
    <s v="Sofía V"/>
    <s v="Melany A"/>
    <n v="67963"/>
    <n v="3774569"/>
    <n v="55.538366935483872"/>
    <n v="0"/>
    <n v="52.5"/>
    <n v="52.5"/>
    <m/>
    <n v="0"/>
  </r>
  <r>
    <x v="82"/>
    <n v="202505"/>
    <x v="1"/>
    <x v="3"/>
    <s v="Sebastián S"/>
    <s v="Vik E"/>
    <n v="67962"/>
    <n v="3684553"/>
    <n v="54.214717741935495"/>
    <n v="66469.983829849618"/>
    <n v="61.5"/>
    <n v="56"/>
    <n v="55.43182813812242"/>
    <n v="3923407"/>
  </r>
  <r>
    <x v="100"/>
    <n v="202511"/>
    <x v="1"/>
    <x v="7"/>
    <s v="Hernán P"/>
    <s v="Daniel R"/>
    <n v="67950"/>
    <n v="2100302"/>
    <n v="30.909423611111116"/>
    <n v="64960.94646936137"/>
    <n v="41.5"/>
    <n v="43"/>
    <n v="32.331771074034478"/>
    <n v="2410746"/>
  </r>
  <r>
    <x v="34"/>
    <n v="202502"/>
    <x v="1"/>
    <x v="2"/>
    <s v="Hernán P"/>
    <s v="Daniel R"/>
    <n v="67948"/>
    <n v="983161"/>
    <n v="14.469218750000001"/>
    <n v="86581.688609877034"/>
    <n v="15"/>
    <n v="15"/>
    <n v="11.355299091358255"/>
    <n v="1111856"/>
  </r>
  <r>
    <x v="0"/>
    <n v="202402"/>
    <x v="2"/>
    <x v="2"/>
    <s v="Fátima L"/>
    <s v="Fátima L"/>
    <n v="67923"/>
    <n v="935322"/>
    <n v="13.770387931034488"/>
    <n v="0"/>
    <n v="13.5"/>
    <n v="12.5"/>
    <m/>
    <n v="0"/>
  </r>
  <r>
    <x v="75"/>
    <n v="202408"/>
    <x v="2"/>
    <x v="5"/>
    <s v="Hernán P"/>
    <s v="Daniel R"/>
    <n v="67883"/>
    <n v="1795920"/>
    <n v="26.456095430107517"/>
    <n v="0"/>
    <n v="31"/>
    <n v="27"/>
    <m/>
    <n v="0"/>
  </r>
  <r>
    <x v="71"/>
    <n v="202409"/>
    <x v="2"/>
    <x v="4"/>
    <s v="Sebastián S"/>
    <s v="Rodolfo O"/>
    <n v="67882"/>
    <n v="3555248"/>
    <n v="52.373756944444445"/>
    <n v="0"/>
    <n v="53.5"/>
    <n v="54"/>
    <m/>
    <n v="0"/>
  </r>
  <r>
    <x v="38"/>
    <n v="202501"/>
    <x v="1"/>
    <x v="10"/>
    <s v="Sofía V"/>
    <s v="Melany A"/>
    <n v="67864"/>
    <n v="3602615"/>
    <n v="53.085685483870954"/>
    <n v="78938.844917223963"/>
    <n v="56"/>
    <n v="60"/>
    <n v="45.6380504905758"/>
    <n v="4553715"/>
  </r>
  <r>
    <x v="39"/>
    <n v="202410"/>
    <x v="2"/>
    <x v="8"/>
    <s v="Sofía V"/>
    <s v="Melany A"/>
    <n v="67854"/>
    <n v="4277187"/>
    <n v="63.03547043010753"/>
    <n v="0"/>
    <n v="60.5"/>
    <n v="60.5"/>
    <m/>
    <n v="0"/>
  </r>
  <r>
    <x v="91"/>
    <n v="202403"/>
    <x v="2"/>
    <x v="0"/>
    <s v="Hernán P"/>
    <s v="Daniel R"/>
    <n v="67825"/>
    <n v="1426973"/>
    <n v="21.039045698924728"/>
    <n v="0"/>
    <n v="19"/>
    <n v="21.5"/>
    <m/>
    <n v="0"/>
  </r>
  <r>
    <x v="81"/>
    <n v="202411"/>
    <x v="2"/>
    <x v="7"/>
    <s v="Fátima L"/>
    <s v="Fátima L"/>
    <n v="67814"/>
    <n v="782567"/>
    <n v="11.539937500000001"/>
    <n v="0"/>
    <n v="11.5"/>
    <n v="12"/>
    <m/>
    <n v="0"/>
  </r>
  <r>
    <x v="79"/>
    <n v="202401"/>
    <x v="2"/>
    <x v="10"/>
    <s v="Sebastián S"/>
    <s v="Vik E"/>
    <n v="67794"/>
    <n v="5172368"/>
    <n v="76.295719086021506"/>
    <n v="0"/>
    <n v="84.5"/>
    <n v="78.5"/>
    <m/>
    <n v="0"/>
  </r>
  <r>
    <x v="104"/>
    <n v="202512"/>
    <x v="1"/>
    <x v="1"/>
    <s v="Fátima L"/>
    <s v="Fátima L"/>
    <n v="67792"/>
    <n v="637678"/>
    <n v="9.4063911290322437"/>
    <n v="66384.576160026219"/>
    <n v="11"/>
    <n v="10"/>
    <n v="9.6058135320894138"/>
    <n v="668856"/>
  </r>
  <r>
    <x v="70"/>
    <n v="202606"/>
    <x v="0"/>
    <x v="11"/>
    <s v="Sebastián S"/>
    <s v="Vik E"/>
    <n v="67768"/>
    <n v="3530697"/>
    <n v="52.099784722222182"/>
    <n v="71159.35823190627"/>
    <n v="60.5"/>
    <n v="57.5"/>
    <n v="51.161312105083525"/>
    <n v="3640606"/>
  </r>
  <r>
    <x v="84"/>
    <n v="202603"/>
    <x v="0"/>
    <x v="0"/>
    <s v="Sofía V"/>
    <s v="Melany A"/>
    <n v="67721"/>
    <n v="3486324"/>
    <n v="51.48100134408601"/>
    <n v="99333.98702306622"/>
    <n v="52.5"/>
    <n v="52.5"/>
    <n v="46.965208254619732"/>
    <n v="4665241"/>
  </r>
  <r>
    <x v="93"/>
    <n v="202604"/>
    <x v="0"/>
    <x v="9"/>
    <s v="Hernán P"/>
    <s v="Daniel R"/>
    <n v="67717"/>
    <n v="2546172"/>
    <n v="37.600402777777269"/>
    <n v="64284.134742959301"/>
    <n v="45.5"/>
    <n v="42.5"/>
    <n v="36.981595266169094"/>
    <n v="2377330"/>
  </r>
  <r>
    <x v="81"/>
    <n v="202603"/>
    <x v="0"/>
    <x v="0"/>
    <s v="Fátima L"/>
    <s v="Fátima L"/>
    <n v="67714"/>
    <n v="775077"/>
    <n v="11.446317204301074"/>
    <n v="86396.573600572709"/>
    <n v="11.5"/>
    <n v="12"/>
    <n v="10.04229432420742"/>
    <n v="867620"/>
  </r>
  <r>
    <x v="74"/>
    <n v="202605"/>
    <x v="0"/>
    <x v="3"/>
    <s v="Sebastián S"/>
    <s v="Rodolfo O"/>
    <n v="67663"/>
    <n v="1618489"/>
    <n v="23.9199126344086"/>
    <n v="65572.539602137011"/>
    <n v="27"/>
    <n v="27"/>
    <n v="23.582599197509253"/>
    <n v="1546371"/>
  </r>
  <r>
    <x v="103"/>
    <n v="202512"/>
    <x v="1"/>
    <x v="1"/>
    <s v="María R"/>
    <s v="María R"/>
    <n v="67652"/>
    <n v="4322796"/>
    <n v="63.89729838709674"/>
    <n v="64553.274876580843"/>
    <n v="66"/>
    <n v="65.5"/>
    <n v="66.964775811370302"/>
    <n v="4401178"/>
  </r>
  <r>
    <x v="0"/>
    <n v="202405"/>
    <x v="2"/>
    <x v="3"/>
    <s v="Fátima L"/>
    <s v="Fátima L"/>
    <n v="67589"/>
    <n v="823114"/>
    <n v="12.178259408602152"/>
    <n v="0"/>
    <n v="13.5"/>
    <n v="12.5"/>
    <m/>
    <n v="0"/>
  </r>
  <r>
    <x v="7"/>
    <n v="202404"/>
    <x v="2"/>
    <x v="9"/>
    <s v="Sebastián S"/>
    <s v="Rodolfo O"/>
    <n v="67549"/>
    <n v="4469812"/>
    <n v="66.170951388888923"/>
    <n v="0"/>
    <n v="65.5"/>
    <n v="63"/>
    <m/>
    <n v="0"/>
  </r>
  <r>
    <x v="105"/>
    <n v="202503"/>
    <x v="1"/>
    <x v="0"/>
    <s v="María R"/>
    <s v="María R"/>
    <n v="67542"/>
    <n v="3466723"/>
    <n v="51.327123655913979"/>
    <n v="62284.604377231488"/>
    <n v="61.5"/>
    <n v="56"/>
    <n v="55.659381233338642"/>
    <n v="3356256"/>
  </r>
  <r>
    <x v="92"/>
    <n v="202503"/>
    <x v="1"/>
    <x v="0"/>
    <s v="Fátima L"/>
    <s v="Fátima L"/>
    <n v="67538"/>
    <n v="676448"/>
    <n v="10.015786290322582"/>
    <n v="81746.854003781686"/>
    <n v="11.5"/>
    <n v="10"/>
    <n v="8.2749158758905512"/>
    <n v="662006"/>
  </r>
  <r>
    <x v="57"/>
    <n v="202505"/>
    <x v="1"/>
    <x v="3"/>
    <s v="Hernán P"/>
    <s v="Daniel R"/>
    <n v="67455"/>
    <n v="3026444"/>
    <n v="44.866283602150538"/>
    <n v="67501.908976516803"/>
    <n v="53.5"/>
    <n v="52"/>
    <n v="44.834934387601812"/>
    <n v="3120707"/>
  </r>
  <r>
    <x v="60"/>
    <n v="202508"/>
    <x v="1"/>
    <x v="5"/>
    <s v="Sofía V"/>
    <s v="Melany A"/>
    <n v="67404"/>
    <n v="8124258"/>
    <n v="120.53115591397849"/>
    <n v="87573.10847321352"/>
    <n v="88.5"/>
    <n v="92.5"/>
    <n v="92.771145179630281"/>
    <n v="6381770"/>
  </r>
  <r>
    <x v="92"/>
    <n v="202504"/>
    <x v="1"/>
    <x v="9"/>
    <s v="Fátima L"/>
    <s v="Fátima L"/>
    <n v="67377"/>
    <n v="563740"/>
    <n v="8.3669930555555574"/>
    <n v="63498.404735583194"/>
    <n v="11.5"/>
    <n v="10"/>
    <n v="8.8780105948723449"/>
    <n v="623118"/>
  </r>
  <r>
    <x v="74"/>
    <n v="202602"/>
    <x v="0"/>
    <x v="2"/>
    <s v="Sebastián S"/>
    <s v="Rodolfo O"/>
    <n v="67371"/>
    <n v="1516617"/>
    <n v="22.511302083333327"/>
    <n v="80307.729531358273"/>
    <n v="27"/>
    <n v="27"/>
    <n v="23.582599197509253"/>
    <n v="1893865"/>
  </r>
  <r>
    <x v="91"/>
    <n v="202501"/>
    <x v="1"/>
    <x v="10"/>
    <s v="Hernán P"/>
    <s v="Daniel R"/>
    <n v="67368"/>
    <n v="1113516"/>
    <n v="16.528938172043016"/>
    <n v="62106.969824478627"/>
    <n v="19"/>
    <n v="21.5"/>
    <n v="17.928999968069974"/>
    <n v="1167741"/>
  </r>
  <r>
    <x v="78"/>
    <n v="202406"/>
    <x v="2"/>
    <x v="11"/>
    <s v="Sebastián S"/>
    <s v="Vik E"/>
    <n v="67302"/>
    <n v="3571259"/>
    <n v="53.062868055555562"/>
    <n v="0"/>
    <n v="63"/>
    <n v="59"/>
    <m/>
    <n v="0"/>
  </r>
  <r>
    <x v="98"/>
    <n v="202504"/>
    <x v="1"/>
    <x v="9"/>
    <s v="Hernán P"/>
    <s v="Daniel R"/>
    <n v="67287"/>
    <n v="5070666"/>
    <n v="75.359131944444442"/>
    <n v="72889.09464360273"/>
    <n v="87"/>
    <n v="77.5"/>
    <n v="69.566868058842573"/>
    <n v="5652887"/>
  </r>
  <r>
    <x v="55"/>
    <n v="202505"/>
    <x v="1"/>
    <x v="3"/>
    <s v="Sebastián S"/>
    <s v="Vik E"/>
    <n v="67218"/>
    <n v="4494402"/>
    <n v="66.862654569892499"/>
    <n v="77689.846511296957"/>
    <n v="69.5"/>
    <n v="59"/>
    <n v="57.850572395537739"/>
    <n v="5156748"/>
  </r>
  <r>
    <x v="98"/>
    <n v="202602"/>
    <x v="0"/>
    <x v="2"/>
    <s v="Hernán P"/>
    <s v="Daniel R"/>
    <n v="67213"/>
    <n v="4820852"/>
    <n v="71.724947916666665"/>
    <n v="67826.47902479519"/>
    <n v="87"/>
    <n v="77.5"/>
    <n v="73.970842069892498"/>
    <n v="5017182"/>
  </r>
  <r>
    <x v="105"/>
    <n v="202412"/>
    <x v="2"/>
    <x v="1"/>
    <s v="María R"/>
    <s v="María R"/>
    <n v="67145"/>
    <n v="4024533"/>
    <n v="59.937970430107541"/>
    <n v="0"/>
    <n v="61.5"/>
    <n v="56"/>
    <m/>
    <n v="0"/>
  </r>
  <r>
    <x v="66"/>
    <n v="202504"/>
    <x v="1"/>
    <x v="9"/>
    <s v="Sebastián S"/>
    <s v="Rodolfo O"/>
    <n v="67140"/>
    <n v="3724737"/>
    <n v="55.47743055555555"/>
    <n v="64235.996728829588"/>
    <n v="55"/>
    <n v="55.5"/>
    <n v="57.985199415895586"/>
    <n v="3803700"/>
  </r>
  <r>
    <x v="80"/>
    <n v="202603"/>
    <x v="0"/>
    <x v="0"/>
    <s v="Fátima L"/>
    <s v="Fátima L"/>
    <n v="67139"/>
    <n v="553833"/>
    <n v="8.249086021505379"/>
    <n v="58636.340292554647"/>
    <n v="10"/>
    <n v="9"/>
    <n v="8.1521894564878892"/>
    <n v="478015"/>
  </r>
  <r>
    <x v="0"/>
    <n v="202404"/>
    <x v="2"/>
    <x v="9"/>
    <s v="Fátima L"/>
    <s v="Fátima L"/>
    <n v="67135"/>
    <n v="841222"/>
    <n v="12.530243055555557"/>
    <n v="0"/>
    <n v="13.5"/>
    <n v="12.5"/>
    <m/>
    <n v="0"/>
  </r>
  <r>
    <x v="78"/>
    <n v="202602"/>
    <x v="0"/>
    <x v="2"/>
    <s v="Sebastián S"/>
    <s v="Vik E"/>
    <n v="67129"/>
    <n v="3755677"/>
    <n v="55.947291666666658"/>
    <n v="69070.229488797093"/>
    <n v="63"/>
    <n v="59"/>
    <n v="55.026064794188251"/>
    <n v="3800663"/>
  </r>
  <r>
    <x v="78"/>
    <n v="202606"/>
    <x v="0"/>
    <x v="11"/>
    <s v="Sebastián S"/>
    <s v="Vik E"/>
    <n v="67119"/>
    <n v="3402026"/>
    <n v="50.686368055556038"/>
    <n v="66368.739862817107"/>
    <n v="63"/>
    <n v="59"/>
    <n v="55.026064794188251"/>
    <n v="3652011"/>
  </r>
  <r>
    <x v="97"/>
    <n v="202404"/>
    <x v="2"/>
    <x v="9"/>
    <s v="María R"/>
    <s v="María R"/>
    <n v="67108"/>
    <n v="5277936"/>
    <n v="78.648402777777804"/>
    <n v="0"/>
    <n v="94"/>
    <n v="77.5"/>
    <m/>
    <n v="0"/>
  </r>
  <r>
    <x v="60"/>
    <n v="202507"/>
    <x v="1"/>
    <x v="6"/>
    <s v="Sofía V"/>
    <s v="Melany A"/>
    <n v="67081"/>
    <n v="8577642"/>
    <n v="127.87024193548389"/>
    <n v="83713.317484422398"/>
    <n v="88.5"/>
    <n v="92.5"/>
    <n v="102.46448400036414"/>
    <n v="6727748"/>
  </r>
  <r>
    <x v="93"/>
    <n v="202605"/>
    <x v="0"/>
    <x v="3"/>
    <s v="Hernán P"/>
    <s v="Daniel R"/>
    <n v="67050"/>
    <n v="2633170"/>
    <n v="39.271881720430606"/>
    <n v="68120.244426139441"/>
    <n v="45.5"/>
    <n v="42.5"/>
    <n v="36.981595266169094"/>
    <n v="2519195"/>
  </r>
  <r>
    <x v="74"/>
    <n v="202601"/>
    <x v="0"/>
    <x v="10"/>
    <s v="Sebastián S"/>
    <s v="Rodolfo O"/>
    <n v="67034"/>
    <n v="1460734"/>
    <n v="21.790887096774188"/>
    <n v="87117.013739392467"/>
    <n v="27"/>
    <n v="27"/>
    <n v="23.582599197509253"/>
    <n v="2054446"/>
  </r>
  <r>
    <x v="77"/>
    <n v="202403"/>
    <x v="2"/>
    <x v="0"/>
    <s v="Fátima L"/>
    <s v="Fátima L"/>
    <n v="67015"/>
    <n v="1173683"/>
    <n v="17.513736559139787"/>
    <n v="0"/>
    <n v="17"/>
    <n v="13.5"/>
    <m/>
    <n v="0"/>
  </r>
  <r>
    <x v="70"/>
    <n v="202508"/>
    <x v="1"/>
    <x v="5"/>
    <s v="Sebastián S"/>
    <s v="Vik E"/>
    <n v="67005"/>
    <n v="3471691"/>
    <n v="51.812795698924752"/>
    <n v="77264.656017034591"/>
    <n v="60.5"/>
    <n v="57.5"/>
    <n v="44.932454228937416"/>
    <n v="3800859"/>
  </r>
  <r>
    <x v="72"/>
    <n v="202405"/>
    <x v="2"/>
    <x v="3"/>
    <s v="Sebastián S"/>
    <s v="Vik E"/>
    <n v="67004"/>
    <n v="4983094"/>
    <n v="74.369684139784923"/>
    <n v="0"/>
    <n v="79.5"/>
    <n v="67"/>
    <m/>
    <n v="0"/>
  </r>
  <r>
    <x v="85"/>
    <n v="202601"/>
    <x v="0"/>
    <x v="10"/>
    <s v="Hernán P"/>
    <s v="Daniel R"/>
    <n v="67004"/>
    <n v="2537568"/>
    <n v="37.871740591397852"/>
    <n v="76707.514207493892"/>
    <n v="44"/>
    <n v="40.5"/>
    <n v="35.762421795855829"/>
    <n v="2743246"/>
  </r>
  <r>
    <x v="72"/>
    <n v="202402"/>
    <x v="2"/>
    <x v="2"/>
    <s v="Sebastián S"/>
    <s v="Vik E"/>
    <n v="66982"/>
    <n v="4755868"/>
    <n v="71.00242816091955"/>
    <n v="0"/>
    <n v="79.5"/>
    <n v="67"/>
    <m/>
    <n v="0"/>
  </r>
  <r>
    <x v="7"/>
    <n v="202402"/>
    <x v="2"/>
    <x v="2"/>
    <s v="Sebastián S"/>
    <s v="Rodolfo O"/>
    <n v="66939"/>
    <n v="4638980"/>
    <n v="69.301508620689674"/>
    <n v="0"/>
    <n v="65.5"/>
    <n v="63"/>
    <m/>
    <n v="0"/>
  </r>
  <r>
    <x v="80"/>
    <n v="202605"/>
    <x v="0"/>
    <x v="3"/>
    <s v="Fátima L"/>
    <s v="Fátima L"/>
    <n v="66918"/>
    <n v="534897"/>
    <n v="7.9933602150537837"/>
    <n v="57451.242479069559"/>
    <n v="10"/>
    <n v="9"/>
    <n v="8.1521894564878892"/>
    <n v="468353"/>
  </r>
  <r>
    <x v="85"/>
    <n v="202409"/>
    <x v="2"/>
    <x v="4"/>
    <s v="Hernán P"/>
    <s v="Daniel R"/>
    <n v="66914"/>
    <n v="2538446"/>
    <n v="37.935819444444448"/>
    <n v="0"/>
    <n v="44"/>
    <n v="40.5"/>
    <m/>
    <n v="0"/>
  </r>
  <r>
    <x v="85"/>
    <n v="202505"/>
    <x v="1"/>
    <x v="3"/>
    <s v="Hernán P"/>
    <s v="Daniel R"/>
    <n v="66861"/>
    <n v="2578448"/>
    <n v="38.56426075268817"/>
    <n v="77271.93901453467"/>
    <n v="44"/>
    <n v="40.5"/>
    <n v="33.368486320952812"/>
    <n v="2732618"/>
  </r>
  <r>
    <x v="78"/>
    <n v="202401"/>
    <x v="2"/>
    <x v="10"/>
    <s v="Sebastián S"/>
    <s v="Vik E"/>
    <n v="66854"/>
    <n v="3496235"/>
    <n v="52.2968682795699"/>
    <n v="0"/>
    <n v="63"/>
    <n v="59"/>
    <m/>
    <n v="0"/>
  </r>
  <r>
    <x v="94"/>
    <n v="202503"/>
    <x v="1"/>
    <x v="0"/>
    <s v="Hernán P"/>
    <s v="Daniel R"/>
    <n v="66836"/>
    <n v="2561977"/>
    <n v="38.332338709677423"/>
    <n v="63827.580763636397"/>
    <n v="33"/>
    <n v="31.5"/>
    <n v="40.139023277216225"/>
    <n v="2570592"/>
  </r>
  <r>
    <x v="78"/>
    <n v="202507"/>
    <x v="1"/>
    <x v="6"/>
    <s v="Sebastián S"/>
    <s v="Vik E"/>
    <n v="66729"/>
    <n v="3536892"/>
    <n v="53.003830645161301"/>
    <n v="74449.540047534683"/>
    <n v="63"/>
    <n v="59"/>
    <n v="47.507240847179965"/>
    <n v="4023394"/>
  </r>
  <r>
    <x v="72"/>
    <n v="202404"/>
    <x v="2"/>
    <x v="9"/>
    <s v="Sebastián S"/>
    <s v="Vik E"/>
    <n v="66700"/>
    <n v="4778671"/>
    <n v="71.644368055555546"/>
    <n v="0"/>
    <n v="79.5"/>
    <n v="67"/>
    <m/>
    <n v="0"/>
  </r>
  <r>
    <x v="97"/>
    <n v="202410"/>
    <x v="2"/>
    <x v="8"/>
    <s v="María R"/>
    <s v="María R"/>
    <n v="66679"/>
    <n v="5354658"/>
    <n v="80.305053763440881"/>
    <n v="0"/>
    <n v="94"/>
    <n v="77.5"/>
    <m/>
    <n v="0"/>
  </r>
  <r>
    <x v="66"/>
    <n v="202405"/>
    <x v="2"/>
    <x v="3"/>
    <s v="Sebastián S"/>
    <s v="Rodolfo O"/>
    <n v="66677"/>
    <n v="3613778"/>
    <n v="54.198487903225818"/>
    <n v="0"/>
    <n v="55"/>
    <n v="55.5"/>
    <m/>
    <n v="0"/>
  </r>
  <r>
    <x v="94"/>
    <n v="202504"/>
    <x v="1"/>
    <x v="9"/>
    <s v="Hernán P"/>
    <s v="Daniel R"/>
    <n v="66676"/>
    <n v="2360967"/>
    <n v="35.409645833333336"/>
    <n v="57604.311988234454"/>
    <n v="33"/>
    <n v="31.5"/>
    <n v="40.985946511820536"/>
    <n v="2598394"/>
  </r>
  <r>
    <x v="70"/>
    <n v="202401"/>
    <x v="2"/>
    <x v="10"/>
    <s v="Sebastián S"/>
    <s v="Vik E"/>
    <n v="66665"/>
    <n v="3420432"/>
    <n v="51.308118279569911"/>
    <n v="0"/>
    <n v="60.5"/>
    <n v="57.5"/>
    <m/>
    <n v="0"/>
  </r>
  <r>
    <x v="64"/>
    <n v="202410"/>
    <x v="2"/>
    <x v="8"/>
    <s v="Sebastián S"/>
    <s v="Johanna V"/>
    <n v="66660"/>
    <n v="4741165"/>
    <n v="71.124845430107499"/>
    <n v="0"/>
    <n v="75.5"/>
    <n v="70.5"/>
    <m/>
    <n v="0"/>
  </r>
  <r>
    <x v="104"/>
    <n v="202406"/>
    <x v="2"/>
    <x v="11"/>
    <s v="Fátima L"/>
    <s v="Fátima L"/>
    <n v="66624"/>
    <n v="536266"/>
    <n v="8.0491736111111116"/>
    <n v="0"/>
    <n v="11"/>
    <n v="10"/>
    <m/>
    <n v="0"/>
  </r>
  <r>
    <x v="57"/>
    <n v="202509"/>
    <x v="1"/>
    <x v="4"/>
    <s v="Hernán P"/>
    <s v="Daniel R"/>
    <n v="66540"/>
    <n v="2789009"/>
    <n v="41.914493055555546"/>
    <n v="69488.618637647931"/>
    <n v="53.5"/>
    <n v="52"/>
    <n v="40.136198771534595"/>
    <n v="3343826"/>
  </r>
  <r>
    <x v="0"/>
    <n v="202502"/>
    <x v="1"/>
    <x v="2"/>
    <s v="Fátima L"/>
    <s v="Fátima L"/>
    <n v="66528"/>
    <n v="785428"/>
    <n v="11.806041666666665"/>
    <n v="71318.826740287899"/>
    <n v="13.5"/>
    <n v="12.5"/>
    <n v="11.012909436384669"/>
    <n v="897605"/>
  </r>
  <r>
    <x v="78"/>
    <n v="202510"/>
    <x v="1"/>
    <x v="8"/>
    <s v="Sebastián S"/>
    <s v="Vik E"/>
    <n v="66503"/>
    <n v="3150292"/>
    <n v="47.370524193548391"/>
    <n v="66105.305274881379"/>
    <n v="63"/>
    <n v="59"/>
    <n v="47.65565315673755"/>
    <n v="3945338"/>
  </r>
  <r>
    <x v="85"/>
    <n v="202506"/>
    <x v="1"/>
    <x v="11"/>
    <s v="Hernán P"/>
    <s v="Daniel R"/>
    <n v="66487"/>
    <n v="2491028"/>
    <n v="37.46628472222222"/>
    <n v="82263.761855426928"/>
    <n v="44"/>
    <n v="40.5"/>
    <n v="30.280993037709802"/>
    <n v="2690676"/>
  </r>
  <r>
    <x v="84"/>
    <n v="202502"/>
    <x v="1"/>
    <x v="2"/>
    <s v="Sofía V"/>
    <s v="Melany A"/>
    <n v="66466"/>
    <n v="3311640"/>
    <n v="49.824427083333333"/>
    <n v="59617.162883271441"/>
    <n v="52.5"/>
    <n v="52.5"/>
    <n v="55.548428167977207"/>
    <n v="3097538"/>
  </r>
  <r>
    <x v="77"/>
    <n v="202502"/>
    <x v="1"/>
    <x v="2"/>
    <s v="Fátima L"/>
    <s v="Fátima L"/>
    <n v="66419"/>
    <n v="953267"/>
    <n v="14.352395833333331"/>
    <n v="59814.667767906889"/>
    <n v="17"/>
    <n v="13.5"/>
    <n v="15.937010863269697"/>
    <n v="994613"/>
  </r>
  <r>
    <x v="84"/>
    <n v="202501"/>
    <x v="1"/>
    <x v="10"/>
    <s v="Sofía V"/>
    <s v="Melany A"/>
    <n v="66415"/>
    <n v="3290007"/>
    <n v="49.53680779569892"/>
    <n v="65092.009788105177"/>
    <n v="52.5"/>
    <n v="52.5"/>
    <n v="50.543948492449395"/>
    <n v="3478107"/>
  </r>
  <r>
    <x v="90"/>
    <n v="202408"/>
    <x v="2"/>
    <x v="5"/>
    <s v="Sebastián S"/>
    <s v="Vik E"/>
    <n v="66412"/>
    <n v="2839922"/>
    <n v="42.762143817204297"/>
    <n v="0"/>
    <n v="47.5"/>
    <n v="43"/>
    <m/>
    <n v="0"/>
  </r>
  <r>
    <x v="84"/>
    <n v="202507"/>
    <x v="1"/>
    <x v="6"/>
    <s v="Sofía V"/>
    <s v="Melany A"/>
    <n v="66393"/>
    <n v="3210835"/>
    <n v="48.360732526881712"/>
    <n v="74507.450527905195"/>
    <n v="52.5"/>
    <n v="52.5"/>
    <n v="43.094140213500516"/>
    <n v="4218935"/>
  </r>
  <r>
    <x v="97"/>
    <n v="202406"/>
    <x v="2"/>
    <x v="11"/>
    <s v="María R"/>
    <s v="María R"/>
    <n v="66375"/>
    <n v="5363729"/>
    <n v="80.809701388888925"/>
    <n v="0"/>
    <n v="94"/>
    <n v="77.5"/>
    <m/>
    <n v="0"/>
  </r>
  <r>
    <x v="75"/>
    <n v="202405"/>
    <x v="2"/>
    <x v="3"/>
    <s v="Hernán P"/>
    <s v="Daniel R"/>
    <n v="66372"/>
    <n v="1738955"/>
    <n v="26.200181451612902"/>
    <n v="0"/>
    <n v="31"/>
    <n v="27"/>
    <m/>
    <n v="0"/>
  </r>
  <r>
    <x v="93"/>
    <n v="202510"/>
    <x v="1"/>
    <x v="8"/>
    <s v="Hernán P"/>
    <s v="Daniel R"/>
    <n v="66346"/>
    <n v="2202861"/>
    <n v="33.202580645161284"/>
    <n v="59105.33944422959"/>
    <n v="45.5"/>
    <n v="42.5"/>
    <n v="37.270090159596627"/>
    <n v="2466996"/>
  </r>
  <r>
    <x v="82"/>
    <n v="202510"/>
    <x v="1"/>
    <x v="8"/>
    <s v="Sebastián S"/>
    <s v="Vik E"/>
    <n v="66341"/>
    <n v="3456704"/>
    <n v="52.105120967741954"/>
    <n v="77388.414225701388"/>
    <n v="61.5"/>
    <n v="56"/>
    <n v="44.666940711804862"/>
    <n v="3639258"/>
  </r>
  <r>
    <x v="82"/>
    <n v="202507"/>
    <x v="1"/>
    <x v="6"/>
    <s v="Sebastián S"/>
    <s v="Vik E"/>
    <n v="66329"/>
    <n v="3647830"/>
    <n v="54.996243279569896"/>
    <n v="69273.834798171389"/>
    <n v="61.5"/>
    <n v="56"/>
    <n v="52.658125115029598"/>
    <n v="3981975"/>
  </r>
  <r>
    <x v="64"/>
    <n v="202404"/>
    <x v="2"/>
    <x v="9"/>
    <s v="Sebastián S"/>
    <s v="Johanna V"/>
    <n v="66312"/>
    <n v="5057276"/>
    <n v="76.264562500000068"/>
    <n v="0"/>
    <n v="75.5"/>
    <n v="70.5"/>
    <m/>
    <n v="0"/>
  </r>
  <r>
    <x v="100"/>
    <n v="202408"/>
    <x v="2"/>
    <x v="5"/>
    <s v="Hernán P"/>
    <s v="Daniel R"/>
    <n v="66309"/>
    <n v="2287401"/>
    <n v="34.49593413978495"/>
    <n v="0"/>
    <n v="41.5"/>
    <n v="43"/>
    <m/>
    <n v="0"/>
  </r>
  <r>
    <x v="99"/>
    <n v="202603"/>
    <x v="0"/>
    <x v="0"/>
    <s v="Hernán P"/>
    <s v="Daniel R"/>
    <n v="66289"/>
    <n v="3275101"/>
    <n v="49.406357526881727"/>
    <n v="70818.602074228475"/>
    <n v="53.5"/>
    <n v="51"/>
    <n v="45.515809558361951"/>
    <n v="3223366"/>
  </r>
  <r>
    <x v="98"/>
    <n v="202507"/>
    <x v="1"/>
    <x v="6"/>
    <s v="Hernán P"/>
    <s v="Daniel R"/>
    <n v="66254"/>
    <n v="4813479"/>
    <n v="72.651579301075273"/>
    <n v="60212.044303161827"/>
    <n v="87"/>
    <n v="77.5"/>
    <n v="79.942120479494093"/>
    <n v="5208145"/>
  </r>
  <r>
    <x v="57"/>
    <n v="202407"/>
    <x v="2"/>
    <x v="6"/>
    <s v="Hernán P"/>
    <s v="Daniel R"/>
    <n v="66253"/>
    <n v="3283371"/>
    <n v="49.557788978494635"/>
    <n v="0"/>
    <n v="53.5"/>
    <n v="52"/>
    <m/>
    <n v="0"/>
  </r>
  <r>
    <x v="99"/>
    <n v="202605"/>
    <x v="0"/>
    <x v="3"/>
    <s v="Hernán P"/>
    <s v="Daniel R"/>
    <n v="66228"/>
    <n v="3056968"/>
    <n v="46.158508064516283"/>
    <n v="68291.589104097337"/>
    <n v="53.5"/>
    <n v="51"/>
    <n v="45.515809558361951"/>
    <n v="3108347"/>
  </r>
  <r>
    <x v="100"/>
    <n v="202412"/>
    <x v="2"/>
    <x v="1"/>
    <s v="Hernán P"/>
    <s v="Daniel R"/>
    <n v="66227"/>
    <n v="2565756"/>
    <n v="38.742130376344079"/>
    <n v="0"/>
    <n v="41.5"/>
    <n v="43"/>
    <m/>
    <n v="0"/>
  </r>
  <r>
    <x v="51"/>
    <n v="202401"/>
    <x v="2"/>
    <x v="10"/>
    <s v="Sofía V"/>
    <s v="Melany A"/>
    <n v="66211"/>
    <n v="2849913"/>
    <n v="43.043131720430118"/>
    <n v="0"/>
    <n v="43.5"/>
    <n v="41"/>
    <m/>
    <n v="0"/>
  </r>
  <r>
    <x v="77"/>
    <n v="202408"/>
    <x v="2"/>
    <x v="5"/>
    <s v="Fátima L"/>
    <s v="Fátima L"/>
    <n v="66181"/>
    <n v="1056778"/>
    <n v="15.967997311827959"/>
    <n v="0"/>
    <n v="17"/>
    <n v="13.5"/>
    <m/>
    <n v="0"/>
  </r>
  <r>
    <x v="57"/>
    <n v="202409"/>
    <x v="2"/>
    <x v="4"/>
    <s v="Hernán P"/>
    <s v="Daniel R"/>
    <n v="66180"/>
    <n v="3095850"/>
    <n v="46.779493055555562"/>
    <n v="0"/>
    <n v="53.5"/>
    <n v="52"/>
    <m/>
    <n v="0"/>
  </r>
  <r>
    <x v="84"/>
    <n v="202601"/>
    <x v="0"/>
    <x v="10"/>
    <s v="Sofía V"/>
    <s v="Melany A"/>
    <n v="66153"/>
    <n v="3015239"/>
    <n v="45.579973118279568"/>
    <n v="74982.203981893384"/>
    <n v="52.5"/>
    <n v="52.5"/>
    <n v="46.965208254619732"/>
    <n v="3521555"/>
  </r>
  <r>
    <x v="96"/>
    <n v="202606"/>
    <x v="0"/>
    <x v="11"/>
    <s v="Fátima L"/>
    <s v="Fátima L"/>
    <n v="66121"/>
    <n v="597876"/>
    <n v="9.0421527777777815"/>
    <n v="56773.042543243442"/>
    <n v="11.5"/>
    <n v="10"/>
    <n v="10.042294324207418"/>
    <n v="570132"/>
  </r>
  <r>
    <x v="93"/>
    <n v="202511"/>
    <x v="1"/>
    <x v="7"/>
    <s v="Hernán P"/>
    <s v="Daniel R"/>
    <n v="66113"/>
    <n v="2378106"/>
    <n v="35.970423611111102"/>
    <n v="56385.180939566191"/>
    <n v="45.5"/>
    <n v="42.5"/>
    <n v="42.176090248763444"/>
    <n v="2428265"/>
  </r>
  <r>
    <x v="84"/>
    <n v="202410"/>
    <x v="2"/>
    <x v="8"/>
    <s v="Sofía V"/>
    <s v="Melany A"/>
    <n v="66107"/>
    <n v="3050036"/>
    <n v="46.138138440860203"/>
    <n v="0"/>
    <n v="52.5"/>
    <n v="52.5"/>
    <m/>
    <n v="0"/>
  </r>
  <r>
    <x v="100"/>
    <n v="202410"/>
    <x v="2"/>
    <x v="8"/>
    <s v="Hernán P"/>
    <s v="Daniel R"/>
    <n v="66107"/>
    <n v="2228283"/>
    <n v="33.707446236559143"/>
    <n v="0"/>
    <n v="41.5"/>
    <n v="43"/>
    <m/>
    <n v="0"/>
  </r>
  <r>
    <x v="81"/>
    <n v="202404"/>
    <x v="2"/>
    <x v="9"/>
    <s v="Fátima L"/>
    <s v="Fátima L"/>
    <n v="66080"/>
    <n v="766901"/>
    <n v="11.605562500000003"/>
    <n v="0"/>
    <n v="11.5"/>
    <n v="12"/>
    <m/>
    <n v="0"/>
  </r>
  <r>
    <x v="92"/>
    <n v="202604"/>
    <x v="0"/>
    <x v="9"/>
    <s v="Fátima L"/>
    <s v="Fátima L"/>
    <n v="66058"/>
    <n v="612963"/>
    <n v="9.2792291666666689"/>
    <n v="56126.441339338533"/>
    <n v="11.5"/>
    <n v="10"/>
    <n v="10.042294324207418"/>
    <n v="563638"/>
  </r>
  <r>
    <x v="75"/>
    <n v="202410"/>
    <x v="2"/>
    <x v="8"/>
    <s v="Hernán P"/>
    <s v="Daniel R"/>
    <n v="66030"/>
    <n v="1694595"/>
    <n v="25.664126344086014"/>
    <n v="0"/>
    <n v="31"/>
    <n v="27"/>
    <m/>
    <n v="0"/>
  </r>
  <r>
    <x v="68"/>
    <n v="202502"/>
    <x v="1"/>
    <x v="2"/>
    <s v="Sofía V"/>
    <s v="José A"/>
    <n v="66018"/>
    <n v="3440526"/>
    <n v="52.114791666666669"/>
    <n v="74812.76315653541"/>
    <n v="52"/>
    <n v="52"/>
    <n v="45.988491600038522"/>
    <n v="3309726"/>
  </r>
  <r>
    <x v="98"/>
    <n v="202509"/>
    <x v="1"/>
    <x v="4"/>
    <s v="Hernán P"/>
    <s v="Daniel R"/>
    <n v="65999"/>
    <n v="4965027"/>
    <n v="75.229340277777794"/>
    <n v="68411.210640070596"/>
    <n v="87"/>
    <n v="77.5"/>
    <n v="72.576223743829303"/>
    <n v="5278766"/>
  </r>
  <r>
    <x v="82"/>
    <n v="202407"/>
    <x v="2"/>
    <x v="6"/>
    <s v="Sebastián S"/>
    <s v="Vik E"/>
    <n v="65975"/>
    <n v="3751014"/>
    <n v="56.855006720430104"/>
    <n v="0"/>
    <n v="61.5"/>
    <n v="56"/>
    <m/>
    <n v="0"/>
  </r>
  <r>
    <x v="68"/>
    <n v="202404"/>
    <x v="2"/>
    <x v="9"/>
    <s v="Sofía V"/>
    <s v="José A"/>
    <n v="65949"/>
    <n v="3239151"/>
    <n v="49.116375000000012"/>
    <n v="0"/>
    <n v="52"/>
    <n v="52"/>
    <m/>
    <n v="0"/>
  </r>
  <r>
    <x v="0"/>
    <n v="202408"/>
    <x v="2"/>
    <x v="5"/>
    <s v="Fátima L"/>
    <s v="Fátima L"/>
    <n v="65943"/>
    <n v="813167"/>
    <n v="12.331290322580646"/>
    <n v="0"/>
    <n v="13.5"/>
    <n v="12.5"/>
    <m/>
    <n v="0"/>
  </r>
  <r>
    <x v="97"/>
    <n v="202511"/>
    <x v="1"/>
    <x v="7"/>
    <s v="María R"/>
    <s v="María R"/>
    <n v="65909"/>
    <n v="5253336"/>
    <n v="79.705451388888946"/>
    <n v="67098.806646751225"/>
    <n v="94"/>
    <n v="77.5"/>
    <n v="78.292537863702151"/>
    <n v="5199357"/>
  </r>
  <r>
    <x v="90"/>
    <n v="202605"/>
    <x v="0"/>
    <x v="3"/>
    <s v="Sebastián S"/>
    <s v="Vik E"/>
    <n v="65907"/>
    <n v="2775015"/>
    <n v="42.104811827957029"/>
    <n v="70766.764724401641"/>
    <n v="47.5"/>
    <n v="43"/>
    <n v="41.487905995618128"/>
    <n v="2935965"/>
  </r>
  <r>
    <x v="90"/>
    <n v="202506"/>
    <x v="1"/>
    <x v="11"/>
    <s v="Sebastián S"/>
    <s v="Vik E"/>
    <n v="65887"/>
    <n v="2547626"/>
    <n v="38.666687500000002"/>
    <n v="57909.044159478144"/>
    <n v="47.5"/>
    <n v="43"/>
    <n v="43.993578325761803"/>
    <n v="2752091"/>
  </r>
  <r>
    <x v="87"/>
    <n v="202510"/>
    <x v="1"/>
    <x v="8"/>
    <s v="Fátima L"/>
    <s v="Fátima L"/>
    <n v="65859"/>
    <n v="617416"/>
    <n v="9.3748723118279553"/>
    <n v="78457.803001832799"/>
    <n v="11"/>
    <n v="11"/>
    <n v="7.8694001919168839"/>
    <n v="691803"/>
  </r>
  <r>
    <x v="91"/>
    <n v="202602"/>
    <x v="0"/>
    <x v="2"/>
    <s v="Hernán P"/>
    <s v="Daniel R"/>
    <n v="65856"/>
    <n v="1139532"/>
    <n v="17.303489583333338"/>
    <n v="64405.788153500136"/>
    <n v="19"/>
    <n v="21.5"/>
    <n v="17.464859694273773"/>
    <n v="1124838"/>
  </r>
  <r>
    <x v="61"/>
    <n v="202405"/>
    <x v="2"/>
    <x v="3"/>
    <s v="Sofía V"/>
    <s v="Joe H"/>
    <n v="65839"/>
    <n v="2179670"/>
    <n v="33.105954301075272"/>
    <n v="0"/>
    <n v="41.5"/>
    <n v="35.5"/>
    <m/>
    <n v="0"/>
  </r>
  <r>
    <x v="77"/>
    <n v="202410"/>
    <x v="2"/>
    <x v="8"/>
    <s v="Fátima L"/>
    <s v="Fátima L"/>
    <n v="65796"/>
    <n v="981918"/>
    <n v="14.923642473118282"/>
    <n v="0"/>
    <n v="17"/>
    <n v="13.5"/>
    <m/>
    <n v="0"/>
  </r>
  <r>
    <x v="81"/>
    <n v="202605"/>
    <x v="0"/>
    <x v="3"/>
    <s v="Fátima L"/>
    <s v="Fátima L"/>
    <n v="65774"/>
    <n v="693710"/>
    <n v="10.546948924731183"/>
    <n v="73813.949628338873"/>
    <n v="11.5"/>
    <n v="12"/>
    <n v="10.04229432420742"/>
    <n v="741261"/>
  </r>
  <r>
    <x v="94"/>
    <n v="202506"/>
    <x v="1"/>
    <x v="11"/>
    <s v="Hernán P"/>
    <s v="Daniel R"/>
    <n v="65731"/>
    <n v="2242582"/>
    <n v="34.117708333333347"/>
    <n v="59658.366691367155"/>
    <n v="33"/>
    <n v="31.5"/>
    <n v="37.590398704705265"/>
    <n v="2491576"/>
  </r>
  <r>
    <x v="75"/>
    <n v="202411"/>
    <x v="2"/>
    <x v="7"/>
    <s v="Hernán P"/>
    <s v="Daniel R"/>
    <n v="65695"/>
    <n v="1677603"/>
    <n v="25.536097222222217"/>
    <n v="0"/>
    <n v="31"/>
    <n v="27"/>
    <m/>
    <n v="0"/>
  </r>
  <r>
    <x v="75"/>
    <n v="202508"/>
    <x v="1"/>
    <x v="5"/>
    <s v="Hernán P"/>
    <s v="Daniel R"/>
    <n v="65671"/>
    <n v="1635211"/>
    <n v="24.900006720430106"/>
    <n v="71277.192622083632"/>
    <n v="31"/>
    <n v="27"/>
    <n v="22.941579484899169"/>
    <n v="1549059"/>
  </r>
  <r>
    <x v="84"/>
    <n v="202510"/>
    <x v="1"/>
    <x v="8"/>
    <s v="Sofía V"/>
    <s v="Melany A"/>
    <n v="65646"/>
    <n v="2868446"/>
    <n v="43.695665322580645"/>
    <n v="69411.939497840984"/>
    <n v="52.5"/>
    <n v="52.5"/>
    <n v="41.324961537621661"/>
    <n v="3394089"/>
  </r>
  <r>
    <x v="81"/>
    <n v="202409"/>
    <x v="2"/>
    <x v="4"/>
    <s v="Fátima L"/>
    <s v="Fátima L"/>
    <n v="65613"/>
    <n v="748924"/>
    <n v="11.414326388888888"/>
    <n v="0"/>
    <n v="11.5"/>
    <n v="12"/>
    <m/>
    <n v="0"/>
  </r>
  <r>
    <x v="75"/>
    <n v="202406"/>
    <x v="2"/>
    <x v="11"/>
    <s v="Hernán P"/>
    <s v="Daniel R"/>
    <n v="65607"/>
    <n v="1733244"/>
    <n v="26.41877777777777"/>
    <n v="0"/>
    <n v="31"/>
    <n v="27"/>
    <m/>
    <n v="0"/>
  </r>
  <r>
    <x v="84"/>
    <n v="202411"/>
    <x v="2"/>
    <x v="7"/>
    <s v="Sofía V"/>
    <s v="Melany A"/>
    <n v="65571"/>
    <n v="3146570"/>
    <n v="47.987333333333346"/>
    <n v="0"/>
    <n v="52.5"/>
    <n v="52.5"/>
    <m/>
    <n v="0"/>
  </r>
  <r>
    <x v="64"/>
    <n v="202402"/>
    <x v="2"/>
    <x v="2"/>
    <s v="Sebastián S"/>
    <s v="Johanna V"/>
    <n v="65563"/>
    <n v="5106603"/>
    <n v="77.887923850574722"/>
    <n v="0"/>
    <n v="75.5"/>
    <n v="70.5"/>
    <m/>
    <n v="0"/>
  </r>
  <r>
    <x v="80"/>
    <n v="202508"/>
    <x v="1"/>
    <x v="5"/>
    <s v="Fátima L"/>
    <s v="Fátima L"/>
    <n v="65531"/>
    <n v="491321"/>
    <n v="7.4975739247311823"/>
    <n v="59567.531455199321"/>
    <n v="10"/>
    <n v="9"/>
    <n v="8.2481260847534301"/>
    <n v="578901"/>
  </r>
  <r>
    <x v="85"/>
    <n v="202410"/>
    <x v="2"/>
    <x v="8"/>
    <s v="Hernán P"/>
    <s v="Daniel R"/>
    <n v="65525"/>
    <n v="2580220"/>
    <n v="39.377540322580657"/>
    <n v="0"/>
    <n v="44"/>
    <n v="40.5"/>
    <m/>
    <n v="0"/>
  </r>
  <r>
    <x v="93"/>
    <n v="202601"/>
    <x v="0"/>
    <x v="10"/>
    <s v="Hernán P"/>
    <s v="Daniel R"/>
    <n v="65523"/>
    <n v="2430425"/>
    <n v="37.092426075268797"/>
    <n v="66518.697149075873"/>
    <n v="45.5"/>
    <n v="42.5"/>
    <n v="36.981595266169094"/>
    <n v="2459968"/>
  </r>
  <r>
    <x v="74"/>
    <n v="202403"/>
    <x v="2"/>
    <x v="0"/>
    <s v="Sebastián S"/>
    <s v="Rodolfo O"/>
    <n v="65512"/>
    <n v="1747553"/>
    <n v="26.675268817204305"/>
    <n v="0"/>
    <n v="27"/>
    <n v="27"/>
    <m/>
    <n v="0"/>
  </r>
  <r>
    <x v="70"/>
    <n v="202402"/>
    <x v="2"/>
    <x v="2"/>
    <s v="Sebastián S"/>
    <s v="Vik E"/>
    <n v="65512"/>
    <n v="3716744"/>
    <n v="56.734195402298866"/>
    <n v="0"/>
    <n v="60.5"/>
    <n v="57.5"/>
    <m/>
    <n v="0"/>
  </r>
  <r>
    <x v="95"/>
    <n v="202509"/>
    <x v="1"/>
    <x v="4"/>
    <s v="Fátima L"/>
    <s v="Fátima L"/>
    <n v="65504"/>
    <n v="315190"/>
    <n v="4.811770833333334"/>
    <n v="61499.143460509636"/>
    <n v="8.5"/>
    <n v="6.5"/>
    <n v="5.1251105668226504"/>
    <n v="358846"/>
  </r>
  <r>
    <x v="81"/>
    <n v="202606"/>
    <x v="0"/>
    <x v="11"/>
    <s v="Fátima L"/>
    <s v="Fátima L"/>
    <n v="65478"/>
    <n v="647603"/>
    <n v="9.8903680555555624"/>
    <n v="68616.06454204215"/>
    <n v="11.5"/>
    <n v="12"/>
    <n v="10.04229432420742"/>
    <n v="689063"/>
  </r>
  <r>
    <x v="61"/>
    <n v="202602"/>
    <x v="0"/>
    <x v="2"/>
    <s v="Sofía V"/>
    <s v="Joe H"/>
    <n v="65336"/>
    <n v="2518906"/>
    <n v="38.552916666666661"/>
    <n v="56431.153251777076"/>
    <n v="41.5"/>
    <n v="35.5"/>
    <n v="37.124878906032741"/>
    <n v="2095000"/>
  </r>
  <r>
    <x v="90"/>
    <n v="202507"/>
    <x v="1"/>
    <x v="6"/>
    <s v="Sebastián S"/>
    <s v="Vik E"/>
    <n v="65331"/>
    <n v="2662955"/>
    <n v="40.761169354838721"/>
    <n v="65544.241047094751"/>
    <n v="47.5"/>
    <n v="43"/>
    <n v="40.628364406365129"/>
    <n v="3071568"/>
  </r>
  <r>
    <x v="70"/>
    <n v="202509"/>
    <x v="1"/>
    <x v="4"/>
    <s v="Sebastián S"/>
    <s v="Vik E"/>
    <n v="65318"/>
    <n v="3262649"/>
    <n v="49.95054166666668"/>
    <n v="74164.203619918495"/>
    <n v="60.5"/>
    <n v="57.5"/>
    <n v="43.992234403549112"/>
    <n v="3784111"/>
  </r>
  <r>
    <x v="0"/>
    <n v="202407"/>
    <x v="2"/>
    <x v="6"/>
    <s v="Fátima L"/>
    <s v="Fátima L"/>
    <n v="65301"/>
    <n v="803922"/>
    <n v="12.310967741935483"/>
    <n v="0"/>
    <n v="13.5"/>
    <n v="12.5"/>
    <m/>
    <n v="0"/>
  </r>
  <r>
    <x v="61"/>
    <n v="202403"/>
    <x v="2"/>
    <x v="0"/>
    <s v="Sofía V"/>
    <s v="Joe H"/>
    <n v="65285"/>
    <n v="2341805"/>
    <n v="35.870672043010757"/>
    <n v="0"/>
    <n v="41.5"/>
    <n v="35.5"/>
    <m/>
    <n v="0"/>
  </r>
  <r>
    <x v="90"/>
    <n v="202604"/>
    <x v="0"/>
    <x v="9"/>
    <s v="Sebastián S"/>
    <s v="Vik E"/>
    <n v="65245"/>
    <n v="2824864"/>
    <n v="43.296506944444381"/>
    <n v="72835.230141987762"/>
    <n v="47.5"/>
    <n v="43"/>
    <n v="41.487905995618128"/>
    <n v="3021781"/>
  </r>
  <r>
    <x v="92"/>
    <n v="202406"/>
    <x v="2"/>
    <x v="11"/>
    <s v="Fátima L"/>
    <s v="Fátima L"/>
    <n v="65244"/>
    <n v="611465"/>
    <n v="9.3720277777777774"/>
    <n v="0"/>
    <n v="11.5"/>
    <n v="10"/>
    <m/>
    <n v="0"/>
  </r>
  <r>
    <x v="97"/>
    <n v="202506"/>
    <x v="1"/>
    <x v="11"/>
    <s v="María R"/>
    <s v="María R"/>
    <n v="65243"/>
    <n v="5349573"/>
    <n v="81.994402777777793"/>
    <n v="69693.551853346769"/>
    <n v="94"/>
    <n v="77.5"/>
    <n v="76.758502727151594"/>
    <n v="5537099"/>
  </r>
  <r>
    <x v="44"/>
    <n v="202506"/>
    <x v="1"/>
    <x v="11"/>
    <s v="Sebastián S"/>
    <s v="Johanna V"/>
    <n v="65233"/>
    <n v="5548449"/>
    <n v="85.055881944444408"/>
    <n v="100266.49580725215"/>
    <n v="117.5"/>
    <n v="99"/>
    <n v="55.337023751843219"/>
    <n v="9804029"/>
  </r>
  <r>
    <x v="71"/>
    <n v="202405"/>
    <x v="2"/>
    <x v="3"/>
    <s v="Sebastián S"/>
    <s v="Rodolfo O"/>
    <n v="65229"/>
    <n v="3637903"/>
    <n v="55.771276881720439"/>
    <n v="0"/>
    <n v="53.5"/>
    <n v="54"/>
    <m/>
    <n v="0"/>
  </r>
  <r>
    <x v="86"/>
    <n v="202605"/>
    <x v="0"/>
    <x v="3"/>
    <s v="Sebastián S"/>
    <s v="Vik E"/>
    <n v="65196"/>
    <n v="2118463"/>
    <n v="32.493548387096958"/>
    <n v="65420.908515162606"/>
    <n v="36"/>
    <n v="35"/>
    <n v="31.443465596679005"/>
    <n v="2057060"/>
  </r>
  <r>
    <x v="92"/>
    <n v="202407"/>
    <x v="2"/>
    <x v="6"/>
    <s v="Fátima L"/>
    <s v="Fátima L"/>
    <n v="65180"/>
    <n v="645817"/>
    <n v="9.9082459677419372"/>
    <n v="0"/>
    <n v="11.5"/>
    <n v="10"/>
    <m/>
    <n v="0"/>
  </r>
  <r>
    <x v="98"/>
    <n v="202409"/>
    <x v="2"/>
    <x v="4"/>
    <s v="Hernán P"/>
    <s v="Daniel R"/>
    <n v="65154"/>
    <n v="5112709"/>
    <n v="78.471701388888889"/>
    <n v="0"/>
    <n v="87"/>
    <n v="77.5"/>
    <m/>
    <n v="0"/>
  </r>
  <r>
    <x v="97"/>
    <n v="202401"/>
    <x v="2"/>
    <x v="10"/>
    <s v="María R"/>
    <s v="María R"/>
    <n v="65132"/>
    <n v="4990917"/>
    <n v="76.62727822580645"/>
    <n v="0"/>
    <n v="94"/>
    <n v="77.5"/>
    <m/>
    <n v="0"/>
  </r>
  <r>
    <x v="102"/>
    <n v="202403"/>
    <x v="2"/>
    <x v="0"/>
    <s v="Fátima L"/>
    <s v="Fátima L"/>
    <n v="65130"/>
    <n v="675748"/>
    <n v="10.37533602150538"/>
    <n v="0"/>
    <n v="11"/>
    <n v="12"/>
    <m/>
    <n v="0"/>
  </r>
  <r>
    <x v="97"/>
    <n v="202509"/>
    <x v="1"/>
    <x v="4"/>
    <s v="María R"/>
    <s v="María R"/>
    <n v="65121"/>
    <n v="5165049"/>
    <n v="79.314375000000041"/>
    <n v="66829.473993005144"/>
    <n v="94"/>
    <n v="77.5"/>
    <n v="77.286986136395612"/>
    <n v="5558391"/>
  </r>
  <r>
    <x v="94"/>
    <n v="202601"/>
    <x v="0"/>
    <x v="10"/>
    <s v="Hernán P"/>
    <s v="Daniel R"/>
    <n v="65105"/>
    <n v="1991286"/>
    <n v="30.585766129032258"/>
    <n v="0"/>
    <n v="33"/>
    <n v="31.5"/>
    <n v="35.22317754154448"/>
    <n v="0"/>
  </r>
  <r>
    <x v="94"/>
    <n v="202507"/>
    <x v="1"/>
    <x v="6"/>
    <s v="Hernán P"/>
    <s v="Daniel R"/>
    <n v="65103"/>
    <n v="2195280"/>
    <n v="33.720053763440873"/>
    <n v="60584.294318627166"/>
    <n v="33"/>
    <n v="31.5"/>
    <n v="36.235127514310953"/>
    <n v="2502907"/>
  </r>
  <r>
    <x v="92"/>
    <n v="202501"/>
    <x v="1"/>
    <x v="10"/>
    <s v="Fátima L"/>
    <s v="Fátima L"/>
    <n v="65097"/>
    <n v="556142"/>
    <n v="8.5433400537634441"/>
    <n v="64597.895506264933"/>
    <n v="11.5"/>
    <n v="10"/>
    <n v="8.6092837180131259"/>
    <n v="626834"/>
  </r>
  <r>
    <x v="81"/>
    <n v="202410"/>
    <x v="2"/>
    <x v="8"/>
    <s v="Fátima L"/>
    <s v="Fátima L"/>
    <n v="65094"/>
    <n v="780507"/>
    <n v="11.990369623655917"/>
    <n v="0"/>
    <n v="11.5"/>
    <n v="12"/>
    <m/>
    <n v="0"/>
  </r>
  <r>
    <x v="99"/>
    <n v="202511"/>
    <x v="1"/>
    <x v="7"/>
    <s v="Hernán P"/>
    <s v="Daniel R"/>
    <n v="65091"/>
    <n v="2950419"/>
    <n v="45.327479166666656"/>
    <n v="58870.918633612702"/>
    <n v="53.5"/>
    <n v="51"/>
    <n v="50.116749466101247"/>
    <n v="3191131"/>
  </r>
  <r>
    <x v="105"/>
    <n v="202505"/>
    <x v="1"/>
    <x v="3"/>
    <s v="María R"/>
    <s v="María R"/>
    <n v="65082"/>
    <n v="3402519"/>
    <n v="52.28026209677418"/>
    <n v="56505.444755931174"/>
    <n v="61.5"/>
    <n v="56"/>
    <n v="60.215771678230169"/>
    <n v="3465327"/>
  </r>
  <r>
    <x v="102"/>
    <n v="202402"/>
    <x v="2"/>
    <x v="2"/>
    <s v="Fátima L"/>
    <s v="Fátima L"/>
    <n v="65072"/>
    <n v="640357"/>
    <n v="9.840682471264369"/>
    <n v="0"/>
    <n v="11"/>
    <n v="12"/>
    <m/>
    <n v="0"/>
  </r>
  <r>
    <x v="70"/>
    <n v="202405"/>
    <x v="2"/>
    <x v="3"/>
    <s v="Sebastián S"/>
    <s v="Vik E"/>
    <n v="65032"/>
    <n v="3551221"/>
    <n v="54.607291666666647"/>
    <n v="0"/>
    <n v="60.5"/>
    <n v="57.5"/>
    <m/>
    <n v="0"/>
  </r>
  <r>
    <x v="57"/>
    <n v="202408"/>
    <x v="2"/>
    <x v="5"/>
    <s v="Hernán P"/>
    <s v="Daniel R"/>
    <n v="65008"/>
    <n v="3257550"/>
    <n v="50.10969758064514"/>
    <n v="0"/>
    <n v="53.5"/>
    <n v="52"/>
    <m/>
    <n v="0"/>
  </r>
  <r>
    <x v="39"/>
    <n v="202502"/>
    <x v="1"/>
    <x v="2"/>
    <s v="Sofía V"/>
    <s v="Melany A"/>
    <n v="64984"/>
    <n v="3904541"/>
    <n v="60.084375000000009"/>
    <n v="74964.674873007971"/>
    <n v="60.5"/>
    <n v="60.5"/>
    <n v="52.085073757931838"/>
    <n v="4682952"/>
  </r>
  <r>
    <x v="75"/>
    <n v="202507"/>
    <x v="1"/>
    <x v="6"/>
    <s v="Hernán P"/>
    <s v="Daniel R"/>
    <n v="64976"/>
    <n v="1624890"/>
    <n v="25.0075"/>
    <n v="71383.265099575947"/>
    <n v="31"/>
    <n v="27"/>
    <n v="22.762895024952464"/>
    <n v="1514836"/>
  </r>
  <r>
    <x v="82"/>
    <n v="202402"/>
    <x v="2"/>
    <x v="2"/>
    <s v="Sebastián S"/>
    <s v="Vik E"/>
    <n v="64963"/>
    <n v="3760036"/>
    <n v="57.879741379310332"/>
    <n v="0"/>
    <n v="61.5"/>
    <n v="56"/>
    <m/>
    <n v="0"/>
  </r>
  <r>
    <x v="0"/>
    <n v="202406"/>
    <x v="2"/>
    <x v="11"/>
    <s v="Fátima L"/>
    <s v="Fátima L"/>
    <n v="64925"/>
    <n v="796898"/>
    <n v="12.274111111111113"/>
    <n v="0"/>
    <n v="13.5"/>
    <n v="12.5"/>
    <m/>
    <n v="0"/>
  </r>
  <r>
    <x v="42"/>
    <n v="202412"/>
    <x v="2"/>
    <x v="1"/>
    <s v="Hernán P"/>
    <s v="Daniel R"/>
    <n v="64893"/>
    <n v="1640221"/>
    <n v="25.275974462365589"/>
    <n v="0"/>
    <n v="22.5"/>
    <n v="21"/>
    <m/>
    <n v="0"/>
  </r>
  <r>
    <x v="106"/>
    <n v="202503"/>
    <x v="1"/>
    <x v="0"/>
    <s v="María R"/>
    <s v="María R"/>
    <n v="64887"/>
    <n v="3335318"/>
    <n v="51.401827956989251"/>
    <n v="54687.432309621807"/>
    <n v="64.5"/>
    <n v="61"/>
    <n v="60.988742369847522"/>
    <n v="3174805"/>
  </r>
  <r>
    <x v="84"/>
    <n v="202508"/>
    <x v="1"/>
    <x v="5"/>
    <s v="Sofía V"/>
    <s v="Melany A"/>
    <n v="64829"/>
    <n v="3066906"/>
    <n v="47.307298387096779"/>
    <n v="72239.453702685685"/>
    <n v="52.5"/>
    <n v="52.5"/>
    <n v="42.454720139806085"/>
    <n v="3699432"/>
  </r>
  <r>
    <x v="105"/>
    <n v="202504"/>
    <x v="1"/>
    <x v="9"/>
    <s v="María R"/>
    <s v="María R"/>
    <n v="64803"/>
    <n v="3286679"/>
    <n v="50.718111111111121"/>
    <n v="56211.007690383747"/>
    <n v="61.5"/>
    <n v="56"/>
    <n v="58.470381959764545"/>
    <n v="3364998"/>
  </r>
  <r>
    <x v="66"/>
    <n v="202509"/>
    <x v="1"/>
    <x v="4"/>
    <s v="Sebastián S"/>
    <s v="Rodolfo O"/>
    <n v="64771"/>
    <n v="3404190"/>
    <n v="52.557215277777814"/>
    <n v="78186.312216216204"/>
    <n v="55"/>
    <n v="55.5"/>
    <n v="43.539467376157361"/>
    <n v="3739395"/>
  </r>
  <r>
    <x v="41"/>
    <n v="202402"/>
    <x v="2"/>
    <x v="2"/>
    <s v="Sebastián S"/>
    <s v="Rodolfo O"/>
    <n v="64759"/>
    <n v="4444075"/>
    <n v="68.625244252873586"/>
    <n v="0"/>
    <n v="64.5"/>
    <n v="64"/>
    <m/>
    <n v="0"/>
  </r>
  <r>
    <x v="82"/>
    <n v="202406"/>
    <x v="2"/>
    <x v="11"/>
    <s v="Sebastián S"/>
    <s v="Vik E"/>
    <n v="64744"/>
    <n v="3715245"/>
    <n v="57.383763888888879"/>
    <n v="0"/>
    <n v="61.5"/>
    <n v="56"/>
    <m/>
    <n v="0"/>
  </r>
  <r>
    <x v="82"/>
    <n v="202506"/>
    <x v="1"/>
    <x v="11"/>
    <s v="Sebastián S"/>
    <s v="Vik E"/>
    <n v="64722"/>
    <n v="3472407"/>
    <n v="53.651354166666664"/>
    <n v="67981.023256917193"/>
    <n v="61.5"/>
    <n v="56"/>
    <n v="51.079060355960095"/>
    <n v="3943200"/>
  </r>
  <r>
    <x v="87"/>
    <n v="202601"/>
    <x v="0"/>
    <x v="10"/>
    <s v="Fátima L"/>
    <s v="Fátima L"/>
    <n v="64714"/>
    <n v="630542"/>
    <n v="9.7435013440860221"/>
    <n v="67231.475228972267"/>
    <n v="11"/>
    <n v="11"/>
    <n v="10.04229432420742"/>
    <n v="675158"/>
  </r>
  <r>
    <x v="78"/>
    <n v="202506"/>
    <x v="1"/>
    <x v="11"/>
    <s v="Sebastián S"/>
    <s v="Vik E"/>
    <n v="64661"/>
    <n v="3440874"/>
    <n v="53.214340277777787"/>
    <n v="70667.537195200697"/>
    <n v="63"/>
    <n v="59"/>
    <n v="48.6910194775216"/>
    <n v="3774694"/>
  </r>
  <r>
    <x v="74"/>
    <n v="202606"/>
    <x v="0"/>
    <x v="11"/>
    <s v="Sebastián S"/>
    <s v="Rodolfo O"/>
    <n v="64660"/>
    <n v="1541256"/>
    <n v="23.836263888888904"/>
    <n v="118016.31445247766"/>
    <n v="27"/>
    <n v="27"/>
    <n v="23.582599197509253"/>
    <n v="2783131"/>
  </r>
  <r>
    <x v="94"/>
    <n v="202511"/>
    <x v="1"/>
    <x v="7"/>
    <s v="Hernán P"/>
    <s v="Daniel R"/>
    <n v="64634"/>
    <n v="2088503"/>
    <n v="32.312826388888887"/>
    <n v="52097.673105472939"/>
    <n v="33"/>
    <n v="31.5"/>
    <n v="40.088212687959754"/>
    <n v="2553032"/>
  </r>
  <r>
    <x v="100"/>
    <n v="202409"/>
    <x v="2"/>
    <x v="4"/>
    <s v="Hernán P"/>
    <s v="Daniel R"/>
    <n v="64616"/>
    <n v="2205957"/>
    <n v="34.139340277777784"/>
    <n v="0"/>
    <n v="41.5"/>
    <n v="43"/>
    <m/>
    <n v="0"/>
  </r>
  <r>
    <x v="96"/>
    <n v="202601"/>
    <x v="0"/>
    <x v="10"/>
    <s v="Fátima L"/>
    <s v="Fátima L"/>
    <n v="64610"/>
    <n v="643587"/>
    <n v="9.9611223118279568"/>
    <n v="73433.916741750392"/>
    <n v="11.5"/>
    <n v="10"/>
    <n v="10.042294324207418"/>
    <n v="737445"/>
  </r>
  <r>
    <x v="87"/>
    <n v="202505"/>
    <x v="1"/>
    <x v="3"/>
    <s v="Fátima L"/>
    <s v="Fátima L"/>
    <n v="64598"/>
    <n v="640877"/>
    <n v="9.9210416666666674"/>
    <n v="82119.441355932198"/>
    <n v="11"/>
    <n v="11"/>
    <n v="7.804202383966949"/>
    <n v="716950"/>
  </r>
  <r>
    <x v="103"/>
    <n v="202601"/>
    <x v="0"/>
    <x v="10"/>
    <s v="María R"/>
    <s v="María R"/>
    <n v="64597"/>
    <n v="3719546"/>
    <n v="57.58092741935485"/>
    <n v="58182.169486084531"/>
    <n v="66"/>
    <n v="65.5"/>
    <n v="58.116081161406527"/>
    <n v="3381320"/>
  </r>
  <r>
    <x v="78"/>
    <n v="202601"/>
    <x v="0"/>
    <x v="10"/>
    <s v="Sebastián S"/>
    <s v="Vik E"/>
    <n v="64521"/>
    <n v="3438453"/>
    <n v="53.291827956989245"/>
    <n v="70936.311366250287"/>
    <n v="63"/>
    <n v="59"/>
    <n v="55.026064794188251"/>
    <n v="3903346"/>
  </r>
  <r>
    <x v="70"/>
    <n v="202507"/>
    <x v="1"/>
    <x v="6"/>
    <s v="Sebastián S"/>
    <s v="Vik E"/>
    <n v="64502"/>
    <n v="3669325"/>
    <n v="56.886572580645165"/>
    <n v="77989.940482709557"/>
    <n v="60.5"/>
    <n v="57.5"/>
    <n v="47.048692014497604"/>
    <n v="4066921"/>
  </r>
  <r>
    <x v="78"/>
    <n v="202502"/>
    <x v="1"/>
    <x v="2"/>
    <s v="Sebastián S"/>
    <s v="Vik E"/>
    <n v="64478"/>
    <n v="3701008"/>
    <n v="57.399739583333336"/>
    <n v="67135.803221681359"/>
    <n v="63"/>
    <n v="59"/>
    <n v="55.127188510418641"/>
    <n v="3698569"/>
  </r>
  <r>
    <x v="102"/>
    <n v="202406"/>
    <x v="2"/>
    <x v="11"/>
    <s v="Fátima L"/>
    <s v="Fátima L"/>
    <n v="64460"/>
    <n v="589565"/>
    <n v="9.1462777777777777"/>
    <n v="0"/>
    <n v="11"/>
    <n v="12"/>
    <m/>
    <n v="0"/>
  </r>
  <r>
    <x v="92"/>
    <n v="202505"/>
    <x v="1"/>
    <x v="3"/>
    <s v="Fátima L"/>
    <s v="Fátima L"/>
    <n v="64438"/>
    <n v="585529"/>
    <n v="9.0866868279569868"/>
    <n v="65489.22342287955"/>
    <n v="11.5"/>
    <n v="10"/>
    <n v="8.9408430791597624"/>
    <n v="638148"/>
  </r>
  <r>
    <x v="107"/>
    <n v="202512"/>
    <x v="1"/>
    <x v="1"/>
    <s v="María R"/>
    <s v="María R"/>
    <n v="64422"/>
    <n v="3354155"/>
    <n v="52.065463709677367"/>
    <n v="57779.043471588848"/>
    <n v="57.5"/>
    <n v="57"/>
    <n v="58.051403562077091"/>
    <n v="3366180"/>
  </r>
  <r>
    <x v="55"/>
    <n v="202506"/>
    <x v="1"/>
    <x v="11"/>
    <s v="Sebastián S"/>
    <s v="Vik E"/>
    <n v="64377"/>
    <n v="4214268"/>
    <n v="65.462638888888904"/>
    <n v="79346.607330227329"/>
    <n v="69.5"/>
    <n v="59"/>
    <n v="53.112143566024429"/>
    <n v="4998298"/>
  </r>
  <r>
    <x v="82"/>
    <n v="202509"/>
    <x v="1"/>
    <x v="4"/>
    <s v="Sebastián S"/>
    <s v="Vik E"/>
    <n v="64337"/>
    <n v="3335745"/>
    <n v="51.848125000000003"/>
    <n v="73345.397234256132"/>
    <n v="61.5"/>
    <n v="56"/>
    <n v="45.479953286585143"/>
    <n v="3761298"/>
  </r>
  <r>
    <x v="51"/>
    <n v="202506"/>
    <x v="1"/>
    <x v="11"/>
    <s v="Sofía V"/>
    <s v="Melany A"/>
    <n v="64318"/>
    <n v="2584678"/>
    <n v="40.186222222222227"/>
    <n v="76387.837674189839"/>
    <n v="43.5"/>
    <n v="41"/>
    <n v="33.836256120040936"/>
    <n v="2924957"/>
  </r>
  <r>
    <x v="57"/>
    <n v="202506"/>
    <x v="1"/>
    <x v="11"/>
    <s v="Hernán P"/>
    <s v="Daniel R"/>
    <n v="64305"/>
    <n v="2830209"/>
    <n v="44.011965277777783"/>
    <n v="74076.559309161486"/>
    <n v="53.5"/>
    <n v="52"/>
    <n v="38.20654234476536"/>
    <n v="3154057"/>
  </r>
  <r>
    <x v="57"/>
    <n v="202405"/>
    <x v="2"/>
    <x v="3"/>
    <s v="Hernán P"/>
    <s v="Daniel R"/>
    <n v="64288"/>
    <n v="3155230"/>
    <n v="49.079973118279561"/>
    <n v="0"/>
    <n v="53.5"/>
    <n v="52"/>
    <m/>
    <n v="0"/>
  </r>
  <r>
    <x v="38"/>
    <n v="202405"/>
    <x v="2"/>
    <x v="3"/>
    <s v="Sofía V"/>
    <s v="Melany A"/>
    <n v="64281"/>
    <n v="3794471"/>
    <n v="59.029240591397873"/>
    <n v="0"/>
    <n v="56"/>
    <n v="60"/>
    <m/>
    <n v="0"/>
  </r>
  <r>
    <x v="84"/>
    <n v="202406"/>
    <x v="2"/>
    <x v="11"/>
    <s v="Sofía V"/>
    <s v="Melany A"/>
    <n v="64271"/>
    <n v="3475746"/>
    <n v="54.079423611111125"/>
    <n v="0"/>
    <n v="52.5"/>
    <n v="52.5"/>
    <m/>
    <n v="0"/>
  </r>
  <r>
    <x v="97"/>
    <n v="202407"/>
    <x v="2"/>
    <x v="6"/>
    <s v="María R"/>
    <s v="María R"/>
    <n v="64243"/>
    <n v="5192395"/>
    <n v="80.823702956989294"/>
    <n v="0"/>
    <n v="94"/>
    <n v="77.5"/>
    <m/>
    <n v="0"/>
  </r>
  <r>
    <x v="94"/>
    <n v="202510"/>
    <x v="1"/>
    <x v="8"/>
    <s v="Hernán P"/>
    <s v="Daniel R"/>
    <n v="64235"/>
    <n v="2137908"/>
    <n v="33.282741935483877"/>
    <n v="60711.959542320968"/>
    <n v="33"/>
    <n v="31.5"/>
    <n v="35.213946249086419"/>
    <n v="2655816"/>
  </r>
  <r>
    <x v="91"/>
    <n v="202511"/>
    <x v="1"/>
    <x v="7"/>
    <s v="Hernán P"/>
    <s v="Daniel R"/>
    <n v="64221"/>
    <n v="1069260"/>
    <n v="16.64974305555555"/>
    <n v="63913.996564101006"/>
    <n v="19"/>
    <n v="21.5"/>
    <n v="16.729662632309523"/>
    <n v="1118704"/>
  </r>
  <r>
    <x v="86"/>
    <n v="202511"/>
    <x v="1"/>
    <x v="7"/>
    <s v="Sebastián S"/>
    <s v="Vik E"/>
    <n v="64196"/>
    <n v="2052918"/>
    <n v="31.97881944444444"/>
    <n v="59211.856345393746"/>
    <n v="36"/>
    <n v="35"/>
    <n v="34.670731449879668"/>
    <n v="2028264"/>
  </r>
  <r>
    <x v="4"/>
    <n v="202503"/>
    <x v="1"/>
    <x v="0"/>
    <s v="Sofía V"/>
    <s v="José A"/>
    <n v="64184"/>
    <n v="4717756"/>
    <n v="73.503528225806463"/>
    <n v="109741.89229286708"/>
    <n v="107.5"/>
    <n v="102.5"/>
    <n v="42.989561155094464"/>
    <n v="11381428"/>
  </r>
  <r>
    <x v="91"/>
    <n v="202406"/>
    <x v="2"/>
    <x v="11"/>
    <s v="Hernán P"/>
    <s v="Daniel R"/>
    <n v="64128"/>
    <n v="1124878"/>
    <n v="17.541270833333336"/>
    <n v="0"/>
    <n v="19"/>
    <n v="21.5"/>
    <m/>
    <n v="0"/>
  </r>
  <r>
    <x v="84"/>
    <n v="202511"/>
    <x v="1"/>
    <x v="7"/>
    <s v="Sofía V"/>
    <s v="Melany A"/>
    <n v="64114"/>
    <n v="2961508"/>
    <n v="46.191250000000004"/>
    <n v="68849.377273169273"/>
    <n v="52.5"/>
    <n v="52.5"/>
    <n v="43.014308150527093"/>
    <n v="3552162"/>
  </r>
  <r>
    <x v="61"/>
    <n v="202502"/>
    <x v="1"/>
    <x v="2"/>
    <s v="Sofía V"/>
    <s v="Joe H"/>
    <n v="64106"/>
    <n v="2116916"/>
    <n v="33.022031249999998"/>
    <n v="59215.677158960993"/>
    <n v="41.5"/>
    <n v="35.5"/>
    <n v="35.749240936944204"/>
    <n v="1933409"/>
  </r>
  <r>
    <x v="81"/>
    <n v="202604"/>
    <x v="0"/>
    <x v="9"/>
    <s v="Fátima L"/>
    <s v="Fátima L"/>
    <n v="64089"/>
    <n v="688852"/>
    <n v="10.748305555555552"/>
    <n v="71589.769438144853"/>
    <n v="11.5"/>
    <n v="12"/>
    <n v="10.04229432420742"/>
    <n v="718926"/>
  </r>
  <r>
    <x v="101"/>
    <n v="202604"/>
    <x v="0"/>
    <x v="9"/>
    <s v="Fátima L"/>
    <s v="Fátima L"/>
    <n v="64034"/>
    <n v="923700"/>
    <n v="14.425152777777784"/>
    <n v="61307.109918989037"/>
    <n v="13.5"/>
    <n v="14.5"/>
    <n v="13.189776457714554"/>
    <n v="808627"/>
  </r>
  <r>
    <x v="70"/>
    <n v="202505"/>
    <x v="1"/>
    <x v="3"/>
    <s v="Sebastián S"/>
    <s v="Vik E"/>
    <n v="64015"/>
    <n v="3663874"/>
    <n v="57.234643817204294"/>
    <n v="68283.586700494081"/>
    <n v="60.5"/>
    <n v="57.5"/>
    <n v="53.656723336319558"/>
    <n v="3755811"/>
  </r>
  <r>
    <x v="108"/>
    <n v="202604"/>
    <x v="0"/>
    <x v="9"/>
    <s v="María R"/>
    <s v="María R"/>
    <n v="63999"/>
    <n v="1956145"/>
    <n v="30.565256944444499"/>
    <n v="25243.854937565051"/>
    <n v="22"/>
    <n v="20"/>
    <n v="96.1"/>
    <n v="2425934"/>
  </r>
  <r>
    <x v="101"/>
    <n v="202407"/>
    <x v="2"/>
    <x v="6"/>
    <s v="Fátima L"/>
    <s v="Fátima L"/>
    <n v="63991"/>
    <n v="873658"/>
    <n v="13.652916666666671"/>
    <n v="0"/>
    <n v="13.5"/>
    <n v="14.5"/>
    <m/>
    <n v="0"/>
  </r>
  <r>
    <x v="102"/>
    <n v="202405"/>
    <x v="2"/>
    <x v="3"/>
    <s v="Fátima L"/>
    <s v="Fátima L"/>
    <n v="63987"/>
    <n v="593198"/>
    <n v="9.2705779569892499"/>
    <n v="0"/>
    <n v="11"/>
    <n v="12"/>
    <m/>
    <n v="0"/>
  </r>
  <r>
    <x v="101"/>
    <n v="202412"/>
    <x v="2"/>
    <x v="1"/>
    <s v="Fátima L"/>
    <s v="Fátima L"/>
    <n v="63976"/>
    <n v="893654"/>
    <n v="13.968669354838713"/>
    <n v="0"/>
    <n v="13.5"/>
    <n v="14.5"/>
    <m/>
    <n v="0"/>
  </r>
  <r>
    <x v="97"/>
    <n v="202510"/>
    <x v="1"/>
    <x v="8"/>
    <s v="María R"/>
    <s v="María R"/>
    <n v="63965"/>
    <n v="5316395"/>
    <n v="83.114650537634418"/>
    <n v="70012.918882567392"/>
    <n v="94"/>
    <n v="77.5"/>
    <n v="75.934484732984558"/>
    <n v="5484296"/>
  </r>
  <r>
    <x v="96"/>
    <n v="202503"/>
    <x v="1"/>
    <x v="0"/>
    <s v="Fátima L"/>
    <s v="Fátima L"/>
    <n v="63958"/>
    <n v="705803"/>
    <n v="11.035443548387098"/>
    <n v="71553.465779395643"/>
    <n v="11.5"/>
    <n v="10"/>
    <n v="9.8639955774614805"/>
    <n v="775198"/>
  </r>
  <r>
    <x v="78"/>
    <n v="202402"/>
    <x v="2"/>
    <x v="2"/>
    <s v="Sebastián S"/>
    <s v="Vik E"/>
    <n v="63939"/>
    <n v="3678518"/>
    <n v="57.531803160919551"/>
    <n v="0"/>
    <n v="63"/>
    <n v="59"/>
    <m/>
    <n v="0"/>
  </r>
  <r>
    <x v="69"/>
    <n v="202602"/>
    <x v="0"/>
    <x v="2"/>
    <s v="Sofía V"/>
    <s v="José A"/>
    <n v="63928"/>
    <n v="5620898"/>
    <n v="87.925416666666663"/>
    <n v="88558.527017857152"/>
    <n v="84"/>
    <n v="76"/>
    <n v="84"/>
    <n v="7438916"/>
  </r>
  <r>
    <x v="61"/>
    <n v="202404"/>
    <x v="2"/>
    <x v="9"/>
    <s v="Sofía V"/>
    <s v="Joe H"/>
    <n v="63907"/>
    <n v="2127137"/>
    <n v="33.285097222222227"/>
    <n v="0"/>
    <n v="41.5"/>
    <n v="35.5"/>
    <m/>
    <n v="0"/>
  </r>
  <r>
    <x v="97"/>
    <n v="202411"/>
    <x v="2"/>
    <x v="7"/>
    <s v="María R"/>
    <s v="María R"/>
    <n v="63904"/>
    <n v="5243032"/>
    <n v="82.045930555555572"/>
    <n v="0"/>
    <n v="94"/>
    <n v="77.5"/>
    <m/>
    <n v="0"/>
  </r>
  <r>
    <x v="77"/>
    <n v="202409"/>
    <x v="2"/>
    <x v="4"/>
    <s v="Fátima L"/>
    <s v="Fátima L"/>
    <n v="63895"/>
    <n v="1019846"/>
    <n v="15.961263888888896"/>
    <n v="0"/>
    <n v="17"/>
    <n v="13.5"/>
    <m/>
    <n v="0"/>
  </r>
  <r>
    <x v="78"/>
    <n v="202509"/>
    <x v="1"/>
    <x v="4"/>
    <s v="Sebastián S"/>
    <s v="Vik E"/>
    <n v="63870"/>
    <n v="3182482"/>
    <n v="49.827118055555566"/>
    <n v="64266.180040301937"/>
    <n v="63"/>
    <n v="59"/>
    <n v="49.520329635342193"/>
    <n v="3789743"/>
  </r>
  <r>
    <x v="99"/>
    <n v="202503"/>
    <x v="1"/>
    <x v="0"/>
    <s v="Hernán P"/>
    <s v="Daniel R"/>
    <n v="63848"/>
    <n v="3240910"/>
    <n v="50.759973118279582"/>
    <n v="64399.81744685414"/>
    <n v="53.5"/>
    <n v="51"/>
    <n v="50.324837375114569"/>
    <n v="3239805"/>
  </r>
  <r>
    <x v="57"/>
    <n v="202501"/>
    <x v="1"/>
    <x v="10"/>
    <s v="Hernán P"/>
    <s v="Daniel R"/>
    <n v="63836"/>
    <n v="2895922"/>
    <n v="45.364751344086031"/>
    <n v="73879.160644000556"/>
    <n v="53.5"/>
    <n v="52"/>
    <n v="39.198087860722971"/>
    <n v="3098967"/>
  </r>
  <r>
    <x v="71"/>
    <n v="202402"/>
    <x v="2"/>
    <x v="2"/>
    <s v="Sebastián S"/>
    <s v="Rodolfo O"/>
    <n v="63806"/>
    <n v="3567587"/>
    <n v="55.912852011494238"/>
    <n v="0"/>
    <n v="53.5"/>
    <n v="54"/>
    <m/>
    <n v="0"/>
  </r>
  <r>
    <x v="100"/>
    <n v="202508"/>
    <x v="1"/>
    <x v="5"/>
    <s v="Hernán P"/>
    <s v="Daniel R"/>
    <n v="63787"/>
    <n v="2150736"/>
    <n v="33.717654569892474"/>
    <n v="69624.759653340792"/>
    <n v="41.5"/>
    <n v="43"/>
    <n v="30.890393887295833"/>
    <n v="2382280"/>
  </r>
  <r>
    <x v="74"/>
    <n v="202511"/>
    <x v="1"/>
    <x v="7"/>
    <s v="Sebastián S"/>
    <s v="Rodolfo O"/>
    <n v="63774"/>
    <n v="1440427"/>
    <n v="22.58647222222222"/>
    <n v="54175.419795783622"/>
    <n v="27"/>
    <n v="27"/>
    <n v="26.588195632442631"/>
    <n v="1361378"/>
  </r>
  <r>
    <x v="100"/>
    <n v="202510"/>
    <x v="1"/>
    <x v="8"/>
    <s v="Hernán P"/>
    <s v="Daniel R"/>
    <n v="63766"/>
    <n v="2129290"/>
    <n v="33.392163978494622"/>
    <n v="69411.888713846289"/>
    <n v="41.5"/>
    <n v="43"/>
    <n v="30.676150432645542"/>
    <n v="2452035"/>
  </r>
  <r>
    <x v="97"/>
    <n v="202507"/>
    <x v="1"/>
    <x v="6"/>
    <s v="María R"/>
    <s v="María R"/>
    <n v="63700"/>
    <n v="5226859"/>
    <n v="82.054677419354846"/>
    <n v="67455.640041651131"/>
    <n v="94"/>
    <n v="77.5"/>
    <n v="77.485866663967997"/>
    <n v="5538448"/>
  </r>
  <r>
    <x v="103"/>
    <n v="202606"/>
    <x v="0"/>
    <x v="11"/>
    <s v="María R"/>
    <s v="María R"/>
    <n v="63681"/>
    <n v="3653879"/>
    <n v="57.377590277777635"/>
    <n v="60624.927309099548"/>
    <n v="66"/>
    <n v="65.5"/>
    <n v="58.116081161406527"/>
    <n v="3523283"/>
  </r>
  <r>
    <x v="89"/>
    <n v="202408"/>
    <x v="2"/>
    <x v="5"/>
    <s v="Sebastián S"/>
    <s v="Rodolfo O"/>
    <n v="63681"/>
    <n v="1761197"/>
    <n v="27.656633064516132"/>
    <n v="0"/>
    <n v="34"/>
    <n v="34"/>
    <m/>
    <n v="0"/>
  </r>
  <r>
    <x v="90"/>
    <n v="202505"/>
    <x v="1"/>
    <x v="3"/>
    <s v="Sebastián S"/>
    <s v="Vik E"/>
    <n v="63669"/>
    <n v="2816787"/>
    <n v="44.241034946236553"/>
    <n v="55524.793911842309"/>
    <n v="47.5"/>
    <n v="43"/>
    <n v="50.730247004108868"/>
    <n v="2899612"/>
  </r>
  <r>
    <x v="7"/>
    <n v="202401"/>
    <x v="2"/>
    <x v="10"/>
    <s v="Sebastián S"/>
    <s v="Rodolfo O"/>
    <n v="63660"/>
    <n v="4339531"/>
    <n v="68.167345430107488"/>
    <n v="0"/>
    <n v="65.5"/>
    <n v="63"/>
    <m/>
    <n v="0"/>
  </r>
  <r>
    <x v="90"/>
    <n v="202602"/>
    <x v="0"/>
    <x v="2"/>
    <s v="Sebastián S"/>
    <s v="Vik E"/>
    <n v="63654"/>
    <n v="2741659"/>
    <n v="43.071093749999989"/>
    <n v="69461.279653506033"/>
    <n v="47.5"/>
    <n v="43"/>
    <n v="41.487905995618128"/>
    <n v="2881803"/>
  </r>
  <r>
    <x v="97"/>
    <n v="202409"/>
    <x v="2"/>
    <x v="4"/>
    <s v="María R"/>
    <s v="María R"/>
    <n v="63647"/>
    <n v="5146841"/>
    <n v="80.865263888888933"/>
    <n v="0"/>
    <n v="94"/>
    <n v="77.5"/>
    <m/>
    <n v="0"/>
  </r>
  <r>
    <x v="101"/>
    <n v="202404"/>
    <x v="2"/>
    <x v="9"/>
    <s v="Fátima L"/>
    <s v="Fátima L"/>
    <n v="63627"/>
    <n v="930156"/>
    <n v="14.618770833333338"/>
    <n v="0"/>
    <n v="13.5"/>
    <n v="14.5"/>
    <m/>
    <n v="0"/>
  </r>
  <r>
    <x v="70"/>
    <n v="202510"/>
    <x v="1"/>
    <x v="8"/>
    <s v="Sebastián S"/>
    <s v="Vik E"/>
    <n v="63586"/>
    <n v="3319560"/>
    <n v="52.206028225806463"/>
    <n v="72152.418642295059"/>
    <n v="60.5"/>
    <n v="57.5"/>
    <n v="46.007610589703845"/>
    <n v="3761453"/>
  </r>
  <r>
    <x v="104"/>
    <n v="202411"/>
    <x v="2"/>
    <x v="7"/>
    <s v="Fátima L"/>
    <s v="Fátima L"/>
    <n v="63580"/>
    <n v="552421"/>
    <n v="8.6885555555555563"/>
    <n v="0"/>
    <n v="11"/>
    <n v="10"/>
    <m/>
    <n v="0"/>
  </r>
  <r>
    <x v="66"/>
    <n v="202402"/>
    <x v="2"/>
    <x v="2"/>
    <s v="Sebastián S"/>
    <s v="Rodolfo O"/>
    <n v="63558"/>
    <n v="3486172"/>
    <n v="54.849827586206899"/>
    <n v="0"/>
    <n v="55"/>
    <n v="55.5"/>
    <m/>
    <n v="0"/>
  </r>
  <r>
    <x v="82"/>
    <n v="202508"/>
    <x v="1"/>
    <x v="5"/>
    <s v="Sebastián S"/>
    <s v="Vik E"/>
    <n v="63556"/>
    <n v="3491522"/>
    <n v="54.935887096774223"/>
    <n v="73884.374011054475"/>
    <n v="61.5"/>
    <n v="56"/>
    <n v="47.256569832717318"/>
    <n v="3747353"/>
  </r>
  <r>
    <x v="66"/>
    <n v="202506"/>
    <x v="1"/>
    <x v="11"/>
    <s v="Sebastián S"/>
    <s v="Rodolfo O"/>
    <n v="63551"/>
    <n v="3556361"/>
    <n v="55.960576388888896"/>
    <n v="74883.115075101246"/>
    <n v="55"/>
    <n v="55.5"/>
    <n v="47.492165576088532"/>
    <n v="3764947"/>
  </r>
  <r>
    <x v="98"/>
    <n v="202402"/>
    <x v="2"/>
    <x v="2"/>
    <s v="Hernán P"/>
    <s v="Daniel R"/>
    <n v="63535"/>
    <n v="4865125"/>
    <n v="76.574518678160928"/>
    <n v="0"/>
    <n v="87"/>
    <n v="77.5"/>
    <m/>
    <n v="0"/>
  </r>
  <r>
    <x v="84"/>
    <n v="202604"/>
    <x v="0"/>
    <x v="9"/>
    <s v="Sofía V"/>
    <s v="Melany A"/>
    <n v="63523"/>
    <n v="2969277"/>
    <n v="46.74361805555521"/>
    <n v="69653.132249833492"/>
    <n v="52.5"/>
    <n v="52.5"/>
    <n v="46.965208254619732"/>
    <n v="3271274"/>
  </r>
  <r>
    <x v="75"/>
    <n v="202409"/>
    <x v="2"/>
    <x v="4"/>
    <s v="Hernán P"/>
    <s v="Daniel R"/>
    <n v="63519"/>
    <n v="1704533"/>
    <n v="26.834986111111107"/>
    <n v="0"/>
    <n v="31"/>
    <n v="27"/>
    <m/>
    <n v="0"/>
  </r>
  <r>
    <x v="99"/>
    <n v="202604"/>
    <x v="0"/>
    <x v="9"/>
    <s v="Hernán P"/>
    <s v="Daniel R"/>
    <n v="63514"/>
    <n v="3036566"/>
    <n v="47.809173611110936"/>
    <n v="66983.48915865623"/>
    <n v="53.5"/>
    <n v="51"/>
    <n v="45.515809558361951"/>
    <n v="3048808"/>
  </r>
  <r>
    <x v="91"/>
    <n v="202605"/>
    <x v="0"/>
    <x v="3"/>
    <s v="Hernán P"/>
    <s v="Daniel R"/>
    <n v="63508"/>
    <n v="1187393"/>
    <n v="18.696633064516107"/>
    <n v="64065.809258510984"/>
    <n v="19"/>
    <n v="21.5"/>
    <n v="17.464859694273773"/>
    <n v="1118900"/>
  </r>
  <r>
    <x v="84"/>
    <n v="202504"/>
    <x v="1"/>
    <x v="9"/>
    <s v="Sofía V"/>
    <s v="Melany A"/>
    <n v="63499"/>
    <n v="3110946"/>
    <n v="48.992368055555559"/>
    <n v="56231.151374622314"/>
    <n v="52.5"/>
    <n v="52.5"/>
    <n v="55.324245617421262"/>
    <n v="3412034"/>
  </r>
  <r>
    <x v="78"/>
    <n v="202505"/>
    <x v="1"/>
    <x v="3"/>
    <s v="Sebastián S"/>
    <s v="Vik E"/>
    <n v="63470"/>
    <n v="3787342"/>
    <n v="59.671801075268831"/>
    <n v="65573.418562198582"/>
    <n v="63"/>
    <n v="59"/>
    <n v="57.757280816579339"/>
    <n v="3859746"/>
  </r>
  <r>
    <x v="0"/>
    <n v="202409"/>
    <x v="2"/>
    <x v="4"/>
    <s v="Fátima L"/>
    <s v="Fátima L"/>
    <n v="63468"/>
    <n v="800409"/>
    <n v="12.611229166666666"/>
    <n v="0"/>
    <n v="13.5"/>
    <n v="12.5"/>
    <m/>
    <n v="0"/>
  </r>
  <r>
    <x v="81"/>
    <n v="202601"/>
    <x v="0"/>
    <x v="10"/>
    <s v="Fátima L"/>
    <s v="Fátima L"/>
    <n v="63462"/>
    <n v="677601"/>
    <n v="10.677305107526884"/>
    <n v="82633.766737910642"/>
    <n v="11.5"/>
    <n v="12"/>
    <n v="10.04229432420742"/>
    <n v="829833"/>
  </r>
  <r>
    <x v="87"/>
    <n v="202509"/>
    <x v="1"/>
    <x v="4"/>
    <s v="Fátima L"/>
    <s v="Fátima L"/>
    <n v="63444"/>
    <n v="630922"/>
    <n v="9.9444722222222204"/>
    <n v="72592.024482059351"/>
    <n v="11"/>
    <n v="11"/>
    <n v="8.6913392277126569"/>
    <n v="689080"/>
  </r>
  <r>
    <x v="0"/>
    <n v="202511"/>
    <x v="1"/>
    <x v="7"/>
    <s v="Fátima L"/>
    <s v="Fátima L"/>
    <n v="63436"/>
    <n v="1010599"/>
    <n v="15.931125"/>
    <n v="60464.265333343064"/>
    <n v="13.5"/>
    <n v="12.5"/>
    <n v="16.713986921506585"/>
    <n v="874242"/>
  </r>
  <r>
    <x v="81"/>
    <n v="202502"/>
    <x v="1"/>
    <x v="2"/>
    <s v="Fátima L"/>
    <s v="Fátima L"/>
    <n v="63412"/>
    <n v="689677"/>
    <n v="10.876145833333334"/>
    <n v="73170.122950076839"/>
    <n v="11.5"/>
    <n v="12"/>
    <n v="9.4256620351801068"/>
    <n v="757856"/>
  </r>
  <r>
    <x v="92"/>
    <n v="202412"/>
    <x v="2"/>
    <x v="1"/>
    <s v="Fátima L"/>
    <s v="Fátima L"/>
    <n v="63408"/>
    <n v="712910"/>
    <n v="11.243279569892476"/>
    <n v="0"/>
    <n v="11.5"/>
    <n v="10"/>
    <m/>
    <n v="0"/>
  </r>
  <r>
    <x v="97"/>
    <n v="202405"/>
    <x v="2"/>
    <x v="3"/>
    <s v="María R"/>
    <s v="María R"/>
    <n v="63395"/>
    <n v="5369308"/>
    <n v="84.696377688172063"/>
    <n v="0"/>
    <n v="94"/>
    <n v="77.5"/>
    <m/>
    <n v="0"/>
  </r>
  <r>
    <x v="79"/>
    <n v="202405"/>
    <x v="2"/>
    <x v="3"/>
    <s v="Sebastián S"/>
    <s v="Vik E"/>
    <n v="63381"/>
    <n v="5370305"/>
    <n v="84.730483870967717"/>
    <n v="0"/>
    <n v="84.5"/>
    <n v="78.5"/>
    <m/>
    <n v="0"/>
  </r>
  <r>
    <x v="60"/>
    <n v="202505"/>
    <x v="1"/>
    <x v="3"/>
    <s v="Sofía V"/>
    <s v="Melany A"/>
    <n v="63348"/>
    <n v="8571966"/>
    <n v="135.31649193548384"/>
    <n v="75861.027415993289"/>
    <n v="88.5"/>
    <n v="92.5"/>
    <n v="112.99564601194456"/>
    <n v="6243191"/>
  </r>
  <r>
    <x v="98"/>
    <n v="202408"/>
    <x v="2"/>
    <x v="5"/>
    <s v="Hernán P"/>
    <s v="Daniel R"/>
    <n v="63322"/>
    <n v="5176808"/>
    <n v="81.753508064516112"/>
    <n v="0"/>
    <n v="87"/>
    <n v="77.5"/>
    <m/>
    <n v="0"/>
  </r>
  <r>
    <x v="82"/>
    <n v="202405"/>
    <x v="2"/>
    <x v="3"/>
    <s v="Sebastián S"/>
    <s v="Vik E"/>
    <n v="63305"/>
    <n v="3654509"/>
    <n v="57.728830645161317"/>
    <n v="0"/>
    <n v="61.5"/>
    <n v="56"/>
    <m/>
    <n v="0"/>
  </r>
  <r>
    <x v="101"/>
    <n v="202605"/>
    <x v="0"/>
    <x v="3"/>
    <s v="Fátima L"/>
    <s v="Fátima L"/>
    <n v="63291"/>
    <n v="941433"/>
    <n v="14.87476478494623"/>
    <n v="63211.824208919701"/>
    <n v="13.5"/>
    <n v="14.5"/>
    <n v="13.189776457714554"/>
    <n v="833750"/>
  </r>
  <r>
    <x v="91"/>
    <n v="202603"/>
    <x v="0"/>
    <x v="0"/>
    <s v="Hernán P"/>
    <s v="Daniel R"/>
    <n v="63266"/>
    <n v="1249248"/>
    <n v="19.74588037634409"/>
    <n v="76421.776233198616"/>
    <n v="19"/>
    <n v="21.5"/>
    <n v="17.464859694273773"/>
    <n v="1334696"/>
  </r>
  <r>
    <x v="97"/>
    <n v="202402"/>
    <x v="2"/>
    <x v="2"/>
    <s v="María R"/>
    <s v="María R"/>
    <n v="63233"/>
    <n v="4949663"/>
    <n v="78.276795977011517"/>
    <n v="0"/>
    <n v="94"/>
    <n v="77.5"/>
    <m/>
    <n v="0"/>
  </r>
  <r>
    <x v="104"/>
    <n v="202412"/>
    <x v="2"/>
    <x v="1"/>
    <s v="Fátima L"/>
    <s v="Fátima L"/>
    <n v="63223"/>
    <n v="653032"/>
    <n v="10.328951612903229"/>
    <n v="0"/>
    <n v="11"/>
    <n v="10"/>
    <m/>
    <n v="0"/>
  </r>
  <r>
    <x v="81"/>
    <n v="202504"/>
    <x v="1"/>
    <x v="9"/>
    <s v="Fátima L"/>
    <s v="Fátima L"/>
    <n v="63187"/>
    <n v="730843"/>
    <n v="11.566430555555556"/>
    <n v="69384.487654088283"/>
    <n v="11.5"/>
    <n v="12"/>
    <n v="10.533237251005877"/>
    <n v="797358"/>
  </r>
  <r>
    <x v="86"/>
    <n v="202406"/>
    <x v="2"/>
    <x v="11"/>
    <s v="Sebastián S"/>
    <s v="Vik E"/>
    <n v="63183"/>
    <n v="2184947"/>
    <n v="34.581069444444445"/>
    <n v="0"/>
    <n v="36"/>
    <n v="35"/>
    <m/>
    <n v="0"/>
  </r>
  <r>
    <x v="81"/>
    <n v="202506"/>
    <x v="1"/>
    <x v="11"/>
    <s v="Fátima L"/>
    <s v="Fátima L"/>
    <n v="63160"/>
    <n v="686892"/>
    <n v="10.875374999999998"/>
    <n v="77753.59044072454"/>
    <n v="11.5"/>
    <n v="12"/>
    <n v="8.8342114635034346"/>
    <n v="821000"/>
  </r>
  <r>
    <x v="87"/>
    <n v="202404"/>
    <x v="2"/>
    <x v="9"/>
    <s v="Fátima L"/>
    <s v="Fátima L"/>
    <n v="63129"/>
    <n v="655827"/>
    <n v="10.388729166666669"/>
    <n v="0"/>
    <n v="11"/>
    <n v="11"/>
    <m/>
    <n v="0"/>
  </r>
  <r>
    <x v="57"/>
    <n v="202606"/>
    <x v="0"/>
    <x v="11"/>
    <s v="Hernán P"/>
    <s v="Daniel R"/>
    <n v="63107"/>
    <n v="2816904"/>
    <n v="44.63695833333346"/>
    <n v="70791.611853518014"/>
    <n v="53.5"/>
    <n v="52"/>
    <n v="43.483853774506514"/>
    <n v="3078292"/>
  </r>
  <r>
    <x v="77"/>
    <n v="202510"/>
    <x v="1"/>
    <x v="8"/>
    <s v="Fátima L"/>
    <s v="Fátima L"/>
    <n v="63050"/>
    <n v="929282"/>
    <n v="14.738857526881716"/>
    <n v="69085.925929755322"/>
    <n v="17"/>
    <n v="13.5"/>
    <n v="13.451098577514443"/>
    <n v="1145472"/>
  </r>
  <r>
    <x v="87"/>
    <n v="202602"/>
    <x v="0"/>
    <x v="2"/>
    <s v="Fátima L"/>
    <s v="Fátima L"/>
    <n v="63035"/>
    <n v="627573"/>
    <n v="9.9559374999999992"/>
    <n v="65381.702587353728"/>
    <n v="11"/>
    <n v="11"/>
    <n v="10.04229432420742"/>
    <n v="656582"/>
  </r>
  <r>
    <x v="83"/>
    <n v="202602"/>
    <x v="0"/>
    <x v="2"/>
    <s v="Hernán P"/>
    <s v="Daniel R"/>
    <n v="63027"/>
    <n v="2959385"/>
    <n v="46.954114583333336"/>
    <n v="79260.851098808635"/>
    <n v="51"/>
    <n v="49"/>
    <n v="41.451897990651069"/>
    <n v="3285513"/>
  </r>
  <r>
    <x v="75"/>
    <n v="202403"/>
    <x v="2"/>
    <x v="0"/>
    <s v="Hernán P"/>
    <s v="Daniel R"/>
    <n v="63002"/>
    <n v="1855531"/>
    <n v="29.452076612903216"/>
    <n v="0"/>
    <n v="31"/>
    <n v="27"/>
    <m/>
    <n v="0"/>
  </r>
  <r>
    <x v="78"/>
    <n v="202410"/>
    <x v="2"/>
    <x v="8"/>
    <s v="Sebastián S"/>
    <s v="Vik E"/>
    <n v="62957"/>
    <n v="3552781"/>
    <n v="56.431478494623647"/>
    <n v="0"/>
    <n v="63"/>
    <n v="59"/>
    <m/>
    <n v="0"/>
  </r>
  <r>
    <x v="97"/>
    <n v="202502"/>
    <x v="1"/>
    <x v="2"/>
    <s v="María R"/>
    <s v="María R"/>
    <n v="62937"/>
    <n v="4943060"/>
    <n v="78.540364583333314"/>
    <n v="66394.466228872072"/>
    <n v="94"/>
    <n v="77.5"/>
    <n v="74.449885973335512"/>
    <n v="4927338"/>
  </r>
  <r>
    <x v="70"/>
    <n v="202504"/>
    <x v="1"/>
    <x v="9"/>
    <s v="Sebastián S"/>
    <s v="Vik E"/>
    <n v="62920"/>
    <n v="3445128"/>
    <n v="54.754243055555555"/>
    <n v="65322.501436602128"/>
    <n v="60.5"/>
    <n v="57.5"/>
    <n v="52.740290010841392"/>
    <n v="3670194"/>
  </r>
  <r>
    <x v="85"/>
    <n v="202602"/>
    <x v="0"/>
    <x v="2"/>
    <s v="Hernán P"/>
    <s v="Daniel R"/>
    <n v="62899"/>
    <n v="2407695"/>
    <n v="38.278645833333329"/>
    <n v="69895.460491147693"/>
    <n v="44"/>
    <n v="40.5"/>
    <n v="35.762421795855829"/>
    <n v="2499631"/>
  </r>
  <r>
    <x v="103"/>
    <n v="202604"/>
    <x v="0"/>
    <x v="9"/>
    <s v="María R"/>
    <s v="María R"/>
    <n v="62892"/>
    <n v="3673070"/>
    <n v="58.402895833333204"/>
    <n v="63124.314867537665"/>
    <n v="66"/>
    <n v="65.5"/>
    <n v="58.116081161406527"/>
    <n v="3668538"/>
  </r>
  <r>
    <x v="98"/>
    <n v="202405"/>
    <x v="2"/>
    <x v="3"/>
    <s v="Hernán P"/>
    <s v="Daniel R"/>
    <n v="62829"/>
    <n v="5216223"/>
    <n v="83.022540322580667"/>
    <n v="0"/>
    <n v="87"/>
    <n v="77.5"/>
    <m/>
    <n v="0"/>
  </r>
  <r>
    <x v="102"/>
    <n v="202408"/>
    <x v="2"/>
    <x v="5"/>
    <s v="Fátima L"/>
    <s v="Fátima L"/>
    <n v="62824"/>
    <n v="607578"/>
    <n v="9.6711021505376351"/>
    <n v="0"/>
    <n v="11"/>
    <n v="12"/>
    <m/>
    <n v="0"/>
  </r>
  <r>
    <x v="75"/>
    <n v="202401"/>
    <x v="2"/>
    <x v="10"/>
    <s v="Hernán P"/>
    <s v="Daniel R"/>
    <n v="62823"/>
    <n v="1742207"/>
    <n v="27.731854838709683"/>
    <n v="0"/>
    <n v="31"/>
    <n v="27"/>
    <m/>
    <n v="0"/>
  </r>
  <r>
    <x v="97"/>
    <n v="202602"/>
    <x v="0"/>
    <x v="2"/>
    <s v="María R"/>
    <s v="María R"/>
    <n v="62805"/>
    <n v="4849465"/>
    <n v="77.214479166666678"/>
    <n v="61836.882529780931"/>
    <n v="94"/>
    <n v="77.5"/>
    <n v="81.023149648384276"/>
    <n v="5010219"/>
  </r>
  <r>
    <x v="89"/>
    <n v="202604"/>
    <x v="0"/>
    <x v="9"/>
    <s v="Sebastián S"/>
    <s v="Rodolfo O"/>
    <n v="62805"/>
    <n v="1795576"/>
    <n v="28.589749999999803"/>
    <n v="58338.383461989702"/>
    <n v="34"/>
    <n v="34"/>
    <n v="29.696606396863505"/>
    <n v="1732452"/>
  </r>
  <r>
    <x v="86"/>
    <n v="202604"/>
    <x v="0"/>
    <x v="9"/>
    <s v="Sebastián S"/>
    <s v="Vik E"/>
    <n v="62766"/>
    <n v="2012869"/>
    <n v="32.069187499999828"/>
    <n v="62689.124534930095"/>
    <n v="36"/>
    <n v="35"/>
    <n v="31.443465596679005"/>
    <n v="1971163"/>
  </r>
  <r>
    <x v="0"/>
    <n v="202501"/>
    <x v="1"/>
    <x v="10"/>
    <s v="Fátima L"/>
    <s v="Fátima L"/>
    <n v="62760"/>
    <n v="803194"/>
    <n v="12.797768817204304"/>
    <n v="90201.587872933698"/>
    <n v="13.5"/>
    <n v="12.5"/>
    <n v="8.9044308303247739"/>
    <n v="1014394"/>
  </r>
  <r>
    <x v="84"/>
    <n v="202409"/>
    <x v="2"/>
    <x v="4"/>
    <s v="Sofía V"/>
    <s v="Melany A"/>
    <n v="62753"/>
    <n v="3105864"/>
    <n v="49.49359722222222"/>
    <n v="0"/>
    <n v="52.5"/>
    <n v="52.5"/>
    <m/>
    <n v="0"/>
  </r>
  <r>
    <x v="74"/>
    <n v="202508"/>
    <x v="1"/>
    <x v="5"/>
    <s v="Sebastián S"/>
    <s v="Rodolfo O"/>
    <n v="62698"/>
    <n v="1427545"/>
    <n v="22.768487903225807"/>
    <n v="62459.998740363837"/>
    <n v="27"/>
    <n v="27"/>
    <n v="22.85534067866497"/>
    <n v="1567585"/>
  </r>
  <r>
    <x v="90"/>
    <n v="202606"/>
    <x v="0"/>
    <x v="11"/>
    <s v="Sebastián S"/>
    <s v="Vik E"/>
    <n v="62674"/>
    <n v="2452236"/>
    <n v="39.127131944444152"/>
    <n v="61377.465502089901"/>
    <n v="47.5"/>
    <n v="43"/>
    <n v="41.487905995618128"/>
    <n v="2546423"/>
  </r>
  <r>
    <x v="90"/>
    <n v="202508"/>
    <x v="1"/>
    <x v="5"/>
    <s v="Sebastián S"/>
    <s v="Vik E"/>
    <n v="62671"/>
    <n v="2486996"/>
    <n v="39.683366935483868"/>
    <n v="69732.654383438523"/>
    <n v="47.5"/>
    <n v="43"/>
    <n v="35.664731996644903"/>
    <n v="2909496"/>
  </r>
  <r>
    <x v="102"/>
    <n v="202410"/>
    <x v="2"/>
    <x v="8"/>
    <s v="Fátima L"/>
    <s v="Fátima L"/>
    <n v="62652"/>
    <n v="609408"/>
    <n v="9.7268481182795732"/>
    <n v="0"/>
    <n v="11"/>
    <n v="12"/>
    <m/>
    <n v="0"/>
  </r>
  <r>
    <x v="75"/>
    <n v="202505"/>
    <x v="1"/>
    <x v="3"/>
    <s v="Hernán P"/>
    <s v="Daniel R"/>
    <n v="62649"/>
    <n v="1636554"/>
    <n v="26.122560483870966"/>
    <n v="69690.455192919893"/>
    <n v="31"/>
    <n v="27"/>
    <n v="23.483191571494622"/>
    <n v="1509920"/>
  </r>
  <r>
    <x v="91"/>
    <n v="202410"/>
    <x v="2"/>
    <x v="8"/>
    <s v="Hernán P"/>
    <s v="Daniel R"/>
    <n v="62649"/>
    <n v="1188044"/>
    <n v="18.963602150537632"/>
    <n v="0"/>
    <n v="19"/>
    <n v="21.5"/>
    <m/>
    <n v="0"/>
  </r>
  <r>
    <x v="86"/>
    <n v="202403"/>
    <x v="2"/>
    <x v="0"/>
    <s v="Sebastián S"/>
    <s v="Vik E"/>
    <n v="62643"/>
    <n v="2429737"/>
    <n v="38.786774193548389"/>
    <n v="0"/>
    <n v="36"/>
    <n v="35"/>
    <m/>
    <n v="0"/>
  </r>
  <r>
    <x v="86"/>
    <n v="202606"/>
    <x v="0"/>
    <x v="11"/>
    <s v="Sebastián S"/>
    <s v="Vik E"/>
    <n v="62628"/>
    <n v="1893904"/>
    <n v="30.240680555555524"/>
    <n v="60897.923258886636"/>
    <n v="36"/>
    <n v="35"/>
    <n v="31.443465596679005"/>
    <n v="1914842"/>
  </r>
  <r>
    <x v="109"/>
    <n v="202512"/>
    <x v="1"/>
    <x v="1"/>
    <s v="María R"/>
    <s v="María R"/>
    <n v="62627"/>
    <n v="3066355"/>
    <n v="48.962177419354802"/>
    <n v="58527.687323498205"/>
    <n v="59"/>
    <n v="50"/>
    <n v="52.391523913313677"/>
    <n v="3176297"/>
  </r>
  <r>
    <x v="103"/>
    <n v="202508"/>
    <x v="1"/>
    <x v="5"/>
    <s v="María R"/>
    <s v="María R"/>
    <n v="62610"/>
    <n v="3860930"/>
    <n v="61.666095430107553"/>
    <n v="62117.905755088133"/>
    <n v="66"/>
    <n v="65.5"/>
    <n v="62.154871499088607"/>
    <n v="3653890"/>
  </r>
  <r>
    <x v="79"/>
    <n v="202402"/>
    <x v="2"/>
    <x v="2"/>
    <s v="Sebastián S"/>
    <s v="Vik E"/>
    <n v="62597"/>
    <n v="5172296"/>
    <n v="82.628060344827588"/>
    <n v="0"/>
    <n v="84.5"/>
    <n v="78.5"/>
    <m/>
    <n v="0"/>
  </r>
  <r>
    <x v="103"/>
    <n v="202511"/>
    <x v="1"/>
    <x v="7"/>
    <s v="María R"/>
    <s v="María R"/>
    <n v="62569"/>
    <n v="3732556"/>
    <n v="59.655361111111141"/>
    <n v="57147.042696670091"/>
    <n v="66"/>
    <n v="65.5"/>
    <n v="65.314945688650539"/>
    <n v="3588152"/>
  </r>
  <r>
    <x v="103"/>
    <n v="202503"/>
    <x v="1"/>
    <x v="0"/>
    <s v="María R"/>
    <s v="María R"/>
    <n v="62561"/>
    <n v="3580872"/>
    <n v="57.238266129032283"/>
    <n v="61073.205197246789"/>
    <n v="66"/>
    <n v="65.5"/>
    <n v="58.632452291228816"/>
    <n v="3794339"/>
  </r>
  <r>
    <x v="90"/>
    <n v="202601"/>
    <x v="0"/>
    <x v="10"/>
    <s v="Sebastián S"/>
    <s v="Vik E"/>
    <n v="62540"/>
    <n v="2593587"/>
    <n v="41.471048387096765"/>
    <n v="63177.380626943086"/>
    <n v="47.5"/>
    <n v="43"/>
    <n v="41.487905995618128"/>
    <n v="2621097"/>
  </r>
  <r>
    <x v="89"/>
    <n v="202511"/>
    <x v="1"/>
    <x v="7"/>
    <s v="Sebastián S"/>
    <s v="Rodolfo O"/>
    <n v="62495"/>
    <n v="1848445"/>
    <n v="29.577479166666663"/>
    <n v="64087.475439550493"/>
    <n v="34"/>
    <n v="34"/>
    <n v="28.842528392985564"/>
    <n v="1820105"/>
  </r>
  <r>
    <x v="70"/>
    <n v="202502"/>
    <x v="1"/>
    <x v="2"/>
    <s v="Sebastián S"/>
    <s v="Vik E"/>
    <n v="62492"/>
    <n v="3438742"/>
    <n v="55.027083333333323"/>
    <n v="68787.099020740978"/>
    <n v="60.5"/>
    <n v="57.5"/>
    <n v="49.991085668013646"/>
    <n v="3445531"/>
  </r>
  <r>
    <x v="84"/>
    <n v="202506"/>
    <x v="1"/>
    <x v="11"/>
    <s v="Sofía V"/>
    <s v="Melany A"/>
    <n v="62470"/>
    <n v="2996137"/>
    <n v="47.961229166666648"/>
    <n v="67484.697465417674"/>
    <n v="52.5"/>
    <n v="52.5"/>
    <n v="44.397274234434562"/>
    <n v="3640308"/>
  </r>
  <r>
    <x v="51"/>
    <n v="202404"/>
    <x v="2"/>
    <x v="9"/>
    <s v="Sofía V"/>
    <s v="Melany A"/>
    <n v="62469"/>
    <n v="2598351"/>
    <n v="41.594097222222224"/>
    <n v="0"/>
    <n v="43.5"/>
    <n v="41"/>
    <m/>
    <n v="0"/>
  </r>
  <r>
    <x v="78"/>
    <n v="202405"/>
    <x v="2"/>
    <x v="3"/>
    <s v="Sebastián S"/>
    <s v="Vik E"/>
    <n v="62451"/>
    <n v="3530353"/>
    <n v="56.53008064516127"/>
    <n v="0"/>
    <n v="63"/>
    <n v="59"/>
    <m/>
    <n v="0"/>
  </r>
  <r>
    <x v="93"/>
    <n v="202508"/>
    <x v="1"/>
    <x v="5"/>
    <s v="Hernán P"/>
    <s v="Daniel R"/>
    <n v="62451"/>
    <n v="2341679"/>
    <n v="37.496525537634412"/>
    <n v="65077.749545937026"/>
    <n v="45.5"/>
    <n v="42.5"/>
    <n v="35.982785304323684"/>
    <n v="2401397"/>
  </r>
  <r>
    <x v="90"/>
    <n v="202407"/>
    <x v="2"/>
    <x v="6"/>
    <s v="Sebastián S"/>
    <s v="Vik E"/>
    <n v="62423"/>
    <n v="2946064"/>
    <n v="47.19510080645162"/>
    <n v="0"/>
    <n v="47.5"/>
    <n v="43"/>
    <m/>
    <n v="0"/>
  </r>
  <r>
    <x v="101"/>
    <n v="202406"/>
    <x v="2"/>
    <x v="11"/>
    <s v="Fátima L"/>
    <s v="Fátima L"/>
    <n v="62422"/>
    <n v="856504"/>
    <n v="13.721215277777777"/>
    <n v="0"/>
    <n v="13.5"/>
    <n v="14.5"/>
    <m/>
    <n v="0"/>
  </r>
  <r>
    <x v="92"/>
    <n v="202405"/>
    <x v="2"/>
    <x v="3"/>
    <s v="Fátima L"/>
    <s v="Fátima L"/>
    <n v="62371"/>
    <n v="602683"/>
    <n v="9.6629166666666677"/>
    <n v="0"/>
    <n v="11.5"/>
    <n v="10"/>
    <m/>
    <n v="0"/>
  </r>
  <r>
    <x v="94"/>
    <n v="202509"/>
    <x v="1"/>
    <x v="4"/>
    <s v="Hernán P"/>
    <s v="Daniel R"/>
    <n v="62342"/>
    <n v="2125939"/>
    <n v="34.101034722222217"/>
    <n v="56194.808763333"/>
    <n v="33"/>
    <n v="31.5"/>
    <n v="37.83158438982305"/>
    <n v="2645208"/>
  </r>
  <r>
    <x v="86"/>
    <n v="202505"/>
    <x v="1"/>
    <x v="3"/>
    <s v="Sebastián S"/>
    <s v="Vik E"/>
    <n v="62309"/>
    <n v="1989571"/>
    <n v="31.930678763440856"/>
    <n v="55049.27232488407"/>
    <n v="36"/>
    <n v="35"/>
    <n v="36.141641223850456"/>
    <n v="2024388"/>
  </r>
  <r>
    <x v="91"/>
    <n v="202408"/>
    <x v="2"/>
    <x v="5"/>
    <s v="Hernán P"/>
    <s v="Daniel R"/>
    <n v="62280"/>
    <n v="1213449"/>
    <n v="19.483709677419359"/>
    <n v="0"/>
    <n v="19"/>
    <n v="21.5"/>
    <m/>
    <n v="0"/>
  </r>
  <r>
    <x v="89"/>
    <n v="202602"/>
    <x v="0"/>
    <x v="2"/>
    <s v="Sebastián S"/>
    <s v="Rodolfo O"/>
    <n v="62232"/>
    <n v="1815764"/>
    <n v="29.177187499999999"/>
    <n v="57191.088217385673"/>
    <n v="34"/>
    <n v="34"/>
    <n v="29.696606396863505"/>
    <n v="1698381"/>
  </r>
  <r>
    <x v="90"/>
    <n v="202511"/>
    <x v="1"/>
    <x v="7"/>
    <s v="Sebastián S"/>
    <s v="Vik E"/>
    <n v="62229"/>
    <n v="2507948"/>
    <n v="40.301673611111106"/>
    <n v="64444.085821496075"/>
    <n v="47.5"/>
    <n v="43"/>
    <n v="38.916650426957311"/>
    <n v="3048531"/>
  </r>
  <r>
    <x v="70"/>
    <n v="202404"/>
    <x v="2"/>
    <x v="9"/>
    <s v="Sebastián S"/>
    <s v="Vik E"/>
    <n v="62212"/>
    <n v="3340792"/>
    <n v="53.700208333333329"/>
    <n v="0"/>
    <n v="60.5"/>
    <n v="57.5"/>
    <m/>
    <n v="0"/>
  </r>
  <r>
    <x v="70"/>
    <n v="202506"/>
    <x v="1"/>
    <x v="11"/>
    <s v="Sebastián S"/>
    <s v="Vik E"/>
    <n v="62198"/>
    <n v="3322932"/>
    <n v="53.425409722222248"/>
    <n v="73709.551659058983"/>
    <n v="60.5"/>
    <n v="57.5"/>
    <n v="45.081423712493958"/>
    <n v="3793753"/>
  </r>
  <r>
    <x v="92"/>
    <n v="202603"/>
    <x v="0"/>
    <x v="0"/>
    <s v="Fátima L"/>
    <s v="Fátima L"/>
    <n v="62177"/>
    <n v="647020"/>
    <n v="10.406102150537633"/>
    <n v="67737.987190859189"/>
    <n v="11.5"/>
    <n v="10"/>
    <n v="10.042294324207418"/>
    <n v="680245"/>
  </r>
  <r>
    <x v="100"/>
    <n v="202501"/>
    <x v="1"/>
    <x v="10"/>
    <s v="Hernán P"/>
    <s v="Daniel R"/>
    <n v="62169"/>
    <n v="2185237"/>
    <n v="35.149879032258056"/>
    <n v="64546.729086109925"/>
    <n v="41.5"/>
    <n v="43"/>
    <n v="33.855111962137364"/>
    <n v="2347229"/>
  </r>
  <r>
    <x v="78"/>
    <n v="202404"/>
    <x v="2"/>
    <x v="9"/>
    <s v="Sebastián S"/>
    <s v="Vik E"/>
    <n v="62163"/>
    <n v="3504098"/>
    <n v="56.369152777777792"/>
    <n v="0"/>
    <n v="63"/>
    <n v="59"/>
    <m/>
    <n v="0"/>
  </r>
  <r>
    <x v="101"/>
    <n v="202408"/>
    <x v="2"/>
    <x v="5"/>
    <s v="Fátima L"/>
    <s v="Fátima L"/>
    <n v="62159"/>
    <n v="777329"/>
    <n v="12.505490591397853"/>
    <n v="0"/>
    <n v="13.5"/>
    <n v="14.5"/>
    <m/>
    <n v="0"/>
  </r>
  <r>
    <x v="78"/>
    <n v="202411"/>
    <x v="2"/>
    <x v="7"/>
    <s v="Sebastián S"/>
    <s v="Vik E"/>
    <n v="62100"/>
    <n v="3602140"/>
    <n v="58.005159722222224"/>
    <n v="0"/>
    <n v="63"/>
    <n v="59"/>
    <m/>
    <n v="0"/>
  </r>
  <r>
    <x v="99"/>
    <n v="202508"/>
    <x v="1"/>
    <x v="5"/>
    <s v="Hernán P"/>
    <s v="Daniel R"/>
    <n v="62048"/>
    <n v="2856244"/>
    <n v="46.032762096774192"/>
    <n v="63836.599296574401"/>
    <n v="53.5"/>
    <n v="51"/>
    <n v="44.743041632439706"/>
    <n v="3140492"/>
  </r>
  <r>
    <x v="84"/>
    <n v="202401"/>
    <x v="2"/>
    <x v="10"/>
    <s v="Sofía V"/>
    <s v="Melany A"/>
    <n v="61992"/>
    <n v="3333399"/>
    <n v="53.771102150537651"/>
    <n v="0"/>
    <n v="52.5"/>
    <n v="52.5"/>
    <m/>
    <n v="0"/>
  </r>
  <r>
    <x v="96"/>
    <n v="202504"/>
    <x v="1"/>
    <x v="9"/>
    <s v="Fátima L"/>
    <s v="Fátima L"/>
    <n v="61981"/>
    <n v="613405"/>
    <n v="9.896638888888889"/>
    <n v="60463.477131881496"/>
    <n v="11.5"/>
    <n v="10"/>
    <n v="10.145057960561125"/>
    <n v="674470"/>
  </r>
  <r>
    <x v="74"/>
    <n v="202604"/>
    <x v="0"/>
    <x v="9"/>
    <s v="Sebastián S"/>
    <s v="Rodolfo O"/>
    <n v="61981"/>
    <n v="1474556"/>
    <n v="23.79047222222222"/>
    <n v="73667.269059276834"/>
    <n v="27"/>
    <n v="27"/>
    <n v="23.582599197509253"/>
    <n v="1737266"/>
  </r>
  <r>
    <x v="93"/>
    <n v="202408"/>
    <x v="2"/>
    <x v="5"/>
    <s v="Hernán P"/>
    <s v="Daniel R"/>
    <n v="61979"/>
    <n v="2299143"/>
    <n v="37.095624999999998"/>
    <n v="0"/>
    <n v="45.5"/>
    <n v="42.5"/>
    <m/>
    <n v="0"/>
  </r>
  <r>
    <x v="93"/>
    <n v="202606"/>
    <x v="0"/>
    <x v="11"/>
    <s v="Hernán P"/>
    <s v="Daniel R"/>
    <n v="61962"/>
    <n v="2347084"/>
    <n v="37.879381944444056"/>
    <n v="62557.850578079015"/>
    <n v="45.5"/>
    <n v="42.5"/>
    <n v="36.981595266169094"/>
    <n v="2313489"/>
  </r>
  <r>
    <x v="81"/>
    <n v="202511"/>
    <x v="1"/>
    <x v="7"/>
    <s v="Fátima L"/>
    <s v="Fátima L"/>
    <n v="61947"/>
    <n v="712017"/>
    <n v="11.493999999999998"/>
    <n v="71204.444174849312"/>
    <n v="11.5"/>
    <n v="12"/>
    <n v="9.9996185385784866"/>
    <n v="864725"/>
  </r>
  <r>
    <x v="100"/>
    <n v="202411"/>
    <x v="2"/>
    <x v="7"/>
    <s v="Hernán P"/>
    <s v="Daniel R"/>
    <n v="61868"/>
    <n v="2180306"/>
    <n v="35.241500000000016"/>
    <n v="0"/>
    <n v="41.5"/>
    <n v="43"/>
    <m/>
    <n v="0"/>
  </r>
  <r>
    <x v="0"/>
    <n v="202410"/>
    <x v="2"/>
    <x v="8"/>
    <s v="Fátima L"/>
    <s v="Fátima L"/>
    <n v="61857"/>
    <n v="792295"/>
    <n v="12.808494623655919"/>
    <n v="0"/>
    <n v="13.5"/>
    <n v="12.5"/>
    <m/>
    <n v="0"/>
  </r>
  <r>
    <x v="86"/>
    <n v="202507"/>
    <x v="1"/>
    <x v="6"/>
    <s v="Sebastián S"/>
    <s v="Vik E"/>
    <n v="61841"/>
    <n v="2010223"/>
    <n v="32.506485215053765"/>
    <n v="63351.520369439611"/>
    <n v="36"/>
    <n v="35"/>
    <n v="31.731244621711063"/>
    <n v="2288125"/>
  </r>
  <r>
    <x v="79"/>
    <n v="202404"/>
    <x v="2"/>
    <x v="9"/>
    <s v="Sebastián S"/>
    <s v="Vik E"/>
    <n v="61827"/>
    <n v="5352725"/>
    <n v="86.575756944444421"/>
    <n v="0"/>
    <n v="84.5"/>
    <n v="78.5"/>
    <m/>
    <n v="0"/>
  </r>
  <r>
    <x v="105"/>
    <n v="202501"/>
    <x v="1"/>
    <x v="10"/>
    <s v="María R"/>
    <s v="María R"/>
    <n v="61822"/>
    <n v="3268596"/>
    <n v="52.870934139784943"/>
    <n v="59762.566401335469"/>
    <n v="61.5"/>
    <n v="56"/>
    <n v="54.69303473431421"/>
    <n v="3179676"/>
  </r>
  <r>
    <x v="92"/>
    <n v="202510"/>
    <x v="1"/>
    <x v="8"/>
    <s v="Fátima L"/>
    <s v="Fátima L"/>
    <n v="61766"/>
    <n v="551640"/>
    <n v="8.9311155913978499"/>
    <n v="58324.04545410526"/>
    <n v="11.5"/>
    <n v="10"/>
    <n v="9.4581983417813742"/>
    <n v="657794"/>
  </r>
  <r>
    <x v="96"/>
    <n v="202508"/>
    <x v="1"/>
    <x v="5"/>
    <s v="Fátima L"/>
    <s v="Fátima L"/>
    <n v="61745"/>
    <n v="620337"/>
    <n v="10.04674059139785"/>
    <n v="56120.828959276005"/>
    <n v="11.5"/>
    <n v="10"/>
    <n v="11.053604365861148"/>
    <n v="664981"/>
  </r>
  <r>
    <x v="38"/>
    <n v="202409"/>
    <x v="2"/>
    <x v="4"/>
    <s v="Sofía V"/>
    <s v="Melany A"/>
    <n v="61743"/>
    <n v="3313877"/>
    <n v="53.672013888888898"/>
    <n v="0"/>
    <n v="56"/>
    <n v="60"/>
    <m/>
    <n v="0"/>
  </r>
  <r>
    <x v="72"/>
    <n v="202502"/>
    <x v="1"/>
    <x v="2"/>
    <s v="Sebastián S"/>
    <s v="Vik E"/>
    <n v="61706"/>
    <n v="4481766"/>
    <n v="72.63041666666669"/>
    <n v="70330.854174203589"/>
    <n v="79.5"/>
    <n v="67"/>
    <n v="63.724043488780076"/>
    <n v="4805013"/>
  </r>
  <r>
    <x v="77"/>
    <n v="202411"/>
    <x v="2"/>
    <x v="7"/>
    <s v="Fátima L"/>
    <s v="Fátima L"/>
    <n v="61655"/>
    <n v="962555"/>
    <n v="15.611944444444449"/>
    <n v="0"/>
    <n v="17"/>
    <n v="13.5"/>
    <m/>
    <n v="0"/>
  </r>
  <r>
    <x v="100"/>
    <n v="202503"/>
    <x v="1"/>
    <x v="0"/>
    <s v="Hernán P"/>
    <s v="Daniel R"/>
    <n v="61577"/>
    <n v="2347002"/>
    <n v="38.115188172043005"/>
    <n v="63805.815704606866"/>
    <n v="41.5"/>
    <n v="43"/>
    <n v="36.783512193709683"/>
    <n v="2436628"/>
  </r>
  <r>
    <x v="78"/>
    <n v="202504"/>
    <x v="1"/>
    <x v="9"/>
    <s v="Sebastián S"/>
    <s v="Vik E"/>
    <n v="61563"/>
    <n v="3653034"/>
    <n v="59.33836805555557"/>
    <n v="65271.561770757697"/>
    <n v="63"/>
    <n v="59"/>
    <n v="55.966693777451418"/>
    <n v="3980602"/>
  </r>
  <r>
    <x v="101"/>
    <n v="202512"/>
    <x v="1"/>
    <x v="1"/>
    <s v="Fátima L"/>
    <s v="Fátima L"/>
    <n v="61555"/>
    <n v="1162585"/>
    <n v="18.886780913978487"/>
    <n v="67174.379761159027"/>
    <n v="13.5"/>
    <n v="14.5"/>
    <n v="17.306969325710387"/>
    <n v="1363035"/>
  </r>
  <r>
    <x v="101"/>
    <n v="202409"/>
    <x v="2"/>
    <x v="4"/>
    <s v="Fátima L"/>
    <s v="Fátima L"/>
    <n v="61539"/>
    <n v="822095"/>
    <n v="13.358965277777779"/>
    <n v="0"/>
    <n v="13.5"/>
    <n v="14.5"/>
    <m/>
    <n v="0"/>
  </r>
  <r>
    <x v="51"/>
    <n v="202405"/>
    <x v="2"/>
    <x v="3"/>
    <s v="Sofía V"/>
    <s v="Melany A"/>
    <n v="61538"/>
    <n v="2561476"/>
    <n v="41.624220430107535"/>
    <n v="0"/>
    <n v="43.5"/>
    <n v="41"/>
    <m/>
    <n v="0"/>
  </r>
  <r>
    <x v="92"/>
    <n v="202401"/>
    <x v="2"/>
    <x v="10"/>
    <s v="Fátima L"/>
    <s v="Fátima L"/>
    <n v="61522"/>
    <n v="608172"/>
    <n v="9.8854771505376373"/>
    <n v="0"/>
    <n v="11.5"/>
    <n v="10"/>
    <m/>
    <n v="0"/>
  </r>
  <r>
    <x v="101"/>
    <n v="202405"/>
    <x v="2"/>
    <x v="3"/>
    <s v="Fátima L"/>
    <s v="Fátima L"/>
    <n v="61506"/>
    <n v="914045"/>
    <n v="14.860981182795701"/>
    <n v="0"/>
    <n v="13.5"/>
    <n v="14.5"/>
    <m/>
    <n v="0"/>
  </r>
  <r>
    <x v="61"/>
    <n v="202401"/>
    <x v="2"/>
    <x v="10"/>
    <s v="Sofía V"/>
    <s v="Joe H"/>
    <n v="61497"/>
    <n v="1966223"/>
    <n v="31.972641129032255"/>
    <n v="0"/>
    <n v="41.5"/>
    <n v="35.5"/>
    <m/>
    <n v="0"/>
  </r>
  <r>
    <x v="102"/>
    <n v="202404"/>
    <x v="2"/>
    <x v="9"/>
    <s v="Fátima L"/>
    <s v="Fátima L"/>
    <n v="61486"/>
    <n v="596769"/>
    <n v="9.7057430555555548"/>
    <n v="0"/>
    <n v="11"/>
    <n v="12"/>
    <m/>
    <n v="0"/>
  </r>
  <r>
    <x v="98"/>
    <n v="202501"/>
    <x v="1"/>
    <x v="10"/>
    <s v="Hernán P"/>
    <s v="Daniel R"/>
    <n v="61482"/>
    <n v="4780613"/>
    <n v="77.756122311827951"/>
    <n v="74321.899393539526"/>
    <n v="87"/>
    <n v="77.5"/>
    <n v="64.323069902806566"/>
    <n v="5317650"/>
  </r>
  <r>
    <x v="103"/>
    <n v="202412"/>
    <x v="2"/>
    <x v="1"/>
    <s v="María R"/>
    <s v="María R"/>
    <n v="61479"/>
    <n v="3892343"/>
    <n v="63.31142473118279"/>
    <n v="0"/>
    <n v="66"/>
    <n v="65.5"/>
    <m/>
    <n v="0"/>
  </r>
  <r>
    <x v="100"/>
    <n v="202401"/>
    <x v="2"/>
    <x v="10"/>
    <s v="Hernán P"/>
    <s v="Daniel R"/>
    <n v="61473"/>
    <n v="2267898"/>
    <n v="36.892540322580651"/>
    <n v="0"/>
    <n v="41.5"/>
    <n v="43"/>
    <m/>
    <n v="0"/>
  </r>
  <r>
    <x v="103"/>
    <n v="202509"/>
    <x v="1"/>
    <x v="4"/>
    <s v="María R"/>
    <s v="María R"/>
    <n v="61471"/>
    <n v="3628906"/>
    <n v="59.034548611111134"/>
    <n v="62641.475536460101"/>
    <n v="66"/>
    <n v="65.5"/>
    <n v="57.931358719157508"/>
    <n v="3836609"/>
  </r>
  <r>
    <x v="38"/>
    <n v="202404"/>
    <x v="2"/>
    <x v="9"/>
    <s v="Sofía V"/>
    <s v="Melany A"/>
    <n v="61409"/>
    <n v="3631196"/>
    <n v="59.131138888888898"/>
    <n v="0"/>
    <n v="56"/>
    <n v="60"/>
    <m/>
    <n v="0"/>
  </r>
  <r>
    <x v="90"/>
    <n v="202411"/>
    <x v="2"/>
    <x v="7"/>
    <s v="Sebastián S"/>
    <s v="Vik E"/>
    <n v="61375"/>
    <n v="2724824"/>
    <n v="44.39609027777778"/>
    <n v="0"/>
    <n v="47.5"/>
    <n v="43"/>
    <m/>
    <n v="0"/>
  </r>
  <r>
    <x v="99"/>
    <n v="202403"/>
    <x v="2"/>
    <x v="0"/>
    <s v="Hernán P"/>
    <s v="Daniel R"/>
    <n v="61333"/>
    <n v="3285366"/>
    <n v="53.565900537634384"/>
    <n v="0"/>
    <n v="53.5"/>
    <n v="51"/>
    <m/>
    <n v="0"/>
  </r>
  <r>
    <x v="96"/>
    <n v="202507"/>
    <x v="1"/>
    <x v="6"/>
    <s v="Fátima L"/>
    <s v="Fátima L"/>
    <n v="61317"/>
    <n v="652448"/>
    <n v="10.640611559139789"/>
    <n v="61898.1737404542"/>
    <n v="11.5"/>
    <n v="10"/>
    <n v="10.540662519960359"/>
    <n v="703877"/>
  </r>
  <r>
    <x v="82"/>
    <n v="202404"/>
    <x v="2"/>
    <x v="9"/>
    <s v="Sebastián S"/>
    <s v="Vik E"/>
    <n v="61265"/>
    <n v="3537290"/>
    <n v="57.737701388888908"/>
    <n v="0"/>
    <n v="61.5"/>
    <n v="56"/>
    <m/>
    <n v="0"/>
  </r>
  <r>
    <x v="87"/>
    <n v="202501"/>
    <x v="1"/>
    <x v="10"/>
    <s v="Fátima L"/>
    <s v="Fátima L"/>
    <n v="61258"/>
    <n v="609575"/>
    <n v="9.950866935483873"/>
    <n v="73480.818267320661"/>
    <n v="11"/>
    <n v="11"/>
    <n v="8.2956985833008616"/>
    <n v="667618"/>
  </r>
  <r>
    <x v="80"/>
    <n v="202601"/>
    <x v="0"/>
    <x v="10"/>
    <s v="Fátima L"/>
    <s v="Fátima L"/>
    <n v="61208"/>
    <n v="465374"/>
    <n v="7.6031384408602163"/>
    <n v="64884.803833776772"/>
    <n v="10"/>
    <n v="9"/>
    <n v="8.1521894564878892"/>
    <n v="528953"/>
  </r>
  <r>
    <x v="78"/>
    <n v="202409"/>
    <x v="2"/>
    <x v="4"/>
    <s v="Sebastián S"/>
    <s v="Vik E"/>
    <n v="61206"/>
    <n v="3574601"/>
    <n v="58.402895833333339"/>
    <n v="0"/>
    <n v="63"/>
    <n v="59"/>
    <m/>
    <n v="0"/>
  </r>
  <r>
    <x v="66"/>
    <n v="202404"/>
    <x v="2"/>
    <x v="9"/>
    <s v="Sebastián S"/>
    <s v="Rodolfo O"/>
    <n v="61177"/>
    <n v="3338291"/>
    <n v="54.567625000000007"/>
    <n v="0"/>
    <n v="55"/>
    <n v="55.5"/>
    <m/>
    <n v="0"/>
  </r>
  <r>
    <x v="95"/>
    <n v="202404"/>
    <x v="2"/>
    <x v="9"/>
    <s v="Fátima L"/>
    <s v="Fátima L"/>
    <n v="61165"/>
    <n v="337045"/>
    <n v="5.5104583333333323"/>
    <n v="0"/>
    <n v="8.5"/>
    <n v="6.5"/>
    <m/>
    <n v="0"/>
  </r>
  <r>
    <x v="77"/>
    <n v="202511"/>
    <x v="1"/>
    <x v="7"/>
    <s v="Fátima L"/>
    <s v="Fátima L"/>
    <n v="61161"/>
    <n v="968081"/>
    <n v="15.828312499999992"/>
    <n v="64737.796761738675"/>
    <n v="17"/>
    <n v="13.5"/>
    <n v="14.953875145966586"/>
    <n v="1088357"/>
  </r>
  <r>
    <x v="71"/>
    <n v="202404"/>
    <x v="2"/>
    <x v="9"/>
    <s v="Sebastián S"/>
    <s v="Rodolfo O"/>
    <n v="61154"/>
    <n v="3389244"/>
    <n v="55.421819444444445"/>
    <n v="0"/>
    <n v="53.5"/>
    <n v="54"/>
    <m/>
    <n v="0"/>
  </r>
  <r>
    <x v="75"/>
    <n v="202404"/>
    <x v="2"/>
    <x v="9"/>
    <s v="Hernán P"/>
    <s v="Daniel R"/>
    <n v="61123"/>
    <n v="1707532"/>
    <n v="27.935881944444443"/>
    <n v="0"/>
    <n v="31"/>
    <n v="27"/>
    <m/>
    <n v="0"/>
  </r>
  <r>
    <x v="93"/>
    <n v="202509"/>
    <x v="1"/>
    <x v="4"/>
    <s v="Hernán P"/>
    <s v="Daniel R"/>
    <n v="61096"/>
    <n v="2126028"/>
    <n v="34.798312499999987"/>
    <n v="58056.786087450106"/>
    <n v="45.5"/>
    <n v="42.5"/>
    <n v="36.619800944502757"/>
    <n v="2408983"/>
  </r>
  <r>
    <x v="89"/>
    <n v="202407"/>
    <x v="2"/>
    <x v="6"/>
    <s v="Sebastián S"/>
    <s v="Rodolfo O"/>
    <n v="61092"/>
    <n v="1982991"/>
    <n v="32.459112903225808"/>
    <n v="0"/>
    <n v="34"/>
    <n v="34"/>
    <m/>
    <n v="0"/>
  </r>
  <r>
    <x v="104"/>
    <n v="202603"/>
    <x v="0"/>
    <x v="0"/>
    <s v="Fátima L"/>
    <s v="Fátima L"/>
    <n v="61046"/>
    <n v="566105"/>
    <n v="9.2733534946236578"/>
    <n v="58583.964674689523"/>
    <n v="11"/>
    <n v="10"/>
    <n v="10.023956063077975"/>
    <n v="587243"/>
  </r>
  <r>
    <x v="89"/>
    <n v="202411"/>
    <x v="2"/>
    <x v="7"/>
    <s v="Sebastián S"/>
    <s v="Rodolfo O"/>
    <n v="61036"/>
    <n v="1767853"/>
    <n v="28.96425"/>
    <n v="0"/>
    <n v="34"/>
    <n v="34"/>
    <m/>
    <n v="0"/>
  </r>
  <r>
    <x v="42"/>
    <n v="202504"/>
    <x v="1"/>
    <x v="9"/>
    <s v="Hernán P"/>
    <s v="Daniel R"/>
    <n v="60971"/>
    <n v="1251344"/>
    <n v="20.523562500000008"/>
    <n v="47904.603429141003"/>
    <n v="22.5"/>
    <n v="21"/>
    <n v="26.121576642439983"/>
    <n v="877253"/>
  </r>
  <r>
    <x v="80"/>
    <n v="202604"/>
    <x v="0"/>
    <x v="9"/>
    <s v="Fátima L"/>
    <s v="Fátima L"/>
    <n v="60956"/>
    <n v="498743"/>
    <n v="8.1820763888888877"/>
    <n v="54492.477005236789"/>
    <n v="10"/>
    <n v="9"/>
    <n v="8.1521894564878892"/>
    <n v="444233"/>
  </r>
  <r>
    <x v="101"/>
    <n v="202402"/>
    <x v="2"/>
    <x v="2"/>
    <s v="Fátima L"/>
    <s v="Fátima L"/>
    <n v="60944"/>
    <n v="899897"/>
    <n v="14.766027298850577"/>
    <n v="0"/>
    <n v="13.5"/>
    <n v="14.5"/>
    <m/>
    <n v="0"/>
  </r>
  <r>
    <x v="80"/>
    <n v="202401"/>
    <x v="2"/>
    <x v="10"/>
    <s v="Fátima L"/>
    <s v="Fátima L"/>
    <n v="60910"/>
    <n v="548623"/>
    <n v="9.0071370967741942"/>
    <n v="0"/>
    <n v="10"/>
    <n v="9"/>
    <m/>
    <n v="0"/>
  </r>
  <r>
    <x v="38"/>
    <n v="202410"/>
    <x v="2"/>
    <x v="8"/>
    <s v="Sofía V"/>
    <s v="Melany A"/>
    <n v="60903"/>
    <n v="3183302"/>
    <n v="52.268124999999998"/>
    <n v="0"/>
    <n v="56"/>
    <n v="60"/>
    <m/>
    <n v="0"/>
  </r>
  <r>
    <x v="90"/>
    <n v="202402"/>
    <x v="2"/>
    <x v="2"/>
    <s v="Sebastián S"/>
    <s v="Vik E"/>
    <n v="60883"/>
    <n v="2892307"/>
    <n v="47.506264367816094"/>
    <n v="0"/>
    <n v="47.5"/>
    <n v="43"/>
    <m/>
    <n v="0"/>
  </r>
  <r>
    <x v="91"/>
    <n v="202411"/>
    <x v="2"/>
    <x v="7"/>
    <s v="Hernán P"/>
    <s v="Daniel R"/>
    <n v="60870"/>
    <n v="1157447"/>
    <n v="19.014916666666668"/>
    <n v="0"/>
    <n v="19"/>
    <n v="21.5"/>
    <m/>
    <n v="0"/>
  </r>
  <r>
    <x v="92"/>
    <n v="202506"/>
    <x v="1"/>
    <x v="11"/>
    <s v="Fátima L"/>
    <s v="Fátima L"/>
    <n v="60839"/>
    <n v="553282"/>
    <n v="9.0941666666666663"/>
    <n v="68505.811199402466"/>
    <n v="11.5"/>
    <n v="10"/>
    <n v="8.0764214059087873"/>
    <n v="639745"/>
  </r>
  <r>
    <x v="86"/>
    <n v="202508"/>
    <x v="1"/>
    <x v="5"/>
    <s v="Sebastián S"/>
    <s v="Vik E"/>
    <n v="60838"/>
    <n v="1825597"/>
    <n v="30.007654569892466"/>
    <n v="61475.135646099086"/>
    <n v="36"/>
    <n v="35"/>
    <n v="29.696502509723917"/>
    <n v="2064322"/>
  </r>
  <r>
    <x v="102"/>
    <n v="202603"/>
    <x v="0"/>
    <x v="0"/>
    <s v="Fátima L"/>
    <s v="Fátima L"/>
    <n v="60831"/>
    <n v="736031"/>
    <n v="12.099650537634407"/>
    <n v="75154.427411477256"/>
    <n v="11"/>
    <n v="12"/>
    <n v="10.653753026634384"/>
    <n v="800677"/>
  </r>
  <r>
    <x v="84"/>
    <n v="202509"/>
    <x v="1"/>
    <x v="4"/>
    <s v="Sofía V"/>
    <s v="Melany A"/>
    <n v="60805"/>
    <n v="2704834"/>
    <n v="44.483736111111121"/>
    <n v="65890.492023799947"/>
    <n v="52.5"/>
    <n v="52.5"/>
    <n v="41.050439402137137"/>
    <n v="3494292"/>
  </r>
  <r>
    <x v="96"/>
    <n v="202511"/>
    <x v="1"/>
    <x v="7"/>
    <s v="Fátima L"/>
    <s v="Fátima L"/>
    <n v="60801"/>
    <n v="599401"/>
    <n v="9.8583333333333343"/>
    <n v="62533.630136268599"/>
    <n v="11.5"/>
    <n v="10"/>
    <n v="9.5852578635500656"/>
    <n v="694560"/>
  </r>
  <r>
    <x v="99"/>
    <n v="202408"/>
    <x v="2"/>
    <x v="5"/>
    <s v="Hernán P"/>
    <s v="Daniel R"/>
    <n v="60797"/>
    <n v="3009584"/>
    <n v="49.502372311827941"/>
    <n v="0"/>
    <n v="53.5"/>
    <n v="51"/>
    <m/>
    <n v="0"/>
  </r>
  <r>
    <x v="94"/>
    <n v="202403"/>
    <x v="2"/>
    <x v="0"/>
    <s v="Hernán P"/>
    <s v="Daniel R"/>
    <n v="60788"/>
    <n v="2579412"/>
    <n v="42.432795698924721"/>
    <n v="0"/>
    <n v="33"/>
    <n v="31.5"/>
    <m/>
    <n v="0"/>
  </r>
  <r>
    <x v="100"/>
    <n v="202507"/>
    <x v="1"/>
    <x v="6"/>
    <s v="Hernán P"/>
    <s v="Daniel R"/>
    <n v="60774"/>
    <n v="2136099"/>
    <n v="35.148420698924753"/>
    <n v="61696.571245355146"/>
    <n v="41.5"/>
    <n v="43"/>
    <n v="34.622651905648929"/>
    <n v="2379109"/>
  </r>
  <r>
    <x v="100"/>
    <n v="202403"/>
    <x v="2"/>
    <x v="0"/>
    <s v="Hernán P"/>
    <s v="Daniel R"/>
    <n v="60767"/>
    <n v="2449737"/>
    <n v="40.313319892473103"/>
    <n v="0"/>
    <n v="41.5"/>
    <n v="43"/>
    <m/>
    <n v="0"/>
  </r>
  <r>
    <x v="75"/>
    <n v="202509"/>
    <x v="1"/>
    <x v="4"/>
    <s v="Hernán P"/>
    <s v="Daniel R"/>
    <n v="60736"/>
    <n v="1551267"/>
    <n v="25.541006944444447"/>
    <n v="66695.012886887402"/>
    <n v="31"/>
    <n v="27"/>
    <n v="23.259112980919557"/>
    <n v="1609700"/>
  </r>
  <r>
    <x v="89"/>
    <n v="202605"/>
    <x v="0"/>
    <x v="3"/>
    <s v="Sebastián S"/>
    <s v="Rodolfo O"/>
    <n v="60712"/>
    <n v="1858752"/>
    <n v="30.615779569892776"/>
    <n v="64398.840932948719"/>
    <n v="34"/>
    <n v="34"/>
    <n v="29.696606396863505"/>
    <n v="1912427"/>
  </r>
  <r>
    <x v="105"/>
    <n v="202506"/>
    <x v="1"/>
    <x v="11"/>
    <s v="María R"/>
    <s v="María R"/>
    <n v="60709"/>
    <n v="3244500"/>
    <n v="53.443541666666675"/>
    <n v="56747.713313363834"/>
    <n v="61.5"/>
    <n v="56"/>
    <n v="57.174115229695694"/>
    <n v="3426889"/>
  </r>
  <r>
    <x v="91"/>
    <n v="202502"/>
    <x v="1"/>
    <x v="2"/>
    <s v="Hernán P"/>
    <s v="Daniel R"/>
    <n v="60708"/>
    <n v="1170970"/>
    <n v="19.288697916666671"/>
    <n v="57366.020556004638"/>
    <n v="19"/>
    <n v="21.5"/>
    <n v="20.412263020001859"/>
    <n v="1141420"/>
  </r>
  <r>
    <x v="75"/>
    <n v="202510"/>
    <x v="1"/>
    <x v="8"/>
    <s v="Hernán P"/>
    <s v="Daniel R"/>
    <n v="60643"/>
    <n v="1547006"/>
    <n v="25.510060483870969"/>
    <n v="69331.199186136495"/>
    <n v="31"/>
    <n v="27"/>
    <n v="22.313273074170912"/>
    <n v="1684326"/>
  </r>
  <r>
    <x v="94"/>
    <n v="202412"/>
    <x v="2"/>
    <x v="1"/>
    <s v="Hernán P"/>
    <s v="Daniel R"/>
    <n v="60600"/>
    <n v="3137712"/>
    <n v="51.777184139784929"/>
    <n v="0"/>
    <n v="33"/>
    <n v="31.5"/>
    <m/>
    <n v="0"/>
  </r>
  <r>
    <x v="99"/>
    <n v="202510"/>
    <x v="1"/>
    <x v="8"/>
    <s v="Hernán P"/>
    <s v="Daniel R"/>
    <n v="60542"/>
    <n v="2859461"/>
    <n v="47.230665322580663"/>
    <n v="56823.434353153483"/>
    <n v="53.5"/>
    <n v="51"/>
    <n v="50.32186460657514"/>
    <n v="3261894"/>
  </r>
  <r>
    <x v="74"/>
    <n v="202407"/>
    <x v="2"/>
    <x v="6"/>
    <s v="Sebastián S"/>
    <s v="Rodolfo O"/>
    <n v="60476"/>
    <n v="1549399"/>
    <n v="25.619905913978496"/>
    <n v="0"/>
    <n v="27"/>
    <n v="27"/>
    <m/>
    <n v="0"/>
  </r>
  <r>
    <x v="92"/>
    <n v="202404"/>
    <x v="2"/>
    <x v="9"/>
    <s v="Fátima L"/>
    <s v="Fátima L"/>
    <n v="60475"/>
    <n v="585020"/>
    <n v="9.6738055555555569"/>
    <n v="0"/>
    <n v="11.5"/>
    <n v="10"/>
    <m/>
    <n v="0"/>
  </r>
  <r>
    <x v="80"/>
    <n v="202402"/>
    <x v="2"/>
    <x v="2"/>
    <s v="Fátima L"/>
    <s v="Fátima L"/>
    <n v="60466"/>
    <n v="531731"/>
    <n v="8.7938505747126445"/>
    <n v="0"/>
    <n v="10"/>
    <n v="9"/>
    <m/>
    <n v="0"/>
  </r>
  <r>
    <x v="84"/>
    <n v="202605"/>
    <x v="0"/>
    <x v="3"/>
    <s v="Sofía V"/>
    <s v="Melany A"/>
    <n v="60430"/>
    <n v="2837037"/>
    <n v="46.947278225807167"/>
    <n v="73265.106943532708"/>
    <n v="52.5"/>
    <n v="52.5"/>
    <n v="46.965208254619732"/>
    <n v="3440911"/>
  </r>
  <r>
    <x v="100"/>
    <n v="202406"/>
    <x v="2"/>
    <x v="11"/>
    <s v="Hernán P"/>
    <s v="Daniel R"/>
    <n v="60424"/>
    <n v="2273610"/>
    <n v="37.62733333333334"/>
    <n v="0"/>
    <n v="41.5"/>
    <n v="43"/>
    <m/>
    <n v="0"/>
  </r>
  <r>
    <x v="87"/>
    <n v="202502"/>
    <x v="1"/>
    <x v="2"/>
    <s v="Fátima L"/>
    <s v="Fátima L"/>
    <n v="60405"/>
    <n v="604072"/>
    <n v="10.000364583333333"/>
    <n v="81288.584684543413"/>
    <n v="11"/>
    <n v="11"/>
    <n v="7.4312028231789471"/>
    <n v="651006"/>
  </r>
  <r>
    <x v="91"/>
    <n v="202604"/>
    <x v="0"/>
    <x v="9"/>
    <s v="Hernán P"/>
    <s v="Daniel R"/>
    <n v="60380"/>
    <n v="1163569"/>
    <n v="19.270854166666687"/>
    <n v="62135.3623502513"/>
    <n v="19"/>
    <n v="21.5"/>
    <n v="17.464859694273773"/>
    <n v="1085185"/>
  </r>
  <r>
    <x v="106"/>
    <n v="202412"/>
    <x v="2"/>
    <x v="1"/>
    <s v="María R"/>
    <s v="María R"/>
    <n v="60376"/>
    <n v="3644203"/>
    <n v="60.358487903225779"/>
    <n v="0"/>
    <n v="64.5"/>
    <n v="61"/>
    <m/>
    <n v="0"/>
  </r>
  <r>
    <x v="95"/>
    <n v="202606"/>
    <x v="0"/>
    <x v="11"/>
    <s v="Fátima L"/>
    <s v="Fátima L"/>
    <n v="60341"/>
    <n v="335763"/>
    <n v="5.5644652777777779"/>
    <n v="44707.452040538046"/>
    <n v="8.5"/>
    <n v="6.5"/>
    <n v="7.4225653700663532"/>
    <n v="331844"/>
  </r>
  <r>
    <x v="86"/>
    <n v="202407"/>
    <x v="2"/>
    <x v="6"/>
    <s v="Sebastián S"/>
    <s v="Vik E"/>
    <n v="60335"/>
    <n v="2224938"/>
    <n v="36.876545698924723"/>
    <n v="0"/>
    <n v="36"/>
    <n v="35"/>
    <m/>
    <n v="0"/>
  </r>
  <r>
    <x v="109"/>
    <n v="202606"/>
    <x v="0"/>
    <x v="11"/>
    <s v="María R"/>
    <s v="María R"/>
    <n v="60188"/>
    <n v="2854550"/>
    <n v="47.427381944444448"/>
    <n v="55173.888862472057"/>
    <n v="59"/>
    <n v="50"/>
    <n v="50.48039166574727"/>
    <n v="2785200"/>
  </r>
  <r>
    <x v="81"/>
    <n v="202510"/>
    <x v="1"/>
    <x v="8"/>
    <s v="Fátima L"/>
    <s v="Fátima L"/>
    <n v="60123"/>
    <n v="674923"/>
    <n v="11.225779569892476"/>
    <n v="68349.184238919304"/>
    <n v="11.5"/>
    <n v="12"/>
    <n v="9.8746261204926942"/>
    <n v="877570"/>
  </r>
  <r>
    <x v="38"/>
    <n v="202411"/>
    <x v="2"/>
    <x v="7"/>
    <s v="Sofía V"/>
    <s v="Melany A"/>
    <n v="60107"/>
    <n v="3205105"/>
    <n v="53.322986111111121"/>
    <n v="0"/>
    <n v="56"/>
    <n v="60"/>
    <m/>
    <n v="0"/>
  </r>
  <r>
    <x v="103"/>
    <n v="202605"/>
    <x v="0"/>
    <x v="3"/>
    <s v="María R"/>
    <s v="María R"/>
    <n v="60097"/>
    <n v="3684960"/>
    <n v="61.317130376344778"/>
    <n v="62951.728929195699"/>
    <n v="66"/>
    <n v="65.5"/>
    <n v="58.116081161406527"/>
    <n v="3658508"/>
  </r>
  <r>
    <x v="99"/>
    <n v="202601"/>
    <x v="0"/>
    <x v="10"/>
    <s v="Hernán P"/>
    <s v="Daniel R"/>
    <n v="60076"/>
    <n v="2882492"/>
    <n v="47.981142473118261"/>
    <n v="70225.000016786071"/>
    <n v="53.5"/>
    <n v="51"/>
    <n v="45.515809558361951"/>
    <n v="3196348"/>
  </r>
  <r>
    <x v="103"/>
    <n v="202504"/>
    <x v="1"/>
    <x v="9"/>
    <s v="María R"/>
    <s v="María R"/>
    <n v="60075"/>
    <n v="3443434"/>
    <n v="57.319013888888904"/>
    <n v="58646.546651065684"/>
    <n v="66"/>
    <n v="65.5"/>
    <n v="58.715036206440104"/>
    <n v="3701498"/>
  </r>
  <r>
    <x v="93"/>
    <n v="202403"/>
    <x v="2"/>
    <x v="0"/>
    <s v="Hernán P"/>
    <s v="Daniel R"/>
    <n v="60042"/>
    <n v="2647640"/>
    <n v="44.096377688172048"/>
    <n v="0"/>
    <n v="45.5"/>
    <n v="42.5"/>
    <m/>
    <n v="0"/>
  </r>
  <r>
    <x v="93"/>
    <n v="202602"/>
    <x v="0"/>
    <x v="2"/>
    <s v="Hernán P"/>
    <s v="Daniel R"/>
    <n v="60036"/>
    <n v="2348347"/>
    <n v="39.115781249999998"/>
    <n v="61943.894607911039"/>
    <n v="45.5"/>
    <n v="42.5"/>
    <n v="36.981595266169094"/>
    <n v="2290784"/>
  </r>
  <r>
    <x v="80"/>
    <n v="202602"/>
    <x v="0"/>
    <x v="2"/>
    <s v="Fátima L"/>
    <s v="Fátima L"/>
    <n v="59966"/>
    <n v="465796"/>
    <n v="7.7676041666666658"/>
    <n v="59272.734187432936"/>
    <n v="10"/>
    <n v="9"/>
    <n v="8.1521894564878892"/>
    <n v="483203"/>
  </r>
  <r>
    <x v="77"/>
    <n v="202404"/>
    <x v="2"/>
    <x v="9"/>
    <s v="Fátima L"/>
    <s v="Fátima L"/>
    <n v="59962"/>
    <n v="1035652"/>
    <n v="17.271722222222227"/>
    <n v="0"/>
    <n v="17"/>
    <n v="13.5"/>
    <m/>
    <n v="0"/>
  </r>
  <r>
    <x v="109"/>
    <n v="202508"/>
    <x v="1"/>
    <x v="5"/>
    <s v="María R"/>
    <s v="María R"/>
    <n v="59858"/>
    <n v="2722294"/>
    <n v="45.479065860215066"/>
    <n v="58620.803417057978"/>
    <n v="59"/>
    <n v="50"/>
    <n v="46.439048960694457"/>
    <n v="2800998"/>
  </r>
  <r>
    <x v="96"/>
    <n v="202602"/>
    <x v="0"/>
    <x v="2"/>
    <s v="Fátima L"/>
    <s v="Fátima L"/>
    <n v="59849"/>
    <n v="603202"/>
    <n v="10.078645833333333"/>
    <n v="65449.887473983632"/>
    <n v="11.5"/>
    <n v="10"/>
    <n v="10.042294324207418"/>
    <n v="657267"/>
  </r>
  <r>
    <x v="104"/>
    <n v="202407"/>
    <x v="2"/>
    <x v="6"/>
    <s v="Fátima L"/>
    <s v="Fátima L"/>
    <n v="59839"/>
    <n v="556030"/>
    <n v="9.2921706989247337"/>
    <n v="0"/>
    <n v="11"/>
    <n v="10"/>
    <m/>
    <n v="0"/>
  </r>
  <r>
    <x v="89"/>
    <n v="202410"/>
    <x v="2"/>
    <x v="8"/>
    <s v="Sebastián S"/>
    <s v="Rodolfo O"/>
    <n v="59811"/>
    <n v="1670453"/>
    <n v="27.928635752688173"/>
    <n v="0"/>
    <n v="34"/>
    <n v="34"/>
    <m/>
    <n v="0"/>
  </r>
  <r>
    <x v="90"/>
    <n v="202510"/>
    <x v="1"/>
    <x v="8"/>
    <s v="Sebastián S"/>
    <s v="Vik E"/>
    <n v="59721"/>
    <n v="2176587"/>
    <n v="36.445725806451613"/>
    <n v="57906.933865138824"/>
    <n v="47.5"/>
    <n v="43"/>
    <n v="37.58767292133129"/>
    <n v="3009988"/>
  </r>
  <r>
    <x v="89"/>
    <n v="202601"/>
    <x v="0"/>
    <x v="10"/>
    <s v="Sebastián S"/>
    <s v="Rodolfo O"/>
    <n v="59721"/>
    <n v="1773812"/>
    <n v="29.701875000000001"/>
    <n v="60173.339347917317"/>
    <n v="34"/>
    <n v="34"/>
    <n v="29.696606396863505"/>
    <n v="1786944"/>
  </r>
  <r>
    <x v="98"/>
    <n v="202406"/>
    <x v="2"/>
    <x v="11"/>
    <s v="Hernán P"/>
    <s v="Daniel R"/>
    <n v="59710"/>
    <n v="5055235"/>
    <n v="84.66247222222222"/>
    <n v="0"/>
    <n v="87"/>
    <n v="77.5"/>
    <m/>
    <n v="0"/>
  </r>
  <r>
    <x v="80"/>
    <n v="202407"/>
    <x v="2"/>
    <x v="6"/>
    <s v="Fátima L"/>
    <s v="Fátima L"/>
    <n v="59702"/>
    <n v="568477"/>
    <n v="9.5218817204301107"/>
    <n v="0"/>
    <n v="10"/>
    <n v="9"/>
    <m/>
    <n v="0"/>
  </r>
  <r>
    <x v="87"/>
    <n v="202508"/>
    <x v="1"/>
    <x v="5"/>
    <s v="Fátima L"/>
    <s v="Fátima L"/>
    <n v="59672"/>
    <n v="636861"/>
    <n v="10.672647849462365"/>
    <n v="73233.051077736003"/>
    <n v="11"/>
    <n v="11"/>
    <n v="8.696358824705797"/>
    <n v="695471"/>
  </r>
  <r>
    <x v="80"/>
    <n v="202507"/>
    <x v="1"/>
    <x v="6"/>
    <s v="Fátima L"/>
    <s v="Fátima L"/>
    <n v="59665"/>
    <n v="485401"/>
    <n v="8.1354771505376355"/>
    <n v="62687.261827595743"/>
    <n v="10"/>
    <n v="9"/>
    <n v="7.7432216027390757"/>
    <n v="596164"/>
  </r>
  <r>
    <x v="103"/>
    <n v="202409"/>
    <x v="2"/>
    <x v="4"/>
    <s v="María R"/>
    <s v="María R"/>
    <n v="59659"/>
    <n v="3264239"/>
    <n v="54.715354166666678"/>
    <n v="0"/>
    <n v="66"/>
    <n v="65.5"/>
    <m/>
    <n v="0"/>
  </r>
  <r>
    <x v="42"/>
    <n v="202604"/>
    <x v="0"/>
    <x v="9"/>
    <s v="Hernán P"/>
    <s v="Daniel R"/>
    <n v="59602"/>
    <n v="1189667"/>
    <n v="19.960159722222286"/>
    <n v="65879.568889695642"/>
    <n v="22.5"/>
    <n v="21"/>
    <n v="19.647967156057994"/>
    <n v="1294400"/>
  </r>
  <r>
    <x v="91"/>
    <n v="202510"/>
    <x v="1"/>
    <x v="8"/>
    <s v="Hernán P"/>
    <s v="Daniel R"/>
    <n v="59589"/>
    <n v="1038126"/>
    <n v="17.421438172043004"/>
    <n v="65781.072873047713"/>
    <n v="19"/>
    <n v="21.5"/>
    <n v="15.781527796050105"/>
    <n v="1230484"/>
  </r>
  <r>
    <x v="86"/>
    <n v="202503"/>
    <x v="1"/>
    <x v="0"/>
    <s v="Sebastián S"/>
    <s v="Vik E"/>
    <n v="59576"/>
    <n v="2126697"/>
    <n v="35.697177419354837"/>
    <n v="65775.617360423843"/>
    <n v="36"/>
    <n v="35"/>
    <n v="32.332602951433493"/>
    <n v="2296305"/>
  </r>
  <r>
    <x v="96"/>
    <n v="202411"/>
    <x v="2"/>
    <x v="7"/>
    <s v="Fátima L"/>
    <s v="Fátima L"/>
    <n v="59556"/>
    <n v="607830"/>
    <n v="10.206048611111111"/>
    <n v="0"/>
    <n v="11.5"/>
    <n v="10"/>
    <m/>
    <n v="0"/>
  </r>
  <r>
    <x v="100"/>
    <n v="202605"/>
    <x v="0"/>
    <x v="3"/>
    <s v="Hernán P"/>
    <s v="Daniel R"/>
    <n v="59548"/>
    <n v="2207601"/>
    <n v="37.072903225806641"/>
    <n v="70019.471582744809"/>
    <n v="41.5"/>
    <n v="43"/>
    <n v="33.730466012000377"/>
    <n v="2361789"/>
  </r>
  <r>
    <x v="102"/>
    <n v="202604"/>
    <x v="0"/>
    <x v="9"/>
    <s v="Fátima L"/>
    <s v="Fátima L"/>
    <n v="59532"/>
    <n v="672313"/>
    <n v="11.293381944444421"/>
    <n v="65712.53362545454"/>
    <n v="11"/>
    <n v="12"/>
    <n v="10.653753026634384"/>
    <n v="700085"/>
  </r>
  <r>
    <x v="103"/>
    <n v="202410"/>
    <x v="2"/>
    <x v="8"/>
    <s v="María R"/>
    <s v="María R"/>
    <n v="59526"/>
    <n v="3204716"/>
    <n v="53.83724462365592"/>
    <n v="0"/>
    <n v="66"/>
    <n v="65.5"/>
    <m/>
    <n v="0"/>
  </r>
  <r>
    <x v="102"/>
    <n v="202409"/>
    <x v="2"/>
    <x v="4"/>
    <s v="Fátima L"/>
    <s v="Fátima L"/>
    <n v="59510"/>
    <n v="592436"/>
    <n v="9.9553124999999998"/>
    <n v="0"/>
    <n v="11"/>
    <n v="12"/>
    <m/>
    <n v="0"/>
  </r>
  <r>
    <x v="93"/>
    <n v="202407"/>
    <x v="2"/>
    <x v="6"/>
    <s v="Hernán P"/>
    <s v="Daniel R"/>
    <n v="59487"/>
    <n v="2421473"/>
    <n v="40.705752688172034"/>
    <n v="0"/>
    <n v="45.5"/>
    <n v="42.5"/>
    <m/>
    <n v="0"/>
  </r>
  <r>
    <x v="74"/>
    <n v="202408"/>
    <x v="2"/>
    <x v="5"/>
    <s v="Sebastián S"/>
    <s v="Rodolfo O"/>
    <n v="59486"/>
    <n v="1503568"/>
    <n v="25.276115591397847"/>
    <n v="0"/>
    <n v="27"/>
    <n v="27"/>
    <m/>
    <n v="0"/>
  </r>
  <r>
    <x v="107"/>
    <n v="202508"/>
    <x v="1"/>
    <x v="5"/>
    <s v="María R"/>
    <s v="María R"/>
    <n v="59472"/>
    <n v="2669829"/>
    <n v="44.89253360215055"/>
    <n v="53678.184174585687"/>
    <n v="57.5"/>
    <n v="57"/>
    <n v="49.737695323606872"/>
    <n v="2610554"/>
  </r>
  <r>
    <x v="86"/>
    <n v="202401"/>
    <x v="2"/>
    <x v="10"/>
    <s v="Sebastián S"/>
    <s v="Vik E"/>
    <n v="59388"/>
    <n v="2038209"/>
    <n v="34.320322580645168"/>
    <n v="0"/>
    <n v="36"/>
    <n v="35"/>
    <m/>
    <n v="0"/>
  </r>
  <r>
    <x v="0"/>
    <n v="202504"/>
    <x v="1"/>
    <x v="9"/>
    <s v="Fátima L"/>
    <s v="Fátima L"/>
    <n v="59339"/>
    <n v="1380007"/>
    <n v="23.256479166666665"/>
    <n v="70492.122266405466"/>
    <n v="13.5"/>
    <n v="12.5"/>
    <n v="19.576753197820398"/>
    <n v="879806"/>
  </r>
  <r>
    <x v="105"/>
    <n v="202403"/>
    <x v="2"/>
    <x v="0"/>
    <s v="María R"/>
    <s v="María R"/>
    <n v="59319"/>
    <n v="3422536"/>
    <n v="57.697452956989238"/>
    <n v="0"/>
    <n v="61.5"/>
    <n v="56"/>
    <m/>
    <n v="0"/>
  </r>
  <r>
    <x v="89"/>
    <n v="202504"/>
    <x v="1"/>
    <x v="9"/>
    <s v="Sebastián S"/>
    <s v="Rodolfo O"/>
    <n v="59310"/>
    <n v="1711418"/>
    <n v="28.855652777777784"/>
    <n v="56463.179922599709"/>
    <n v="34"/>
    <n v="34"/>
    <n v="30.310332722068225"/>
    <n v="1795569"/>
  </r>
  <r>
    <x v="99"/>
    <n v="202407"/>
    <x v="2"/>
    <x v="6"/>
    <s v="Hernán P"/>
    <s v="Daniel R"/>
    <n v="59307"/>
    <n v="2990369"/>
    <n v="50.421498655913972"/>
    <n v="0"/>
    <n v="53.5"/>
    <n v="51"/>
    <m/>
    <n v="0"/>
  </r>
  <r>
    <x v="89"/>
    <n v="202406"/>
    <x v="2"/>
    <x v="11"/>
    <s v="Sebastián S"/>
    <s v="Rodolfo O"/>
    <n v="59182"/>
    <n v="1782815"/>
    <n v="30.124500000000005"/>
    <n v="0"/>
    <n v="34"/>
    <n v="34"/>
    <m/>
    <n v="0"/>
  </r>
  <r>
    <x v="103"/>
    <n v="202408"/>
    <x v="2"/>
    <x v="5"/>
    <s v="María R"/>
    <s v="María R"/>
    <n v="59160"/>
    <n v="3476282"/>
    <n v="58.760766129032248"/>
    <n v="0"/>
    <n v="66"/>
    <n v="65.5"/>
    <m/>
    <n v="0"/>
  </r>
  <r>
    <x v="91"/>
    <n v="202401"/>
    <x v="2"/>
    <x v="10"/>
    <s v="Hernán P"/>
    <s v="Daniel R"/>
    <n v="59149"/>
    <n v="1132392"/>
    <n v="19.144576612903229"/>
    <n v="0"/>
    <n v="19"/>
    <n v="21.5"/>
    <m/>
    <n v="0"/>
  </r>
  <r>
    <x v="84"/>
    <n v="202602"/>
    <x v="0"/>
    <x v="2"/>
    <s v="Sofía V"/>
    <s v="Melany A"/>
    <n v="59138"/>
    <n v="2779834"/>
    <n v="47.005520833333321"/>
    <n v="66446.737071437019"/>
    <n v="52.5"/>
    <n v="52.5"/>
    <n v="46.965208254619732"/>
    <n v="3120685"/>
  </r>
  <r>
    <x v="91"/>
    <n v="202405"/>
    <x v="2"/>
    <x v="3"/>
    <s v="Hernán P"/>
    <s v="Daniel R"/>
    <n v="59129"/>
    <n v="1103857"/>
    <n v="18.668595430107523"/>
    <n v="0"/>
    <n v="19"/>
    <n v="21.5"/>
    <m/>
    <n v="0"/>
  </r>
  <r>
    <x v="90"/>
    <n v="202502"/>
    <x v="1"/>
    <x v="2"/>
    <s v="Sebastián S"/>
    <s v="Vik E"/>
    <n v="59116"/>
    <n v="2775224"/>
    <n v="46.945052083333316"/>
    <n v="63926.766446772293"/>
    <n v="47.5"/>
    <n v="43"/>
    <n v="43.412556809216227"/>
    <n v="2931971"/>
  </r>
  <r>
    <x v="87"/>
    <n v="202507"/>
    <x v="1"/>
    <x v="6"/>
    <s v="Fátima L"/>
    <s v="Fátima L"/>
    <n v="58964"/>
    <n v="631090"/>
    <n v="10.702896505376343"/>
    <n v="77401.883683630265"/>
    <n v="11"/>
    <n v="11"/>
    <n v="8.1534144902660692"/>
    <n v="723569"/>
  </r>
  <r>
    <x v="96"/>
    <n v="202407"/>
    <x v="2"/>
    <x v="6"/>
    <s v="Fátima L"/>
    <s v="Fátima L"/>
    <n v="58951"/>
    <n v="669280"/>
    <n v="11.353219086021506"/>
    <n v="0"/>
    <n v="11.5"/>
    <n v="10"/>
    <m/>
    <n v="0"/>
  </r>
  <r>
    <x v="103"/>
    <n v="202510"/>
    <x v="1"/>
    <x v="8"/>
    <s v="María R"/>
    <s v="María R"/>
    <n v="58945"/>
    <n v="3755725"/>
    <n v="63.716182795698955"/>
    <n v="62502.298567141974"/>
    <n v="66"/>
    <n v="65.5"/>
    <n v="60.089383848267282"/>
    <n v="3728861"/>
  </r>
  <r>
    <x v="60"/>
    <n v="202506"/>
    <x v="1"/>
    <x v="11"/>
    <s v="Sofía V"/>
    <s v="Melany A"/>
    <n v="58893"/>
    <n v="7651930"/>
    <n v="129.92870138888892"/>
    <n v="77987.955874729843"/>
    <n v="88.5"/>
    <n v="92.5"/>
    <n v="98.116811297004716"/>
    <n v="5962370"/>
  </r>
  <r>
    <x v="99"/>
    <n v="202504"/>
    <x v="1"/>
    <x v="9"/>
    <s v="Hernán P"/>
    <s v="Daniel R"/>
    <n v="58888"/>
    <n v="2990521"/>
    <n v="50.782958333333326"/>
    <n v="57351.307324359717"/>
    <n v="53.5"/>
    <n v="51"/>
    <n v="52.143899930416929"/>
    <n v="3196285"/>
  </r>
  <r>
    <x v="99"/>
    <n v="202406"/>
    <x v="2"/>
    <x v="11"/>
    <s v="Hernán P"/>
    <s v="Daniel R"/>
    <n v="58850"/>
    <n v="2987857"/>
    <n v="50.770368055555558"/>
    <n v="0"/>
    <n v="53.5"/>
    <n v="51"/>
    <m/>
    <n v="0"/>
  </r>
  <r>
    <x v="93"/>
    <n v="202502"/>
    <x v="1"/>
    <x v="2"/>
    <s v="Hernán P"/>
    <s v="Daniel R"/>
    <n v="58813"/>
    <n v="2174557"/>
    <n v="36.974322916666672"/>
    <n v="57768.367422201816"/>
    <n v="45.5"/>
    <n v="42.5"/>
    <n v="37.642696462359503"/>
    <n v="2245141"/>
  </r>
  <r>
    <x v="75"/>
    <n v="202601"/>
    <x v="0"/>
    <x v="10"/>
    <s v="Hernán P"/>
    <s v="Daniel R"/>
    <n v="58809"/>
    <n v="1535141"/>
    <n v="26.104025537634406"/>
    <n v="65497.882946665741"/>
    <n v="31"/>
    <n v="27"/>
    <n v="27.070532526124346"/>
    <n v="1773063"/>
  </r>
  <r>
    <x v="100"/>
    <n v="202405"/>
    <x v="2"/>
    <x v="3"/>
    <s v="Hernán P"/>
    <s v="Daniel R"/>
    <n v="58798"/>
    <n v="2318569"/>
    <n v="39.433004032258069"/>
    <n v="0"/>
    <n v="41.5"/>
    <n v="43"/>
    <m/>
    <n v="0"/>
  </r>
  <r>
    <x v="80"/>
    <n v="202511"/>
    <x v="1"/>
    <x v="7"/>
    <s v="Fátima L"/>
    <s v="Fátima L"/>
    <n v="58788"/>
    <n v="487732"/>
    <n v="8.2964097222222222"/>
    <n v="60043.768922203024"/>
    <n v="10"/>
    <n v="9"/>
    <n v="8.1229472892006633"/>
    <n v="580756"/>
  </r>
  <r>
    <x v="104"/>
    <n v="202408"/>
    <x v="2"/>
    <x v="5"/>
    <s v="Fátima L"/>
    <s v="Fátima L"/>
    <n v="58786"/>
    <n v="556845"/>
    <n v="9.4724395161290342"/>
    <n v="0"/>
    <n v="11"/>
    <n v="10"/>
    <m/>
    <n v="0"/>
  </r>
  <r>
    <x v="106"/>
    <n v="202601"/>
    <x v="0"/>
    <x v="10"/>
    <s v="María R"/>
    <s v="María R"/>
    <n v="58768"/>
    <n v="3274355"/>
    <n v="55.716518817204324"/>
    <n v="59287.666607148429"/>
    <n v="64.5"/>
    <n v="61"/>
    <n v="55.57085132952011"/>
    <n v="3294666"/>
  </r>
  <r>
    <x v="100"/>
    <n v="202407"/>
    <x v="2"/>
    <x v="6"/>
    <s v="Hernán P"/>
    <s v="Daniel R"/>
    <n v="58759"/>
    <n v="2267360"/>
    <n v="38.587688172043016"/>
    <n v="0"/>
    <n v="41.5"/>
    <n v="43"/>
    <m/>
    <n v="0"/>
  </r>
  <r>
    <x v="81"/>
    <n v="202509"/>
    <x v="1"/>
    <x v="4"/>
    <s v="Fátima L"/>
    <s v="Fátima L"/>
    <n v="58756"/>
    <n v="667524"/>
    <n v="11.360902777777778"/>
    <n v="68893.222491471795"/>
    <n v="11.5"/>
    <n v="12"/>
    <n v="9.6892597828854932"/>
    <n v="855400"/>
  </r>
  <r>
    <x v="96"/>
    <n v="202402"/>
    <x v="2"/>
    <x v="2"/>
    <s v="Fátima L"/>
    <s v="Fátima L"/>
    <n v="58745"/>
    <n v="671131"/>
    <n v="11.424482758620693"/>
    <n v="0"/>
    <n v="11.5"/>
    <n v="10"/>
    <m/>
    <n v="0"/>
  </r>
  <r>
    <x v="91"/>
    <n v="202409"/>
    <x v="2"/>
    <x v="4"/>
    <s v="Hernán P"/>
    <s v="Daniel R"/>
    <n v="58682"/>
    <n v="1066628"/>
    <n v="18.176326388888889"/>
    <n v="0"/>
    <n v="19"/>
    <n v="21.5"/>
    <m/>
    <n v="0"/>
  </r>
  <r>
    <x v="105"/>
    <n v="202606"/>
    <x v="0"/>
    <x v="11"/>
    <s v="María R"/>
    <s v="María R"/>
    <n v="58661"/>
    <n v="2920448"/>
    <n v="49.785458333333416"/>
    <m/>
    <n v="61.5"/>
    <n v="56"/>
    <m/>
    <n v="3350928"/>
  </r>
  <r>
    <x v="95"/>
    <n v="202512"/>
    <x v="1"/>
    <x v="1"/>
    <s v="Fátima L"/>
    <s v="Fátima L"/>
    <n v="58656"/>
    <n v="373185"/>
    <n v="6.3622849462365458"/>
    <n v="55796.735028354677"/>
    <n v="8.5"/>
    <n v="6.5"/>
    <n v="6.6882986936485711"/>
    <n v="396541"/>
  </r>
  <r>
    <x v="86"/>
    <n v="202504"/>
    <x v="1"/>
    <x v="9"/>
    <s v="Sebastián S"/>
    <s v="Vik E"/>
    <n v="58651"/>
    <n v="1919161"/>
    <n v="32.721888888888905"/>
    <n v="53630.960740027491"/>
    <n v="36"/>
    <n v="35"/>
    <n v="35.784578413633248"/>
    <n v="2026039"/>
  </r>
  <r>
    <x v="102"/>
    <n v="202605"/>
    <x v="0"/>
    <x v="3"/>
    <s v="Fátima L"/>
    <s v="Fátima L"/>
    <n v="58631"/>
    <n v="697767"/>
    <n v="11.900940860215069"/>
    <n v="65816.996399954543"/>
    <n v="11"/>
    <n v="12"/>
    <n v="10.653753026634384"/>
    <n v="701198"/>
  </r>
  <r>
    <x v="103"/>
    <n v="202602"/>
    <x v="0"/>
    <x v="2"/>
    <s v="María R"/>
    <s v="María R"/>
    <n v="58628"/>
    <n v="3462166"/>
    <n v="59.053124999999987"/>
    <n v="47730.289879594944"/>
    <n v="66"/>
    <n v="65.5"/>
    <n v="58.116081161406527"/>
    <n v="2773897"/>
  </r>
  <r>
    <x v="96"/>
    <n v="202505"/>
    <x v="1"/>
    <x v="3"/>
    <s v="Fátima L"/>
    <s v="Fátima L"/>
    <n v="58592"/>
    <n v="605059"/>
    <n v="10.326599462365593"/>
    <n v="57487.690511162029"/>
    <n v="11.5"/>
    <n v="10"/>
    <n v="10.525023785440109"/>
    <n v="674475"/>
  </r>
  <r>
    <x v="106"/>
    <n v="202501"/>
    <x v="1"/>
    <x v="10"/>
    <s v="María R"/>
    <s v="María R"/>
    <n v="58583"/>
    <n v="3197874"/>
    <n v="54.587016129032257"/>
    <n v="53493.039269444314"/>
    <n v="64.5"/>
    <n v="61"/>
    <n v="59.781130473673691"/>
    <n v="3002472"/>
  </r>
  <r>
    <x v="95"/>
    <n v="202409"/>
    <x v="2"/>
    <x v="4"/>
    <s v="Fátima L"/>
    <s v="Fátima L"/>
    <n v="58571"/>
    <n v="364024"/>
    <n v="6.2151250000000005"/>
    <n v="0"/>
    <n v="8.5"/>
    <n v="6.5"/>
    <m/>
    <n v="0"/>
  </r>
  <r>
    <x v="86"/>
    <n v="202408"/>
    <x v="2"/>
    <x v="5"/>
    <s v="Sebastián S"/>
    <s v="Vik E"/>
    <n v="58548"/>
    <n v="2007532"/>
    <n v="34.28880376344086"/>
    <n v="0"/>
    <n v="36"/>
    <n v="35"/>
    <m/>
    <n v="0"/>
  </r>
  <r>
    <x v="90"/>
    <n v="202409"/>
    <x v="2"/>
    <x v="4"/>
    <s v="Sebastián S"/>
    <s v="Vik E"/>
    <n v="58532"/>
    <n v="2482785"/>
    <n v="42.417666666666683"/>
    <n v="0"/>
    <n v="47.5"/>
    <n v="43"/>
    <m/>
    <n v="0"/>
  </r>
  <r>
    <x v="102"/>
    <n v="202407"/>
    <x v="2"/>
    <x v="6"/>
    <s v="Fátima L"/>
    <s v="Fátima L"/>
    <n v="58532"/>
    <n v="608138"/>
    <n v="10.389919354838712"/>
    <n v="0"/>
    <n v="11"/>
    <n v="12"/>
    <m/>
    <n v="0"/>
  </r>
  <r>
    <x v="100"/>
    <n v="202402"/>
    <x v="2"/>
    <x v="2"/>
    <s v="Hernán P"/>
    <s v="Daniel R"/>
    <n v="58529"/>
    <n v="2233159"/>
    <n v="38.154525862068986"/>
    <n v="0"/>
    <n v="41.5"/>
    <n v="43"/>
    <m/>
    <n v="0"/>
  </r>
  <r>
    <x v="80"/>
    <n v="202405"/>
    <x v="2"/>
    <x v="3"/>
    <s v="Fátima L"/>
    <s v="Fátima L"/>
    <n v="58460"/>
    <n v="544483"/>
    <n v="9.313716397849463"/>
    <n v="0"/>
    <n v="10"/>
    <n v="9"/>
    <m/>
    <n v="0"/>
  </r>
  <r>
    <x v="92"/>
    <n v="202502"/>
    <x v="1"/>
    <x v="2"/>
    <s v="Fátima L"/>
    <s v="Fátima L"/>
    <n v="58454"/>
    <n v="543513"/>
    <n v="9.2980729166666674"/>
    <n v="58570.610201847376"/>
    <n v="11.5"/>
    <n v="10"/>
    <n v="9.2796168270559889"/>
    <n v="575429"/>
  </r>
  <r>
    <x v="106"/>
    <n v="202508"/>
    <x v="1"/>
    <x v="5"/>
    <s v="María R"/>
    <s v="María R"/>
    <n v="58414"/>
    <n v="3195837"/>
    <n v="54.710409946236588"/>
    <n v="58034.33703917278"/>
    <n v="64.5"/>
    <n v="61"/>
    <n v="55.068037528245256"/>
    <n v="3227369"/>
  </r>
  <r>
    <x v="75"/>
    <n v="202501"/>
    <x v="1"/>
    <x v="10"/>
    <s v="Hernán P"/>
    <s v="Daniel R"/>
    <n v="58410"/>
    <n v="1570142"/>
    <n v="26.881176075268808"/>
    <n v="65964.487108396948"/>
    <n v="31"/>
    <n v="27"/>
    <n v="23.802832839734592"/>
    <n v="1569109"/>
  </r>
  <r>
    <x v="87"/>
    <n v="202511"/>
    <x v="1"/>
    <x v="7"/>
    <s v="Fátima L"/>
    <s v="Fátima L"/>
    <n v="58410"/>
    <n v="644661"/>
    <n v="11.036909722222218"/>
    <n v="82554.291258030789"/>
    <n v="11"/>
    <n v="11"/>
    <n v="7.8089309492713754"/>
    <n v="688718"/>
  </r>
  <r>
    <x v="101"/>
    <n v="202606"/>
    <x v="0"/>
    <x v="11"/>
    <s v="Fátima L"/>
    <s v="Fátima L"/>
    <n v="58340"/>
    <n v="862652"/>
    <n v="14.786624999999999"/>
    <n v="58760.527396708741"/>
    <n v="13.5"/>
    <n v="14.5"/>
    <n v="13.189776457714554"/>
    <n v="775038"/>
  </r>
  <r>
    <x v="99"/>
    <n v="202505"/>
    <x v="1"/>
    <x v="3"/>
    <s v="Hernán P"/>
    <s v="Daniel R"/>
    <n v="58337"/>
    <n v="2996508"/>
    <n v="51.365087365591386"/>
    <n v="58781.59644793794"/>
    <n v="53.5"/>
    <n v="51"/>
    <n v="50.976971383449346"/>
    <n v="3163356"/>
  </r>
  <r>
    <x v="91"/>
    <n v="202407"/>
    <x v="2"/>
    <x v="6"/>
    <s v="Hernán P"/>
    <s v="Daniel R"/>
    <n v="58317"/>
    <n v="1243210"/>
    <n v="21.317963709677418"/>
    <n v="0"/>
    <n v="19"/>
    <n v="21.5"/>
    <m/>
    <n v="0"/>
  </r>
  <r>
    <x v="91"/>
    <n v="202508"/>
    <x v="1"/>
    <x v="5"/>
    <s v="Hernán P"/>
    <s v="Daniel R"/>
    <n v="58305"/>
    <n v="1088181"/>
    <n v="18.663608870967739"/>
    <n v="65394.20270035346"/>
    <n v="19"/>
    <n v="21.5"/>
    <n v="16.640329800887969"/>
    <n v="1277129"/>
  </r>
  <r>
    <x v="99"/>
    <n v="202401"/>
    <x v="2"/>
    <x v="10"/>
    <s v="Hernán P"/>
    <s v="Daniel R"/>
    <n v="58243"/>
    <n v="3044318"/>
    <n v="52.268924731182764"/>
    <n v="0"/>
    <n v="53.5"/>
    <n v="51"/>
    <m/>
    <n v="0"/>
  </r>
  <r>
    <x v="80"/>
    <n v="202410"/>
    <x v="2"/>
    <x v="8"/>
    <s v="Fátima L"/>
    <s v="Fátima L"/>
    <n v="58176"/>
    <n v="510476"/>
    <n v="8.7747446236559163"/>
    <n v="0"/>
    <n v="10"/>
    <n v="9"/>
    <m/>
    <n v="0"/>
  </r>
  <r>
    <x v="103"/>
    <n v="202403"/>
    <x v="2"/>
    <x v="0"/>
    <s v="María R"/>
    <s v="María R"/>
    <n v="58165"/>
    <n v="3667681"/>
    <n v="63.056545698924744"/>
    <n v="0"/>
    <n v="66"/>
    <n v="65.5"/>
    <m/>
    <n v="0"/>
  </r>
  <r>
    <x v="92"/>
    <n v="202602"/>
    <x v="0"/>
    <x v="2"/>
    <s v="Fátima L"/>
    <s v="Fátima L"/>
    <n v="58155"/>
    <n v="565192"/>
    <n v="9.7188020833333333"/>
    <n v="58912.666368867169"/>
    <n v="11.5"/>
    <n v="10"/>
    <n v="10.042294324207418"/>
    <n v="591618"/>
  </r>
  <r>
    <x v="100"/>
    <n v="202404"/>
    <x v="2"/>
    <x v="9"/>
    <s v="Hernán P"/>
    <s v="Daniel R"/>
    <n v="58137"/>
    <n v="2294310"/>
    <n v="39.463958333333331"/>
    <n v="0"/>
    <n v="41.5"/>
    <n v="43"/>
    <m/>
    <n v="0"/>
  </r>
  <r>
    <x v="81"/>
    <n v="202602"/>
    <x v="0"/>
    <x v="2"/>
    <s v="Fátima L"/>
    <s v="Fátima L"/>
    <n v="58115"/>
    <n v="655011"/>
    <n v="11.270937499999999"/>
    <n v="75343.304495281816"/>
    <n v="11.5"/>
    <n v="12"/>
    <n v="10.04229432420742"/>
    <n v="756620"/>
  </r>
  <r>
    <x v="86"/>
    <n v="202603"/>
    <x v="0"/>
    <x v="0"/>
    <s v="Sebastián S"/>
    <s v="Vik E"/>
    <n v="58101"/>
    <n v="2126605"/>
    <n v="36.601673387096767"/>
    <n v="68357.87186025118"/>
    <n v="36"/>
    <n v="35"/>
    <n v="31.443465596679005"/>
    <n v="2149408"/>
  </r>
  <r>
    <x v="100"/>
    <n v="202506"/>
    <x v="1"/>
    <x v="11"/>
    <s v="Hernán P"/>
    <s v="Daniel R"/>
    <n v="58100"/>
    <n v="2162608"/>
    <n v="37.222159722222237"/>
    <n v="63445.652920749097"/>
    <n v="41.5"/>
    <n v="43"/>
    <n v="34.085991245158212"/>
    <n v="2374343"/>
  </r>
  <r>
    <x v="93"/>
    <n v="202501"/>
    <x v="1"/>
    <x v="10"/>
    <s v="Hernán P"/>
    <s v="Daniel R"/>
    <n v="58094"/>
    <n v="2225295"/>
    <n v="38.304818548387104"/>
    <n v="59781.538471576852"/>
    <n v="45.5"/>
    <n v="42.5"/>
    <n v="37.223783744843189"/>
    <n v="2397517"/>
  </r>
  <r>
    <x v="90"/>
    <n v="202504"/>
    <x v="1"/>
    <x v="9"/>
    <s v="Sebastián S"/>
    <s v="Vik E"/>
    <n v="58050"/>
    <n v="2649130"/>
    <n v="45.635041666666659"/>
    <n v="57290.172052808164"/>
    <n v="47.5"/>
    <n v="43"/>
    <n v="46.240569282251769"/>
    <n v="3155897"/>
  </r>
  <r>
    <x v="103"/>
    <n v="202501"/>
    <x v="1"/>
    <x v="10"/>
    <s v="María R"/>
    <s v="María R"/>
    <n v="57965"/>
    <n v="3307978"/>
    <n v="57.068393817204317"/>
    <n v="59840.638207872966"/>
    <n v="66"/>
    <n v="65.5"/>
    <n v="55.279793114986937"/>
    <n v="3540031"/>
  </r>
  <r>
    <x v="92"/>
    <n v="202601"/>
    <x v="0"/>
    <x v="10"/>
    <s v="Fátima L"/>
    <s v="Fátima L"/>
    <n v="57948"/>
    <n v="582226"/>
    <n v="10.047399193548388"/>
    <n v="64228.781300024944"/>
    <n v="11.5"/>
    <n v="10"/>
    <n v="10.042294324207418"/>
    <n v="645004"/>
  </r>
  <r>
    <x v="102"/>
    <n v="202411"/>
    <x v="2"/>
    <x v="7"/>
    <s v="Fátima L"/>
    <s v="Fátima L"/>
    <n v="57942"/>
    <n v="591405"/>
    <n v="10.20682638888889"/>
    <n v="0"/>
    <n v="11"/>
    <n v="12"/>
    <m/>
    <n v="0"/>
  </r>
  <r>
    <x v="100"/>
    <n v="202509"/>
    <x v="1"/>
    <x v="4"/>
    <s v="Hernán P"/>
    <s v="Daniel R"/>
    <n v="57836"/>
    <n v="2057836"/>
    <n v="35.580513888888895"/>
    <n v="67847.081992609921"/>
    <n v="41.5"/>
    <n v="43"/>
    <n v="30.330507658739762"/>
    <n v="2402330"/>
  </r>
  <r>
    <x v="94"/>
    <n v="202410"/>
    <x v="2"/>
    <x v="8"/>
    <s v="Hernán P"/>
    <s v="Daniel R"/>
    <n v="57821"/>
    <n v="2389872"/>
    <n v="41.3323185483871"/>
    <n v="0"/>
    <n v="33"/>
    <n v="31.5"/>
    <m/>
    <n v="0"/>
  </r>
  <r>
    <x v="90"/>
    <n v="202501"/>
    <x v="1"/>
    <x v="10"/>
    <s v="Sebastián S"/>
    <s v="Vik E"/>
    <n v="57805"/>
    <n v="2496107"/>
    <n v="43.181814516129037"/>
    <n v="59437.46708346637"/>
    <n v="47.5"/>
    <n v="43"/>
    <n v="41.995519534753825"/>
    <n v="2731123"/>
  </r>
  <r>
    <x v="103"/>
    <n v="202507"/>
    <x v="1"/>
    <x v="6"/>
    <s v="María R"/>
    <s v="María R"/>
    <n v="57783"/>
    <n v="3540284"/>
    <n v="61.268770161290341"/>
    <n v="60379.600810782933"/>
    <n v="66"/>
    <n v="65.5"/>
    <n v="58.633775852452402"/>
    <n v="3598882"/>
  </r>
  <r>
    <x v="93"/>
    <n v="202507"/>
    <x v="1"/>
    <x v="6"/>
    <s v="Hernán P"/>
    <s v="Daniel R"/>
    <n v="57772"/>
    <n v="2359337"/>
    <n v="40.838743279569897"/>
    <n v="62461.597368737355"/>
    <n v="45.5"/>
    <n v="42.5"/>
    <n v="37.772602837417537"/>
    <n v="2529845"/>
  </r>
  <r>
    <x v="92"/>
    <n v="202408"/>
    <x v="2"/>
    <x v="5"/>
    <s v="Fátima L"/>
    <s v="Fátima L"/>
    <n v="57758"/>
    <n v="633258"/>
    <n v="10.963891129032261"/>
    <n v="0"/>
    <n v="11.5"/>
    <n v="10"/>
    <m/>
    <n v="0"/>
  </r>
  <r>
    <x v="95"/>
    <n v="202511"/>
    <x v="1"/>
    <x v="7"/>
    <s v="Fátima L"/>
    <s v="Fátima L"/>
    <n v="57730"/>
    <n v="317345"/>
    <n v="5.4970902777777795"/>
    <n v="55898.895761410873"/>
    <n v="8.5"/>
    <n v="6.5"/>
    <n v="5.6771239516877046"/>
    <n v="342071"/>
  </r>
  <r>
    <x v="75"/>
    <n v="202506"/>
    <x v="1"/>
    <x v="11"/>
    <s v="Hernán P"/>
    <s v="Daniel R"/>
    <n v="57724"/>
    <n v="1568156"/>
    <n v="27.166562500000015"/>
    <n v="68886.849868990525"/>
    <n v="31"/>
    <n v="27"/>
    <n v="22.764225581258678"/>
    <n v="1473350"/>
  </r>
  <r>
    <x v="93"/>
    <n v="202505"/>
    <x v="1"/>
    <x v="3"/>
    <s v="Hernán P"/>
    <s v="Daniel R"/>
    <n v="57701"/>
    <n v="2363562"/>
    <n v="40.962137096774178"/>
    <n v="51308.0762759996"/>
    <n v="45.5"/>
    <n v="42.5"/>
    <n v="46.066089425878644"/>
    <n v="2133699"/>
  </r>
  <r>
    <x v="94"/>
    <n v="202407"/>
    <x v="2"/>
    <x v="6"/>
    <s v="Hernán P"/>
    <s v="Daniel R"/>
    <n v="57699"/>
    <n v="2389532"/>
    <n v="41.413514784946237"/>
    <n v="0"/>
    <n v="33"/>
    <n v="31.5"/>
    <m/>
    <n v="0"/>
  </r>
  <r>
    <x v="100"/>
    <n v="202601"/>
    <x v="0"/>
    <x v="10"/>
    <s v="Hernán P"/>
    <s v="Daniel R"/>
    <n v="57667"/>
    <n v="2001640"/>
    <n v="34.710450268817205"/>
    <n v="70583.081006143722"/>
    <n v="41.5"/>
    <n v="43"/>
    <n v="33.730466012000377"/>
    <n v="2380800"/>
  </r>
  <r>
    <x v="86"/>
    <n v="202501"/>
    <x v="1"/>
    <x v="10"/>
    <s v="Sebastián S"/>
    <s v="Vik E"/>
    <n v="57665"/>
    <n v="1825356"/>
    <n v="31.654301075268826"/>
    <n v="62357.203358773586"/>
    <n v="36"/>
    <n v="35"/>
    <n v="29.272569032606786"/>
    <n v="1953570"/>
  </r>
  <r>
    <x v="106"/>
    <n v="202502"/>
    <x v="1"/>
    <x v="2"/>
    <s v="María R"/>
    <s v="María R"/>
    <n v="57658"/>
    <n v="3045628"/>
    <n v="52.822239583333342"/>
    <n v="51222.101577207774"/>
    <n v="64.5"/>
    <n v="61"/>
    <n v="59.459259503620387"/>
    <n v="2907850"/>
  </r>
  <r>
    <x v="102"/>
    <n v="202606"/>
    <x v="0"/>
    <x v="11"/>
    <s v="Fátima L"/>
    <s v="Fátima L"/>
    <n v="57650"/>
    <n v="661304"/>
    <n v="11.471006944444442"/>
    <n v="61182.246666545434"/>
    <n v="11"/>
    <n v="12"/>
    <n v="10.653753026634384"/>
    <n v="651821"/>
  </r>
  <r>
    <x v="101"/>
    <n v="202410"/>
    <x v="2"/>
    <x v="8"/>
    <s v="Fátima L"/>
    <s v="Fátima L"/>
    <n v="57637"/>
    <n v="786738"/>
    <n v="13.649905913978499"/>
    <n v="0"/>
    <n v="13.5"/>
    <n v="14.5"/>
    <m/>
    <n v="0"/>
  </r>
  <r>
    <x v="86"/>
    <n v="202601"/>
    <x v="0"/>
    <x v="10"/>
    <s v="Sebastián S"/>
    <s v="Vik E"/>
    <n v="57623"/>
    <n v="1886916"/>
    <n v="32.745651881720427"/>
    <n v="58637.478888291967"/>
    <n v="36"/>
    <n v="35"/>
    <n v="31.443465596679005"/>
    <n v="1843766"/>
  </r>
  <r>
    <x v="92"/>
    <n v="202509"/>
    <x v="1"/>
    <x v="4"/>
    <s v="Fátima L"/>
    <s v="Fátima L"/>
    <n v="57612"/>
    <n v="558835"/>
    <n v="9.7000555555555543"/>
    <n v="60302.037870425396"/>
    <n v="11.5"/>
    <n v="10"/>
    <n v="9.2672667414789931"/>
    <n v="646275"/>
  </r>
  <r>
    <x v="0"/>
    <n v="202411"/>
    <x v="2"/>
    <x v="7"/>
    <s v="Fátima L"/>
    <s v="Fátima L"/>
    <n v="57585"/>
    <n v="768126"/>
    <n v="13.33898611111111"/>
    <n v="0"/>
    <n v="13.5"/>
    <n v="12.5"/>
    <m/>
    <n v="0"/>
  </r>
  <r>
    <x v="96"/>
    <n v="202404"/>
    <x v="2"/>
    <x v="9"/>
    <s v="Fátima L"/>
    <s v="Fátima L"/>
    <n v="57584"/>
    <n v="627401"/>
    <n v="10.895354166666673"/>
    <n v="0"/>
    <n v="11.5"/>
    <n v="10"/>
    <m/>
    <n v="0"/>
  </r>
  <r>
    <x v="105"/>
    <n v="202502"/>
    <x v="1"/>
    <x v="2"/>
    <s v="María R"/>
    <s v="María R"/>
    <n v="57575"/>
    <n v="3074727"/>
    <n v="53.403906249999999"/>
    <n v="56950.110791693412"/>
    <n v="61.5"/>
    <n v="56"/>
    <n v="53.989835441171287"/>
    <n v="2973673"/>
  </r>
  <r>
    <x v="105"/>
    <n v="202408"/>
    <x v="2"/>
    <x v="5"/>
    <s v="María R"/>
    <s v="María R"/>
    <n v="57548"/>
    <n v="3256744"/>
    <n v="56.591989247311844"/>
    <n v="0"/>
    <n v="61.5"/>
    <n v="56"/>
    <m/>
    <n v="0"/>
  </r>
  <r>
    <x v="96"/>
    <n v="202409"/>
    <x v="2"/>
    <x v="4"/>
    <s v="Fátima L"/>
    <s v="Fátima L"/>
    <n v="57516"/>
    <n v="595987"/>
    <n v="10.362041666666668"/>
    <n v="0"/>
    <n v="11.5"/>
    <n v="10"/>
    <m/>
    <n v="0"/>
  </r>
  <r>
    <x v="103"/>
    <n v="202407"/>
    <x v="2"/>
    <x v="6"/>
    <s v="María R"/>
    <s v="María R"/>
    <n v="57504"/>
    <n v="3383213"/>
    <n v="58.834012096774202"/>
    <n v="0"/>
    <n v="66"/>
    <n v="65.5"/>
    <m/>
    <n v="0"/>
  </r>
  <r>
    <x v="75"/>
    <n v="202504"/>
    <x v="1"/>
    <x v="9"/>
    <s v="Hernán P"/>
    <s v="Daniel R"/>
    <n v="57456"/>
    <n v="1540390"/>
    <n v="26.809854166666668"/>
    <n v="64179.430689373774"/>
    <n v="31"/>
    <n v="27"/>
    <n v="24.001305612314241"/>
    <n v="1479918"/>
  </r>
  <r>
    <x v="90"/>
    <n v="202509"/>
    <x v="1"/>
    <x v="4"/>
    <s v="Sebastián S"/>
    <s v="Vik E"/>
    <n v="57431"/>
    <n v="2098240"/>
    <n v="36.534652777777779"/>
    <n v="61458.45580064907"/>
    <n v="47.5"/>
    <n v="43"/>
    <n v="34.140783276527429"/>
    <n v="2940499"/>
  </r>
  <r>
    <x v="92"/>
    <n v="202409"/>
    <x v="2"/>
    <x v="4"/>
    <s v="Fátima L"/>
    <s v="Fátima L"/>
    <n v="57431"/>
    <n v="591814"/>
    <n v="10.304875000000003"/>
    <n v="0"/>
    <n v="11.5"/>
    <n v="10"/>
    <m/>
    <n v="0"/>
  </r>
  <r>
    <x v="94"/>
    <n v="202401"/>
    <x v="2"/>
    <x v="10"/>
    <s v="Hernán P"/>
    <s v="Daniel R"/>
    <n v="57397"/>
    <n v="2468942"/>
    <n v="43.014811827956983"/>
    <n v="0"/>
    <n v="33"/>
    <n v="31.5"/>
    <m/>
    <n v="0"/>
  </r>
  <r>
    <x v="106"/>
    <n v="202512"/>
    <x v="1"/>
    <x v="1"/>
    <s v="María R"/>
    <s v="María R"/>
    <n v="57372"/>
    <n v="3697500"/>
    <n v="64.448172043010715"/>
    <n v="63394.784593261858"/>
    <n v="64.5"/>
    <n v="61"/>
    <n v="58.324990828867044"/>
    <n v="3620998"/>
  </r>
  <r>
    <x v="103"/>
    <n v="202406"/>
    <x v="2"/>
    <x v="11"/>
    <s v="María R"/>
    <s v="María R"/>
    <n v="57347"/>
    <n v="3479178"/>
    <n v="60.668368055555575"/>
    <n v="0"/>
    <n v="66"/>
    <n v="65.5"/>
    <m/>
    <n v="0"/>
  </r>
  <r>
    <x v="98"/>
    <n v="202407"/>
    <x v="2"/>
    <x v="6"/>
    <s v="Hernán P"/>
    <s v="Daniel R"/>
    <n v="57345"/>
    <n v="4910168"/>
    <n v="85.62533602150539"/>
    <n v="0"/>
    <n v="87"/>
    <n v="77.5"/>
    <m/>
    <n v="0"/>
  </r>
  <r>
    <x v="91"/>
    <n v="202507"/>
    <x v="1"/>
    <x v="6"/>
    <s v="Hernán P"/>
    <s v="Daniel R"/>
    <n v="57323"/>
    <n v="1123763"/>
    <n v="19.604045698924729"/>
    <n v="61233.361275843563"/>
    <n v="19"/>
    <n v="21.5"/>
    <n v="18.352132507272994"/>
    <n v="1307076"/>
  </r>
  <r>
    <x v="109"/>
    <n v="202605"/>
    <x v="0"/>
    <x v="3"/>
    <s v="María R"/>
    <s v="María R"/>
    <n v="57323"/>
    <n v="2782428"/>
    <n v="48.539684139785329"/>
    <n v="57934.110457474933"/>
    <n v="59"/>
    <n v="50"/>
    <n v="50.48039166574727"/>
    <n v="2924537"/>
  </r>
  <r>
    <x v="74"/>
    <n v="202509"/>
    <x v="1"/>
    <x v="4"/>
    <s v="Sebastián S"/>
    <s v="Rodolfo O"/>
    <n v="57292"/>
    <n v="1261697"/>
    <n v="22.022340277777776"/>
    <n v="57280.493263868462"/>
    <n v="27"/>
    <n v="27"/>
    <n v="22.026649354918465"/>
    <n v="1428697"/>
  </r>
  <r>
    <x v="94"/>
    <n v="202405"/>
    <x v="2"/>
    <x v="3"/>
    <s v="Hernán P"/>
    <s v="Daniel R"/>
    <n v="57270"/>
    <n v="2437681"/>
    <n v="42.564469086021496"/>
    <n v="0"/>
    <n v="33"/>
    <n v="31.5"/>
    <m/>
    <n v="0"/>
  </r>
  <r>
    <x v="86"/>
    <n v="202510"/>
    <x v="1"/>
    <x v="8"/>
    <s v="Sebastián S"/>
    <s v="Vik E"/>
    <n v="57244"/>
    <n v="1774260"/>
    <n v="30.99456989247312"/>
    <n v="57333.367490909863"/>
    <n v="36"/>
    <n v="35"/>
    <n v="30.946383365346659"/>
    <n v="2036866"/>
  </r>
  <r>
    <x v="80"/>
    <n v="202411"/>
    <x v="2"/>
    <x v="7"/>
    <s v="Fátima L"/>
    <s v="Fátima L"/>
    <n v="57185"/>
    <n v="474693"/>
    <n v="8.3010763888888892"/>
    <n v="0"/>
    <n v="10"/>
    <n v="9"/>
    <m/>
    <n v="0"/>
  </r>
  <r>
    <x v="87"/>
    <n v="202506"/>
    <x v="1"/>
    <x v="11"/>
    <s v="Fátima L"/>
    <s v="Fátima L"/>
    <n v="57155"/>
    <n v="600190"/>
    <n v="10.501166666666666"/>
    <n v="77970.734860945566"/>
    <n v="11"/>
    <n v="11"/>
    <n v="7.6976252830037941"/>
    <n v="700311"/>
  </r>
  <r>
    <x v="80"/>
    <n v="202406"/>
    <x v="2"/>
    <x v="11"/>
    <s v="Fátima L"/>
    <s v="Fátima L"/>
    <n v="57124"/>
    <n v="515248"/>
    <n v="9.019840277777778"/>
    <n v="0"/>
    <n v="10"/>
    <n v="9"/>
    <m/>
    <n v="0"/>
  </r>
  <r>
    <x v="104"/>
    <n v="202511"/>
    <x v="1"/>
    <x v="7"/>
    <s v="Fátima L"/>
    <s v="Fátima L"/>
    <n v="57114"/>
    <n v="516147"/>
    <n v="9.0371944444444452"/>
    <n v="66759.350192462633"/>
    <n v="11"/>
    <n v="10"/>
    <n v="7.7314503288600731"/>
    <n v="535291"/>
  </r>
  <r>
    <x v="96"/>
    <n v="202604"/>
    <x v="0"/>
    <x v="9"/>
    <s v="Fátima L"/>
    <s v="Fátima L"/>
    <n v="57072"/>
    <n v="636295"/>
    <n v="11.149006944444443"/>
    <n v="59235.841919714811"/>
    <n v="11.5"/>
    <n v="10"/>
    <n v="10.042294324207418"/>
    <n v="594864"/>
  </r>
  <r>
    <x v="98"/>
    <n v="202502"/>
    <x v="1"/>
    <x v="2"/>
    <s v="Hernán P"/>
    <s v="Daniel R"/>
    <n v="57065"/>
    <n v="4473828"/>
    <n v="78.39947916666668"/>
    <n v="66711.246981130709"/>
    <n v="87"/>
    <n v="77.5"/>
    <n v="67.062578537400498"/>
    <n v="4829260"/>
  </r>
  <r>
    <x v="104"/>
    <n v="202410"/>
    <x v="2"/>
    <x v="8"/>
    <s v="Fátima L"/>
    <s v="Fátima L"/>
    <n v="57039"/>
    <n v="553456"/>
    <n v="9.7030913978494642"/>
    <n v="0"/>
    <n v="11"/>
    <n v="10"/>
    <m/>
    <n v="0"/>
  </r>
  <r>
    <x v="100"/>
    <n v="202606"/>
    <x v="0"/>
    <x v="11"/>
    <s v="Hernán P"/>
    <s v="Daniel R"/>
    <n v="57038"/>
    <n v="2119703"/>
    <n v="37.16309722222217"/>
    <n v="68114.52959121883"/>
    <n v="41.5"/>
    <n v="43"/>
    <n v="33.730466012000377"/>
    <n v="2297535"/>
  </r>
  <r>
    <x v="103"/>
    <n v="202401"/>
    <x v="2"/>
    <x v="10"/>
    <s v="María R"/>
    <s v="María R"/>
    <n v="56991"/>
    <n v="3349856"/>
    <n v="58.778595430107529"/>
    <n v="0"/>
    <n v="66"/>
    <n v="65.5"/>
    <m/>
    <n v="0"/>
  </r>
  <r>
    <x v="96"/>
    <n v="202501"/>
    <x v="1"/>
    <x v="10"/>
    <s v="Fátima L"/>
    <s v="Fátima L"/>
    <n v="56982"/>
    <n v="634784"/>
    <n v="11.140020161290323"/>
    <n v="71671.405013665382"/>
    <n v="11.5"/>
    <n v="10"/>
    <n v="8.8568678105161656"/>
    <n v="734107"/>
  </r>
  <r>
    <x v="104"/>
    <n v="202405"/>
    <x v="2"/>
    <x v="3"/>
    <s v="Fátima L"/>
    <s v="Fátima L"/>
    <n v="56982"/>
    <n v="532477"/>
    <n v="9.3447177419354865"/>
    <n v="0"/>
    <n v="11"/>
    <n v="10"/>
    <m/>
    <n v="0"/>
  </r>
  <r>
    <x v="105"/>
    <n v="202411"/>
    <x v="2"/>
    <x v="7"/>
    <s v="María R"/>
    <s v="María R"/>
    <n v="56979"/>
    <n v="3297572"/>
    <n v="57.872986111111082"/>
    <n v="0"/>
    <n v="61.5"/>
    <n v="56"/>
    <m/>
    <n v="0"/>
  </r>
  <r>
    <x v="77"/>
    <n v="202402"/>
    <x v="2"/>
    <x v="2"/>
    <s v="Fátima L"/>
    <s v="Fátima L"/>
    <n v="56966"/>
    <n v="1018333"/>
    <n v="17.876048850574712"/>
    <n v="0"/>
    <n v="17"/>
    <n v="13.5"/>
    <m/>
    <n v="0"/>
  </r>
  <r>
    <x v="93"/>
    <n v="202401"/>
    <x v="2"/>
    <x v="10"/>
    <s v="Hernán P"/>
    <s v="Daniel R"/>
    <n v="56935"/>
    <n v="2331547"/>
    <n v="40.951176075268812"/>
    <n v="0"/>
    <n v="45.5"/>
    <n v="42.5"/>
    <m/>
    <n v="0"/>
  </r>
  <r>
    <x v="105"/>
    <n v="202401"/>
    <x v="2"/>
    <x v="10"/>
    <s v="María R"/>
    <s v="María R"/>
    <n v="56917"/>
    <n v="3156556"/>
    <n v="55.459193548387105"/>
    <n v="0"/>
    <n v="61.5"/>
    <n v="56"/>
    <m/>
    <n v="0"/>
  </r>
  <r>
    <x v="80"/>
    <n v="202404"/>
    <x v="2"/>
    <x v="9"/>
    <s v="Fátima L"/>
    <s v="Fátima L"/>
    <n v="56893"/>
    <n v="518613"/>
    <n v="9.1156041666666656"/>
    <n v="0"/>
    <n v="10"/>
    <n v="9"/>
    <m/>
    <n v="0"/>
  </r>
  <r>
    <x v="106"/>
    <n v="202605"/>
    <x v="0"/>
    <x v="3"/>
    <s v="María R"/>
    <s v="María R"/>
    <n v="56854"/>
    <n v="3379480"/>
    <n v="59.441713709677479"/>
    <n v="59289.774383027303"/>
    <n v="64.5"/>
    <n v="61"/>
    <n v="55.57085132952011"/>
    <n v="3294783"/>
  </r>
  <r>
    <x v="89"/>
    <n v="202606"/>
    <x v="0"/>
    <x v="11"/>
    <s v="Sebastián S"/>
    <s v="Rodolfo O"/>
    <n v="56831"/>
    <n v="1748913"/>
    <n v="30.773847222222102"/>
    <n v="57016.047438970345"/>
    <n v="34"/>
    <n v="34"/>
    <n v="29.696606396863505"/>
    <n v="1693183"/>
  </r>
  <r>
    <x v="94"/>
    <n v="202406"/>
    <x v="2"/>
    <x v="11"/>
    <s v="Hernán P"/>
    <s v="Daniel R"/>
    <n v="56817"/>
    <n v="2385451"/>
    <n v="41.984444444444456"/>
    <n v="0"/>
    <n v="33"/>
    <n v="31.5"/>
    <m/>
    <n v="0"/>
  </r>
  <r>
    <x v="99"/>
    <n v="202509"/>
    <x v="1"/>
    <x v="4"/>
    <s v="Hernán P"/>
    <s v="Daniel R"/>
    <n v="56813"/>
    <n v="2755404"/>
    <n v="48.499694444444479"/>
    <n v="57495.340141930727"/>
    <n v="53.5"/>
    <n v="51"/>
    <n v="47.923945544075728"/>
    <n v="3198876"/>
  </r>
  <r>
    <x v="84"/>
    <n v="202402"/>
    <x v="2"/>
    <x v="2"/>
    <s v="Sofía V"/>
    <s v="Melany A"/>
    <n v="56778"/>
    <n v="3143089"/>
    <n v="55.357277298850583"/>
    <n v="0"/>
    <n v="52.5"/>
    <n v="52.5"/>
    <m/>
    <n v="0"/>
  </r>
  <r>
    <x v="109"/>
    <n v="202601"/>
    <x v="0"/>
    <x v="10"/>
    <s v="María R"/>
    <s v="María R"/>
    <n v="56752"/>
    <n v="2589819"/>
    <n v="45.633978494623662"/>
    <n v="61213.66201872666"/>
    <n v="59"/>
    <n v="50"/>
    <n v="50.48039166574727"/>
    <n v="3090090"/>
  </r>
  <r>
    <x v="80"/>
    <n v="202408"/>
    <x v="2"/>
    <x v="5"/>
    <s v="Fátima L"/>
    <s v="Fátima L"/>
    <n v="56731"/>
    <n v="552099"/>
    <n v="9.7318817204301116"/>
    <n v="0"/>
    <n v="10"/>
    <n v="9"/>
    <m/>
    <n v="0"/>
  </r>
  <r>
    <x v="93"/>
    <n v="202404"/>
    <x v="2"/>
    <x v="9"/>
    <s v="Hernán P"/>
    <s v="Daniel R"/>
    <n v="56683"/>
    <n v="2206003"/>
    <n v="38.918006944444457"/>
    <n v="0"/>
    <n v="45.5"/>
    <n v="42.5"/>
    <m/>
    <n v="0"/>
  </r>
  <r>
    <x v="106"/>
    <n v="202606"/>
    <x v="0"/>
    <x v="11"/>
    <s v="María R"/>
    <s v="María R"/>
    <n v="56661"/>
    <n v="3134248"/>
    <n v="55.315749999999838"/>
    <n v="58269.006108961534"/>
    <n v="64.5"/>
    <n v="61"/>
    <n v="55.57085132952011"/>
    <n v="3238058"/>
  </r>
  <r>
    <x v="100"/>
    <n v="202504"/>
    <x v="1"/>
    <x v="9"/>
    <s v="Hernán P"/>
    <s v="Daniel R"/>
    <n v="56630"/>
    <n v="2207757"/>
    <n v="38.985624999999992"/>
    <n v="61043.683825431435"/>
    <n v="41.5"/>
    <n v="43"/>
    <n v="36.166845636537836"/>
    <n v="2448646"/>
  </r>
  <r>
    <x v="90"/>
    <n v="202401"/>
    <x v="2"/>
    <x v="10"/>
    <s v="Sebastián S"/>
    <s v="Vik E"/>
    <n v="56607"/>
    <n v="2510485"/>
    <n v="44.349280913978504"/>
    <n v="0"/>
    <n v="47.5"/>
    <n v="43"/>
    <m/>
    <n v="0"/>
  </r>
  <r>
    <x v="75"/>
    <n v="202402"/>
    <x v="2"/>
    <x v="2"/>
    <s v="Hernán P"/>
    <s v="Daniel R"/>
    <n v="56539"/>
    <n v="1606633"/>
    <n v="28.4165301724138"/>
    <n v="0"/>
    <n v="31"/>
    <n v="27"/>
    <m/>
    <n v="0"/>
  </r>
  <r>
    <x v="99"/>
    <n v="202507"/>
    <x v="1"/>
    <x v="6"/>
    <s v="Hernán P"/>
    <s v="Daniel R"/>
    <n v="56534"/>
    <n v="2843431"/>
    <n v="50.29589381720433"/>
    <n v="62272.786880596235"/>
    <n v="53.5"/>
    <n v="51"/>
    <n v="45.660884351491802"/>
    <n v="3124305"/>
  </r>
  <r>
    <x v="84"/>
    <n v="202405"/>
    <x v="2"/>
    <x v="3"/>
    <s v="Sofía V"/>
    <s v="Melany A"/>
    <n v="56505"/>
    <n v="3238597"/>
    <n v="57.314758064516141"/>
    <n v="0"/>
    <n v="52.5"/>
    <n v="52.5"/>
    <m/>
    <n v="0"/>
  </r>
  <r>
    <x v="102"/>
    <n v="202512"/>
    <x v="1"/>
    <x v="1"/>
    <s v="Fátima L"/>
    <s v="Fátima L"/>
    <n v="56498"/>
    <n v="921392"/>
    <n v="16.308541666666663"/>
    <n v="75830.432717601245"/>
    <n v="11"/>
    <n v="12"/>
    <n v="12.150688146952019"/>
    <n v="941905"/>
  </r>
  <r>
    <x v="106"/>
    <n v="202507"/>
    <x v="1"/>
    <x v="6"/>
    <s v="María R"/>
    <s v="María R"/>
    <n v="56470"/>
    <n v="3163743"/>
    <n v="56.025638440860234"/>
    <n v="55489.753917888673"/>
    <n v="64.5"/>
    <n v="61"/>
    <n v="57.014899627804603"/>
    <n v="3250058"/>
  </r>
  <r>
    <x v="105"/>
    <n v="202407"/>
    <x v="2"/>
    <x v="6"/>
    <s v="María R"/>
    <s v="María R"/>
    <n v="56454"/>
    <n v="3255820"/>
    <n v="57.672426075268831"/>
    <n v="0"/>
    <n v="61.5"/>
    <n v="56"/>
    <m/>
    <n v="0"/>
  </r>
  <r>
    <x v="89"/>
    <n v="202409"/>
    <x v="2"/>
    <x v="4"/>
    <s v="Sebastián S"/>
    <s v="Rodolfo O"/>
    <n v="56439"/>
    <n v="1647954"/>
    <n v="29.198750000000015"/>
    <n v="0"/>
    <n v="34"/>
    <n v="34"/>
    <m/>
    <n v="0"/>
  </r>
  <r>
    <x v="61"/>
    <n v="202402"/>
    <x v="2"/>
    <x v="2"/>
    <s v="Sofía V"/>
    <s v="Joe H"/>
    <n v="56396"/>
    <n v="1917553"/>
    <n v="34.001645114942534"/>
    <n v="0"/>
    <n v="41.5"/>
    <n v="35.5"/>
    <m/>
    <n v="0"/>
  </r>
  <r>
    <x v="86"/>
    <n v="202411"/>
    <x v="2"/>
    <x v="7"/>
    <s v="Sebastián S"/>
    <s v="Vik E"/>
    <n v="56392"/>
    <n v="2028623"/>
    <n v="35.973437499999996"/>
    <n v="0"/>
    <n v="36"/>
    <n v="35"/>
    <m/>
    <n v="0"/>
  </r>
  <r>
    <x v="107"/>
    <n v="202606"/>
    <x v="0"/>
    <x v="11"/>
    <s v="María R"/>
    <s v="María R"/>
    <n v="56387"/>
    <n v="2681039"/>
    <n v="47.547402777777727"/>
    <n v="52244.914385891163"/>
    <n v="57.5"/>
    <n v="57"/>
    <n v="50.0561866937662"/>
    <n v="2615181"/>
  </r>
  <r>
    <x v="104"/>
    <n v="202601"/>
    <x v="0"/>
    <x v="10"/>
    <s v="Fátima L"/>
    <s v="Fátima L"/>
    <n v="56360"/>
    <n v="492038"/>
    <n v="8.7301948924731203"/>
    <n v="52504.135272356085"/>
    <n v="11"/>
    <n v="10"/>
    <n v="10.023956063077975"/>
    <n v="526299"/>
  </r>
  <r>
    <x v="96"/>
    <n v="202509"/>
    <x v="1"/>
    <x v="4"/>
    <s v="Fátima L"/>
    <s v="Fátima L"/>
    <n v="56343"/>
    <n v="568094"/>
    <n v="10.082868055555556"/>
    <n v="60392.157851774697"/>
    <n v="11.5"/>
    <n v="10"/>
    <n v="9.4067516414021615"/>
    <n v="699266"/>
  </r>
  <r>
    <x v="77"/>
    <n v="202509"/>
    <x v="1"/>
    <x v="4"/>
    <s v="Fátima L"/>
    <s v="Fátima L"/>
    <n v="56333"/>
    <n v="889146"/>
    <n v="15.783881944444444"/>
    <n v="67089.793011031026"/>
    <n v="17"/>
    <n v="13.5"/>
    <n v="13.253072041134557"/>
    <n v="1144762"/>
  </r>
  <r>
    <x v="74"/>
    <n v="202510"/>
    <x v="1"/>
    <x v="8"/>
    <s v="Sebastián S"/>
    <s v="Rodolfo O"/>
    <n v="56330"/>
    <n v="1320182"/>
    <n v="23.436639784946234"/>
    <n v="55194.547147635785"/>
    <n v="27"/>
    <n v="27"/>
    <n v="23.918708427278929"/>
    <n v="1410300"/>
  </r>
  <r>
    <x v="104"/>
    <n v="202403"/>
    <x v="2"/>
    <x v="0"/>
    <s v="Fátima L"/>
    <s v="Fátima L"/>
    <n v="56302"/>
    <n v="575259"/>
    <n v="10.217459677419358"/>
    <n v="0"/>
    <n v="11"/>
    <n v="10"/>
    <m/>
    <n v="0"/>
  </r>
  <r>
    <x v="93"/>
    <n v="202410"/>
    <x v="2"/>
    <x v="8"/>
    <s v="Hernán P"/>
    <s v="Daniel R"/>
    <n v="56291"/>
    <n v="2211877"/>
    <n v="39.293756720430125"/>
    <n v="0"/>
    <n v="45.5"/>
    <n v="42.5"/>
    <m/>
    <n v="0"/>
  </r>
  <r>
    <x v="94"/>
    <n v="202408"/>
    <x v="2"/>
    <x v="5"/>
    <s v="Hernán P"/>
    <s v="Daniel R"/>
    <n v="56285"/>
    <n v="2425269"/>
    <n v="43.08871639784946"/>
    <n v="0"/>
    <n v="33"/>
    <n v="31.5"/>
    <m/>
    <n v="0"/>
  </r>
  <r>
    <x v="103"/>
    <n v="202505"/>
    <x v="1"/>
    <x v="3"/>
    <s v="María R"/>
    <s v="María R"/>
    <n v="56243"/>
    <n v="3486990"/>
    <n v="61.998689516129048"/>
    <n v="58345.721622917255"/>
    <n v="66"/>
    <n v="65.5"/>
    <n v="59.764285246758625"/>
    <n v="3708002"/>
  </r>
  <r>
    <x v="96"/>
    <n v="202506"/>
    <x v="1"/>
    <x v="11"/>
    <s v="Fátima L"/>
    <s v="Fátima L"/>
    <n v="56207"/>
    <n v="580203"/>
    <n v="10.322569444444444"/>
    <n v="57488.604841056673"/>
    <n v="11.5"/>
    <n v="10"/>
    <n v="10.092479050485437"/>
    <n v="671559"/>
  </r>
  <r>
    <x v="36"/>
    <n v="202503"/>
    <x v="1"/>
    <x v="0"/>
    <s v="Sebastián S"/>
    <s v="Rodolfo O"/>
    <n v="56192"/>
    <n v="3832333"/>
    <n v="68.200463709677422"/>
    <n v="108413.73374939286"/>
    <n v="81"/>
    <n v="77"/>
    <n v="35.349148004244078"/>
    <n v="7890806"/>
  </r>
  <r>
    <x v="95"/>
    <n v="202506"/>
    <x v="1"/>
    <x v="11"/>
    <s v="Fátima L"/>
    <s v="Fátima L"/>
    <n v="56187"/>
    <n v="330401"/>
    <n v="5.8803402777777789"/>
    <n v="40866.219376944224"/>
    <n v="8.5"/>
    <n v="6.5"/>
    <n v="8.0849365328470899"/>
    <n v="351802"/>
  </r>
  <r>
    <x v="80"/>
    <n v="202503"/>
    <x v="1"/>
    <x v="0"/>
    <s v="Fátima L"/>
    <s v="Fátima L"/>
    <n v="56164"/>
    <n v="462706"/>
    <n v="8.2385483870967757"/>
    <n v="72722.227275524987"/>
    <n v="10"/>
    <n v="9"/>
    <n v="6.3626475334278698"/>
    <n v="579791"/>
  </r>
  <r>
    <x v="100"/>
    <n v="202505"/>
    <x v="1"/>
    <x v="3"/>
    <s v="Hernán P"/>
    <s v="Daniel R"/>
    <n v="56071"/>
    <n v="2246607"/>
    <n v="40.067426075268799"/>
    <n v="61737.566329171008"/>
    <n v="41.5"/>
    <n v="43"/>
    <n v="36.38962180694962"/>
    <n v="2461996"/>
  </r>
  <r>
    <x v="99"/>
    <n v="202411"/>
    <x v="2"/>
    <x v="7"/>
    <s v="Hernán P"/>
    <s v="Daniel R"/>
    <n v="56068"/>
    <n v="2902020"/>
    <n v="51.759361111111112"/>
    <n v="0"/>
    <n v="53.5"/>
    <n v="51"/>
    <m/>
    <n v="0"/>
  </r>
  <r>
    <x v="104"/>
    <n v="202503"/>
    <x v="1"/>
    <x v="0"/>
    <s v="Fátima L"/>
    <s v="Fátima L"/>
    <n v="56015"/>
    <n v="559020"/>
    <n v="9.9797983870967748"/>
    <n v="59116.670979861301"/>
    <n v="11"/>
    <n v="10"/>
    <n v="9.4562112638317508"/>
    <n v="569805"/>
  </r>
  <r>
    <x v="99"/>
    <n v="202405"/>
    <x v="2"/>
    <x v="3"/>
    <s v="Hernán P"/>
    <s v="Daniel R"/>
    <n v="55982"/>
    <n v="2975186"/>
    <n v="53.144959677419365"/>
    <n v="0"/>
    <n v="53.5"/>
    <n v="51"/>
    <m/>
    <n v="0"/>
  </r>
  <r>
    <x v="89"/>
    <n v="202507"/>
    <x v="1"/>
    <x v="6"/>
    <s v="Sebastián S"/>
    <s v="Rodolfo O"/>
    <n v="55949"/>
    <n v="1784607"/>
    <n v="31.896760752688181"/>
    <n v="64146.550653054837"/>
    <n v="34"/>
    <n v="34"/>
    <n v="27.820783687220946"/>
    <n v="1980355"/>
  </r>
  <r>
    <x v="103"/>
    <n v="202404"/>
    <x v="2"/>
    <x v="9"/>
    <s v="María R"/>
    <s v="María R"/>
    <n v="55854"/>
    <n v="3434298"/>
    <n v="61.487222222222243"/>
    <n v="0"/>
    <n v="66"/>
    <n v="65.5"/>
    <m/>
    <n v="0"/>
  </r>
  <r>
    <x v="94"/>
    <n v="202602"/>
    <x v="0"/>
    <x v="2"/>
    <s v="Hernán P"/>
    <s v="Daniel R"/>
    <n v="55835"/>
    <n v="1759321"/>
    <n v="31.509010416666662"/>
    <n v="0"/>
    <n v="33"/>
    <n v="31.5"/>
    <n v="35.22317754154448"/>
    <n v="0"/>
  </r>
  <r>
    <x v="109"/>
    <n v="202408"/>
    <x v="2"/>
    <x v="5"/>
    <s v="María R"/>
    <s v="María R"/>
    <n v="55829"/>
    <n v="2654467"/>
    <n v="47.54608870967742"/>
    <n v="0"/>
    <n v="59"/>
    <n v="50"/>
    <m/>
    <n v="0"/>
  </r>
  <r>
    <x v="93"/>
    <n v="202504"/>
    <x v="1"/>
    <x v="9"/>
    <s v="Hernán P"/>
    <s v="Daniel R"/>
    <n v="55825"/>
    <n v="2270465"/>
    <n v="40.671312499999999"/>
    <n v="59517.507816022735"/>
    <n v="45.5"/>
    <n v="42.5"/>
    <n v="38.147845286437999"/>
    <n v="2359859"/>
  </r>
  <r>
    <x v="92"/>
    <n v="202402"/>
    <x v="2"/>
    <x v="2"/>
    <s v="Fátima L"/>
    <s v="Fátima L"/>
    <n v="55782"/>
    <n v="591880"/>
    <n v="10.610682471264372"/>
    <n v="0"/>
    <n v="11.5"/>
    <n v="10"/>
    <m/>
    <n v="0"/>
  </r>
  <r>
    <x v="104"/>
    <n v="202507"/>
    <x v="1"/>
    <x v="6"/>
    <s v="Fátima L"/>
    <s v="Fátima L"/>
    <n v="55749"/>
    <n v="530101"/>
    <n v="9.5086626344086014"/>
    <n v="62830.530498924185"/>
    <n v="11"/>
    <n v="10"/>
    <n v="8.4369965650548941"/>
    <n v="582630"/>
  </r>
  <r>
    <x v="109"/>
    <n v="202412"/>
    <x v="2"/>
    <x v="1"/>
    <s v="María R"/>
    <s v="María R"/>
    <n v="55741"/>
    <n v="3150704"/>
    <n v="56.524341397849476"/>
    <n v="0"/>
    <n v="59"/>
    <n v="50"/>
    <m/>
    <n v="0"/>
  </r>
  <r>
    <x v="109"/>
    <n v="202604"/>
    <x v="0"/>
    <x v="9"/>
    <s v="María R"/>
    <s v="María R"/>
    <n v="55694"/>
    <n v="2791217"/>
    <n v="50.116840277777619"/>
    <n v="56175.846823394902"/>
    <n v="59"/>
    <n v="50"/>
    <n v="50.48039166574727"/>
    <n v="2835779"/>
  </r>
  <r>
    <x v="101"/>
    <n v="202501"/>
    <x v="1"/>
    <x v="10"/>
    <s v="Fátima L"/>
    <s v="Fátima L"/>
    <n v="55690"/>
    <n v="721674"/>
    <n v="12.958797043010756"/>
    <n v="77679.527704463311"/>
    <n v="13.5"/>
    <n v="14.5"/>
    <n v="9.290395054223973"/>
    <n v="1010802"/>
  </r>
  <r>
    <x v="92"/>
    <n v="202411"/>
    <x v="2"/>
    <x v="7"/>
    <s v="Fátima L"/>
    <s v="Fátima L"/>
    <n v="55652"/>
    <n v="577213"/>
    <n v="10.371812499999999"/>
    <n v="0"/>
    <n v="11.5"/>
    <n v="10"/>
    <m/>
    <n v="0"/>
  </r>
  <r>
    <x v="106"/>
    <n v="202411"/>
    <x v="2"/>
    <x v="7"/>
    <s v="María R"/>
    <s v="María R"/>
    <n v="55642"/>
    <n v="3136557"/>
    <n v="56.370125000000002"/>
    <n v="0"/>
    <n v="64.5"/>
    <n v="61"/>
    <m/>
    <n v="0"/>
  </r>
  <r>
    <x v="103"/>
    <n v="202405"/>
    <x v="2"/>
    <x v="3"/>
    <s v="María R"/>
    <s v="María R"/>
    <n v="55567"/>
    <n v="3517220"/>
    <n v="63.296512096774173"/>
    <n v="0"/>
    <n v="66"/>
    <n v="65.5"/>
    <m/>
    <n v="0"/>
  </r>
  <r>
    <x v="105"/>
    <n v="202410"/>
    <x v="2"/>
    <x v="8"/>
    <s v="María R"/>
    <s v="María R"/>
    <n v="55551"/>
    <n v="3261201"/>
    <n v="58.706290322580656"/>
    <n v="0"/>
    <n v="61.5"/>
    <n v="56"/>
    <m/>
    <n v="0"/>
  </r>
  <r>
    <x v="92"/>
    <n v="202410"/>
    <x v="2"/>
    <x v="8"/>
    <s v="Fátima L"/>
    <s v="Fátima L"/>
    <n v="55547"/>
    <n v="593648"/>
    <n v="10.687372311827961"/>
    <n v="0"/>
    <n v="11.5"/>
    <n v="10"/>
    <m/>
    <n v="0"/>
  </r>
  <r>
    <x v="99"/>
    <n v="202506"/>
    <x v="1"/>
    <x v="11"/>
    <s v="Hernán P"/>
    <s v="Daniel R"/>
    <n v="55536"/>
    <n v="2831452"/>
    <n v="50.984305555555572"/>
    <n v="61792.922311830793"/>
    <n v="53.5"/>
    <n v="51"/>
    <n v="45.821615066389157"/>
    <n v="3122899"/>
  </r>
  <r>
    <x v="74"/>
    <n v="202507"/>
    <x v="1"/>
    <x v="6"/>
    <s v="Sebastián S"/>
    <s v="Rodolfo O"/>
    <n v="55505"/>
    <n v="1362206"/>
    <n v="24.542197580645162"/>
    <n v="63500.178687711879"/>
    <n v="27"/>
    <n v="27"/>
    <n v="21.451996642390629"/>
    <n v="1636044"/>
  </r>
  <r>
    <x v="99"/>
    <n v="202502"/>
    <x v="1"/>
    <x v="2"/>
    <s v="Hernán P"/>
    <s v="Daniel R"/>
    <n v="55474"/>
    <n v="2759308"/>
    <n v="49.740937500000015"/>
    <n v="56581.515085422114"/>
    <n v="53.5"/>
    <n v="51"/>
    <n v="48.766948460715902"/>
    <n v="2867029"/>
  </r>
  <r>
    <x v="74"/>
    <n v="202405"/>
    <x v="2"/>
    <x v="3"/>
    <s v="Sebastián S"/>
    <s v="Rodolfo O"/>
    <n v="55416"/>
    <n v="1447339"/>
    <n v="26.117950268817204"/>
    <n v="0"/>
    <n v="27"/>
    <n v="27"/>
    <m/>
    <n v="0"/>
  </r>
  <r>
    <x v="88"/>
    <n v="202601"/>
    <x v="0"/>
    <x v="10"/>
    <s v="Sofía V"/>
    <s v="José A"/>
    <n v="55382"/>
    <n v="5190041"/>
    <n v="93.712735215053755"/>
    <n v="63106.890682142861"/>
    <n v="84"/>
    <n v="76.5"/>
    <n v="84"/>
    <n v="5300979"/>
  </r>
  <r>
    <x v="89"/>
    <n v="202510"/>
    <x v="1"/>
    <x v="8"/>
    <s v="Sebastián S"/>
    <s v="Rodolfo O"/>
    <n v="55337"/>
    <n v="1548136"/>
    <n v="27.9764314516129"/>
    <n v="62802.03825678015"/>
    <n v="34"/>
    <n v="34"/>
    <n v="24.651048484606509"/>
    <n v="1843702"/>
  </r>
  <r>
    <x v="93"/>
    <n v="202409"/>
    <x v="2"/>
    <x v="4"/>
    <s v="Hernán P"/>
    <s v="Daniel R"/>
    <n v="55292"/>
    <n v="2159285"/>
    <n v="39.052270833333331"/>
    <n v="0"/>
    <n v="45.5"/>
    <n v="42.5"/>
    <m/>
    <n v="0"/>
  </r>
  <r>
    <x v="91"/>
    <n v="202606"/>
    <x v="0"/>
    <x v="11"/>
    <s v="Hernán P"/>
    <s v="Daniel R"/>
    <n v="55283"/>
    <n v="1010006"/>
    <n v="18.269611111111111"/>
    <n v="56402.980724945439"/>
    <n v="19"/>
    <n v="21.5"/>
    <n v="17.464859694273773"/>
    <n v="985070"/>
  </r>
  <r>
    <x v="106"/>
    <n v="202408"/>
    <x v="2"/>
    <x v="5"/>
    <s v="María R"/>
    <s v="María R"/>
    <n v="55271"/>
    <n v="3115724"/>
    <n v="56.371969086021494"/>
    <n v="0"/>
    <n v="64.5"/>
    <n v="61"/>
    <m/>
    <n v="0"/>
  </r>
  <r>
    <x v="84"/>
    <n v="202606"/>
    <x v="0"/>
    <x v="11"/>
    <s v="Sofía V"/>
    <s v="Melany A"/>
    <n v="55258"/>
    <n v="2298744"/>
    <n v="41.599930555555247"/>
    <n v="67502.263150044862"/>
    <n v="52.5"/>
    <n v="52.5"/>
    <n v="46.965208254619732"/>
    <n v="3170258"/>
  </r>
  <r>
    <x v="88"/>
    <n v="202602"/>
    <x v="0"/>
    <x v="2"/>
    <s v="Sofía V"/>
    <s v="José A"/>
    <n v="55258"/>
    <n v="4870628"/>
    <n v="88.143854166666642"/>
    <n v="59438.87782500001"/>
    <n v="84"/>
    <n v="76.5"/>
    <n v="84"/>
    <n v="4992866"/>
  </r>
  <r>
    <x v="95"/>
    <n v="202505"/>
    <x v="1"/>
    <x v="3"/>
    <s v="Fátima L"/>
    <s v="Fátima L"/>
    <n v="55241"/>
    <n v="342288"/>
    <n v="6.1962231182795708"/>
    <n v="45616.301672195514"/>
    <n v="8.5"/>
    <n v="6.5"/>
    <n v="7.5036232103979259"/>
    <n v="352859"/>
  </r>
  <r>
    <x v="75"/>
    <n v="202602"/>
    <x v="0"/>
    <x v="2"/>
    <s v="Hernán P"/>
    <s v="Daniel R"/>
    <n v="55233"/>
    <n v="1400399"/>
    <n v="25.354583333333334"/>
    <n v="56925.586794897972"/>
    <n v="31"/>
    <n v="27"/>
    <n v="27.070532526124346"/>
    <n v="1541006"/>
  </r>
  <r>
    <x v="90"/>
    <n v="202406"/>
    <x v="2"/>
    <x v="11"/>
    <s v="Sebastián S"/>
    <s v="Vik E"/>
    <n v="55151"/>
    <n v="2544770"/>
    <n v="46.141472222222212"/>
    <n v="0"/>
    <n v="47.5"/>
    <n v="43"/>
    <m/>
    <n v="0"/>
  </r>
  <r>
    <x v="90"/>
    <n v="202410"/>
    <x v="2"/>
    <x v="8"/>
    <s v="Sebastián S"/>
    <s v="Vik E"/>
    <n v="55149"/>
    <n v="2375489"/>
    <n v="43.073662634408599"/>
    <n v="0"/>
    <n v="47.5"/>
    <n v="43"/>
    <m/>
    <n v="0"/>
  </r>
  <r>
    <x v="107"/>
    <n v="202604"/>
    <x v="0"/>
    <x v="9"/>
    <s v="María R"/>
    <s v="María R"/>
    <n v="55130"/>
    <n v="2733988"/>
    <n v="49.591888888888555"/>
    <n v="53372.187087369792"/>
    <n v="57.5"/>
    <n v="57"/>
    <n v="50.0561866937662"/>
    <n v="2671608"/>
  </r>
  <r>
    <x v="91"/>
    <n v="202509"/>
    <x v="1"/>
    <x v="4"/>
    <s v="Hernán P"/>
    <s v="Daniel R"/>
    <n v="55080"/>
    <n v="945510"/>
    <n v="17.166236111111107"/>
    <n v="61616.363699577174"/>
    <n v="19"/>
    <n v="21.5"/>
    <n v="15.345104177358136"/>
    <n v="1176892"/>
  </r>
  <r>
    <x v="106"/>
    <n v="202505"/>
    <x v="1"/>
    <x v="3"/>
    <s v="María R"/>
    <s v="María R"/>
    <n v="55072"/>
    <n v="3181146"/>
    <n v="57.762889784946239"/>
    <n v="53285.707219435528"/>
    <n v="64.5"/>
    <n v="61"/>
    <n v="59.699798989243831"/>
    <n v="3165167"/>
  </r>
  <r>
    <x v="107"/>
    <n v="202412"/>
    <x v="2"/>
    <x v="1"/>
    <s v="María R"/>
    <s v="María R"/>
    <n v="55028"/>
    <n v="3151150"/>
    <n v="57.264845430107535"/>
    <n v="0"/>
    <n v="57.5"/>
    <n v="57"/>
    <m/>
    <n v="0"/>
  </r>
  <r>
    <x v="106"/>
    <n v="202410"/>
    <x v="2"/>
    <x v="8"/>
    <s v="María R"/>
    <s v="María R"/>
    <n v="55027"/>
    <n v="3140591"/>
    <n v="57.073944892473115"/>
    <n v="0"/>
    <n v="64.5"/>
    <n v="61"/>
    <m/>
    <n v="0"/>
  </r>
  <r>
    <x v="93"/>
    <n v="202402"/>
    <x v="2"/>
    <x v="2"/>
    <s v="Hernán P"/>
    <s v="Daniel R"/>
    <n v="55017"/>
    <n v="2302839"/>
    <n v="41.856479885057482"/>
    <n v="0"/>
    <n v="45.5"/>
    <n v="42.5"/>
    <m/>
    <n v="0"/>
  </r>
  <r>
    <x v="109"/>
    <n v="202603"/>
    <x v="0"/>
    <x v="0"/>
    <s v="María R"/>
    <s v="María R"/>
    <n v="55004"/>
    <n v="2824445"/>
    <n v="51.349422043010733"/>
    <n v="54536.795588454879"/>
    <n v="59"/>
    <n v="50"/>
    <n v="50.48039166574727"/>
    <n v="2753039"/>
  </r>
  <r>
    <x v="106"/>
    <n v="202504"/>
    <x v="1"/>
    <x v="9"/>
    <s v="María R"/>
    <s v="María R"/>
    <n v="54943"/>
    <n v="3165034"/>
    <n v="57.606256944444439"/>
    <n v="50339.24238998512"/>
    <n v="64.5"/>
    <n v="61"/>
    <n v="62.874095233298064"/>
    <n v="3203237"/>
  </r>
  <r>
    <x v="106"/>
    <n v="202509"/>
    <x v="1"/>
    <x v="4"/>
    <s v="María R"/>
    <s v="María R"/>
    <n v="54941"/>
    <n v="3015727"/>
    <n v="54.890451388888884"/>
    <n v="53403.904909693978"/>
    <n v="64.5"/>
    <n v="61"/>
    <n v="56.470155789161758"/>
    <n v="3161416"/>
  </r>
  <r>
    <x v="94"/>
    <n v="202404"/>
    <x v="2"/>
    <x v="9"/>
    <s v="Hernán P"/>
    <s v="Daniel R"/>
    <n v="54861"/>
    <n v="2440753"/>
    <n v="44.489569444444442"/>
    <n v="0"/>
    <n v="33"/>
    <n v="31.5"/>
    <m/>
    <n v="0"/>
  </r>
  <r>
    <x v="107"/>
    <n v="202603"/>
    <x v="0"/>
    <x v="0"/>
    <s v="María R"/>
    <s v="María R"/>
    <n v="54817"/>
    <n v="2853791"/>
    <n v="52.059912634408605"/>
    <n v="56039.920217281389"/>
    <n v="57.5"/>
    <n v="57"/>
    <n v="50.0561866937662"/>
    <n v="2805145"/>
  </r>
  <r>
    <x v="86"/>
    <n v="202509"/>
    <x v="1"/>
    <x v="4"/>
    <s v="Sebastián S"/>
    <s v="Vik E"/>
    <n v="54760"/>
    <n v="1695303"/>
    <n v="30.959055555555565"/>
    <n v="53979.9669529038"/>
    <n v="36"/>
    <n v="35"/>
    <n v="31.406143161945799"/>
    <n v="2029304"/>
  </r>
  <r>
    <x v="99"/>
    <n v="202409"/>
    <x v="2"/>
    <x v="4"/>
    <s v="Hernán P"/>
    <s v="Daniel R"/>
    <n v="54757"/>
    <n v="2890424"/>
    <n v="52.785930555555538"/>
    <n v="0"/>
    <n v="53.5"/>
    <n v="51"/>
    <m/>
    <n v="0"/>
  </r>
  <r>
    <x v="86"/>
    <n v="202602"/>
    <x v="0"/>
    <x v="2"/>
    <s v="Sebastián S"/>
    <s v="Vik E"/>
    <n v="54754"/>
    <n v="1815700"/>
    <n v="33.161145833333336"/>
    <n v="59108.477291901916"/>
    <n v="36"/>
    <n v="35"/>
    <n v="31.443465596679005"/>
    <n v="1858575"/>
  </r>
  <r>
    <x v="96"/>
    <n v="202406"/>
    <x v="2"/>
    <x v="11"/>
    <s v="Fátima L"/>
    <s v="Fátima L"/>
    <n v="54751"/>
    <n v="640162"/>
    <n v="11.692236111111113"/>
    <n v="0"/>
    <n v="11.5"/>
    <n v="10"/>
    <m/>
    <n v="0"/>
  </r>
  <r>
    <x v="96"/>
    <n v="202405"/>
    <x v="2"/>
    <x v="3"/>
    <s v="Fátima L"/>
    <s v="Fátima L"/>
    <n v="54750"/>
    <n v="635133"/>
    <n v="11.600571236559141"/>
    <n v="0"/>
    <n v="11.5"/>
    <n v="10"/>
    <m/>
    <n v="0"/>
  </r>
  <r>
    <x v="93"/>
    <n v="202406"/>
    <x v="2"/>
    <x v="11"/>
    <s v="Hernán P"/>
    <s v="Daniel R"/>
    <n v="54747"/>
    <n v="2220043"/>
    <n v="40.551048611111128"/>
    <n v="0"/>
    <n v="45.5"/>
    <n v="42.5"/>
    <m/>
    <n v="0"/>
  </r>
  <r>
    <x v="91"/>
    <n v="202505"/>
    <x v="1"/>
    <x v="3"/>
    <s v="Hernán P"/>
    <s v="Daniel R"/>
    <n v="54738"/>
    <n v="1067583"/>
    <n v="19.503326612903223"/>
    <n v="62085.559159461867"/>
    <n v="19"/>
    <n v="21.5"/>
    <n v="17.195345656113009"/>
    <n v="1171700"/>
  </r>
  <r>
    <x v="93"/>
    <n v="202506"/>
    <x v="1"/>
    <x v="11"/>
    <s v="Hernán P"/>
    <s v="Daniel R"/>
    <n v="54738"/>
    <n v="2169032"/>
    <n v="39.625736111111124"/>
    <n v="57484.22109511825"/>
    <n v="45.5"/>
    <n v="42.5"/>
    <n v="37.732646605943167"/>
    <n v="2307512"/>
  </r>
  <r>
    <x v="96"/>
    <n v="202510"/>
    <x v="1"/>
    <x v="8"/>
    <s v="Fátima L"/>
    <s v="Fátima L"/>
    <n v="54715"/>
    <n v="568557"/>
    <n v="10.39133064516129"/>
    <n v="56102.540840978269"/>
    <n v="11.5"/>
    <n v="10"/>
    <n v="10.134250275964613"/>
    <n v="695088"/>
  </r>
  <r>
    <x v="95"/>
    <n v="202603"/>
    <x v="0"/>
    <x v="0"/>
    <s v="Fátima L"/>
    <s v="Fátima L"/>
    <n v="54713"/>
    <n v="375877"/>
    <n v="6.8700201612903236"/>
    <n v="50698.007931001353"/>
    <n v="8.5"/>
    <n v="6.5"/>
    <n v="7.4225653700663532"/>
    <n v="376309"/>
  </r>
  <r>
    <x v="109"/>
    <n v="202403"/>
    <x v="2"/>
    <x v="0"/>
    <s v="María R"/>
    <s v="María R"/>
    <n v="54675"/>
    <n v="2570339"/>
    <n v="47.011491935483868"/>
    <n v="0"/>
    <n v="59"/>
    <n v="50"/>
    <m/>
    <n v="0"/>
  </r>
  <r>
    <x v="80"/>
    <n v="202509"/>
    <x v="1"/>
    <x v="4"/>
    <s v="Fátima L"/>
    <s v="Fátima L"/>
    <n v="54656"/>
    <n v="453369"/>
    <n v="8.2949513888888884"/>
    <n v="71412.670009578025"/>
    <n v="10"/>
    <n v="9"/>
    <n v="6.3485742787546418"/>
    <n v="574601"/>
  </r>
  <r>
    <x v="95"/>
    <n v="202601"/>
    <x v="0"/>
    <x v="10"/>
    <s v="Fátima L"/>
    <s v="Fátima L"/>
    <n v="54648"/>
    <n v="321626"/>
    <n v="5.8854099462365586"/>
    <n v="46630.070271365752"/>
    <n v="8.5"/>
    <n v="6.5"/>
    <n v="7.4225653700663532"/>
    <n v="346115"/>
  </r>
  <r>
    <x v="91"/>
    <n v="202402"/>
    <x v="2"/>
    <x v="2"/>
    <s v="Hernán P"/>
    <s v="Daniel R"/>
    <n v="54634"/>
    <n v="1172583"/>
    <n v="21.462392241379312"/>
    <n v="0"/>
    <n v="19"/>
    <n v="21.5"/>
    <m/>
    <n v="0"/>
  </r>
  <r>
    <x v="104"/>
    <n v="202401"/>
    <x v="2"/>
    <x v="10"/>
    <s v="Fátima L"/>
    <s v="Fátima L"/>
    <n v="54625"/>
    <n v="486420"/>
    <n v="8.9046774193548401"/>
    <n v="0"/>
    <n v="11"/>
    <n v="10"/>
    <m/>
    <n v="0"/>
  </r>
  <r>
    <x v="99"/>
    <n v="202404"/>
    <x v="2"/>
    <x v="9"/>
    <s v="Hernán P"/>
    <s v="Daniel R"/>
    <n v="54620"/>
    <n v="2996906"/>
    <n v="54.867993055555537"/>
    <n v="0"/>
    <n v="53.5"/>
    <n v="51"/>
    <m/>
    <n v="0"/>
  </r>
  <r>
    <x v="86"/>
    <n v="202410"/>
    <x v="2"/>
    <x v="8"/>
    <s v="Sebastián S"/>
    <s v="Vik E"/>
    <n v="54603"/>
    <n v="1898947"/>
    <n v="34.777204301075272"/>
    <n v="0"/>
    <n v="36"/>
    <n v="35"/>
    <m/>
    <n v="0"/>
  </r>
  <r>
    <x v="74"/>
    <n v="202505"/>
    <x v="1"/>
    <x v="3"/>
    <s v="Sebastián S"/>
    <s v="Rodolfo O"/>
    <n v="54591"/>
    <n v="1403201"/>
    <n v="25.703689516129039"/>
    <n v="58186.27809068199"/>
    <n v="27"/>
    <n v="27"/>
    <n v="24.115662249665533"/>
    <n v="1547223"/>
  </r>
  <r>
    <x v="107"/>
    <n v="202510"/>
    <x v="1"/>
    <x v="8"/>
    <s v="María R"/>
    <s v="María R"/>
    <n v="54563"/>
    <n v="2662103"/>
    <n v="48.789388440860229"/>
    <n v="51810.929622653406"/>
    <n v="57.5"/>
    <n v="57"/>
    <n v="51.381115710304549"/>
    <n v="2570315"/>
  </r>
  <r>
    <x v="90"/>
    <n v="202404"/>
    <x v="2"/>
    <x v="9"/>
    <s v="Sebastián S"/>
    <s v="Vik E"/>
    <n v="54562"/>
    <n v="2718814"/>
    <n v="49.829743055555547"/>
    <n v="0"/>
    <n v="47.5"/>
    <n v="43"/>
    <m/>
    <n v="0"/>
  </r>
  <r>
    <x v="74"/>
    <n v="202409"/>
    <x v="2"/>
    <x v="4"/>
    <s v="Sebastián S"/>
    <s v="Rodolfo O"/>
    <n v="54553"/>
    <n v="1445590"/>
    <n v="26.498888888888899"/>
    <n v="0"/>
    <n v="27"/>
    <n v="27"/>
    <m/>
    <n v="0"/>
  </r>
  <r>
    <x v="109"/>
    <n v="202401"/>
    <x v="2"/>
    <x v="10"/>
    <s v="María R"/>
    <s v="María R"/>
    <n v="54535"/>
    <n v="2430254"/>
    <n v="44.56342069892473"/>
    <n v="0"/>
    <n v="59"/>
    <n v="50"/>
    <m/>
    <n v="0"/>
  </r>
  <r>
    <x v="91"/>
    <n v="202504"/>
    <x v="1"/>
    <x v="9"/>
    <s v="Hernán P"/>
    <s v="Daniel R"/>
    <n v="54531"/>
    <n v="1072879"/>
    <n v="19.674715277777775"/>
    <n v="53486.495884827869"/>
    <n v="19"/>
    <n v="21.5"/>
    <n v="20.058872473347723"/>
    <n v="1107928"/>
  </r>
  <r>
    <x v="80"/>
    <n v="202510"/>
    <x v="1"/>
    <x v="8"/>
    <s v="Fátima L"/>
    <s v="Fátima L"/>
    <n v="54457"/>
    <n v="450664"/>
    <n v="8.2755712365591414"/>
    <n v="61084.352079602824"/>
    <n v="10"/>
    <n v="9"/>
    <n v="7.3777357810509532"/>
    <n v="585311"/>
  </r>
  <r>
    <x v="103"/>
    <n v="202411"/>
    <x v="2"/>
    <x v="7"/>
    <s v="María R"/>
    <s v="María R"/>
    <n v="54426"/>
    <n v="3198692"/>
    <n v="58.771659722222232"/>
    <n v="0"/>
    <n v="66"/>
    <n v="65.5"/>
    <m/>
    <n v="0"/>
  </r>
  <r>
    <x v="107"/>
    <n v="202605"/>
    <x v="0"/>
    <x v="3"/>
    <s v="María R"/>
    <s v="María R"/>
    <n v="54416"/>
    <n v="2772388"/>
    <n v="50.947862903226302"/>
    <n v="54864.194755810524"/>
    <n v="57.5"/>
    <n v="57"/>
    <n v="50.0561866937662"/>
    <n v="2746292"/>
  </r>
  <r>
    <x v="94"/>
    <n v="202501"/>
    <x v="1"/>
    <x v="10"/>
    <s v="Hernán P"/>
    <s v="Daniel R"/>
    <n v="54377"/>
    <n v="2323976"/>
    <n v="42.738481182795688"/>
    <n v="60267.34859072676"/>
    <n v="33"/>
    <n v="31.5"/>
    <n v="38.561109528511537"/>
    <n v="2556852"/>
  </r>
  <r>
    <x v="103"/>
    <n v="202506"/>
    <x v="1"/>
    <x v="11"/>
    <s v="María R"/>
    <s v="María R"/>
    <n v="54325"/>
    <n v="3346172"/>
    <n v="61.595722222222236"/>
    <n v="60214.846840032507"/>
    <n v="66"/>
    <n v="65.5"/>
    <n v="55.570547889783413"/>
    <n v="3664909"/>
  </r>
  <r>
    <x v="107"/>
    <n v="202509"/>
    <x v="1"/>
    <x v="4"/>
    <s v="María R"/>
    <s v="María R"/>
    <n v="54276"/>
    <n v="2492819"/>
    <n v="45.928215277777817"/>
    <n v="52875.23445373532"/>
    <n v="57.5"/>
    <n v="57"/>
    <n v="47.145309250234398"/>
    <n v="2630822"/>
  </r>
  <r>
    <x v="107"/>
    <n v="202401"/>
    <x v="2"/>
    <x v="10"/>
    <s v="María R"/>
    <s v="María R"/>
    <n v="54253"/>
    <n v="2344371"/>
    <n v="43.212063172043024"/>
    <n v="0"/>
    <n v="57.5"/>
    <n v="57"/>
    <m/>
    <n v="0"/>
  </r>
  <r>
    <x v="105"/>
    <n v="202402"/>
    <x v="2"/>
    <x v="2"/>
    <s v="María R"/>
    <s v="María R"/>
    <n v="54238"/>
    <n v="3077062"/>
    <n v="56.732385057471255"/>
    <n v="0"/>
    <n v="61.5"/>
    <n v="56"/>
    <m/>
    <n v="0"/>
  </r>
  <r>
    <x v="101"/>
    <n v="202411"/>
    <x v="2"/>
    <x v="7"/>
    <s v="Fátima L"/>
    <s v="Fátima L"/>
    <n v="54237"/>
    <n v="757352"/>
    <n v="13.963881944444443"/>
    <n v="0"/>
    <n v="13.5"/>
    <n v="14.5"/>
    <m/>
    <n v="0"/>
  </r>
  <r>
    <x v="95"/>
    <n v="202504"/>
    <x v="1"/>
    <x v="9"/>
    <s v="Fátima L"/>
    <s v="Fátima L"/>
    <n v="54128"/>
    <n v="346279"/>
    <n v="6.3973680555555568"/>
    <n v="64222.911977981268"/>
    <n v="8.5"/>
    <n v="6.5"/>
    <n v="5.391831035607999"/>
    <n v="359515"/>
  </r>
  <r>
    <x v="86"/>
    <n v="202506"/>
    <x v="1"/>
    <x v="11"/>
    <s v="Sebastián S"/>
    <s v="Vik E"/>
    <n v="54122"/>
    <n v="1763184"/>
    <n v="32.57814583333333"/>
    <n v="66342.482761722946"/>
    <n v="36"/>
    <n v="35"/>
    <n v="26.576990438128263"/>
    <n v="2106136"/>
  </r>
  <r>
    <x v="99"/>
    <n v="202410"/>
    <x v="2"/>
    <x v="8"/>
    <s v="Hernán P"/>
    <s v="Daniel R"/>
    <n v="54118"/>
    <n v="2957039"/>
    <n v="54.641021505376337"/>
    <n v="0"/>
    <n v="53.5"/>
    <n v="51"/>
    <m/>
    <n v="0"/>
  </r>
  <r>
    <x v="105"/>
    <n v="202406"/>
    <x v="2"/>
    <x v="11"/>
    <s v="María R"/>
    <s v="María R"/>
    <n v="54045"/>
    <n v="3246931"/>
    <n v="60.077791666666684"/>
    <n v="0"/>
    <n v="61.5"/>
    <n v="56"/>
    <m/>
    <n v="0"/>
  </r>
  <r>
    <x v="99"/>
    <n v="202402"/>
    <x v="2"/>
    <x v="2"/>
    <s v="Hernán P"/>
    <s v="Daniel R"/>
    <n v="53887"/>
    <n v="2932153"/>
    <n v="54.412830459770142"/>
    <n v="0"/>
    <n v="53.5"/>
    <n v="51"/>
    <m/>
    <n v="0"/>
  </r>
  <r>
    <x v="89"/>
    <n v="202505"/>
    <x v="1"/>
    <x v="3"/>
    <s v="Sebastián S"/>
    <s v="Rodolfo O"/>
    <n v="53885"/>
    <n v="1738341"/>
    <n v="32.260168010752693"/>
    <n v="54247.377692088216"/>
    <n v="34"/>
    <n v="34"/>
    <n v="32.044700480582506"/>
    <n v="1739433"/>
  </r>
  <r>
    <x v="99"/>
    <n v="202501"/>
    <x v="1"/>
    <x v="10"/>
    <s v="Hernán P"/>
    <s v="Daniel R"/>
    <n v="53855"/>
    <n v="2882393"/>
    <n v="53.520880376344081"/>
    <n v="61155.528804919173"/>
    <n v="53.5"/>
    <n v="51"/>
    <n v="47.132171633975773"/>
    <n v="3149800"/>
  </r>
  <r>
    <x v="105"/>
    <n v="202405"/>
    <x v="2"/>
    <x v="3"/>
    <s v="María R"/>
    <s v="María R"/>
    <n v="53815"/>
    <n v="3280617"/>
    <n v="60.961344086021519"/>
    <n v="0"/>
    <n v="61.5"/>
    <n v="56"/>
    <m/>
    <n v="0"/>
  </r>
  <r>
    <x v="109"/>
    <n v="202406"/>
    <x v="2"/>
    <x v="11"/>
    <s v="María R"/>
    <s v="María R"/>
    <n v="53781"/>
    <n v="2516142"/>
    <n v="46.78464583333335"/>
    <n v="0"/>
    <n v="59"/>
    <n v="50"/>
    <m/>
    <n v="0"/>
  </r>
  <r>
    <x v="107"/>
    <n v="202507"/>
    <x v="1"/>
    <x v="6"/>
    <s v="María R"/>
    <s v="María R"/>
    <n v="53781"/>
    <n v="2573263"/>
    <n v="47.846740591397847"/>
    <n v="53596.349625762043"/>
    <n v="57.5"/>
    <n v="57"/>
    <n v="48.011899466435203"/>
    <n v="2579991"/>
  </r>
  <r>
    <x v="89"/>
    <n v="202404"/>
    <x v="2"/>
    <x v="9"/>
    <s v="Sebastián S"/>
    <s v="Rodolfo O"/>
    <n v="53774"/>
    <n v="1657576"/>
    <n v="30.82459722222222"/>
    <n v="0"/>
    <n v="34"/>
    <n v="34"/>
    <m/>
    <n v="0"/>
  </r>
  <r>
    <x v="89"/>
    <n v="202402"/>
    <x v="2"/>
    <x v="2"/>
    <s v="Sebastián S"/>
    <s v="Rodolfo O"/>
    <n v="53716"/>
    <n v="1790619"/>
    <n v="33.334985632183908"/>
    <n v="0"/>
    <n v="34"/>
    <n v="34"/>
    <m/>
    <n v="0"/>
  </r>
  <r>
    <x v="93"/>
    <n v="202411"/>
    <x v="2"/>
    <x v="7"/>
    <s v="Hernán P"/>
    <s v="Daniel R"/>
    <n v="53700"/>
    <n v="2250447"/>
    <n v="41.90763888888889"/>
    <n v="0"/>
    <n v="45.5"/>
    <n v="42.5"/>
    <m/>
    <n v="0"/>
  </r>
  <r>
    <x v="89"/>
    <n v="202401"/>
    <x v="2"/>
    <x v="10"/>
    <s v="Sebastián S"/>
    <s v="Rodolfo O"/>
    <n v="53650"/>
    <n v="1779408"/>
    <n v="33.167063172043008"/>
    <n v="0"/>
    <n v="34"/>
    <n v="34"/>
    <m/>
    <n v="0"/>
  </r>
  <r>
    <x v="106"/>
    <n v="202506"/>
    <x v="1"/>
    <x v="11"/>
    <s v="María R"/>
    <s v="María R"/>
    <n v="53643"/>
    <n v="3113046"/>
    <n v="58.03243055555555"/>
    <n v="54262.754302781417"/>
    <n v="64.5"/>
    <n v="61"/>
    <n v="57.369853226201428"/>
    <n v="3071716"/>
  </r>
  <r>
    <x v="74"/>
    <n v="202502"/>
    <x v="1"/>
    <x v="2"/>
    <s v="Sebastián S"/>
    <s v="Rodolfo O"/>
    <n v="53609"/>
    <n v="1411073"/>
    <n v="26.321406249999995"/>
    <n v="56236.871779005509"/>
    <n v="27"/>
    <n v="27"/>
    <n v="25.09160227732982"/>
    <n v="1396558"/>
  </r>
  <r>
    <x v="80"/>
    <n v="202504"/>
    <x v="1"/>
    <x v="9"/>
    <s v="Fátima L"/>
    <s v="Fátima L"/>
    <n v="53572"/>
    <n v="430969"/>
    <n v="8.0446527777777774"/>
    <n v="59737.554641880131"/>
    <n v="10"/>
    <n v="9"/>
    <n v="7.2143679563652778"/>
    <n v="551154"/>
  </r>
  <r>
    <x v="74"/>
    <n v="202402"/>
    <x v="2"/>
    <x v="2"/>
    <s v="Sebastián S"/>
    <s v="Rodolfo O"/>
    <n v="53559"/>
    <n v="1425920"/>
    <n v="26.623383620689665"/>
    <n v="0"/>
    <n v="27"/>
    <n v="27"/>
    <m/>
    <n v="0"/>
  </r>
  <r>
    <x v="84"/>
    <n v="202404"/>
    <x v="2"/>
    <x v="9"/>
    <s v="Sofía V"/>
    <s v="Melany A"/>
    <n v="53553"/>
    <n v="3078507"/>
    <n v="57.484729166666675"/>
    <n v="0"/>
    <n v="52.5"/>
    <n v="52.5"/>
    <m/>
    <n v="0"/>
  </r>
  <r>
    <x v="105"/>
    <n v="202404"/>
    <x v="2"/>
    <x v="9"/>
    <s v="María R"/>
    <s v="María R"/>
    <n v="53534"/>
    <n v="3131815"/>
    <n v="58.501090277777777"/>
    <n v="0"/>
    <n v="61.5"/>
    <n v="56"/>
    <m/>
    <n v="0"/>
  </r>
  <r>
    <x v="107"/>
    <n v="202601"/>
    <x v="0"/>
    <x v="10"/>
    <s v="María R"/>
    <s v="María R"/>
    <n v="53519"/>
    <n v="2681978"/>
    <n v="50.112426075268793"/>
    <n v="51215.621253451733"/>
    <n v="57.5"/>
    <n v="57"/>
    <n v="50.0561866937662"/>
    <n v="2563659"/>
  </r>
  <r>
    <x v="94"/>
    <n v="202409"/>
    <x v="2"/>
    <x v="4"/>
    <s v="Hernán P"/>
    <s v="Daniel R"/>
    <n v="53519"/>
    <n v="2328091"/>
    <n v="43.500381944444456"/>
    <n v="0"/>
    <n v="33"/>
    <n v="31.5"/>
    <m/>
    <n v="0"/>
  </r>
  <r>
    <x v="104"/>
    <n v="202409"/>
    <x v="2"/>
    <x v="4"/>
    <s v="Fátima L"/>
    <s v="Fátima L"/>
    <n v="53489"/>
    <n v="529924"/>
    <n v="9.9070902777777778"/>
    <n v="0"/>
    <n v="11"/>
    <n v="10"/>
    <m/>
    <n v="0"/>
  </r>
  <r>
    <x v="96"/>
    <n v="202408"/>
    <x v="2"/>
    <x v="5"/>
    <s v="Fátima L"/>
    <s v="Fátima L"/>
    <n v="53448"/>
    <n v="633471"/>
    <n v="11.852016129032259"/>
    <n v="0"/>
    <n v="11.5"/>
    <n v="10"/>
    <m/>
    <n v="0"/>
  </r>
  <r>
    <x v="96"/>
    <n v="202410"/>
    <x v="2"/>
    <x v="8"/>
    <s v="Fátima L"/>
    <s v="Fátima L"/>
    <n v="53431"/>
    <n v="598666"/>
    <n v="11.204469086021508"/>
    <n v="0"/>
    <n v="11.5"/>
    <n v="10"/>
    <m/>
    <n v="0"/>
  </r>
  <r>
    <x v="105"/>
    <n v="202605"/>
    <x v="0"/>
    <x v="3"/>
    <s v="María R"/>
    <s v="María R"/>
    <n v="53403"/>
    <n v="2960325"/>
    <n v="55.434072580645747"/>
    <m/>
    <n v="61.5"/>
    <n v="56"/>
    <m/>
    <n v="3412716"/>
  </r>
  <r>
    <x v="104"/>
    <n v="202404"/>
    <x v="2"/>
    <x v="9"/>
    <s v="Fátima L"/>
    <s v="Fátima L"/>
    <n v="53335"/>
    <n v="525366"/>
    <n v="9.8502638888888896"/>
    <n v="0"/>
    <n v="11"/>
    <n v="10"/>
    <m/>
    <n v="0"/>
  </r>
  <r>
    <x v="75"/>
    <n v="202502"/>
    <x v="1"/>
    <x v="2"/>
    <s v="Hernán P"/>
    <s v="Daniel R"/>
    <n v="53309"/>
    <n v="1474871"/>
    <n v="27.666249999999998"/>
    <n v="59365.626336662026"/>
    <n v="31"/>
    <n v="27"/>
    <n v="24.843858660498526"/>
    <n v="1345655"/>
  </r>
  <r>
    <x v="95"/>
    <n v="202411"/>
    <x v="2"/>
    <x v="7"/>
    <s v="Fátima L"/>
    <s v="Fátima L"/>
    <n v="53237"/>
    <n v="359070"/>
    <n v="6.7447430555555572"/>
    <n v="0"/>
    <n v="8.5"/>
    <n v="6.5"/>
    <m/>
    <n v="0"/>
  </r>
  <r>
    <x v="109"/>
    <n v="202511"/>
    <x v="1"/>
    <x v="7"/>
    <s v="María R"/>
    <s v="María R"/>
    <n v="53230"/>
    <n v="2621750"/>
    <n v="49.253604166666669"/>
    <n v="50430.615561054263"/>
    <n v="59"/>
    <n v="50"/>
    <n v="51.987275206386393"/>
    <n v="2853496"/>
  </r>
  <r>
    <x v="95"/>
    <n v="202412"/>
    <x v="2"/>
    <x v="1"/>
    <s v="Fátima L"/>
    <s v="Fátima L"/>
    <n v="53140"/>
    <n v="399382"/>
    <n v="7.5156854838709695"/>
    <n v="0"/>
    <n v="8.5"/>
    <n v="6.5"/>
    <m/>
    <n v="0"/>
  </r>
  <r>
    <x v="86"/>
    <n v="202402"/>
    <x v="2"/>
    <x v="2"/>
    <s v="Sebastián S"/>
    <s v="Vik E"/>
    <n v="53122"/>
    <n v="1960581"/>
    <n v="36.907399425287373"/>
    <n v="0"/>
    <n v="36"/>
    <n v="35"/>
    <m/>
    <n v="0"/>
  </r>
  <r>
    <x v="108"/>
    <n v="202601"/>
    <x v="0"/>
    <x v="10"/>
    <s v="María R"/>
    <s v="María R"/>
    <n v="53103"/>
    <n v="5276274"/>
    <n v="99.358319892473077"/>
    <n v="51233.575784599387"/>
    <n v="22"/>
    <n v="20"/>
    <n v="96.1"/>
    <n v="4923547"/>
  </r>
  <r>
    <x v="74"/>
    <n v="202406"/>
    <x v="2"/>
    <x v="11"/>
    <s v="Sebastián S"/>
    <s v="Rodolfo O"/>
    <n v="53053"/>
    <n v="1402574"/>
    <n v="26.437250000000006"/>
    <n v="0"/>
    <n v="27"/>
    <n v="27"/>
    <m/>
    <n v="0"/>
  </r>
  <r>
    <x v="94"/>
    <n v="202402"/>
    <x v="2"/>
    <x v="2"/>
    <s v="Hernán P"/>
    <s v="Daniel R"/>
    <n v="53038"/>
    <n v="2344665"/>
    <n v="44.207212643678176"/>
    <n v="0"/>
    <n v="33"/>
    <n v="31.5"/>
    <m/>
    <n v="0"/>
  </r>
  <r>
    <x v="99"/>
    <n v="202602"/>
    <x v="0"/>
    <x v="2"/>
    <s v="Hernán P"/>
    <s v="Daniel R"/>
    <n v="52977"/>
    <n v="2741153"/>
    <n v="51.742447916666656"/>
    <n v="63745.587844146408"/>
    <n v="53.5"/>
    <n v="51"/>
    <n v="45.515809558361951"/>
    <n v="2901432"/>
  </r>
  <r>
    <x v="89"/>
    <n v="202502"/>
    <x v="1"/>
    <x v="2"/>
    <s v="Sebastián S"/>
    <s v="Rodolfo O"/>
    <n v="52929"/>
    <n v="1785735"/>
    <n v="33.738593749999993"/>
    <n v="56401.699261114212"/>
    <n v="34"/>
    <n v="34"/>
    <n v="31.661009036852963"/>
    <n v="1691534"/>
  </r>
  <r>
    <x v="109"/>
    <n v="202509"/>
    <x v="1"/>
    <x v="4"/>
    <s v="María R"/>
    <s v="María R"/>
    <n v="52904"/>
    <n v="2612982"/>
    <n v="49.390736111111117"/>
    <n v="52429.70740386242"/>
    <n v="59"/>
    <n v="50"/>
    <n v="49.837808551407377"/>
    <n v="2630808"/>
  </r>
  <r>
    <x v="104"/>
    <n v="202605"/>
    <x v="0"/>
    <x v="3"/>
    <s v="Fátima L"/>
    <s v="Fátima L"/>
    <n v="52881"/>
    <n v="539280"/>
    <n v="10.197936827956996"/>
    <n v="52188.079587348715"/>
    <n v="11"/>
    <n v="10"/>
    <n v="10.023956063077975"/>
    <n v="523131"/>
  </r>
  <r>
    <x v="90"/>
    <n v="202405"/>
    <x v="2"/>
    <x v="3"/>
    <s v="Sebastián S"/>
    <s v="Vik E"/>
    <n v="52881"/>
    <n v="2649087"/>
    <n v="50.095490591397841"/>
    <n v="0"/>
    <n v="47.5"/>
    <n v="43"/>
    <m/>
    <n v="0"/>
  </r>
  <r>
    <x v="106"/>
    <n v="202407"/>
    <x v="2"/>
    <x v="6"/>
    <s v="María R"/>
    <s v="María R"/>
    <n v="52847"/>
    <n v="3087122"/>
    <n v="58.415799731182794"/>
    <n v="0"/>
    <n v="64.5"/>
    <n v="61"/>
    <m/>
    <n v="0"/>
  </r>
  <r>
    <x v="100"/>
    <n v="202502"/>
    <x v="1"/>
    <x v="2"/>
    <s v="Hernán P"/>
    <s v="Daniel R"/>
    <n v="52766"/>
    <n v="1998079"/>
    <n v="37.866927083333337"/>
    <n v="61455.796357597523"/>
    <n v="41.5"/>
    <n v="43"/>
    <n v="32.512464216940963"/>
    <n v="2186118"/>
  </r>
  <r>
    <x v="105"/>
    <n v="202409"/>
    <x v="2"/>
    <x v="4"/>
    <s v="María R"/>
    <s v="María R"/>
    <n v="52747"/>
    <n v="3137886"/>
    <n v="59.4895"/>
    <n v="0"/>
    <n v="61.5"/>
    <n v="56"/>
    <m/>
    <n v="0"/>
  </r>
  <r>
    <x v="104"/>
    <n v="202501"/>
    <x v="1"/>
    <x v="10"/>
    <s v="Fátima L"/>
    <s v="Fátima L"/>
    <n v="52727"/>
    <n v="508066"/>
    <n v="9.6358198924731191"/>
    <n v="57356.487713959672"/>
    <n v="11"/>
    <n v="10"/>
    <n v="8.8580315889242431"/>
    <n v="499820"/>
  </r>
  <r>
    <x v="74"/>
    <n v="202401"/>
    <x v="2"/>
    <x v="10"/>
    <s v="Sebastián S"/>
    <s v="Rodolfo O"/>
    <n v="52682"/>
    <n v="1441504"/>
    <n v="27.362237903225807"/>
    <n v="0"/>
    <n v="27"/>
    <n v="27"/>
    <m/>
    <n v="0"/>
  </r>
  <r>
    <x v="109"/>
    <n v="202506"/>
    <x v="1"/>
    <x v="11"/>
    <s v="María R"/>
    <s v="María R"/>
    <n v="52605"/>
    <n v="2630192"/>
    <n v="49.998763888888881"/>
    <n v="56470.440791873014"/>
    <n v="59"/>
    <n v="50"/>
    <n v="46.576442526698443"/>
    <n v="2664799"/>
  </r>
  <r>
    <x v="96"/>
    <n v="202502"/>
    <x v="1"/>
    <x v="2"/>
    <s v="Fátima L"/>
    <s v="Fátima L"/>
    <n v="52597"/>
    <n v="612858"/>
    <n v="11.65203125"/>
    <n v="61682.201320515516"/>
    <n v="11.5"/>
    <n v="10"/>
    <n v="9.9357274364357568"/>
    <n v="656556"/>
  </r>
  <r>
    <x v="104"/>
    <n v="202510"/>
    <x v="1"/>
    <x v="8"/>
    <s v="Fátima L"/>
    <s v="Fátima L"/>
    <n v="52574"/>
    <n v="515069"/>
    <n v="9.7971303763440876"/>
    <n v="59891.098225540569"/>
    <n v="11"/>
    <n v="10"/>
    <n v="8.6001007705740911"/>
    <n v="570134"/>
  </r>
  <r>
    <x v="74"/>
    <n v="202410"/>
    <x v="2"/>
    <x v="8"/>
    <s v="Sebastián S"/>
    <s v="Rodolfo O"/>
    <n v="52566"/>
    <n v="1389080"/>
    <n v="26.425329301075269"/>
    <n v="0"/>
    <n v="27"/>
    <n v="27"/>
    <m/>
    <n v="0"/>
  </r>
  <r>
    <x v="109"/>
    <n v="202405"/>
    <x v="2"/>
    <x v="3"/>
    <s v="María R"/>
    <s v="María R"/>
    <n v="52505"/>
    <n v="2592295"/>
    <n v="49.372345430107522"/>
    <n v="0"/>
    <n v="59"/>
    <n v="50"/>
    <m/>
    <n v="0"/>
  </r>
  <r>
    <x v="102"/>
    <n v="202501"/>
    <x v="1"/>
    <x v="10"/>
    <s v="Fátima L"/>
    <s v="Fátima L"/>
    <n v="52483"/>
    <n v="548450"/>
    <n v="10.449946236559143"/>
    <n v="74799.0883853165"/>
    <n v="11"/>
    <n v="12"/>
    <n v="7.3323029977951437"/>
    <n v="734740"/>
  </r>
  <r>
    <x v="109"/>
    <n v="202404"/>
    <x v="2"/>
    <x v="9"/>
    <s v="María R"/>
    <s v="María R"/>
    <n v="52435"/>
    <n v="2473562"/>
    <n v="47.17421527777779"/>
    <n v="0"/>
    <n v="59"/>
    <n v="50"/>
    <m/>
    <n v="0"/>
  </r>
  <r>
    <x v="106"/>
    <n v="202511"/>
    <x v="1"/>
    <x v="7"/>
    <s v="María R"/>
    <s v="María R"/>
    <n v="52428"/>
    <n v="3117185"/>
    <n v="59.456104166666677"/>
    <n v="58424.288965121152"/>
    <n v="64.5"/>
    <n v="61"/>
    <n v="53.354272259281331"/>
    <n v="2911116"/>
  </r>
  <r>
    <x v="86"/>
    <n v="202405"/>
    <x v="2"/>
    <x v="3"/>
    <s v="Sebastián S"/>
    <s v="Vik E"/>
    <n v="52428"/>
    <n v="1946892"/>
    <n v="37.134670698924729"/>
    <n v="0"/>
    <n v="36"/>
    <n v="35"/>
    <m/>
    <n v="0"/>
  </r>
  <r>
    <x v="74"/>
    <n v="202506"/>
    <x v="1"/>
    <x v="11"/>
    <s v="Sebastián S"/>
    <s v="Rodolfo O"/>
    <n v="52369"/>
    <n v="1342678"/>
    <n v="25.6388125"/>
    <n v="55705.595022175126"/>
    <n v="27"/>
    <n v="27"/>
    <n v="24.103102739778841"/>
    <n v="1455251"/>
  </r>
  <r>
    <x v="89"/>
    <n v="202501"/>
    <x v="1"/>
    <x v="10"/>
    <s v="Sebastián S"/>
    <s v="Rodolfo O"/>
    <n v="52324"/>
    <n v="1721569"/>
    <n v="32.902305107526885"/>
    <n v="56332.356932189366"/>
    <n v="34"/>
    <n v="34"/>
    <n v="30.560925083826262"/>
    <n v="1757393"/>
  </r>
  <r>
    <x v="104"/>
    <n v="202504"/>
    <x v="1"/>
    <x v="9"/>
    <s v="Fátima L"/>
    <s v="Fátima L"/>
    <n v="52319"/>
    <n v="505348"/>
    <n v="9.6589305555555569"/>
    <n v="56001.942457830388"/>
    <n v="11"/>
    <n v="10"/>
    <n v="9.0237628878771226"/>
    <n v="557384"/>
  </r>
  <r>
    <x v="86"/>
    <n v="202502"/>
    <x v="1"/>
    <x v="2"/>
    <s v="Sebastián S"/>
    <s v="Vik E"/>
    <n v="52294"/>
    <n v="1822181"/>
    <n v="34.844947916666669"/>
    <n v="55777.710460670605"/>
    <n v="36"/>
    <n v="35"/>
    <n v="32.66861663826873"/>
    <n v="1889604"/>
  </r>
  <r>
    <x v="109"/>
    <n v="202510"/>
    <x v="1"/>
    <x v="8"/>
    <s v="María R"/>
    <s v="María R"/>
    <n v="52289"/>
    <n v="2690444"/>
    <n v="51.453010752688165"/>
    <n v="53969.594142716662"/>
    <n v="59"/>
    <n v="50"/>
    <n v="49.851113441494775"/>
    <n v="2591051"/>
  </r>
  <r>
    <x v="95"/>
    <n v="202501"/>
    <x v="1"/>
    <x v="10"/>
    <s v="Fátima L"/>
    <s v="Fátima L"/>
    <n v="52250"/>
    <n v="334725"/>
    <n v="6.4062231182795717"/>
    <n v="45144.947732618435"/>
    <n v="8.5"/>
    <n v="6.5"/>
    <n v="7.414459796974179"/>
    <n v="330888"/>
  </r>
  <r>
    <x v="80"/>
    <n v="202505"/>
    <x v="1"/>
    <x v="3"/>
    <s v="Fátima L"/>
    <s v="Fátima L"/>
    <n v="52242"/>
    <n v="451697"/>
    <n v="8.6461760752688193"/>
    <n v="61383.33250430593"/>
    <n v="10"/>
    <n v="9"/>
    <n v="7.3586223095384105"/>
    <n v="576186"/>
  </r>
  <r>
    <x v="74"/>
    <n v="202501"/>
    <x v="1"/>
    <x v="10"/>
    <s v="Sebastián S"/>
    <s v="Rodolfo O"/>
    <n v="52238"/>
    <n v="1401792"/>
    <n v="26.83488575268818"/>
    <n v="55316.356061707957"/>
    <n v="27"/>
    <n v="27"/>
    <n v="25.341357236840341"/>
    <n v="1489176"/>
  </r>
  <r>
    <x v="106"/>
    <n v="202403"/>
    <x v="2"/>
    <x v="0"/>
    <s v="María R"/>
    <s v="María R"/>
    <n v="52083"/>
    <n v="3110147"/>
    <n v="59.714892473118269"/>
    <n v="0"/>
    <n v="64.5"/>
    <n v="61"/>
    <m/>
    <n v="0"/>
  </r>
  <r>
    <x v="108"/>
    <n v="202402"/>
    <x v="2"/>
    <x v="2"/>
    <s v="María R"/>
    <s v="María R"/>
    <n v="52000"/>
    <n v="4655588"/>
    <n v="89.530000000000072"/>
    <n v="0"/>
    <n v="22"/>
    <n v="20"/>
    <m/>
    <n v="0"/>
  </r>
  <r>
    <x v="109"/>
    <n v="202407"/>
    <x v="2"/>
    <x v="6"/>
    <s v="María R"/>
    <s v="María R"/>
    <n v="51986"/>
    <n v="2520235"/>
    <n v="48.479186827956987"/>
    <n v="0"/>
    <n v="59"/>
    <n v="50"/>
    <m/>
    <n v="0"/>
  </r>
  <r>
    <x v="109"/>
    <n v="202504"/>
    <x v="1"/>
    <x v="9"/>
    <s v="María R"/>
    <s v="María R"/>
    <n v="51892"/>
    <n v="2724024"/>
    <n v="52.493874999999996"/>
    <n v="55056.33982900557"/>
    <n v="59"/>
    <n v="50"/>
    <n v="49.477025506241361"/>
    <n v="2640198"/>
  </r>
  <r>
    <x v="94"/>
    <n v="202502"/>
    <x v="1"/>
    <x v="2"/>
    <s v="Hernán P"/>
    <s v="Daniel R"/>
    <n v="51814"/>
    <n v="2187190"/>
    <n v="42.212187499999999"/>
    <n v="55689.97495597729"/>
    <n v="33"/>
    <n v="31.5"/>
    <n v="39.274389541905258"/>
    <n v="2295554"/>
  </r>
  <r>
    <x v="109"/>
    <n v="202505"/>
    <x v="1"/>
    <x v="3"/>
    <s v="María R"/>
    <s v="María R"/>
    <n v="51812"/>
    <n v="2785143"/>
    <n v="53.754778225806469"/>
    <n v="55130.252407254789"/>
    <n v="59"/>
    <n v="50"/>
    <n v="50.519327018961611"/>
    <n v="2743378"/>
  </r>
  <r>
    <x v="109"/>
    <n v="202402"/>
    <x v="2"/>
    <x v="2"/>
    <s v="María R"/>
    <s v="María R"/>
    <n v="51722"/>
    <n v="2385344"/>
    <n v="46.11873563218392"/>
    <n v="0"/>
    <n v="59"/>
    <n v="50"/>
    <m/>
    <n v="0"/>
  </r>
  <r>
    <x v="109"/>
    <n v="202602"/>
    <x v="0"/>
    <x v="2"/>
    <s v="María R"/>
    <s v="María R"/>
    <n v="51681"/>
    <n v="2534449"/>
    <n v="49.039791666666666"/>
    <n v="48630.034641068596"/>
    <n v="59"/>
    <n v="50"/>
    <n v="50.48039166574727"/>
    <n v="2454863"/>
  </r>
  <r>
    <x v="106"/>
    <n v="202406"/>
    <x v="2"/>
    <x v="11"/>
    <s v="María R"/>
    <s v="María R"/>
    <n v="51679"/>
    <n v="2960686"/>
    <n v="57.290138888888897"/>
    <n v="0"/>
    <n v="64.5"/>
    <n v="61"/>
    <m/>
    <n v="0"/>
  </r>
  <r>
    <x v="106"/>
    <n v="202510"/>
    <x v="1"/>
    <x v="8"/>
    <s v="María R"/>
    <s v="María R"/>
    <n v="51664"/>
    <n v="3131366"/>
    <n v="60.609932795698924"/>
    <n v="57778.033649377001"/>
    <n v="64.5"/>
    <n v="61"/>
    <n v="54.196476969128639"/>
    <n v="3087451"/>
  </r>
  <r>
    <x v="89"/>
    <n v="202405"/>
    <x v="2"/>
    <x v="3"/>
    <s v="Sebastián S"/>
    <s v="Rodolfo O"/>
    <n v="51664"/>
    <n v="1686671"/>
    <n v="32.646814516129034"/>
    <n v="0"/>
    <n v="34"/>
    <n v="34"/>
    <m/>
    <n v="0"/>
  </r>
  <r>
    <x v="74"/>
    <n v="202411"/>
    <x v="2"/>
    <x v="7"/>
    <s v="Sebastián S"/>
    <s v="Rodolfo O"/>
    <n v="51596"/>
    <n v="1493207"/>
    <n v="28.940576388888896"/>
    <n v="0"/>
    <n v="27"/>
    <n v="27"/>
    <m/>
    <n v="0"/>
  </r>
  <r>
    <x v="74"/>
    <n v="202404"/>
    <x v="2"/>
    <x v="9"/>
    <s v="Sebastián S"/>
    <s v="Rodolfo O"/>
    <n v="51501"/>
    <n v="1352943"/>
    <n v="26.270173611111115"/>
    <n v="0"/>
    <n v="27"/>
    <n v="27"/>
    <m/>
    <n v="0"/>
  </r>
  <r>
    <x v="109"/>
    <n v="202507"/>
    <x v="1"/>
    <x v="6"/>
    <s v="María R"/>
    <s v="María R"/>
    <n v="51476"/>
    <n v="2602056"/>
    <n v="50.549126344086012"/>
    <n v="54585.21864013531"/>
    <n v="59"/>
    <n v="50"/>
    <n v="47.669610653290754"/>
    <n v="3096765"/>
  </r>
  <r>
    <x v="107"/>
    <n v="202511"/>
    <x v="1"/>
    <x v="7"/>
    <s v="María R"/>
    <s v="María R"/>
    <n v="51460"/>
    <n v="2609914"/>
    <n v="50.716944444444444"/>
    <n v="49860.834530312073"/>
    <n v="57.5"/>
    <n v="57"/>
    <n v="52.343971066375659"/>
    <n v="2458458"/>
  </r>
  <r>
    <x v="107"/>
    <n v="202506"/>
    <x v="1"/>
    <x v="11"/>
    <s v="María R"/>
    <s v="María R"/>
    <n v="51448"/>
    <n v="2482002"/>
    <n v="48.242590277777779"/>
    <n v="53028.421315840475"/>
    <n v="57.5"/>
    <n v="57"/>
    <n v="46.805120318725841"/>
    <n v="2615883"/>
  </r>
  <r>
    <x v="86"/>
    <n v="202409"/>
    <x v="2"/>
    <x v="4"/>
    <s v="Sebastián S"/>
    <s v="Vik E"/>
    <n v="51409"/>
    <n v="1889631"/>
    <n v="36.756465277777771"/>
    <n v="0"/>
    <n v="36"/>
    <n v="35"/>
    <m/>
    <n v="0"/>
  </r>
  <r>
    <x v="109"/>
    <n v="202410"/>
    <x v="2"/>
    <x v="8"/>
    <s v="María R"/>
    <s v="María R"/>
    <n v="51400"/>
    <n v="2699500"/>
    <n v="52.519852150537631"/>
    <n v="0"/>
    <n v="59"/>
    <n v="50"/>
    <m/>
    <n v="0"/>
  </r>
  <r>
    <x v="104"/>
    <n v="202602"/>
    <x v="0"/>
    <x v="2"/>
    <s v="Fátima L"/>
    <s v="Fátima L"/>
    <n v="51398"/>
    <n v="486083"/>
    <n v="9.4572395833333331"/>
    <n v="50066.15874430495"/>
    <n v="11"/>
    <n v="10"/>
    <n v="10.023956063077975"/>
    <n v="501861"/>
  </r>
  <r>
    <x v="104"/>
    <n v="202606"/>
    <x v="0"/>
    <x v="11"/>
    <s v="Fátima L"/>
    <s v="Fátima L"/>
    <n v="51190"/>
    <n v="496952"/>
    <n v="9.7079305555555635"/>
    <n v="51008.839871450517"/>
    <n v="11"/>
    <n v="10"/>
    <n v="10.023956063077975"/>
    <n v="511310"/>
  </r>
  <r>
    <x v="107"/>
    <n v="202408"/>
    <x v="2"/>
    <x v="5"/>
    <s v="María R"/>
    <s v="María R"/>
    <n v="51122"/>
    <n v="2482164"/>
    <n v="48.55365591397851"/>
    <n v="0"/>
    <n v="57.5"/>
    <n v="57"/>
    <m/>
    <n v="0"/>
  </r>
  <r>
    <x v="86"/>
    <n v="202404"/>
    <x v="2"/>
    <x v="9"/>
    <s v="Sebastián S"/>
    <s v="Vik E"/>
    <n v="51077"/>
    <n v="1954585"/>
    <n v="38.267347222222227"/>
    <n v="0"/>
    <n v="36"/>
    <n v="35"/>
    <m/>
    <n v="0"/>
  </r>
  <r>
    <x v="95"/>
    <n v="202503"/>
    <x v="1"/>
    <x v="0"/>
    <s v="Fátima L"/>
    <s v="Fátima L"/>
    <n v="51045"/>
    <n v="357973"/>
    <n v="7.0129368279569899"/>
    <n v="50850.588520463476"/>
    <n v="8.5"/>
    <n v="6.5"/>
    <n v="7.0396923696555325"/>
    <n v="344829"/>
  </r>
  <r>
    <x v="107"/>
    <n v="202407"/>
    <x v="2"/>
    <x v="6"/>
    <s v="María R"/>
    <s v="María R"/>
    <n v="51044"/>
    <n v="2428296"/>
    <n v="47.572479838709675"/>
    <n v="0"/>
    <n v="57.5"/>
    <n v="57"/>
    <m/>
    <n v="0"/>
  </r>
  <r>
    <x v="42"/>
    <n v="202510"/>
    <x v="1"/>
    <x v="8"/>
    <s v="Hernán P"/>
    <s v="Daniel R"/>
    <n v="51017"/>
    <n v="757672"/>
    <n v="14.851337365591393"/>
    <n v="48929.796208572559"/>
    <n v="22.5"/>
    <n v="21"/>
    <n v="15.484880557652003"/>
    <n v="646148"/>
  </r>
  <r>
    <x v="106"/>
    <n v="202401"/>
    <x v="2"/>
    <x v="10"/>
    <s v="María R"/>
    <s v="María R"/>
    <n v="50946"/>
    <n v="2884543"/>
    <n v="56.619885752688184"/>
    <n v="0"/>
    <n v="64.5"/>
    <n v="61"/>
    <m/>
    <n v="0"/>
  </r>
  <r>
    <x v="91"/>
    <n v="202404"/>
    <x v="2"/>
    <x v="9"/>
    <s v="Hernán P"/>
    <s v="Daniel R"/>
    <n v="50940"/>
    <n v="1034075"/>
    <n v="20.300048611111112"/>
    <n v="0"/>
    <n v="19"/>
    <n v="21.5"/>
    <m/>
    <n v="0"/>
  </r>
  <r>
    <x v="106"/>
    <n v="202603"/>
    <x v="0"/>
    <x v="0"/>
    <s v="María R"/>
    <s v="María R"/>
    <n v="50926"/>
    <n v="3225829"/>
    <n v="63.343319892473112"/>
    <n v="60844.93826179429"/>
    <n v="64.5"/>
    <n v="61"/>
    <n v="55.57085132952011"/>
    <n v="3381205"/>
  </r>
  <r>
    <x v="0"/>
    <n v="202510"/>
    <x v="1"/>
    <x v="8"/>
    <s v="Fátima L"/>
    <s v="Fátima L"/>
    <n v="50913"/>
    <n v="898074"/>
    <n v="17.639529569892471"/>
    <n v="64949.849021566639"/>
    <n v="13.5"/>
    <n v="12.5"/>
    <n v="13.827184258762392"/>
    <n v="981742"/>
  </r>
  <r>
    <x v="101"/>
    <n v="202502"/>
    <x v="1"/>
    <x v="2"/>
    <s v="Fátima L"/>
    <s v="Fátima L"/>
    <n v="50909"/>
    <n v="638112"/>
    <n v="12.534322916666667"/>
    <n v="63990.907193673724"/>
    <n v="13.5"/>
    <n v="14.5"/>
    <n v="9.9719201990479842"/>
    <n v="863362"/>
  </r>
  <r>
    <x v="95"/>
    <n v="202408"/>
    <x v="2"/>
    <x v="5"/>
    <s v="Fátima L"/>
    <s v="Fátima L"/>
    <n v="50870"/>
    <n v="363185"/>
    <n v="7.1395295698924741"/>
    <n v="0"/>
    <n v="8.5"/>
    <n v="6.5"/>
    <m/>
    <n v="0"/>
  </r>
  <r>
    <x v="106"/>
    <n v="202409"/>
    <x v="2"/>
    <x v="4"/>
    <s v="María R"/>
    <s v="María R"/>
    <n v="50861"/>
    <n v="2992147"/>
    <n v="58.830041666666645"/>
    <n v="0"/>
    <n v="64.5"/>
    <n v="61"/>
    <m/>
    <n v="0"/>
  </r>
  <r>
    <x v="106"/>
    <n v="202405"/>
    <x v="2"/>
    <x v="3"/>
    <s v="María R"/>
    <s v="María R"/>
    <n v="50748"/>
    <n v="3046493"/>
    <n v="60.031444892473104"/>
    <n v="0"/>
    <n v="64.5"/>
    <n v="61"/>
    <m/>
    <n v="0"/>
  </r>
  <r>
    <x v="102"/>
    <n v="202502"/>
    <x v="1"/>
    <x v="2"/>
    <s v="Fátima L"/>
    <s v="Fátima L"/>
    <n v="50739"/>
    <n v="550399"/>
    <n v="10.847604166666667"/>
    <n v="68326.082308152225"/>
    <n v="11"/>
    <n v="12"/>
    <n v="8.0554731283682841"/>
    <n v="614462"/>
  </r>
  <r>
    <x v="109"/>
    <n v="202503"/>
    <x v="1"/>
    <x v="0"/>
    <s v="María R"/>
    <s v="María R"/>
    <n v="50692"/>
    <n v="2657199"/>
    <n v="52.41847446236558"/>
    <n v="57408.432808381622"/>
    <n v="59"/>
    <n v="50"/>
    <n v="46.285867424202713"/>
    <n v="2553906"/>
  </r>
  <r>
    <x v="89"/>
    <n v="202508"/>
    <x v="1"/>
    <x v="5"/>
    <s v="Sebastián S"/>
    <s v="Rodolfo O"/>
    <n v="50640"/>
    <n v="1586805"/>
    <n v="31.334831989247316"/>
    <n v="66864.875351462237"/>
    <n v="34"/>
    <n v="34"/>
    <n v="23.731512272463977"/>
    <n v="1777950"/>
  </r>
  <r>
    <x v="104"/>
    <n v="202604"/>
    <x v="0"/>
    <x v="9"/>
    <s v="Fátima L"/>
    <s v="Fátima L"/>
    <n v="50603"/>
    <n v="502669"/>
    <n v="9.9336319444444428"/>
    <n v="50615.535424065565"/>
    <n v="11"/>
    <n v="10"/>
    <n v="10.023956063077975"/>
    <n v="507368"/>
  </r>
  <r>
    <x v="107"/>
    <n v="202403"/>
    <x v="2"/>
    <x v="0"/>
    <s v="María R"/>
    <s v="María R"/>
    <n v="50556"/>
    <n v="2704508"/>
    <n v="53.494818548387101"/>
    <n v="0"/>
    <n v="57.5"/>
    <n v="57"/>
    <m/>
    <n v="0"/>
  </r>
  <r>
    <x v="107"/>
    <n v="202406"/>
    <x v="2"/>
    <x v="11"/>
    <s v="María R"/>
    <s v="María R"/>
    <n v="50503"/>
    <n v="2482035"/>
    <n v="49.146027777777789"/>
    <n v="0"/>
    <n v="57.5"/>
    <n v="57"/>
    <m/>
    <n v="0"/>
  </r>
  <r>
    <x v="107"/>
    <n v="202409"/>
    <x v="2"/>
    <x v="4"/>
    <s v="María R"/>
    <s v="María R"/>
    <n v="50357"/>
    <n v="2404663"/>
    <n v="47.751958333333334"/>
    <n v="0"/>
    <n v="57.5"/>
    <n v="57"/>
    <m/>
    <n v="0"/>
  </r>
  <r>
    <x v="108"/>
    <n v="202501"/>
    <x v="1"/>
    <x v="10"/>
    <s v="María R"/>
    <s v="María R"/>
    <n v="50043"/>
    <n v="4807860"/>
    <n v="96.074999999999989"/>
    <n v="46865.842178484279"/>
    <n v="22"/>
    <n v="20"/>
    <n v="102.58772202769141"/>
    <n v="4227083"/>
  </r>
  <r>
    <x v="108"/>
    <n v="202403"/>
    <x v="2"/>
    <x v="0"/>
    <s v="María R"/>
    <s v="María R"/>
    <n v="50026"/>
    <n v="3933950"/>
    <n v="78.637708333333393"/>
    <n v="0"/>
    <n v="22"/>
    <n v="20"/>
    <m/>
    <n v="0"/>
  </r>
  <r>
    <x v="109"/>
    <n v="202409"/>
    <x v="2"/>
    <x v="4"/>
    <s v="María R"/>
    <s v="María R"/>
    <n v="49933"/>
    <n v="2586678"/>
    <n v="51.802916666666647"/>
    <n v="0"/>
    <n v="59"/>
    <n v="50"/>
    <m/>
    <n v="0"/>
  </r>
  <r>
    <x v="104"/>
    <n v="202506"/>
    <x v="1"/>
    <x v="11"/>
    <s v="Fátima L"/>
    <s v="Fátima L"/>
    <n v="49866"/>
    <n v="506384"/>
    <n v="10.154958333333333"/>
    <n v="69954.876140666616"/>
    <n v="11"/>
    <n v="10"/>
    <n v="7.2387297060143796"/>
    <n v="560326"/>
  </r>
  <r>
    <x v="101"/>
    <n v="202511"/>
    <x v="1"/>
    <x v="7"/>
    <s v="Fátima L"/>
    <s v="Fátima L"/>
    <n v="49805"/>
    <n v="876116"/>
    <n v="17.590951388888886"/>
    <n v="56948.355597948881"/>
    <n v="13.5"/>
    <n v="14.5"/>
    <n v="15.384400494112864"/>
    <n v="933780"/>
  </r>
  <r>
    <x v="110"/>
    <n v="202512"/>
    <x v="1"/>
    <x v="1"/>
    <s v="Fátima L"/>
    <s v="Fátima L"/>
    <n v="49700"/>
    <n v="376988"/>
    <n v="7.5853091397849379"/>
    <n v="49447.197025072172"/>
    <n v="9"/>
    <n v="9"/>
    <n v="7.624061477313834"/>
    <n v="390708"/>
  </r>
  <r>
    <x v="94"/>
    <n v="202411"/>
    <x v="2"/>
    <x v="7"/>
    <s v="Hernán P"/>
    <s v="Daniel R"/>
    <n v="49617"/>
    <n v="2306991"/>
    <n v="46.496138888888879"/>
    <n v="0"/>
    <n v="33"/>
    <n v="31.5"/>
    <m/>
    <n v="0"/>
  </r>
  <r>
    <x v="107"/>
    <n v="202505"/>
    <x v="1"/>
    <x v="3"/>
    <s v="María R"/>
    <s v="María R"/>
    <n v="49601"/>
    <n v="2640971"/>
    <n v="53.244220430107532"/>
    <n v="50319.094849754481"/>
    <n v="57.5"/>
    <n v="57"/>
    <n v="52.484476477280793"/>
    <n v="2604645"/>
  </r>
  <r>
    <x v="103"/>
    <n v="202402"/>
    <x v="2"/>
    <x v="2"/>
    <s v="María R"/>
    <s v="María R"/>
    <n v="49582"/>
    <n v="3240097"/>
    <n v="65.348670977011508"/>
    <n v="0"/>
    <n v="66"/>
    <n v="65.5"/>
    <m/>
    <n v="0"/>
  </r>
  <r>
    <x v="100"/>
    <n v="202602"/>
    <x v="0"/>
    <x v="2"/>
    <s v="Hernán P"/>
    <s v="Daniel R"/>
    <n v="49538"/>
    <n v="1917534"/>
    <n v="38.708593749999984"/>
    <n v="65509.233362321895"/>
    <n v="41.5"/>
    <n v="43"/>
    <n v="33.730466012000377"/>
    <n v="2209657"/>
  </r>
  <r>
    <x v="95"/>
    <n v="202410"/>
    <x v="2"/>
    <x v="8"/>
    <s v="Fátima L"/>
    <s v="Fátima L"/>
    <n v="49395"/>
    <n v="370302"/>
    <n v="7.4967271505376356"/>
    <n v="0"/>
    <n v="8.5"/>
    <n v="6.5"/>
    <m/>
    <n v="0"/>
  </r>
  <r>
    <x v="80"/>
    <n v="202506"/>
    <x v="1"/>
    <x v="11"/>
    <s v="Fátima L"/>
    <s v="Fátima L"/>
    <n v="49390"/>
    <n v="433722"/>
    <n v="8.7815972222222243"/>
    <n v="59979.989760227647"/>
    <n v="10"/>
    <n v="9"/>
    <n v="7.2311161061184182"/>
    <n v="538378"/>
  </r>
  <r>
    <x v="109"/>
    <n v="202501"/>
    <x v="1"/>
    <x v="10"/>
    <s v="María R"/>
    <s v="María R"/>
    <n v="49367"/>
    <n v="2647542"/>
    <n v="53.629596774193558"/>
    <n v="57261.45340682011"/>
    <n v="59"/>
    <n v="50"/>
    <n v="46.236027597662492"/>
    <n v="2464383"/>
  </r>
  <r>
    <x v="107"/>
    <n v="202410"/>
    <x v="2"/>
    <x v="8"/>
    <s v="María R"/>
    <s v="María R"/>
    <n v="49344"/>
    <n v="2394503"/>
    <n v="48.526982526881717"/>
    <n v="0"/>
    <n v="57.5"/>
    <n v="57"/>
    <m/>
    <n v="0"/>
  </r>
  <r>
    <x v="89"/>
    <n v="202506"/>
    <x v="1"/>
    <x v="11"/>
    <s v="Sebastián S"/>
    <s v="Rodolfo O"/>
    <n v="49319"/>
    <n v="1554170"/>
    <n v="31.51254166666666"/>
    <n v="62140.637504356928"/>
    <n v="34"/>
    <n v="34"/>
    <n v="25.010518759017089"/>
    <n v="1737210"/>
  </r>
  <r>
    <x v="106"/>
    <n v="202604"/>
    <x v="0"/>
    <x v="9"/>
    <s v="María R"/>
    <s v="María R"/>
    <n v="49295"/>
    <n v="3209610"/>
    <n v="65.110743055556625"/>
    <n v="59054.118124634799"/>
    <n v="64.5"/>
    <n v="61"/>
    <n v="55.57085132952011"/>
    <n v="3281688"/>
  </r>
  <r>
    <x v="108"/>
    <n v="202502"/>
    <x v="1"/>
    <x v="2"/>
    <s v="María R"/>
    <s v="María R"/>
    <n v="49267"/>
    <n v="4390530"/>
    <n v="89.116979166666667"/>
    <n v="54600.323221266583"/>
    <n v="22"/>
    <n v="20"/>
    <n v="80.412165550879152"/>
    <n v="4671490"/>
  </r>
  <r>
    <x v="104"/>
    <n v="202505"/>
    <x v="1"/>
    <x v="3"/>
    <s v="Fátima L"/>
    <s v="Fátima L"/>
    <n v="49199"/>
    <n v="529454"/>
    <n v="10.761512096774196"/>
    <n v="59830.736351828898"/>
    <n v="11"/>
    <n v="10"/>
    <n v="8.8491941146536739"/>
    <n v="562658"/>
  </r>
  <r>
    <x v="80"/>
    <n v="202501"/>
    <x v="1"/>
    <x v="10"/>
    <s v="Fátima L"/>
    <s v="Fátima L"/>
    <n v="49112"/>
    <n v="430620"/>
    <n v="8.768111559139788"/>
    <n v="63955.308752467783"/>
    <n v="10"/>
    <n v="9"/>
    <n v="6.7331428524044776"/>
    <n v="563061"/>
  </r>
  <r>
    <x v="44"/>
    <n v="202602"/>
    <x v="0"/>
    <x v="2"/>
    <s v="Sebastián S"/>
    <s v="Johanna V"/>
    <n v="49085"/>
    <n v="4191044"/>
    <n v="85.384010416666669"/>
    <n v="93405.144642720858"/>
    <n v="117.5"/>
    <n v="99"/>
    <n v="98.005014700369543"/>
    <n v="9154173"/>
  </r>
  <r>
    <x v="107"/>
    <n v="202602"/>
    <x v="0"/>
    <x v="2"/>
    <s v="María R"/>
    <s v="María R"/>
    <n v="49026"/>
    <n v="2571073"/>
    <n v="52.442708333333329"/>
    <n v="51684.680707453736"/>
    <n v="57.5"/>
    <n v="57"/>
    <n v="50.0561866937662"/>
    <n v="2587138"/>
  </r>
  <r>
    <x v="104"/>
    <n v="202402"/>
    <x v="2"/>
    <x v="2"/>
    <s v="Fátima L"/>
    <s v="Fátima L"/>
    <n v="48988"/>
    <n v="491226"/>
    <n v="10.0275"/>
    <n v="0"/>
    <n v="11"/>
    <n v="10"/>
    <m/>
    <n v="0"/>
  </r>
  <r>
    <x v="89"/>
    <n v="202509"/>
    <x v="1"/>
    <x v="4"/>
    <s v="Sebastián S"/>
    <s v="Rodolfo O"/>
    <n v="48976"/>
    <n v="1465999"/>
    <n v="29.933166666666665"/>
    <n v="59261.166796523801"/>
    <n v="34"/>
    <n v="34"/>
    <n v="24.737932431090677"/>
    <n v="1824893"/>
  </r>
  <r>
    <x v="93"/>
    <n v="202405"/>
    <x v="2"/>
    <x v="3"/>
    <s v="Hernán P"/>
    <s v="Daniel R"/>
    <n v="48865"/>
    <n v="2005911"/>
    <n v="41.050201612903216"/>
    <n v="0"/>
    <n v="45.5"/>
    <n v="42.5"/>
    <m/>
    <n v="0"/>
  </r>
  <r>
    <x v="101"/>
    <n v="202601"/>
    <x v="0"/>
    <x v="10"/>
    <s v="Fátima L"/>
    <s v="Fátima L"/>
    <n v="48849"/>
    <n v="871338"/>
    <n v="17.837439516129031"/>
    <n v="72636.043724580741"/>
    <n v="13.5"/>
    <n v="14.5"/>
    <n v="13.189776457714554"/>
    <n v="958053"/>
  </r>
  <r>
    <x v="106"/>
    <n v="202402"/>
    <x v="2"/>
    <x v="2"/>
    <s v="María R"/>
    <s v="María R"/>
    <n v="48783"/>
    <n v="2908726"/>
    <n v="59.625869252873578"/>
    <n v="0"/>
    <n v="64.5"/>
    <n v="61"/>
    <m/>
    <n v="0"/>
  </r>
  <r>
    <x v="74"/>
    <n v="202504"/>
    <x v="1"/>
    <x v="9"/>
    <s v="Sebastián S"/>
    <s v="Rodolfo O"/>
    <n v="48687"/>
    <n v="1305270"/>
    <n v="26.809416666666671"/>
    <n v="54076.147878944874"/>
    <n v="27"/>
    <n v="27"/>
    <n v="24.13763759434168"/>
    <n v="1510779"/>
  </r>
  <r>
    <x v="0"/>
    <n v="202509"/>
    <x v="1"/>
    <x v="4"/>
    <s v="Fátima L"/>
    <s v="Fátima L"/>
    <n v="48535"/>
    <n v="921722"/>
    <n v="18.991048611111108"/>
    <n v="66641.3364940967"/>
    <n v="13.5"/>
    <n v="12.5"/>
    <n v="13.831088607919034"/>
    <n v="963011"/>
  </r>
  <r>
    <x v="95"/>
    <n v="202403"/>
    <x v="2"/>
    <x v="0"/>
    <s v="Fátima L"/>
    <s v="Fátima L"/>
    <n v="48429"/>
    <n v="346634"/>
    <n v="7.1575470430107542"/>
    <n v="0"/>
    <n v="8.5"/>
    <n v="6.5"/>
    <m/>
    <n v="0"/>
  </r>
  <r>
    <x v="95"/>
    <n v="202602"/>
    <x v="0"/>
    <x v="2"/>
    <s v="Fátima L"/>
    <s v="Fátima L"/>
    <n v="48295"/>
    <n v="312656"/>
    <n v="6.4739062500000006"/>
    <n v="42558.287094907202"/>
    <n v="8.5"/>
    <n v="6.5"/>
    <n v="7.4225653700663532"/>
    <n v="315892"/>
  </r>
  <r>
    <x v="109"/>
    <n v="202411"/>
    <x v="2"/>
    <x v="7"/>
    <s v="María R"/>
    <s v="María R"/>
    <n v="48029"/>
    <n v="2648562"/>
    <n v="55.144881944444442"/>
    <n v="0"/>
    <n v="59"/>
    <n v="50"/>
    <m/>
    <n v="0"/>
  </r>
  <r>
    <x v="104"/>
    <n v="202502"/>
    <x v="1"/>
    <x v="2"/>
    <s v="Fátima L"/>
    <s v="Fátima L"/>
    <n v="48026"/>
    <n v="482613"/>
    <n v="10.049010416666665"/>
    <n v="51437.277486911014"/>
    <n v="11"/>
    <n v="10"/>
    <n v="9.3825599561098123"/>
    <n v="476973"/>
  </r>
  <r>
    <x v="106"/>
    <n v="202404"/>
    <x v="2"/>
    <x v="9"/>
    <s v="María R"/>
    <s v="María R"/>
    <n v="47942"/>
    <n v="3024235"/>
    <n v="63.080937499999976"/>
    <n v="0"/>
    <n v="64.5"/>
    <n v="61"/>
    <m/>
    <n v="0"/>
  </r>
  <r>
    <x v="107"/>
    <n v="202504"/>
    <x v="1"/>
    <x v="9"/>
    <s v="María R"/>
    <s v="María R"/>
    <n v="47941"/>
    <n v="2565007"/>
    <n v="53.50299305555555"/>
    <n v="47409.495672419514"/>
    <n v="57.5"/>
    <n v="57"/>
    <n v="54.103238678663985"/>
    <n v="2566701"/>
  </r>
  <r>
    <x v="107"/>
    <n v="202405"/>
    <x v="2"/>
    <x v="3"/>
    <s v="María R"/>
    <s v="María R"/>
    <n v="47923"/>
    <n v="2470354"/>
    <n v="51.548461021505361"/>
    <n v="0"/>
    <n v="57.5"/>
    <n v="57"/>
    <m/>
    <n v="0"/>
  </r>
  <r>
    <x v="104"/>
    <n v="202508"/>
    <x v="1"/>
    <x v="5"/>
    <s v="Fátima L"/>
    <s v="Fátima L"/>
    <n v="47891"/>
    <n v="527407"/>
    <n v="11.012674731182795"/>
    <n v="61725.147096947199"/>
    <n v="11"/>
    <n v="10"/>
    <n v="8.5444413631228837"/>
    <n v="580064"/>
  </r>
  <r>
    <x v="108"/>
    <n v="202602"/>
    <x v="0"/>
    <x v="2"/>
    <s v="María R"/>
    <s v="María R"/>
    <n v="47691"/>
    <n v="4562919"/>
    <n v="95.677552083333339"/>
    <n v="46169.14721436004"/>
    <n v="22"/>
    <n v="20"/>
    <n v="96.1"/>
    <n v="4436855"/>
  </r>
  <r>
    <x v="107"/>
    <n v="202411"/>
    <x v="2"/>
    <x v="7"/>
    <s v="María R"/>
    <s v="María R"/>
    <n v="47487"/>
    <n v="2255058"/>
    <n v="47.488388888888906"/>
    <n v="0"/>
    <n v="57.5"/>
    <n v="57"/>
    <m/>
    <n v="0"/>
  </r>
  <r>
    <x v="104"/>
    <n v="202509"/>
    <x v="1"/>
    <x v="4"/>
    <s v="Fátima L"/>
    <s v="Fátima L"/>
    <n v="47474"/>
    <n v="495011"/>
    <n v="10.427083333333334"/>
    <n v="56163.829227243965"/>
    <n v="11"/>
    <n v="10"/>
    <n v="8.8136953411267775"/>
    <n v="567335"/>
  </r>
  <r>
    <x v="0"/>
    <n v="202507"/>
    <x v="1"/>
    <x v="6"/>
    <s v="Fátima L"/>
    <s v="Fátima L"/>
    <n v="47422"/>
    <n v="924674"/>
    <n v="19.498904569892474"/>
    <n v="68566.333629860601"/>
    <n v="13.5"/>
    <n v="12.5"/>
    <n v="13.485833368189676"/>
    <n v="830418"/>
  </r>
  <r>
    <x v="110"/>
    <n v="202412"/>
    <x v="2"/>
    <x v="1"/>
    <s v="Fátima L"/>
    <s v="Fátima L"/>
    <n v="47093"/>
    <n v="346724"/>
    <n v="7.3626075268817228"/>
    <n v="0"/>
    <n v="9"/>
    <n v="9"/>
    <m/>
    <n v="0"/>
  </r>
  <r>
    <x v="107"/>
    <n v="202503"/>
    <x v="1"/>
    <x v="0"/>
    <s v="María R"/>
    <s v="María R"/>
    <n v="47088"/>
    <n v="2762190"/>
    <n v="58.660141129032262"/>
    <n v="53084.268786357439"/>
    <n v="57.5"/>
    <n v="57"/>
    <n v="52.034063257359541"/>
    <n v="2797664"/>
  </r>
  <r>
    <x v="42"/>
    <n v="202410"/>
    <x v="2"/>
    <x v="8"/>
    <s v="Hernán P"/>
    <s v="Daniel R"/>
    <n v="46600"/>
    <n v="845672"/>
    <n v="18.147547043010761"/>
    <n v="0"/>
    <n v="22.5"/>
    <n v="21"/>
    <m/>
    <n v="0"/>
  </r>
  <r>
    <x v="0"/>
    <n v="202508"/>
    <x v="1"/>
    <x v="5"/>
    <s v="Fátima L"/>
    <s v="Fátima L"/>
    <n v="46543"/>
    <n v="952675"/>
    <n v="20.468743279569889"/>
    <n v="69240.58275041201"/>
    <n v="13.5"/>
    <n v="12.5"/>
    <n v="13.75890932972154"/>
    <n v="837714"/>
  </r>
  <r>
    <x v="91"/>
    <n v="202506"/>
    <x v="1"/>
    <x v="11"/>
    <s v="Hernán P"/>
    <s v="Daniel R"/>
    <n v="46408"/>
    <n v="943608"/>
    <n v="20.332666666666668"/>
    <n v="67333.875277470623"/>
    <n v="19"/>
    <n v="21.5"/>
    <n v="14.013867256437617"/>
    <n v="1178864"/>
  </r>
  <r>
    <x v="110"/>
    <n v="202601"/>
    <x v="0"/>
    <x v="10"/>
    <s v="Fátima L"/>
    <s v="Fátima L"/>
    <n v="46198"/>
    <n v="281217"/>
    <n v="6.0871774193548385"/>
    <n v="37544.722076886937"/>
    <n v="9"/>
    <n v="9"/>
    <n v="7.859186862423198"/>
    <n v="295071"/>
  </r>
  <r>
    <x v="103"/>
    <n v="202502"/>
    <x v="1"/>
    <x v="2"/>
    <s v="María R"/>
    <s v="María R"/>
    <n v="45953"/>
    <n v="2760968"/>
    <n v="60.082500000000003"/>
    <n v="52060.758009857585"/>
    <n v="66"/>
    <n v="65.5"/>
    <n v="53.033565117842052"/>
    <n v="3291848"/>
  </r>
  <r>
    <x v="80"/>
    <n v="202502"/>
    <x v="1"/>
    <x v="2"/>
    <s v="Fátima L"/>
    <s v="Fátima L"/>
    <n v="45806"/>
    <n v="405482"/>
    <n v="8.8522395833333327"/>
    <n v="63489.565208838452"/>
    <n v="10"/>
    <n v="9"/>
    <n v="6.3865898067853273"/>
    <n v="517753"/>
  </r>
  <r>
    <x v="109"/>
    <n v="202502"/>
    <x v="1"/>
    <x v="2"/>
    <s v="María R"/>
    <s v="María R"/>
    <n v="45780"/>
    <n v="2424543"/>
    <n v="52.960885416666656"/>
    <n v="54307.899092796462"/>
    <n v="59"/>
    <n v="50"/>
    <n v="44.644384712013249"/>
    <n v="2322722"/>
  </r>
  <r>
    <x v="107"/>
    <n v="202502"/>
    <x v="1"/>
    <x v="2"/>
    <s v="María R"/>
    <s v="María R"/>
    <n v="45778"/>
    <n v="2559403"/>
    <n v="55.90911458333332"/>
    <n v="47314.350306399465"/>
    <n v="57.5"/>
    <n v="57"/>
    <n v="54.093584154189045"/>
    <n v="2344554"/>
  </r>
  <r>
    <x v="42"/>
    <n v="202408"/>
    <x v="2"/>
    <x v="5"/>
    <s v="Hernán P"/>
    <s v="Daniel R"/>
    <n v="45771"/>
    <n v="753886"/>
    <n v="16.470651881720435"/>
    <n v="0"/>
    <n v="22.5"/>
    <n v="21"/>
    <m/>
    <n v="0"/>
  </r>
  <r>
    <x v="95"/>
    <n v="202510"/>
    <x v="1"/>
    <x v="8"/>
    <s v="Fátima L"/>
    <s v="Fátima L"/>
    <n v="45769"/>
    <n v="321191"/>
    <n v="7.0175940860215054"/>
    <n v="51864.968831380706"/>
    <n v="8.5"/>
    <n v="6.5"/>
    <n v="6.1928285553247004"/>
    <n v="355347"/>
  </r>
  <r>
    <x v="42"/>
    <n v="202404"/>
    <x v="2"/>
    <x v="9"/>
    <s v="Hernán P"/>
    <s v="Daniel R"/>
    <n v="45623"/>
    <n v="961204"/>
    <n v="21.068201388888891"/>
    <n v="0"/>
    <n v="22.5"/>
    <n v="21"/>
    <m/>
    <n v="0"/>
  </r>
  <r>
    <x v="108"/>
    <n v="202504"/>
    <x v="1"/>
    <x v="9"/>
    <s v="María R"/>
    <s v="María R"/>
    <n v="45611"/>
    <n v="2351099"/>
    <n v="51.54731944444444"/>
    <n v="40155.143069123842"/>
    <n v="22"/>
    <n v="20"/>
    <n v="58.550392061927688"/>
    <n v="2285727"/>
  </r>
  <r>
    <x v="105"/>
    <n v="202604"/>
    <x v="0"/>
    <x v="9"/>
    <s v="María R"/>
    <s v="María R"/>
    <n v="45473"/>
    <n v="2948369"/>
    <n v="64.8383749999999"/>
    <m/>
    <n v="61.5"/>
    <n v="56"/>
    <m/>
    <n v="3443208"/>
  </r>
  <r>
    <x v="102"/>
    <n v="202511"/>
    <x v="1"/>
    <x v="7"/>
    <s v="Fátima L"/>
    <s v="Fátima L"/>
    <n v="45456"/>
    <n v="683558"/>
    <n v="15.037749999999997"/>
    <n v="60839.248689092186"/>
    <n v="11"/>
    <n v="12"/>
    <n v="11.235477668259806"/>
    <n v="692706"/>
  </r>
  <r>
    <x v="101"/>
    <n v="202602"/>
    <x v="0"/>
    <x v="2"/>
    <s v="Fátima L"/>
    <s v="Fátima L"/>
    <n v="45356"/>
    <n v="833861"/>
    <n v="18.384635416666669"/>
    <n v="65440.151390523257"/>
    <n v="13.5"/>
    <n v="14.5"/>
    <n v="13.189776457714554"/>
    <n v="863141"/>
  </r>
  <r>
    <x v="107"/>
    <n v="202404"/>
    <x v="2"/>
    <x v="9"/>
    <s v="María R"/>
    <s v="María R"/>
    <n v="45152"/>
    <n v="2375655"/>
    <n v="52.614722222222234"/>
    <n v="0"/>
    <n v="57.5"/>
    <n v="57"/>
    <m/>
    <n v="0"/>
  </r>
  <r>
    <x v="107"/>
    <n v="202402"/>
    <x v="2"/>
    <x v="2"/>
    <s v="María R"/>
    <s v="María R"/>
    <n v="45061"/>
    <n v="2306323"/>
    <n v="51.181918103448268"/>
    <n v="0"/>
    <n v="57.5"/>
    <n v="57"/>
    <m/>
    <n v="0"/>
  </r>
  <r>
    <x v="108"/>
    <n v="202401"/>
    <x v="2"/>
    <x v="10"/>
    <s v="María R"/>
    <s v="María R"/>
    <n v="44634"/>
    <n v="4061494"/>
    <n v="90.995248655914011"/>
    <n v="0"/>
    <n v="22"/>
    <n v="20"/>
    <m/>
    <n v="0"/>
  </r>
  <r>
    <x v="95"/>
    <n v="202502"/>
    <x v="1"/>
    <x v="2"/>
    <s v="Fátima L"/>
    <s v="Fátima L"/>
    <n v="44608"/>
    <n v="317773"/>
    <n v="7.1236979166666661"/>
    <n v="43394.994511972043"/>
    <n v="8.5"/>
    <n v="6.5"/>
    <n v="7.3228000965026308"/>
    <n v="299565"/>
  </r>
  <r>
    <x v="42"/>
    <n v="202407"/>
    <x v="2"/>
    <x v="6"/>
    <s v="Hernán P"/>
    <s v="Daniel R"/>
    <n v="44560"/>
    <n v="764834"/>
    <n v="17.164206989247319"/>
    <n v="0"/>
    <n v="22.5"/>
    <n v="21"/>
    <m/>
    <n v="0"/>
  </r>
  <r>
    <x v="42"/>
    <n v="202605"/>
    <x v="0"/>
    <x v="3"/>
    <s v="Hernán P"/>
    <s v="Daniel R"/>
    <n v="44414"/>
    <n v="817446"/>
    <n v="18.405342741935453"/>
    <n v="36815.08808288975"/>
    <n v="22.5"/>
    <n v="21"/>
    <n v="19.647967156057994"/>
    <n v="723342"/>
  </r>
  <r>
    <x v="42"/>
    <n v="202411"/>
    <x v="2"/>
    <x v="7"/>
    <s v="Hernán P"/>
    <s v="Daniel R"/>
    <n v="44280"/>
    <n v="1043830"/>
    <n v="23.573277777777768"/>
    <n v="0"/>
    <n v="22.5"/>
    <n v="21"/>
    <m/>
    <n v="0"/>
  </r>
  <r>
    <x v="107"/>
    <n v="202501"/>
    <x v="1"/>
    <x v="10"/>
    <s v="María R"/>
    <s v="María R"/>
    <n v="44207"/>
    <n v="2511906"/>
    <n v="56.821041666666694"/>
    <n v="56965.321887073856"/>
    <n v="57.5"/>
    <n v="57"/>
    <n v="44.095345673276761"/>
    <n v="2478795"/>
  </r>
  <r>
    <x v="0"/>
    <n v="202505"/>
    <x v="1"/>
    <x v="3"/>
    <s v="Fátima L"/>
    <s v="Fátima L"/>
    <n v="44103"/>
    <n v="1099360"/>
    <n v="24.927244623655916"/>
    <n v="70968.2857379044"/>
    <n v="13.5"/>
    <n v="12.5"/>
    <n v="15.490861566814321"/>
    <n v="853248"/>
  </r>
  <r>
    <x v="101"/>
    <n v="202507"/>
    <x v="1"/>
    <x v="6"/>
    <s v="Fátima L"/>
    <s v="Fátima L"/>
    <n v="43978"/>
    <n v="851176"/>
    <n v="19.354623655913983"/>
    <n v="67190.096987823112"/>
    <n v="13.5"/>
    <n v="14.5"/>
    <n v="12.668176087828227"/>
    <n v="900543"/>
  </r>
  <r>
    <x v="102"/>
    <n v="202602"/>
    <x v="0"/>
    <x v="2"/>
    <s v="Fátima L"/>
    <s v="Fátima L"/>
    <n v="43798"/>
    <n v="641092"/>
    <n v="14.637499999999999"/>
    <n v="61057.269027522707"/>
    <n v="11"/>
    <n v="12"/>
    <n v="10.653753026634384"/>
    <n v="650489"/>
  </r>
  <r>
    <x v="102"/>
    <n v="202601"/>
    <x v="0"/>
    <x v="10"/>
    <s v="Fátima L"/>
    <s v="Fátima L"/>
    <n v="43713"/>
    <n v="663685"/>
    <n v="15.182802419354841"/>
    <n v="73720.966201909076"/>
    <n v="11"/>
    <n v="12"/>
    <n v="10.653753026634384"/>
    <n v="785405"/>
  </r>
  <r>
    <x v="95"/>
    <n v="202405"/>
    <x v="2"/>
    <x v="3"/>
    <s v="Fátima L"/>
    <s v="Fátima L"/>
    <n v="43444"/>
    <n v="332069"/>
    <n v="7.6435954301075277"/>
    <n v="0"/>
    <n v="8.5"/>
    <n v="6.5"/>
    <m/>
    <n v="0"/>
  </r>
  <r>
    <x v="95"/>
    <n v="202401"/>
    <x v="2"/>
    <x v="10"/>
    <s v="Fátima L"/>
    <s v="Fátima L"/>
    <n v="42995"/>
    <n v="319890"/>
    <n v="7.4401344086021508"/>
    <n v="0"/>
    <n v="8.5"/>
    <n v="6.5"/>
    <m/>
    <n v="0"/>
  </r>
  <r>
    <x v="110"/>
    <n v="202605"/>
    <x v="0"/>
    <x v="3"/>
    <s v="Fátima L"/>
    <s v="Fátima L"/>
    <n v="42337"/>
    <n v="289312"/>
    <n v="6.833608870967752"/>
    <n v="34889.186349674928"/>
    <n v="9"/>
    <n v="9"/>
    <n v="7.859186862423198"/>
    <n v="274201"/>
  </r>
  <r>
    <x v="0"/>
    <n v="202506"/>
    <x v="1"/>
    <x v="11"/>
    <s v="Fátima L"/>
    <s v="Fátima L"/>
    <n v="41985"/>
    <n v="965427"/>
    <n v="22.994368055555551"/>
    <n v="68171.324947721936"/>
    <n v="13.5"/>
    <n v="12.5"/>
    <n v="14.161779762097193"/>
    <n v="817009"/>
  </r>
  <r>
    <x v="42"/>
    <n v="202511"/>
    <x v="1"/>
    <x v="7"/>
    <s v="Hernán P"/>
    <s v="Daniel R"/>
    <n v="41632"/>
    <n v="885652"/>
    <n v="21.273145833333338"/>
    <n v="46494.234736130151"/>
    <n v="22.5"/>
    <n v="21"/>
    <n v="19.048646461789584"/>
    <n v="677970"/>
  </r>
  <r>
    <x v="42"/>
    <n v="202508"/>
    <x v="1"/>
    <x v="5"/>
    <s v="Hernán P"/>
    <s v="Daniel R"/>
    <n v="41598"/>
    <n v="598409"/>
    <n v="14.385470430107528"/>
    <n v="48060.041046615566"/>
    <n v="22.5"/>
    <n v="21"/>
    <n v="12.451279003685753"/>
    <n v="685848"/>
  </r>
  <r>
    <x v="95"/>
    <n v="202407"/>
    <x v="2"/>
    <x v="6"/>
    <s v="Fátima L"/>
    <s v="Fátima L"/>
    <n v="41377"/>
    <n v="345582"/>
    <n v="8.3520631720430121"/>
    <n v="0"/>
    <n v="8.5"/>
    <n v="6.5"/>
    <m/>
    <n v="0"/>
  </r>
  <r>
    <x v="95"/>
    <n v="202402"/>
    <x v="2"/>
    <x v="2"/>
    <s v="Fátima L"/>
    <s v="Fátima L"/>
    <n v="41329"/>
    <n v="306745"/>
    <n v="7.4221120689655153"/>
    <n v="0"/>
    <n v="8.5"/>
    <n v="6.5"/>
    <m/>
    <n v="0"/>
  </r>
  <r>
    <x v="42"/>
    <n v="202507"/>
    <x v="1"/>
    <x v="6"/>
    <s v="Hernán P"/>
    <s v="Daniel R"/>
    <n v="41179"/>
    <n v="703969"/>
    <n v="17.095288978494626"/>
    <n v="46787.832173260002"/>
    <n v="22.5"/>
    <n v="21"/>
    <n v="15.045990106853671"/>
    <n v="694618"/>
  </r>
  <r>
    <x v="101"/>
    <n v="202510"/>
    <x v="1"/>
    <x v="8"/>
    <s v="Fátima L"/>
    <s v="Fátima L"/>
    <n v="41178"/>
    <n v="808510"/>
    <n v="19.634341397849457"/>
    <n v="60518.752525175922"/>
    <n v="13.5"/>
    <n v="14.5"/>
    <n v="13.359656243139815"/>
    <n v="1015926"/>
  </r>
  <r>
    <x v="101"/>
    <n v="202509"/>
    <x v="1"/>
    <x v="4"/>
    <s v="Fátima L"/>
    <s v="Fátima L"/>
    <n v="40963"/>
    <n v="825004"/>
    <n v="20.140263888888889"/>
    <n v="64615.778321986225"/>
    <n v="13.5"/>
    <n v="14.5"/>
    <n v="12.767841252161833"/>
    <n v="1059306"/>
  </r>
  <r>
    <x v="108"/>
    <n v="202512"/>
    <x v="1"/>
    <x v="1"/>
    <s v="María R"/>
    <s v="María R"/>
    <n v="40683"/>
    <n v="3933314"/>
    <n v="96.68147849462359"/>
    <n v="38652.85501954444"/>
    <n v="22"/>
    <n v="20"/>
    <n v="101.75998869970041"/>
    <n v="3635486"/>
  </r>
  <r>
    <x v="102"/>
    <n v="202509"/>
    <x v="1"/>
    <x v="4"/>
    <s v="Fátima L"/>
    <s v="Fátima L"/>
    <n v="40641"/>
    <n v="650869"/>
    <n v="16.014930555555555"/>
    <n v="62484.985629531977"/>
    <n v="11"/>
    <n v="12"/>
    <n v="10.416399610923222"/>
    <n v="716014"/>
  </r>
  <r>
    <x v="42"/>
    <n v="202405"/>
    <x v="2"/>
    <x v="3"/>
    <s v="Hernán P"/>
    <s v="Daniel R"/>
    <n v="40507"/>
    <n v="725446"/>
    <n v="17.909038978494625"/>
    <n v="0"/>
    <n v="22.5"/>
    <n v="21"/>
    <m/>
    <n v="0"/>
  </r>
  <r>
    <x v="110"/>
    <n v="202511"/>
    <x v="1"/>
    <x v="7"/>
    <s v="Fátima L"/>
    <s v="Fátima L"/>
    <n v="40370"/>
    <n v="287909"/>
    <n v="7.1317847222222213"/>
    <n v="35047.837816936415"/>
    <n v="9"/>
    <n v="9"/>
    <n v="8.2147429893912509"/>
    <n v="313237"/>
  </r>
  <r>
    <x v="42"/>
    <n v="202509"/>
    <x v="1"/>
    <x v="4"/>
    <s v="Hernán P"/>
    <s v="Daniel R"/>
    <n v="39996"/>
    <n v="528307"/>
    <n v="13.209097222222219"/>
    <n v="33843.672314217547"/>
    <n v="22.5"/>
    <n v="21"/>
    <n v="15.610219100781832"/>
    <n v="582289"/>
  </r>
  <r>
    <x v="110"/>
    <n v="202604"/>
    <x v="0"/>
    <x v="9"/>
    <s v="Fátima L"/>
    <s v="Fátima L"/>
    <n v="39798"/>
    <n v="292776"/>
    <n v="7.3565138888888866"/>
    <n v="33837.896738595184"/>
    <n v="9"/>
    <n v="9"/>
    <n v="7.859186862423198"/>
    <n v="265938"/>
  </r>
  <r>
    <x v="110"/>
    <n v="202509"/>
    <x v="1"/>
    <x v="4"/>
    <s v="Fátima L"/>
    <s v="Fátima L"/>
    <n v="39661"/>
    <n v="268516"/>
    <n v="6.7703124999999993"/>
    <n v="35255.761681337455"/>
    <n v="9"/>
    <n v="9"/>
    <n v="7.6162266022503253"/>
    <n v="303310"/>
  </r>
  <r>
    <x v="102"/>
    <n v="202506"/>
    <x v="1"/>
    <x v="11"/>
    <s v="Fátima L"/>
    <s v="Fátima L"/>
    <n v="39633"/>
    <n v="679674"/>
    <n v="17.149270833333336"/>
    <n v="67682.544751052337"/>
    <n v="11"/>
    <n v="12"/>
    <n v="10.042093607738238"/>
    <n v="604946"/>
  </r>
  <r>
    <x v="101"/>
    <n v="202508"/>
    <x v="1"/>
    <x v="5"/>
    <s v="Fátima L"/>
    <s v="Fátima L"/>
    <n v="39198"/>
    <n v="820811"/>
    <n v="20.939879032258062"/>
    <n v="65266.95842396107"/>
    <n v="13.5"/>
    <n v="14.5"/>
    <n v="12.576206549540398"/>
    <n v="797909"/>
  </r>
  <r>
    <x v="102"/>
    <n v="202503"/>
    <x v="1"/>
    <x v="0"/>
    <s v="Fátima L"/>
    <s v="Fátima L"/>
    <n v="39166"/>
    <n v="770043"/>
    <n v="19.660826612903225"/>
    <n v="68386.784874178149"/>
    <n v="11"/>
    <n v="12"/>
    <n v="11.260117307996989"/>
    <n v="661780"/>
  </r>
  <r>
    <x v="95"/>
    <n v="202406"/>
    <x v="2"/>
    <x v="11"/>
    <s v="Fátima L"/>
    <s v="Fátima L"/>
    <n v="38920"/>
    <n v="335724"/>
    <n v="8.6259444444444462"/>
    <n v="0"/>
    <n v="8.5"/>
    <n v="6.5"/>
    <m/>
    <n v="0"/>
  </r>
  <r>
    <x v="110"/>
    <n v="202603"/>
    <x v="0"/>
    <x v="0"/>
    <s v="Fátima L"/>
    <s v="Fátima L"/>
    <n v="38864"/>
    <n v="311549"/>
    <n v="8.0164583333333344"/>
    <n v="37009.736820320119"/>
    <n v="9"/>
    <n v="9"/>
    <n v="7.859186862423198"/>
    <n v="290866"/>
  </r>
  <r>
    <x v="110"/>
    <n v="202602"/>
    <x v="0"/>
    <x v="2"/>
    <s v="Fátima L"/>
    <s v="Fátima L"/>
    <n v="38726"/>
    <n v="277172"/>
    <n v="7.1571875000000009"/>
    <n v="34306.549827582101"/>
    <n v="9"/>
    <n v="9"/>
    <n v="7.859186862423198"/>
    <n v="269622"/>
  </r>
  <r>
    <x v="110"/>
    <n v="202507"/>
    <x v="1"/>
    <x v="6"/>
    <s v="Fátima L"/>
    <s v="Fátima L"/>
    <n v="38578"/>
    <n v="294790"/>
    <n v="7.6414784946236551"/>
    <n v="37929.609203395026"/>
    <n v="9"/>
    <n v="9"/>
    <n v="7.7720204924656535"/>
    <n v="314067"/>
  </r>
  <r>
    <x v="108"/>
    <n v="202404"/>
    <x v="2"/>
    <x v="9"/>
    <s v="María R"/>
    <s v="María R"/>
    <n v="38243"/>
    <n v="839397"/>
    <n v="21.949034722222219"/>
    <n v="0"/>
    <n v="22"/>
    <n v="20"/>
    <m/>
    <n v="0"/>
  </r>
  <r>
    <x v="102"/>
    <n v="202508"/>
    <x v="1"/>
    <x v="5"/>
    <s v="Fátima L"/>
    <s v="Fátima L"/>
    <n v="38041"/>
    <n v="642319"/>
    <n v="16.885053763440858"/>
    <n v="65965.254121996273"/>
    <n v="11"/>
    <n v="12"/>
    <n v="9.7372255826089109"/>
    <n v="626139"/>
  </r>
  <r>
    <x v="110"/>
    <n v="202508"/>
    <x v="1"/>
    <x v="5"/>
    <s v="Fátima L"/>
    <s v="Fátima L"/>
    <n v="38011"/>
    <n v="277060"/>
    <n v="7.28889112903226"/>
    <n v="36712.959695945749"/>
    <n v="9"/>
    <n v="9"/>
    <n v="7.5466525252824015"/>
    <n v="306223"/>
  </r>
  <r>
    <x v="110"/>
    <n v="202510"/>
    <x v="1"/>
    <x v="8"/>
    <s v="Fátima L"/>
    <s v="Fátima L"/>
    <n v="37930"/>
    <n v="278959"/>
    <n v="7.3546102150537633"/>
    <n v="33075.421205611012"/>
    <n v="9"/>
    <n v="9"/>
    <n v="8.4340153452883815"/>
    <n v="319154"/>
  </r>
  <r>
    <x v="102"/>
    <n v="202507"/>
    <x v="1"/>
    <x v="6"/>
    <s v="Fátima L"/>
    <s v="Fátima L"/>
    <n v="37692"/>
    <n v="676740"/>
    <n v="17.954482526881723"/>
    <n v="61458.140211898935"/>
    <n v="11"/>
    <n v="12"/>
    <n v="11.011395686018107"/>
    <n v="629477"/>
  </r>
  <r>
    <x v="110"/>
    <n v="202401"/>
    <x v="2"/>
    <x v="10"/>
    <s v="Fátima L"/>
    <s v="Fátima L"/>
    <n v="37558"/>
    <n v="272772"/>
    <n v="7.2625940860215064"/>
    <n v="0"/>
    <n v="9"/>
    <n v="9"/>
    <m/>
    <n v="0"/>
  </r>
  <r>
    <x v="111"/>
    <n v="202512"/>
    <x v="1"/>
    <x v="1"/>
    <s v="Fátima L"/>
    <s v="Fátima L"/>
    <n v="37511"/>
    <n v="243011"/>
    <n v="6.4783870967741848"/>
    <n v="35203.869914417366"/>
    <n v="7"/>
    <n v="6.5"/>
    <n v="6.9029578449975331"/>
    <n v="268460"/>
  </r>
  <r>
    <x v="110"/>
    <n v="202403"/>
    <x v="2"/>
    <x v="0"/>
    <s v="Fátima L"/>
    <s v="Fátima L"/>
    <n v="37386"/>
    <n v="296270"/>
    <n v="7.9246303763440871"/>
    <n v="0"/>
    <n v="9"/>
    <n v="9"/>
    <m/>
    <n v="0"/>
  </r>
  <r>
    <x v="102"/>
    <n v="202510"/>
    <x v="1"/>
    <x v="8"/>
    <s v="Fátima L"/>
    <s v="Fátima L"/>
    <n v="37292"/>
    <n v="641585"/>
    <n v="17.20438172043011"/>
    <n v="65784.786933958821"/>
    <n v="11"/>
    <n v="12"/>
    <n v="9.7527937674113918"/>
    <n v="719118"/>
  </r>
  <r>
    <x v="101"/>
    <n v="202506"/>
    <x v="1"/>
    <x v="11"/>
    <s v="Fátima L"/>
    <s v="Fátima L"/>
    <n v="37078"/>
    <n v="815028"/>
    <n v="21.98150694444444"/>
    <n v="65542.988269888243"/>
    <n v="13.5"/>
    <n v="14.5"/>
    <n v="12.435012676625854"/>
    <n v="875990"/>
  </r>
  <r>
    <x v="108"/>
    <n v="202412"/>
    <x v="2"/>
    <x v="1"/>
    <s v="María R"/>
    <s v="María R"/>
    <n v="36812"/>
    <n v="3640387"/>
    <n v="98.890665322580617"/>
    <n v="0"/>
    <n v="22"/>
    <n v="20"/>
    <m/>
    <n v="0"/>
  </r>
  <r>
    <x v="110"/>
    <n v="202501"/>
    <x v="1"/>
    <x v="10"/>
    <s v="Fátima L"/>
    <s v="Fátima L"/>
    <n v="36709"/>
    <n v="249564"/>
    <n v="6.7983736559139807"/>
    <n v="39436.339702815087"/>
    <n v="9"/>
    <n v="9"/>
    <n v="6.3282723975061357"/>
    <n v="280986"/>
  </r>
  <r>
    <x v="42"/>
    <n v="202406"/>
    <x v="2"/>
    <x v="11"/>
    <s v="Hernán P"/>
    <s v="Daniel R"/>
    <n v="36688"/>
    <n v="652417"/>
    <n v="17.782722222222233"/>
    <n v="0"/>
    <n v="22.5"/>
    <n v="21"/>
    <m/>
    <n v="0"/>
  </r>
  <r>
    <x v="110"/>
    <n v="202407"/>
    <x v="2"/>
    <x v="6"/>
    <s v="Fátima L"/>
    <s v="Fátima L"/>
    <n v="36123"/>
    <n v="299124"/>
    <n v="8.280604838709678"/>
    <n v="0"/>
    <n v="9"/>
    <n v="9"/>
    <m/>
    <n v="0"/>
  </r>
  <r>
    <x v="102"/>
    <n v="202505"/>
    <x v="1"/>
    <x v="3"/>
    <s v="Fátima L"/>
    <s v="Fátima L"/>
    <n v="35993"/>
    <n v="728782"/>
    <n v="20.247735215053766"/>
    <n v="67186.560470096301"/>
    <n v="11"/>
    <n v="12"/>
    <n v="10.847133934239263"/>
    <n v="614259"/>
  </r>
  <r>
    <x v="110"/>
    <n v="202504"/>
    <x v="1"/>
    <x v="9"/>
    <s v="Fátima L"/>
    <s v="Fátima L"/>
    <n v="35962"/>
    <n v="267989"/>
    <n v="7.4520833333333343"/>
    <n v="32939.056605696242"/>
    <n v="9"/>
    <n v="9"/>
    <n v="8.1358933016210315"/>
    <n v="287140"/>
  </r>
  <r>
    <x v="110"/>
    <n v="202606"/>
    <x v="0"/>
    <x v="11"/>
    <s v="Fátima L"/>
    <s v="Fátima L"/>
    <n v="35678"/>
    <n v="260068"/>
    <n v="7.289381944444453"/>
    <n v="32432.333937586267"/>
    <n v="9"/>
    <n v="9"/>
    <n v="7.859186862423198"/>
    <n v="254892"/>
  </r>
  <r>
    <x v="102"/>
    <n v="202504"/>
    <x v="1"/>
    <x v="9"/>
    <s v="Fátima L"/>
    <s v="Fátima L"/>
    <n v="35625"/>
    <n v="729144"/>
    <n v="20.467076388888888"/>
    <n v="64560.471198681778"/>
    <n v="11"/>
    <n v="12"/>
    <n v="11.293966671279312"/>
    <n v="620149"/>
  </r>
  <r>
    <x v="108"/>
    <n v="202510"/>
    <x v="1"/>
    <x v="8"/>
    <s v="María R"/>
    <s v="María R"/>
    <n v="35612"/>
    <n v="635882"/>
    <n v="17.855927419354842"/>
    <n v="35933.954139991096"/>
    <n v="22"/>
    <n v="20"/>
    <n v="17.695846038060246"/>
    <n v="814711"/>
  </r>
  <r>
    <x v="42"/>
    <n v="202505"/>
    <x v="1"/>
    <x v="3"/>
    <s v="Hernán P"/>
    <s v="Daniel R"/>
    <n v="35604"/>
    <n v="695614"/>
    <n v="19.537385752688177"/>
    <n v="42532.630724333125"/>
    <n v="22.5"/>
    <n v="21"/>
    <n v="16.354833645454146"/>
    <n v="659692"/>
  </r>
  <r>
    <x v="108"/>
    <n v="202503"/>
    <x v="1"/>
    <x v="0"/>
    <s v="María R"/>
    <s v="María R"/>
    <n v="35477"/>
    <n v="2802145"/>
    <n v="78.984368279569907"/>
    <n v="52527.565083545036"/>
    <n v="22"/>
    <n v="20"/>
    <n v="53.346177108023028"/>
    <n v="2675277"/>
  </r>
  <r>
    <x v="108"/>
    <n v="202605"/>
    <x v="0"/>
    <x v="3"/>
    <s v="María R"/>
    <s v="María R"/>
    <n v="34968"/>
    <n v="768135"/>
    <n v="21.966969086021496"/>
    <n v="6648.4577346514016"/>
    <n v="22"/>
    <n v="20"/>
    <n v="96.1"/>
    <n v="638917"/>
  </r>
  <r>
    <x v="110"/>
    <n v="202408"/>
    <x v="2"/>
    <x v="5"/>
    <s v="Fátima L"/>
    <s v="Fátima L"/>
    <n v="34965"/>
    <n v="292557"/>
    <n v="8.3672110215053781"/>
    <n v="0"/>
    <n v="9"/>
    <n v="9"/>
    <m/>
    <n v="0"/>
  </r>
  <r>
    <x v="110"/>
    <n v="202505"/>
    <x v="1"/>
    <x v="3"/>
    <s v="Fátima L"/>
    <s v="Fátima L"/>
    <n v="34728"/>
    <n v="282492"/>
    <n v="8.134348118279572"/>
    <n v="33100.682157747877"/>
    <n v="9"/>
    <n v="9"/>
    <n v="8.5343144486790337"/>
    <n v="291480"/>
  </r>
  <r>
    <x v="108"/>
    <n v="202407"/>
    <x v="2"/>
    <x v="6"/>
    <s v="María R"/>
    <s v="María R"/>
    <n v="34679"/>
    <n v="703295"/>
    <n v="20.280006720430112"/>
    <n v="0"/>
    <n v="22"/>
    <n v="20"/>
    <m/>
    <n v="0"/>
  </r>
  <r>
    <x v="110"/>
    <n v="202503"/>
    <x v="1"/>
    <x v="0"/>
    <s v="Fátima L"/>
    <s v="Fátima L"/>
    <n v="34374"/>
    <n v="275302"/>
    <n v="8.0089784946236584"/>
    <n v="39255.330308984587"/>
    <n v="9"/>
    <n v="9"/>
    <n v="7.0131176539097932"/>
    <n v="295107"/>
  </r>
  <r>
    <x v="108"/>
    <n v="202410"/>
    <x v="2"/>
    <x v="8"/>
    <s v="María R"/>
    <s v="María R"/>
    <n v="34223"/>
    <n v="631943"/>
    <n v="18.465557795698924"/>
    <n v="0"/>
    <n v="22"/>
    <n v="20"/>
    <m/>
    <n v="0"/>
  </r>
  <r>
    <x v="110"/>
    <n v="202409"/>
    <x v="2"/>
    <x v="4"/>
    <s v="Fátima L"/>
    <s v="Fátima L"/>
    <n v="33577"/>
    <n v="277954"/>
    <n v="8.2781319444444446"/>
    <n v="0"/>
    <n v="9"/>
    <n v="9"/>
    <m/>
    <n v="0"/>
  </r>
  <r>
    <x v="111"/>
    <n v="202412"/>
    <x v="2"/>
    <x v="1"/>
    <s v="Fátima L"/>
    <s v="Fátima L"/>
    <n v="33527"/>
    <n v="222811"/>
    <n v="6.6456250000000017"/>
    <n v="0"/>
    <n v="7"/>
    <n v="6.5"/>
    <m/>
    <n v="0"/>
  </r>
  <r>
    <x v="110"/>
    <n v="202411"/>
    <x v="2"/>
    <x v="7"/>
    <s v="Fátima L"/>
    <s v="Fátima L"/>
    <n v="33379"/>
    <n v="264363"/>
    <n v="7.9200625000000002"/>
    <n v="0"/>
    <n v="9"/>
    <n v="9"/>
    <m/>
    <n v="0"/>
  </r>
  <r>
    <x v="110"/>
    <n v="202506"/>
    <x v="1"/>
    <x v="11"/>
    <s v="Fátima L"/>
    <s v="Fátima L"/>
    <n v="33333"/>
    <n v="266533"/>
    <n v="7.9959444444444454"/>
    <n v="33053.781368228432"/>
    <n v="9"/>
    <n v="9"/>
    <n v="8.0636057046167018"/>
    <n v="271816"/>
  </r>
  <r>
    <x v="108"/>
    <n v="202507"/>
    <x v="1"/>
    <x v="6"/>
    <s v="María R"/>
    <s v="María R"/>
    <n v="33302"/>
    <n v="690848"/>
    <n v="20.745215053763442"/>
    <n v="36413.16470847492"/>
    <n v="22"/>
    <n v="20"/>
    <n v="18.972490458628265"/>
    <n v="747190"/>
  </r>
  <r>
    <x v="101"/>
    <n v="202505"/>
    <x v="1"/>
    <x v="3"/>
    <s v="Fátima L"/>
    <s v="Fátima L"/>
    <n v="32884"/>
    <n v="824494"/>
    <n v="25.072842741935485"/>
    <n v="64581.675273977351"/>
    <n v="13.5"/>
    <n v="14.5"/>
    <n v="12.766682135485308"/>
    <n v="947438"/>
  </r>
  <r>
    <x v="101"/>
    <n v="202503"/>
    <x v="1"/>
    <x v="0"/>
    <s v="Fátima L"/>
    <s v="Fátima L"/>
    <n v="32585"/>
    <n v="799458"/>
    <n v="24.534482526881721"/>
    <n v="71815.736946010657"/>
    <n v="13.5"/>
    <n v="14.5"/>
    <n v="11.13207653360173"/>
    <n v="1019891"/>
  </r>
  <r>
    <x v="42"/>
    <n v="202409"/>
    <x v="2"/>
    <x v="4"/>
    <s v="Hernán P"/>
    <s v="Daniel R"/>
    <n v="32232"/>
    <n v="612857"/>
    <n v="19.013895833333343"/>
    <n v="0"/>
    <n v="22.5"/>
    <n v="21"/>
    <m/>
    <n v="0"/>
  </r>
  <r>
    <x v="42"/>
    <n v="202606"/>
    <x v="0"/>
    <x v="11"/>
    <s v="Hernán P"/>
    <s v="Daniel R"/>
    <n v="32109"/>
    <n v="562501"/>
    <n v="17.518229166666668"/>
    <n v="26192.663251746377"/>
    <n v="22.5"/>
    <n v="21"/>
    <n v="19.647967156057994"/>
    <n v="514633"/>
  </r>
  <r>
    <x v="110"/>
    <n v="202405"/>
    <x v="2"/>
    <x v="3"/>
    <s v="Fátima L"/>
    <s v="Fátima L"/>
    <n v="31524"/>
    <n v="275302"/>
    <n v="8.7329704301075264"/>
    <n v="0"/>
    <n v="9"/>
    <n v="9"/>
    <m/>
    <n v="0"/>
  </r>
  <r>
    <x v="110"/>
    <n v="202410"/>
    <x v="2"/>
    <x v="8"/>
    <s v="Fátima L"/>
    <s v="Fátima L"/>
    <n v="31500"/>
    <n v="281426"/>
    <n v="8.9340322580645193"/>
    <n v="0"/>
    <n v="9"/>
    <n v="9"/>
    <m/>
    <n v="0"/>
  </r>
  <r>
    <x v="110"/>
    <n v="202406"/>
    <x v="2"/>
    <x v="11"/>
    <s v="Fátima L"/>
    <s v="Fátima L"/>
    <n v="31480"/>
    <n v="260080"/>
    <n v="8.2617986111111126"/>
    <n v="0"/>
    <n v="9"/>
    <n v="9"/>
    <m/>
    <n v="0"/>
  </r>
  <r>
    <x v="110"/>
    <n v="202404"/>
    <x v="2"/>
    <x v="9"/>
    <s v="Fátima L"/>
    <s v="Fátima L"/>
    <n v="31371"/>
    <n v="269373"/>
    <n v="8.5868125000000006"/>
    <n v="0"/>
    <n v="9"/>
    <n v="9"/>
    <m/>
    <n v="0"/>
  </r>
  <r>
    <x v="101"/>
    <n v="202504"/>
    <x v="1"/>
    <x v="9"/>
    <s v="Fátima L"/>
    <s v="Fátima L"/>
    <n v="31366"/>
    <n v="804636"/>
    <n v="25.653395833333342"/>
    <n v="66808.852648065178"/>
    <n v="13.5"/>
    <n v="14.5"/>
    <n v="12.043854341260007"/>
    <n v="968583"/>
  </r>
  <r>
    <x v="110"/>
    <n v="202402"/>
    <x v="2"/>
    <x v="2"/>
    <s v="Fátima L"/>
    <s v="Fátima L"/>
    <n v="31312"/>
    <n v="264406"/>
    <n v="8.4442528735632205"/>
    <n v="0"/>
    <n v="9"/>
    <n v="9"/>
    <m/>
    <n v="0"/>
  </r>
  <r>
    <x v="108"/>
    <n v="202603"/>
    <x v="0"/>
    <x v="0"/>
    <s v="María R"/>
    <s v="María R"/>
    <n v="30476"/>
    <n v="2760774"/>
    <n v="90.588279569892464"/>
    <n v="29810.388814776277"/>
    <n v="22"/>
    <n v="20"/>
    <n v="96.1"/>
    <n v="2864778"/>
  </r>
  <r>
    <x v="111"/>
    <n v="202408"/>
    <x v="2"/>
    <x v="5"/>
    <s v="Fátima L"/>
    <s v="Fátima L"/>
    <n v="30103"/>
    <n v="156628"/>
    <n v="5.2031451612903226"/>
    <n v="0"/>
    <n v="7"/>
    <n v="6.5"/>
    <m/>
    <n v="0"/>
  </r>
  <r>
    <x v="111"/>
    <n v="202407"/>
    <x v="2"/>
    <x v="6"/>
    <s v="Fátima L"/>
    <s v="Fátima L"/>
    <n v="29420"/>
    <n v="166336"/>
    <n v="5.6539112903225819"/>
    <n v="0"/>
    <n v="7"/>
    <n v="6.5"/>
    <m/>
    <n v="0"/>
  </r>
  <r>
    <x v="108"/>
    <n v="202505"/>
    <x v="1"/>
    <x v="3"/>
    <s v="María R"/>
    <s v="María R"/>
    <n v="29391"/>
    <n v="615986"/>
    <n v="20.958555107526884"/>
    <n v="29992.246632154558"/>
    <n v="22"/>
    <n v="20"/>
    <n v="20.538169999562626"/>
    <n v="574346"/>
  </r>
  <r>
    <x v="42"/>
    <n v="202506"/>
    <x v="1"/>
    <x v="11"/>
    <s v="Hernán P"/>
    <s v="Daniel R"/>
    <n v="29267"/>
    <n v="494849"/>
    <n v="16.908111111111111"/>
    <n v="38522.678526909687"/>
    <n v="22.5"/>
    <n v="21"/>
    <n v="12.845666472914836"/>
    <n v="593289"/>
  </r>
  <r>
    <x v="108"/>
    <n v="202408"/>
    <x v="2"/>
    <x v="5"/>
    <s v="María R"/>
    <s v="María R"/>
    <n v="29201"/>
    <n v="581869"/>
    <n v="19.926243279569889"/>
    <n v="0"/>
    <n v="22"/>
    <n v="20"/>
    <m/>
    <n v="0"/>
  </r>
  <r>
    <x v="110"/>
    <n v="202502"/>
    <x v="1"/>
    <x v="2"/>
    <s v="Fátima L"/>
    <s v="Fátima L"/>
    <n v="28980"/>
    <n v="235334"/>
    <n v="8.1205208333333321"/>
    <n v="32877.535840876604"/>
    <n v="9"/>
    <n v="9"/>
    <n v="7.1578950180143854"/>
    <n v="257058"/>
  </r>
  <r>
    <x v="108"/>
    <n v="202405"/>
    <x v="2"/>
    <x v="3"/>
    <s v="María R"/>
    <s v="María R"/>
    <n v="28564"/>
    <n v="553400"/>
    <n v="19.374005376344083"/>
    <n v="0"/>
    <n v="22"/>
    <n v="20"/>
    <m/>
    <n v="0"/>
  </r>
  <r>
    <x v="108"/>
    <n v="202508"/>
    <x v="1"/>
    <x v="5"/>
    <s v="María R"/>
    <s v="María R"/>
    <n v="28531"/>
    <n v="472424"/>
    <n v="16.558010752688169"/>
    <n v="30661.214932892653"/>
    <n v="22"/>
    <n v="20"/>
    <n v="15.407861398642575"/>
    <n v="603680"/>
  </r>
  <r>
    <x v="111"/>
    <n v="202402"/>
    <x v="2"/>
    <x v="2"/>
    <s v="Fátima L"/>
    <s v="Fátima L"/>
    <n v="28344"/>
    <n v="132840"/>
    <n v="4.6867816091954033"/>
    <n v="0"/>
    <n v="7"/>
    <n v="6.5"/>
    <m/>
    <n v="0"/>
  </r>
  <r>
    <x v="111"/>
    <n v="202401"/>
    <x v="2"/>
    <x v="10"/>
    <s v="Fátima L"/>
    <s v="Fátima L"/>
    <n v="27989"/>
    <n v="151226"/>
    <n v="5.4030779569892466"/>
    <n v="0"/>
    <n v="7"/>
    <n v="6.5"/>
    <m/>
    <n v="0"/>
  </r>
  <r>
    <x v="106"/>
    <n v="202602"/>
    <x v="0"/>
    <x v="2"/>
    <s v="María R"/>
    <s v="María R"/>
    <n v="27306"/>
    <n v="1387612"/>
    <n v="50.817395833333336"/>
    <n v="55556.282297945872"/>
    <n v="64.5"/>
    <n v="61"/>
    <n v="55.57085132952011"/>
    <n v="3087310"/>
  </r>
  <r>
    <x v="111"/>
    <n v="202603"/>
    <x v="0"/>
    <x v="0"/>
    <s v="Fátima L"/>
    <s v="Fátima L"/>
    <n v="26983"/>
    <n v="154463"/>
    <n v="5.7243817204301077"/>
    <n v="22703.842946305413"/>
    <n v="7"/>
    <n v="6.5"/>
    <n v="6.4427386872759902"/>
    <n v="146275"/>
  </r>
  <r>
    <x v="108"/>
    <n v="202406"/>
    <x v="2"/>
    <x v="11"/>
    <s v="María R"/>
    <s v="María R"/>
    <n v="26299"/>
    <n v="504101"/>
    <n v="19.167993055555556"/>
    <n v="0"/>
    <n v="22"/>
    <n v="20"/>
    <m/>
    <n v="0"/>
  </r>
  <r>
    <x v="111"/>
    <n v="202507"/>
    <x v="1"/>
    <x v="6"/>
    <s v="Fátima L"/>
    <s v="Fátima L"/>
    <n v="26212"/>
    <n v="160065"/>
    <n v="6.1066061827956988"/>
    <n v="30890.535689680994"/>
    <n v="7"/>
    <n v="6.5"/>
    <n v="5.1816796447939177"/>
    <n v="174335"/>
  </r>
  <r>
    <x v="108"/>
    <n v="202411"/>
    <x v="2"/>
    <x v="7"/>
    <s v="María R"/>
    <s v="María R"/>
    <n v="26172"/>
    <n v="917157"/>
    <n v="35.043895833333302"/>
    <n v="0"/>
    <n v="22"/>
    <n v="20"/>
    <m/>
    <n v="0"/>
  </r>
  <r>
    <x v="111"/>
    <n v="202510"/>
    <x v="1"/>
    <x v="8"/>
    <s v="Fátima L"/>
    <s v="Fátima L"/>
    <n v="25231"/>
    <n v="137752"/>
    <n v="5.4595766129032262"/>
    <n v="24457.127410796402"/>
    <n v="7"/>
    <n v="6.5"/>
    <n v="5.6323732418056034"/>
    <n v="166838"/>
  </r>
  <r>
    <x v="111"/>
    <n v="202403"/>
    <x v="2"/>
    <x v="0"/>
    <s v="Fátima L"/>
    <s v="Fátima L"/>
    <n v="25202"/>
    <n v="157353"/>
    <n v="6.24364247311828"/>
    <n v="0"/>
    <n v="7"/>
    <n v="6.5"/>
    <m/>
    <n v="0"/>
  </r>
  <r>
    <x v="111"/>
    <n v="202406"/>
    <x v="2"/>
    <x v="11"/>
    <s v="Fátima L"/>
    <s v="Fátima L"/>
    <n v="25199"/>
    <n v="148245"/>
    <n v="5.8829166666666657"/>
    <n v="0"/>
    <n v="7"/>
    <n v="6.5"/>
    <m/>
    <n v="0"/>
  </r>
  <r>
    <x v="111"/>
    <n v="202504"/>
    <x v="1"/>
    <x v="9"/>
    <s v="Fátima L"/>
    <s v="Fátima L"/>
    <n v="24854"/>
    <n v="138856"/>
    <n v="5.5867777777777796"/>
    <n v="21636.563398790418"/>
    <n v="7"/>
    <n v="6.5"/>
    <n v="6.4176476384305419"/>
    <n v="143253"/>
  </r>
  <r>
    <x v="111"/>
    <n v="202511"/>
    <x v="1"/>
    <x v="7"/>
    <s v="Fátima L"/>
    <s v="Fátima L"/>
    <n v="24789"/>
    <n v="151921"/>
    <n v="6.1284513888888883"/>
    <n v="23297.806572574351"/>
    <n v="7"/>
    <n v="6.5"/>
    <n v="6.5208069921413729"/>
    <n v="160193"/>
  </r>
  <r>
    <x v="111"/>
    <n v="202606"/>
    <x v="0"/>
    <x v="11"/>
    <s v="Fátima L"/>
    <s v="Fátima L"/>
    <n v="24533"/>
    <n v="131548"/>
    <n v="5.3620972222222179"/>
    <n v="20376.016050327267"/>
    <n v="7"/>
    <n v="6.5"/>
    <n v="6.4427386872759902"/>
    <n v="131277"/>
  </r>
  <r>
    <x v="111"/>
    <n v="202604"/>
    <x v="0"/>
    <x v="9"/>
    <s v="Fátima L"/>
    <s v="Fátima L"/>
    <n v="24250"/>
    <n v="152157"/>
    <n v="6.27438194444444"/>
    <n v="21285.951729012795"/>
    <n v="7"/>
    <n v="6.5"/>
    <n v="6.4427386872759902"/>
    <n v="137140"/>
  </r>
  <r>
    <x v="108"/>
    <n v="202606"/>
    <x v="0"/>
    <x v="11"/>
    <s v="María R"/>
    <s v="María R"/>
    <n v="24195"/>
    <n v="458564"/>
    <n v="18.952986111111098"/>
    <n v="4568.0532851196676"/>
    <n v="22"/>
    <n v="20"/>
    <n v="96.1"/>
    <n v="438990"/>
  </r>
  <r>
    <x v="105"/>
    <n v="202507"/>
    <x v="1"/>
    <x v="6"/>
    <s v="María R"/>
    <s v="María R"/>
    <n v="24090"/>
    <n v="1048428"/>
    <n v="43.520571236559121"/>
    <n v="59276.347496433373"/>
    <n v="61.5"/>
    <n v="56"/>
    <n v="17.687120652349293"/>
    <n v="3463797"/>
  </r>
  <r>
    <x v="108"/>
    <n v="202509"/>
    <x v="1"/>
    <x v="4"/>
    <s v="María R"/>
    <s v="María R"/>
    <n v="23888"/>
    <n v="419456"/>
    <n v="17.55896527777778"/>
    <n v="24587.693443984259"/>
    <n v="22"/>
    <n v="20"/>
    <n v="17.05960630083527"/>
    <n v="544475"/>
  </r>
  <r>
    <x v="111"/>
    <n v="202605"/>
    <x v="0"/>
    <x v="3"/>
    <s v="Fátima L"/>
    <s v="Fátima L"/>
    <n v="23509"/>
    <n v="155417"/>
    <n v="6.6110954301075369"/>
    <n v="21966.780459295285"/>
    <n v="7"/>
    <n v="6.5"/>
    <n v="6.4427386872759902"/>
    <n v="141526"/>
  </r>
  <r>
    <x v="111"/>
    <n v="202509"/>
    <x v="1"/>
    <x v="4"/>
    <s v="Fátima L"/>
    <s v="Fátima L"/>
    <n v="23451"/>
    <n v="133939"/>
    <n v="5.7114166666666666"/>
    <n v="23429.179367228855"/>
    <n v="7"/>
    <n v="6.5"/>
    <n v="5.716759767836546"/>
    <n v="159327"/>
  </r>
  <r>
    <x v="108"/>
    <n v="202409"/>
    <x v="2"/>
    <x v="4"/>
    <s v="María R"/>
    <s v="María R"/>
    <n v="23417"/>
    <n v="441401"/>
    <n v="18.84973611111111"/>
    <n v="0"/>
    <n v="22"/>
    <n v="20"/>
    <m/>
    <n v="0"/>
  </r>
  <r>
    <x v="111"/>
    <n v="202410"/>
    <x v="2"/>
    <x v="8"/>
    <s v="Fátima L"/>
    <s v="Fátima L"/>
    <n v="23293"/>
    <n v="139389"/>
    <n v="5.9842943548387115"/>
    <n v="0"/>
    <n v="7"/>
    <n v="6.5"/>
    <m/>
    <n v="0"/>
  </r>
  <r>
    <x v="111"/>
    <n v="202503"/>
    <x v="1"/>
    <x v="0"/>
    <s v="Fátima L"/>
    <s v="Fátima L"/>
    <n v="22963"/>
    <n v="142976"/>
    <n v="6.2264717741935494"/>
    <n v="26462.199623272707"/>
    <n v="7"/>
    <n v="6.5"/>
    <n v="5.4030130539207812"/>
    <n v="155591"/>
  </r>
  <r>
    <x v="111"/>
    <n v="202508"/>
    <x v="1"/>
    <x v="5"/>
    <s v="Fátima L"/>
    <s v="Fátima L"/>
    <n v="22841"/>
    <n v="153313"/>
    <n v="6.7122849462365597"/>
    <n v="31607.770858196818"/>
    <n v="7"/>
    <n v="6.5"/>
    <n v="4.8504945409727123"/>
    <n v="164173"/>
  </r>
  <r>
    <x v="111"/>
    <n v="202602"/>
    <x v="0"/>
    <x v="2"/>
    <s v="Fátima L"/>
    <s v="Fátima L"/>
    <n v="22783"/>
    <n v="146358"/>
    <n v="6.4238541666666666"/>
    <n v="20405.459848874405"/>
    <n v="7"/>
    <n v="6.5"/>
    <n v="6.4427386872759902"/>
    <n v="131467"/>
  </r>
  <r>
    <x v="111"/>
    <n v="202405"/>
    <x v="2"/>
    <x v="3"/>
    <s v="Fátima L"/>
    <s v="Fátima L"/>
    <n v="22682"/>
    <n v="139881"/>
    <n v="6.1670094086021514"/>
    <n v="0"/>
    <n v="7"/>
    <n v="6.5"/>
    <m/>
    <n v="0"/>
  </r>
  <r>
    <x v="111"/>
    <n v="202601"/>
    <x v="0"/>
    <x v="10"/>
    <s v="Fátima L"/>
    <s v="Fátima L"/>
    <n v="22571"/>
    <n v="151114"/>
    <n v="6.6951142473118281"/>
    <n v="24633.241964854733"/>
    <n v="7"/>
    <n v="6.5"/>
    <n v="6.4427386872759902"/>
    <n v="158706"/>
  </r>
  <r>
    <x v="111"/>
    <n v="202506"/>
    <x v="1"/>
    <x v="11"/>
    <s v="Fátima L"/>
    <s v="Fátima L"/>
    <n v="22360"/>
    <n v="132268"/>
    <n v="5.9153888888888888"/>
    <n v="26459.230738720882"/>
    <n v="7"/>
    <n v="6.5"/>
    <n v="4.9989355815411818"/>
    <n v="154731"/>
  </r>
  <r>
    <x v="111"/>
    <n v="202409"/>
    <x v="2"/>
    <x v="4"/>
    <s v="Fátima L"/>
    <s v="Fátima L"/>
    <n v="22314"/>
    <n v="140974"/>
    <n v="6.3178888888888904"/>
    <n v="0"/>
    <n v="7"/>
    <n v="6.5"/>
    <m/>
    <n v="0"/>
  </r>
  <r>
    <x v="108"/>
    <n v="202506"/>
    <x v="1"/>
    <x v="11"/>
    <s v="María R"/>
    <s v="María R"/>
    <n v="22277"/>
    <n v="416162"/>
    <n v="18.68149305555556"/>
    <n v="27614.082599356341"/>
    <n v="22"/>
    <n v="20"/>
    <n v="15.070657462641918"/>
    <n v="523236"/>
  </r>
  <r>
    <x v="111"/>
    <n v="202411"/>
    <x v="2"/>
    <x v="7"/>
    <s v="Fátima L"/>
    <s v="Fátima L"/>
    <n v="22188"/>
    <n v="144972"/>
    <n v="6.5336736111111104"/>
    <n v="0"/>
    <n v="7"/>
    <n v="6.5"/>
    <m/>
    <n v="0"/>
  </r>
  <r>
    <x v="111"/>
    <n v="202505"/>
    <x v="1"/>
    <x v="3"/>
    <s v="Fátima L"/>
    <s v="Fátima L"/>
    <n v="21976"/>
    <n v="140259"/>
    <n v="6.3822311827957003"/>
    <n v="23816.314970288258"/>
    <n v="7"/>
    <n v="6.5"/>
    <n v="5.8891965518166129"/>
    <n v="147720"/>
  </r>
  <r>
    <x v="111"/>
    <n v="202501"/>
    <x v="1"/>
    <x v="10"/>
    <s v="Fátima L"/>
    <s v="Fátima L"/>
    <n v="21588"/>
    <n v="140000"/>
    <n v="6.4851142473118299"/>
    <n v="29388.351096174276"/>
    <n v="7"/>
    <n v="6.5"/>
    <n v="4.7637881942354001"/>
    <n v="155540"/>
  </r>
  <r>
    <x v="108"/>
    <n v="202511"/>
    <x v="1"/>
    <x v="7"/>
    <s v="María R"/>
    <s v="María R"/>
    <n v="20848"/>
    <n v="648074"/>
    <n v="31.085250000000006"/>
    <n v="27480.241896621344"/>
    <n v="22"/>
    <n v="20"/>
    <n v="23.583256378819563"/>
    <n v="912748"/>
  </r>
  <r>
    <x v="111"/>
    <n v="202404"/>
    <x v="2"/>
    <x v="9"/>
    <s v="Fátima L"/>
    <s v="Fátima L"/>
    <n v="20606"/>
    <n v="134157"/>
    <n v="6.5104861111111108"/>
    <n v="0"/>
    <n v="7"/>
    <n v="6.5"/>
    <m/>
    <n v="0"/>
  </r>
  <r>
    <x v="111"/>
    <n v="202502"/>
    <x v="1"/>
    <x v="2"/>
    <s v="Fátima L"/>
    <s v="Fátima L"/>
    <n v="20334"/>
    <n v="127168"/>
    <n v="6.2539583333333333"/>
    <n v="29760.817364806866"/>
    <n v="7"/>
    <n v="6.5"/>
    <n v="4.2729995766305882"/>
    <n v="128885"/>
  </r>
  <r>
    <x v="105"/>
    <n v="202603"/>
    <x v="0"/>
    <x v="0"/>
    <s v="María R"/>
    <s v="María R"/>
    <n v="13301"/>
    <n v="772435"/>
    <n v="58.071915322580651"/>
    <m/>
    <n v="61.5"/>
    <n v="56"/>
    <m/>
    <n v="3260483"/>
  </r>
  <r>
    <x v="88"/>
    <n v="202510"/>
    <x v="1"/>
    <x v="8"/>
    <s v="Sofía V"/>
    <s v="José A"/>
    <m/>
    <n v="295"/>
    <m/>
    <n v="0"/>
    <n v="84"/>
    <n v="76.5"/>
    <m/>
    <m/>
  </r>
  <r>
    <x v="88"/>
    <n v="202511"/>
    <x v="1"/>
    <x v="7"/>
    <s v="Sofía V"/>
    <s v="José A"/>
    <m/>
    <n v="5285248"/>
    <m/>
    <n v="0"/>
    <n v="84"/>
    <n v="76.5"/>
    <m/>
    <m/>
  </r>
  <r>
    <x v="31"/>
    <n v="202506"/>
    <x v="1"/>
    <x v="11"/>
    <s v="Sofía V"/>
    <s v="Melany A"/>
    <m/>
    <n v="76"/>
    <m/>
    <n v="115748.48877235636"/>
    <n v="99"/>
    <n v="32.5"/>
    <n v="6.5823753560915674E-4"/>
    <n v="11493576"/>
  </r>
  <r>
    <x v="31"/>
    <n v="202510"/>
    <x v="1"/>
    <x v="8"/>
    <s v="Sofía V"/>
    <s v="Melany A"/>
    <m/>
    <n v="1368"/>
    <m/>
    <n v="95627.042118029654"/>
    <n v="99"/>
    <n v="32.5"/>
    <n v="1.4304321975280443E-2"/>
    <n v="12285584"/>
  </r>
  <r>
    <x v="31"/>
    <n v="202511"/>
    <x v="1"/>
    <x v="7"/>
    <s v="Sofía V"/>
    <s v="Melany A"/>
    <m/>
    <n v="1524"/>
    <m/>
    <n v="99836.397512044452"/>
    <n v="99"/>
    <n v="32.5"/>
    <n v="1.526226945254284E-2"/>
    <n v="11754443"/>
  </r>
  <r>
    <x v="31"/>
    <n v="202602"/>
    <x v="0"/>
    <x v="2"/>
    <s v="Sofía V"/>
    <s v="Melany A"/>
    <m/>
    <n v="482"/>
    <m/>
    <n v="0"/>
    <n v="99"/>
    <n v="32.5"/>
    <n v="87.909090308325176"/>
    <n v="0"/>
  </r>
  <r>
    <x v="31"/>
    <n v="202604"/>
    <x v="0"/>
    <x v="9"/>
    <s v="Sofía V"/>
    <s v="Melany A"/>
    <m/>
    <n v="109"/>
    <m/>
    <n v="0"/>
    <n v="99"/>
    <n v="32.5"/>
    <n v="87.909090308325176"/>
    <m/>
  </r>
  <r>
    <x v="31"/>
    <n v="202606"/>
    <x v="0"/>
    <x v="11"/>
    <s v="Sofía V"/>
    <s v="Melany A"/>
    <m/>
    <n v="631"/>
    <m/>
    <n v="0"/>
    <n v="99"/>
    <n v="32.5"/>
    <n v="87.909090308325176"/>
    <m/>
  </r>
  <r>
    <x v="69"/>
    <n v="202510"/>
    <x v="1"/>
    <x v="8"/>
    <s v="Sofía V"/>
    <s v="José A"/>
    <m/>
    <n v="238502"/>
    <m/>
    <n v="0"/>
    <n v="84"/>
    <n v="76"/>
    <m/>
    <m/>
  </r>
  <r>
    <x v="69"/>
    <n v="202511"/>
    <x v="1"/>
    <x v="7"/>
    <s v="Sofía V"/>
    <s v="José A"/>
    <m/>
    <n v="7542015"/>
    <m/>
    <n v="0"/>
    <n v="84"/>
    <n v="76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">
  <r>
    <n v="5450.8198677195296"/>
    <n v="5349.1833096073633"/>
    <n v="100894"/>
    <n v="101097.07580239847"/>
    <n v="549955374"/>
    <n v="540786791"/>
    <s v="Daniel Rodríguez"/>
    <n v="5193.3547396953318"/>
    <n v="92967"/>
    <n v="482811337"/>
  </r>
  <r>
    <n v="1615.6433060035827"/>
    <n v="1651.8700631748877"/>
    <n v="92558"/>
    <n v="87470.298362567031"/>
    <n v="149540197"/>
    <n v="144489567"/>
    <s v="Joe Huamancondor"/>
    <n v="1669.0197200940822"/>
    <n v="78111"/>
    <n v="130368763"/>
  </r>
  <r>
    <n v="5818.1903073476115"/>
    <n v="6459.1281249987333"/>
    <n v="92353"/>
    <n v="84091.569053277824"/>
    <n v="537325330"/>
    <n v="543158219"/>
    <s v="Johanna Vilca"/>
    <n v="6456.2685566756363"/>
    <n v="82919"/>
    <n v="535349133"/>
  </r>
  <r>
    <n v="5571.6567184138921"/>
    <n v="5665.7565752644596"/>
    <n v="93783"/>
    <n v="89641.236310685155"/>
    <n v="522526650"/>
    <n v="507885424"/>
    <s v="José Aramburu"/>
    <n v="5074.3191565860125"/>
    <n v="89552"/>
    <n v="454416209"/>
  </r>
  <r>
    <n v="3445.4188515905003"/>
    <n v="3296.7288659558535"/>
    <n v="65012"/>
    <n v="73507.187861516213"/>
    <n v="223992371"/>
    <n v="242333268"/>
    <s v="María Rojas"/>
    <n v="3453.5685197132639"/>
    <n v="65743"/>
    <n v="227049127"/>
  </r>
  <r>
    <n v="4619.5781108870815"/>
    <n v="4680.075768606097"/>
    <n v="90081"/>
    <n v="85190.680617601844"/>
    <n v="416137460"/>
    <n v="398698840"/>
    <s v="Melany Alvarado"/>
    <n v="5008.0806171594777"/>
    <n v="78563"/>
    <n v="396375804"/>
  </r>
  <r>
    <n v="5041.3477309587379"/>
    <n v="4986.9860015159638"/>
    <n v="93706"/>
    <n v="92064.649201147331"/>
    <n v="472406968"/>
    <n v="459125117"/>
    <s v="Rodolfo Olivry"/>
    <n v="5160.9290704525174"/>
    <n v="85514"/>
    <n v="441332096"/>
  </r>
  <r>
    <n v="4889.3344288754361"/>
    <n v="4828.8941909538835"/>
    <n v="99164"/>
    <n v="98692.604883574706"/>
    <n v="484844153"/>
    <n v="476576146"/>
    <s v="Vik Enciso"/>
    <n v="4999.3900425627189"/>
    <n v="90401"/>
    <n v="45195060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n v="-2.4422177455854177E-2"/>
    <n v="96439"/>
    <n v="98853.210652639696"/>
  </r>
  <r>
    <x v="0"/>
    <x v="1"/>
    <n v="-1.5140155115249687E-2"/>
    <n v="94284"/>
    <n v="95733.418810504198"/>
  </r>
  <r>
    <x v="0"/>
    <x v="2"/>
    <n v="-7.6518852578828844E-2"/>
    <n v="109743"/>
    <n v="118836.21046997901"/>
  </r>
  <r>
    <x v="0"/>
    <x v="3"/>
    <n v="4.6575106916893594E-2"/>
    <n v="100418"/>
    <n v="95949.157720578194"/>
  </r>
  <r>
    <x v="0"/>
    <x v="4"/>
    <n v="3.4654222411619306E-2"/>
    <n v="105599"/>
    <n v="102062.116707807"/>
  </r>
  <r>
    <x v="0"/>
    <x v="5"/>
    <n v="3.3901374756129643E-2"/>
    <n v="98374"/>
    <n v="95148.340452883"/>
  </r>
  <r>
    <x v="1"/>
    <x v="0"/>
    <n v="-1.0734498025711359E-2"/>
    <n v="84937"/>
    <n v="85858.649503586494"/>
  </r>
  <r>
    <x v="1"/>
    <x v="1"/>
    <n v="1.9296733497565333E-2"/>
    <n v="82740"/>
    <n v="81173.614395966899"/>
  </r>
  <r>
    <x v="1"/>
    <x v="2"/>
    <n v="-7.7549433588282035E-3"/>
    <n v="99345"/>
    <n v="100121.436065694"/>
  </r>
  <r>
    <x v="1"/>
    <x v="3"/>
    <n v="8.5149152048736187E-2"/>
    <n v="95391"/>
    <n v="87905.888162842894"/>
  </r>
  <r>
    <x v="1"/>
    <x v="4"/>
    <n v="9.2447469740504884E-2"/>
    <n v="96917"/>
    <n v="88715.478487053697"/>
  </r>
  <r>
    <x v="1"/>
    <x v="5"/>
    <n v="0.1863156926820837"/>
    <n v="96147"/>
    <n v="81046.723560257306"/>
  </r>
  <r>
    <x v="2"/>
    <x v="0"/>
    <n v="2.8388214678858326E-2"/>
    <n v="88096"/>
    <n v="85664.147782469794"/>
  </r>
  <r>
    <x v="2"/>
    <x v="1"/>
    <n v="5.639056640563167E-2"/>
    <n v="82715"/>
    <n v="78299.639007036705"/>
  </r>
  <r>
    <x v="2"/>
    <x v="2"/>
    <n v="5.2799712285868772E-2"/>
    <n v="98791"/>
    <n v="93836.461814281996"/>
  </r>
  <r>
    <x v="2"/>
    <x v="3"/>
    <n v="0.14797114105902476"/>
    <n v="94405"/>
    <n v="82236.387852842396"/>
  </r>
  <r>
    <x v="2"/>
    <x v="4"/>
    <n v="0.14184099483635193"/>
    <n v="96669"/>
    <n v="84660.6492823062"/>
  </r>
  <r>
    <x v="2"/>
    <x v="5"/>
    <n v="0.17126495764537641"/>
    <n v="93528"/>
    <n v="79852.1285807284"/>
  </r>
  <r>
    <x v="3"/>
    <x v="0"/>
    <n v="-3.9968756984616105E-2"/>
    <n v="85852"/>
    <n v="89426.256306352603"/>
  </r>
  <r>
    <x v="3"/>
    <x v="1"/>
    <n v="3.8970348017801637E-3"/>
    <n v="83961"/>
    <n v="83635.071216818702"/>
  </r>
  <r>
    <x v="3"/>
    <x v="2"/>
    <n v="1.7481049167210161E-2"/>
    <n v="104625"/>
    <n v="102827.46797656199"/>
  </r>
  <r>
    <x v="3"/>
    <x v="3"/>
    <n v="0.12173670514262191"/>
    <n v="98342"/>
    <n v="87669.4143546782"/>
  </r>
  <r>
    <x v="3"/>
    <x v="4"/>
    <n v="8.7472486242626379E-2"/>
    <n v="97749"/>
    <n v="89886.412057869005"/>
  </r>
  <r>
    <x v="3"/>
    <x v="5"/>
    <n v="9.8932789536171351E-2"/>
    <n v="92753"/>
    <n v="84402.795951832901"/>
  </r>
  <r>
    <x v="4"/>
    <x v="0"/>
    <n v="-7.0747218031045001E-2"/>
    <n v="69329"/>
    <n v="74607.255792230906"/>
  </r>
  <r>
    <x v="4"/>
    <x v="1"/>
    <n v="-8.5022981363037098E-2"/>
    <n v="62584"/>
    <n v="68399.532146972502"/>
  </r>
  <r>
    <x v="4"/>
    <x v="2"/>
    <n v="-0.16213638948905562"/>
    <n v="65221"/>
    <n v="77842.024861572703"/>
  </r>
  <r>
    <x v="4"/>
    <x v="3"/>
    <n v="-0.12840437511412328"/>
    <n v="66820"/>
    <n v="76663.991984527398"/>
  </r>
  <r>
    <x v="4"/>
    <x v="4"/>
    <n v="-0.15320423044435871"/>
    <n v="62838"/>
    <n v="74206.794907554198"/>
  </r>
  <r>
    <x v="4"/>
    <x v="5"/>
    <n v="-8.6139982970218854E-2"/>
    <n v="63352"/>
    <n v="69323.527476238698"/>
  </r>
  <r>
    <x v="5"/>
    <x v="0"/>
    <n v="4.7926200211603875E-2"/>
    <n v="87356"/>
    <n v="83360.832072297198"/>
  </r>
  <r>
    <x v="5"/>
    <x v="1"/>
    <n v="8.5228869261865015E-2"/>
    <n v="88429"/>
    <n v="81484.194260466305"/>
  </r>
  <r>
    <x v="5"/>
    <x v="2"/>
    <n v="4.2637548486850196E-3"/>
    <n v="102514"/>
    <n v="102078.761187041"/>
  </r>
  <r>
    <x v="5"/>
    <x v="3"/>
    <n v="8.8027609373941607E-2"/>
    <n v="88802"/>
    <n v="81617.414149165998"/>
  </r>
  <r>
    <x v="5"/>
    <x v="4"/>
    <n v="5.7434315932257451E-2"/>
    <n v="90274"/>
    <n v="85370.787234583404"/>
  </r>
  <r>
    <x v="5"/>
    <x v="5"/>
    <n v="6.4259621737074335E-2"/>
    <n v="82195"/>
    <n v="77232.094802057894"/>
  </r>
  <r>
    <x v="6"/>
    <x v="0"/>
    <n v="-3.6557843495179654E-2"/>
    <n v="90310"/>
    <n v="93736.815843337201"/>
  </r>
  <r>
    <x v="6"/>
    <x v="1"/>
    <n v="-2.3583256624310711E-2"/>
    <n v="88729"/>
    <n v="90872.059089486895"/>
  </r>
  <r>
    <x v="6"/>
    <x v="2"/>
    <n v="-6.2699340279338656E-2"/>
    <n v="102590"/>
    <n v="109452.60620063401"/>
  </r>
  <r>
    <x v="6"/>
    <x v="3"/>
    <n v="6.1474711737484977E-2"/>
    <n v="92950"/>
    <n v="87566.852956726507"/>
  </r>
  <r>
    <x v="6"/>
    <x v="4"/>
    <n v="8.436998610193247E-2"/>
    <n v="96241"/>
    <n v="88752.917577481901"/>
  </r>
  <r>
    <x v="6"/>
    <x v="5"/>
    <n v="0.10836142143202854"/>
    <n v="90893"/>
    <n v="82006.6435392204"/>
  </r>
  <r>
    <x v="7"/>
    <x v="0"/>
    <n v="1.0534797415678421E-2"/>
    <n v="94558"/>
    <n v="93572.235455741597"/>
  </r>
  <r>
    <x v="7"/>
    <x v="1"/>
    <n v="3.4531373713728941E-2"/>
    <n v="95328"/>
    <n v="92146.069633243198"/>
  </r>
  <r>
    <x v="7"/>
    <x v="2"/>
    <n v="-5.9011852467854342E-2"/>
    <n v="110937"/>
    <n v="117894.152323752"/>
  </r>
  <r>
    <x v="7"/>
    <x v="3"/>
    <n v="4.5029670277698441E-2"/>
    <n v="99588"/>
    <n v="95296.815805752398"/>
  </r>
  <r>
    <x v="7"/>
    <x v="4"/>
    <n v="1.2349893024937719E-2"/>
    <n v="100782"/>
    <n v="99552.536819912901"/>
  </r>
  <r>
    <x v="7"/>
    <x v="5"/>
    <n v="-8.4724827025789429E-3"/>
    <n v="92900"/>
    <n v="93693.81926304470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x v="0"/>
    <x v="0"/>
    <n v="55593224"/>
    <n v="54684969"/>
    <n v="57146853"/>
    <n v="79884"/>
    <n v="80709.166400279995"/>
    <n v="74327"/>
    <n v="695.92513440860296"/>
    <n v="735.73570564516399"/>
  </r>
  <r>
    <x v="1"/>
    <x v="0"/>
    <n v="8761300"/>
    <n v="8247567"/>
    <n v="10160006"/>
    <n v="60384"/>
    <n v="71418.478054302206"/>
    <n v="59765"/>
    <n v="145.09188844086"/>
    <n v="138.00090725806399"/>
  </r>
  <r>
    <x v="2"/>
    <x v="0"/>
    <n v="69982085"/>
    <n v="66021778"/>
    <n v="69639547"/>
    <n v="98023"/>
    <n v="99721.482455325997"/>
    <n v="91973"/>
    <n v="713.93310483870903"/>
    <n v="717.84143817204495"/>
  </r>
  <r>
    <x v="3"/>
    <x v="0"/>
    <n v="62434090"/>
    <n v="62451173"/>
    <n v="66227031"/>
    <n v="89088"/>
    <n v="96097.295886224907"/>
    <n v="86611"/>
    <n v="700.81709005376297"/>
    <n v="721.05513440860295"/>
  </r>
  <r>
    <x v="4"/>
    <x v="0"/>
    <n v="69068442"/>
    <n v="57749259"/>
    <n v="72247538"/>
    <n v="94257"/>
    <n v="98970.528325005405"/>
    <n v="100116"/>
    <n v="732.76611559139599"/>
    <n v="576.82060483871101"/>
  </r>
  <r>
    <x v="5"/>
    <x v="0"/>
    <n v="22717716"/>
    <n v="25062338"/>
    <n v="25694330"/>
    <n v="59235"/>
    <n v="65656.187517862199"/>
    <n v="56033"/>
    <n v="383.51833333333201"/>
    <n v="447.27436155913898"/>
  </r>
  <r>
    <x v="6"/>
    <x v="0"/>
    <n v="65100759"/>
    <n v="70389579"/>
    <n v="65843068"/>
    <n v="94182"/>
    <n v="82230.272752063203"/>
    <n v="86704"/>
    <n v="691.22266801075398"/>
    <n v="811.83652553763795"/>
  </r>
  <r>
    <x v="7"/>
    <x v="0"/>
    <n v="83477947"/>
    <n v="79195306"/>
    <n v="81868449"/>
    <n v="94580"/>
    <n v="93483.913339931998"/>
    <n v="87004"/>
    <n v="882.62143817204606"/>
    <n v="910.24688172043295"/>
  </r>
  <r>
    <x v="8"/>
    <x v="0"/>
    <n v="96535841"/>
    <n v="94314775"/>
    <n v="98840495"/>
    <n v="87467"/>
    <n v="88449.778337895594"/>
    <n v="84737"/>
    <n v="1103.6812970430101"/>
    <n v="1113.0293077957001"/>
  </r>
  <r>
    <x v="0"/>
    <x v="1"/>
    <n v="53339955"/>
    <n v="51977898"/>
    <n v="53284591"/>
    <n v="74650"/>
    <n v="75254.449336943697"/>
    <n v="70561"/>
    <n v="714.538593749999"/>
    <n v="736.63578124999901"/>
  </r>
  <r>
    <x v="1"/>
    <x v="1"/>
    <n v="9618490"/>
    <n v="7777885"/>
    <n v="9157830"/>
    <n v="64494"/>
    <n v="64373.802762448897"/>
    <n v="54372"/>
    <n v="149.13723958333301"/>
    <n v="143.04895833333299"/>
  </r>
  <r>
    <x v="2"/>
    <x v="1"/>
    <n v="70082746"/>
    <n v="62492588"/>
    <n v="65653619"/>
    <n v="96929"/>
    <n v="94013.767787917401"/>
    <n v="85493"/>
    <n v="723.02999999999804"/>
    <n v="730.96390624999901"/>
  </r>
  <r>
    <x v="3"/>
    <x v="1"/>
    <n v="56107702"/>
    <n v="58213365"/>
    <n v="61037331"/>
    <n v="80468"/>
    <n v="88566.895148409298"/>
    <n v="78777"/>
    <n v="697.26651041666696"/>
    <n v="738.96229166666603"/>
  </r>
  <r>
    <x v="4"/>
    <x v="1"/>
    <n v="66935022"/>
    <n v="50831779"/>
    <n v="68539589"/>
    <n v="90467"/>
    <n v="93891.078961549894"/>
    <n v="88311"/>
    <n v="739.88447916666701"/>
    <n v="575.59718750000002"/>
  </r>
  <r>
    <x v="5"/>
    <x v="1"/>
    <n v="19367684"/>
    <n v="23198859"/>
    <n v="23197813"/>
    <n v="50189"/>
    <n v="59276.8907176344"/>
    <n v="52387"/>
    <n v="385.8934375"/>
    <n v="442.83598958333198"/>
  </r>
  <r>
    <x v="6"/>
    <x v="1"/>
    <n v="69364060"/>
    <n v="68734801"/>
    <n v="64574187"/>
    <n v="98444"/>
    <n v="80645.588990607401"/>
    <n v="82964"/>
    <n v="704.60463541666695"/>
    <n v="828.49182291666602"/>
  </r>
  <r>
    <x v="7"/>
    <x v="1"/>
    <n v="86411210"/>
    <n v="73985085"/>
    <n v="78965469"/>
    <n v="94181"/>
    <n v="90169.059955281802"/>
    <n v="80430"/>
    <n v="917.506249999999"/>
    <n v="919.87031249999905"/>
  </r>
  <r>
    <x v="8"/>
    <x v="1"/>
    <n v="99589916"/>
    <n v="93654698"/>
    <n v="97385479"/>
    <n v="87729"/>
    <n v="87147.722428542402"/>
    <n v="80707"/>
    <n v="1135.19359374999"/>
    <n v="1160.4354687499899"/>
  </r>
  <r>
    <x v="0"/>
    <x v="2"/>
    <n v="62528662"/>
    <n v="62224247"/>
    <n v="61467871"/>
    <n v="86868"/>
    <n v="86811.790994238399"/>
    <n v="84658"/>
    <n v="719.81531586021595"/>
    <n v="735.00301075268897"/>
  </r>
  <r>
    <x v="1"/>
    <x v="2"/>
    <n v="11456050"/>
    <n v="11447586"/>
    <n v="10939310"/>
    <n v="79618"/>
    <n v="76896.497230352601"/>
    <n v="64366"/>
    <n v="143.88772849462299"/>
    <n v="177.85113575268699"/>
  </r>
  <r>
    <x v="2"/>
    <x v="2"/>
    <n v="85957877"/>
    <n v="78248270"/>
    <n v="83656828"/>
    <n v="116601"/>
    <n v="119793.75673547"/>
    <n v="106386"/>
    <n v="737.19394489247202"/>
    <n v="735.51352150537798"/>
  </r>
  <r>
    <x v="3"/>
    <x v="2"/>
    <n v="69740297"/>
    <n v="70456023"/>
    <n v="71431661"/>
    <n v="98114"/>
    <n v="103649.362102934"/>
    <n v="95948"/>
    <n v="710.80704973118202"/>
    <n v="734.31472446236796"/>
  </r>
  <r>
    <x v="4"/>
    <x v="2"/>
    <n v="82132825"/>
    <n v="60767863"/>
    <n v="83030927"/>
    <n v="107621"/>
    <n v="113742.487195751"/>
    <n v="104958"/>
    <n v="763.16704973117999"/>
    <n v="578.97230510752797"/>
  </r>
  <r>
    <x v="5"/>
    <x v="2"/>
    <n v="22067893"/>
    <n v="24328267"/>
    <n v="24587429"/>
    <n v="48621"/>
    <n v="62827.745940031702"/>
    <n v="56796"/>
    <n v="453.87275537634298"/>
    <n v="428.34256048387101"/>
  </r>
  <r>
    <x v="6"/>
    <x v="2"/>
    <n v="83545882"/>
    <n v="80567392"/>
    <n v="84160316"/>
    <n v="111716"/>
    <n v="105106.36824993401"/>
    <n v="104896"/>
    <n v="747.83836693548403"/>
    <n v="768.07123655914097"/>
  </r>
  <r>
    <x v="7"/>
    <x v="2"/>
    <n v="105222802"/>
    <n v="94886521"/>
    <n v="101563316"/>
    <n v="109907"/>
    <n v="115973.08133177301"/>
    <n v="100520"/>
    <n v="957.37758064516095"/>
    <n v="943.96006720430205"/>
  </r>
  <r>
    <x v="8"/>
    <x v="2"/>
    <n v="121448579"/>
    <n v="119783664"/>
    <n v="119038808"/>
    <n v="104432"/>
    <n v="106524.720494797"/>
    <n v="101503"/>
    <n v="1162.9430241935399"/>
    <n v="1180.10186827957"/>
  </r>
  <r>
    <x v="0"/>
    <x v="3"/>
    <n v="56689609"/>
    <n v="54984230"/>
    <n v="53627613"/>
    <n v="83497"/>
    <n v="75738.902661680593"/>
    <n v="77113"/>
    <n v="678.93870138884802"/>
    <n v="713.03764583333304"/>
  </r>
  <r>
    <x v="1"/>
    <x v="3"/>
    <n v="9008726"/>
    <n v="9079753"/>
    <n v="9075181"/>
    <n v="66209"/>
    <n v="63792.837808793302"/>
    <n v="54519"/>
    <n v="136.06410416667001"/>
    <n v="166.54356249999901"/>
  </r>
  <r>
    <x v="2"/>
    <x v="3"/>
    <n v="75407822"/>
    <n v="65251387"/>
    <n v="70847478"/>
    <n v="108079"/>
    <n v="101451.199374276"/>
    <n v="91979"/>
    <n v="697.70749999996303"/>
    <n v="709.41266666666604"/>
  </r>
  <r>
    <x v="3"/>
    <x v="3"/>
    <n v="63547843"/>
    <n v="61923830"/>
    <n v="63351229"/>
    <n v="96213"/>
    <n v="91924.426053961506"/>
    <n v="90624"/>
    <n v="660.49457638884303"/>
    <n v="683.30286111111195"/>
  </r>
  <r>
    <x v="4"/>
    <x v="3"/>
    <n v="70773824"/>
    <n v="56126769"/>
    <n v="68744179"/>
    <n v="98615"/>
    <n v="94171.343469465704"/>
    <n v="95715"/>
    <n v="717.67728472218903"/>
    <n v="586.39534722222299"/>
  </r>
  <r>
    <x v="5"/>
    <x v="3"/>
    <n v="22918453"/>
    <n v="23116155"/>
    <n v="27503327"/>
    <n v="55390"/>
    <n v="70278.680944519205"/>
    <n v="58054"/>
    <n v="413.76752083332701"/>
    <n v="398.183819444444"/>
  </r>
  <r>
    <x v="6"/>
    <x v="3"/>
    <n v="68961062"/>
    <n v="63739175"/>
    <n v="67490298"/>
    <n v="98670"/>
    <n v="84287.470232548498"/>
    <n v="83200"/>
    <n v="698.90722222220199"/>
    <n v="766.09652777777603"/>
  </r>
  <r>
    <x v="7"/>
    <x v="3"/>
    <n v="86190837"/>
    <n v="77415207"/>
    <n v="76814543"/>
    <n v="96090"/>
    <n v="87712.961329033598"/>
    <n v="84841"/>
    <n v="896.97654861109402"/>
    <n v="912.47561805555495"/>
  </r>
  <r>
    <x v="8"/>
    <x v="3"/>
    <n v="102119694"/>
    <n v="94589525"/>
    <n v="98868927"/>
    <n v="95380"/>
    <n v="88475.220910353601"/>
    <n v="83740"/>
    <n v="1070.6568541667"/>
    <n v="1129.5668125"/>
  </r>
  <r>
    <x v="0"/>
    <x v="4"/>
    <n v="58167859"/>
    <n v="54803030"/>
    <n v="54314368"/>
    <n v="84874"/>
    <n v="76708.815440430597"/>
    <n v="74468"/>
    <n v="685.34271505385595"/>
    <n v="735.92599462365695"/>
  </r>
  <r>
    <x v="1"/>
    <x v="4"/>
    <n v="9147343"/>
    <n v="8889781"/>
    <n v="8905745"/>
    <n v="67358"/>
    <n v="62601.807712389098"/>
    <n v="50528"/>
    <n v="135.80258736558901"/>
    <n v="175.93728494623599"/>
  </r>
  <r>
    <x v="2"/>
    <x v="4"/>
    <n v="74812494"/>
    <n v="65264021"/>
    <n v="71496620"/>
    <n v="106440"/>
    <n v="102380.748841316"/>
    <n v="91170"/>
    <n v="702.86289650546405"/>
    <n v="715.84662634408596"/>
  </r>
  <r>
    <x v="3"/>
    <x v="4"/>
    <n v="67037213"/>
    <n v="63482871"/>
    <n v="65990977"/>
    <n v="98507"/>
    <n v="95754.775960810599"/>
    <n v="93276"/>
    <n v="680.533037634479"/>
    <n v="680.58934811827896"/>
  </r>
  <r>
    <x v="4"/>
    <x v="4"/>
    <n v="73742656"/>
    <n v="60189101"/>
    <n v="72481112"/>
    <n v="103129"/>
    <n v="99290.496576228004"/>
    <n v="102539"/>
    <n v="715.05522177433397"/>
    <n v="586.98848118279795"/>
  </r>
  <r>
    <x v="5"/>
    <x v="4"/>
    <n v="22044863"/>
    <n v="21671516"/>
    <n v="25657509"/>
    <n v="51136"/>
    <n v="65562.101248790597"/>
    <n v="57312"/>
    <n v="431.10139784944602"/>
    <n v="378.13289650537598"/>
  </r>
  <r>
    <x v="6"/>
    <x v="4"/>
    <n v="69312860"/>
    <n v="64322764"/>
    <n v="69413821"/>
    <n v="98584"/>
    <n v="86689.724540740703"/>
    <n v="83234"/>
    <n v="703.08159946246803"/>
    <n v="772.79788306451701"/>
  </r>
  <r>
    <x v="7"/>
    <x v="4"/>
    <n v="91733344"/>
    <n v="82703323"/>
    <n v="81915473"/>
    <n v="101426"/>
    <n v="93537.609893396206"/>
    <n v="89239"/>
    <n v="904.43250672044906"/>
    <n v="926.76504704301203"/>
  </r>
  <r>
    <x v="8"/>
    <x v="4"/>
    <n v="105849472"/>
    <n v="98915635"/>
    <n v="102511638"/>
    <n v="96977"/>
    <n v="91734.987583395501"/>
    <n v="85314"/>
    <n v="1091.4875604838401"/>
    <n v="1159.43601478494"/>
  </r>
  <r>
    <x v="0"/>
    <x v="5"/>
    <n v="55050641"/>
    <n v="52614602"/>
    <n v="52149704"/>
    <n v="82894"/>
    <n v="73651.634559358703"/>
    <n v="72434"/>
    <n v="664.10502083330005"/>
    <n v="726.37779861110903"/>
  </r>
  <r>
    <x v="1"/>
    <x v="5"/>
    <n v="8389021"/>
    <n v="8351760"/>
    <n v="8242586"/>
    <n v="65786"/>
    <n v="57940.215084195101"/>
    <n v="50502"/>
    <n v="127.518951388891"/>
    <n v="165.37378472222201"/>
  </r>
  <r>
    <x v="2"/>
    <x v="5"/>
    <n v="68401234"/>
    <n v="60531165"/>
    <n v="66004932"/>
    <n v="99731"/>
    <n v="94516.836745981898"/>
    <n v="84667"/>
    <n v="685.85781249997694"/>
    <n v="714.92968749999898"/>
  </r>
  <r>
    <x v="3"/>
    <x v="5"/>
    <n v="61955803"/>
    <n v="56625266"/>
    <n v="61950178"/>
    <n v="94984"/>
    <n v="89891.461027112993"/>
    <n v="87257"/>
    <n v="652.27725694442404"/>
    <n v="648.95060416666502"/>
  </r>
  <r>
    <x v="4"/>
    <x v="5"/>
    <n v="67894596"/>
    <n v="56337211"/>
    <n v="68140216"/>
    <n v="98841"/>
    <n v="93343.985702152393"/>
    <n v="96632"/>
    <n v="686.90625694440598"/>
    <n v="583.009340277776"/>
  </r>
  <r>
    <x v="5"/>
    <x v="5"/>
    <n v="21234671"/>
    <n v="20581648"/>
    <n v="24526145"/>
    <n v="54985"/>
    <n v="62671.149746462797"/>
    <n v="55329"/>
    <n v="386.19038888889003"/>
    <n v="371.98894444444397"/>
  </r>
  <r>
    <x v="6"/>
    <x v="5"/>
    <n v="61609762"/>
    <n v="57062378"/>
    <n v="62147929"/>
    <n v="90441"/>
    <n v="77615.477931896705"/>
    <n v="74403"/>
    <n v="681.21272916664998"/>
    <n v="766.93589583332903"/>
  </r>
  <r>
    <x v="7"/>
    <x v="5"/>
    <n v="81552299"/>
    <n v="75977016"/>
    <n v="76654091"/>
    <n v="94148"/>
    <n v="87529.744913138202"/>
    <n v="82897"/>
    <n v="866.21451388886601"/>
    <n v="916.52278472222304"/>
  </r>
  <r>
    <x v="8"/>
    <x v="5"/>
    <n v="94585305"/>
    <n v="90483162"/>
    <n v="94887860"/>
    <n v="88623"/>
    <n v="84912.668231757503"/>
    <n v="80484"/>
    <n v="1067.2819305555599"/>
    <n v="1124.23888888889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2">
  <r>
    <x v="0"/>
    <x v="0"/>
    <x v="0"/>
    <n v="9929231"/>
    <n v="8571966"/>
    <n v="9359450"/>
    <n v="91046"/>
    <n v="90889.521866791096"/>
    <n v="63348"/>
    <n v="109.056801075263"/>
    <n v="135.31649193548299"/>
    <n v="102.97612103755201"/>
  </r>
  <r>
    <x v="0"/>
    <x v="0"/>
    <x v="1"/>
    <n v="10181196"/>
    <n v="9037321"/>
    <n v="9254069"/>
    <n v="94534"/>
    <n v="89866.168492841694"/>
    <n v="67974"/>
    <n v="107.69893750000401"/>
    <n v="132.95187499999901"/>
    <n v="102.97612103755201"/>
  </r>
  <r>
    <x v="0"/>
    <x v="0"/>
    <x v="2"/>
    <n v="9178038"/>
    <n v="7651930"/>
    <n v="8356052"/>
    <n v="86703"/>
    <n v="81145.526338603697"/>
    <n v="58893"/>
    <n v="105.855701388892"/>
    <n v="129.92870138888799"/>
    <n v="102.97612103755201"/>
  </r>
  <r>
    <x v="0"/>
    <x v="0"/>
    <x v="3"/>
    <n v="11748511"/>
    <n v="10163236"/>
    <n v="10859350"/>
    <n v="103607"/>
    <n v="105455.034548639"/>
    <n v="81573"/>
    <n v="113.395389784946"/>
    <n v="124.591344086021"/>
    <n v="102.97612103755201"/>
  </r>
  <r>
    <x v="1"/>
    <x v="1"/>
    <x v="0"/>
    <n v="12787907"/>
    <n v="11511534"/>
    <n v="12169665"/>
    <n v="121694"/>
    <n v="103846.499199564"/>
    <n v="95624"/>
    <n v="105.082748655912"/>
    <n v="120.38315860215"/>
    <n v="117.188975024697"/>
  </r>
  <r>
    <x v="1"/>
    <x v="1"/>
    <x v="2"/>
    <n v="12302365"/>
    <n v="11339493"/>
    <n v="11783908"/>
    <n v="119394"/>
    <n v="100554.751986836"/>
    <n v="95583"/>
    <n v="103.040388888891"/>
    <n v="118.635270833333"/>
    <n v="117.188975024697"/>
  </r>
  <r>
    <x v="1"/>
    <x v="1"/>
    <x v="4"/>
    <n v="11806878"/>
    <n v="11721154"/>
    <n v="12562749"/>
    <n v="100029"/>
    <n v="107200.77565788401"/>
    <n v="99216"/>
    <n v="118.034677419354"/>
    <n v="118.137889784946"/>
    <n v="117.188975024697"/>
  </r>
  <r>
    <x v="0"/>
    <x v="2"/>
    <x v="1"/>
    <n v="11096009"/>
    <n v="9701844"/>
    <n v="10246686"/>
    <n v="108452"/>
    <n v="99505.456439394096"/>
    <n v="82244"/>
    <n v="102.312680555559"/>
    <n v="117.963805555555"/>
    <n v="102.97612103755201"/>
  </r>
  <r>
    <x v="1"/>
    <x v="1"/>
    <x v="3"/>
    <n v="13175582"/>
    <n v="12988869"/>
    <n v="13423952"/>
    <n v="110399"/>
    <n v="114549.61121360501"/>
    <n v="111742"/>
    <n v="119.345530913978"/>
    <n v="116.239798387096"/>
    <n v="117.188975024697"/>
  </r>
  <r>
    <x v="0"/>
    <x v="2"/>
    <x v="2"/>
    <n v="9609769"/>
    <n v="8757678"/>
    <n v="9275745"/>
    <n v="95288"/>
    <n v="90076.662981094007"/>
    <n v="77908"/>
    <n v="100.84972916666899"/>
    <n v="112.410909722222"/>
    <n v="102.97612103755201"/>
  </r>
  <r>
    <x v="1"/>
    <x v="1"/>
    <x v="5"/>
    <n v="11084158"/>
    <n v="10847518"/>
    <n v="11496230"/>
    <n v="100519"/>
    <n v="98099.930619558698"/>
    <n v="96588"/>
    <n v="110.269270833333"/>
    <n v="112.306562499999"/>
    <n v="117.188975024697"/>
  </r>
  <r>
    <x v="1"/>
    <x v="1"/>
    <x v="1"/>
    <n v="12413583"/>
    <n v="11784903"/>
    <n v="12230346"/>
    <n v="112023"/>
    <n v="104364.30202775"/>
    <n v="105546"/>
    <n v="110.812770833337"/>
    <n v="111.656562499999"/>
    <n v="117.188975024697"/>
  </r>
  <r>
    <x v="0"/>
    <x v="2"/>
    <x v="0"/>
    <n v="10814175"/>
    <n v="9890773"/>
    <n v="10458903"/>
    <n v="104467"/>
    <n v="101566.290164356"/>
    <n v="88848"/>
    <n v="103.517157258061"/>
    <n v="111.322721774193"/>
    <n v="102.97612103755201"/>
  </r>
  <r>
    <x v="0"/>
    <x v="3"/>
    <x v="4"/>
    <m/>
    <n v="10998136"/>
    <m/>
    <m/>
    <n v="0"/>
    <n v="99535"/>
    <m/>
    <n v="110.494811827956"/>
    <n v="87.909090308325105"/>
  </r>
  <r>
    <x v="2"/>
    <x v="4"/>
    <x v="3"/>
    <n v="10068047"/>
    <n v="10084511"/>
    <n v="10204904"/>
    <n v="92132"/>
    <n v="99470.288049203606"/>
    <n v="91781"/>
    <n v="109.27870295698899"/>
    <n v="109.876149193548"/>
    <n v="102.592483473578"/>
  </r>
  <r>
    <x v="2"/>
    <x v="5"/>
    <x v="5"/>
    <n v="4191044"/>
    <n v="9052197"/>
    <n v="9154173"/>
    <n v="49085"/>
    <n v="93405.144642720799"/>
    <n v="82545"/>
    <n v="85.384010416666598"/>
    <n v="109.663697916666"/>
    <n v="98.0050147003695"/>
  </r>
  <r>
    <x v="2"/>
    <x v="4"/>
    <x v="5"/>
    <n v="8458734"/>
    <n v="8543304"/>
    <n v="8754597"/>
    <n v="77741"/>
    <n v="85333.709714266297"/>
    <n v="78222"/>
    <n v="108.8059375"/>
    <n v="109.21885416666601"/>
    <n v="102.592483473578"/>
  </r>
  <r>
    <x v="0"/>
    <x v="2"/>
    <x v="5"/>
    <n v="11615479"/>
    <n v="8959163"/>
    <n v="10308078"/>
    <n v="127786"/>
    <n v="100101.636340923"/>
    <n v="83319"/>
    <n v="90.897916666666603"/>
    <n v="107.528437499999"/>
    <n v="102.97612103755201"/>
  </r>
  <r>
    <x v="2"/>
    <x v="4"/>
    <x v="0"/>
    <n v="9451428"/>
    <n v="9042337"/>
    <n v="9355099"/>
    <n v="85911"/>
    <n v="91186.981407944098"/>
    <n v="84392"/>
    <n v="110.013797043007"/>
    <n v="107.146572580645"/>
    <n v="102.592483473578"/>
  </r>
  <r>
    <x v="2"/>
    <x v="4"/>
    <x v="1"/>
    <n v="9083748"/>
    <n v="8487577"/>
    <n v="8991227"/>
    <n v="83121"/>
    <n v="87640.210678939198"/>
    <n v="79311"/>
    <n v="109.28341666667001"/>
    <n v="107.016583333333"/>
    <n v="102.592483473578"/>
  </r>
  <r>
    <x v="2"/>
    <x v="4"/>
    <x v="4"/>
    <n v="8650247"/>
    <n v="8642735"/>
    <n v="9328140"/>
    <n v="83388"/>
    <n v="90924.202243357999"/>
    <n v="81457"/>
    <n v="103.734448924731"/>
    <n v="106.102264784946"/>
    <n v="102.592483473578"/>
  </r>
  <r>
    <x v="2"/>
    <x v="5"/>
    <x v="3"/>
    <n v="9593285"/>
    <n v="10716261"/>
    <n v="11059506"/>
    <n v="102699"/>
    <n v="112846.330723098"/>
    <n v="101253"/>
    <n v="93.411989247311794"/>
    <n v="105.836659946236"/>
    <n v="98.0050147003695"/>
  </r>
  <r>
    <x v="2"/>
    <x v="6"/>
    <x v="3"/>
    <n v="10069020"/>
    <n v="10358837"/>
    <n v="9965257"/>
    <n v="93110"/>
    <n v="97530.842733194106"/>
    <n v="97972"/>
    <n v="108.141532258064"/>
    <n v="105.732224462365"/>
    <n v="102.175440857832"/>
  </r>
  <r>
    <x v="2"/>
    <x v="6"/>
    <x v="1"/>
    <n v="9181730"/>
    <n v="9286509"/>
    <n v="8800818"/>
    <n v="99114"/>
    <n v="86134.378178466097"/>
    <n v="88422"/>
    <n v="92.638194444446796"/>
    <n v="105.024840277777"/>
    <n v="102.175440857832"/>
  </r>
  <r>
    <x v="0"/>
    <x v="3"/>
    <x v="5"/>
    <n v="482"/>
    <n v="9091264"/>
    <n v="0"/>
    <m/>
    <n v="0"/>
    <n v="86662"/>
    <m/>
    <n v="104.905416666666"/>
    <n v="87.909090308325105"/>
  </r>
  <r>
    <x v="2"/>
    <x v="6"/>
    <x v="4"/>
    <n v="8710152"/>
    <n v="9150518"/>
    <n v="9842127"/>
    <n v="79893"/>
    <n v="96325.755267299799"/>
    <n v="87539"/>
    <n v="109.022083333333"/>
    <n v="104.530557795698"/>
    <n v="102.175440857832"/>
  </r>
  <r>
    <x v="2"/>
    <x v="6"/>
    <x v="0"/>
    <n v="9552297"/>
    <n v="9364853"/>
    <n v="9053300"/>
    <n v="98608"/>
    <n v="88605.444465826702"/>
    <n v="89956"/>
    <n v="96.871626344085996"/>
    <n v="104.104865591397"/>
    <n v="102.175440857832"/>
  </r>
  <r>
    <x v="2"/>
    <x v="6"/>
    <x v="5"/>
    <n v="8375768"/>
    <n v="8081573"/>
    <n v="8937230"/>
    <n v="77660"/>
    <n v="87469.450134649698"/>
    <n v="77838"/>
    <n v="107.851249999999"/>
    <n v="103.82505208333301"/>
    <n v="102.175440857832"/>
  </r>
  <r>
    <x v="0"/>
    <x v="2"/>
    <x v="3"/>
    <n v="14434788"/>
    <n v="13946827"/>
    <n v="13918447"/>
    <n v="133787"/>
    <n v="135161.88911431399"/>
    <n v="135059"/>
    <n v="107.894038978494"/>
    <n v="103.264536290322"/>
    <n v="102.97612103755201"/>
  </r>
  <r>
    <x v="2"/>
    <x v="5"/>
    <x v="4"/>
    <n v="9608067"/>
    <n v="9785448"/>
    <n v="9986924"/>
    <n v="103414"/>
    <n v="101902.168279174"/>
    <n v="95075"/>
    <n v="92.909193548387094"/>
    <n v="102.92305107526801"/>
    <n v="98.0050147003695"/>
  </r>
  <r>
    <x v="2"/>
    <x v="7"/>
    <x v="4"/>
    <n v="8816959"/>
    <n v="8825586"/>
    <n v="9700862"/>
    <n v="90621"/>
    <n v="107714.560350292"/>
    <n v="86079"/>
    <n v="97.294401881720404"/>
    <n v="102.529065860215"/>
    <n v="90.060822135394901"/>
  </r>
  <r>
    <x v="2"/>
    <x v="7"/>
    <x v="3"/>
    <n v="10091243"/>
    <n v="10106526"/>
    <n v="10271984"/>
    <n v="110226"/>
    <n v="114056.080137236"/>
    <n v="100366"/>
    <n v="91.550591397849402"/>
    <n v="100.697163978494"/>
    <n v="90.060822135394901"/>
  </r>
  <r>
    <x v="0"/>
    <x v="2"/>
    <x v="4"/>
    <n v="9845910"/>
    <n v="9224309"/>
    <n v="9521011"/>
    <n v="105915"/>
    <n v="92458.434258053996"/>
    <n v="91678"/>
    <n v="92.960658602150403"/>
    <n v="100.61629704300999"/>
    <n v="102.97612103755201"/>
  </r>
  <r>
    <x v="3"/>
    <x v="8"/>
    <x v="2"/>
    <n v="9765595"/>
    <n v="8961782"/>
    <n v="8993913"/>
    <n v="110050"/>
    <n v="93000.708306723303"/>
    <n v="89614"/>
    <n v="88.738125000002697"/>
    <n v="100.004236111111"/>
    <n v="96.708009322223603"/>
  </r>
  <r>
    <x v="2"/>
    <x v="4"/>
    <x v="2"/>
    <n v="8668578"/>
    <n v="8592844"/>
    <n v="8713534"/>
    <n v="86018"/>
    <n v="84933.449832551094"/>
    <n v="85948"/>
    <n v="100.776618055558"/>
    <n v="99.977645833333398"/>
    <n v="102.592483473578"/>
  </r>
  <r>
    <x v="2"/>
    <x v="7"/>
    <x v="5"/>
    <n v="8593961"/>
    <n v="8443155"/>
    <n v="8813232"/>
    <n v="92296"/>
    <n v="97858.667398687801"/>
    <n v="84677"/>
    <n v="93.112708333333202"/>
    <n v="99.709895833333306"/>
    <n v="90.060822135394901"/>
  </r>
  <r>
    <x v="3"/>
    <x v="8"/>
    <x v="0"/>
    <n v="10633331"/>
    <n v="9905507"/>
    <n v="9592051"/>
    <n v="115778"/>
    <n v="99185.695008362905"/>
    <n v="99481"/>
    <n v="91.842493279568203"/>
    <n v="99.571801075268695"/>
    <n v="96.708009322223603"/>
  </r>
  <r>
    <x v="0"/>
    <x v="9"/>
    <x v="3"/>
    <n v="12134655"/>
    <n v="11175328"/>
    <n v="11603924"/>
    <n v="136369"/>
    <n v="132233.08198363299"/>
    <n v="112300"/>
    <n v="88.983924731182796"/>
    <n v="99.512997311827903"/>
    <n v="87.753564014610305"/>
  </r>
  <r>
    <x v="3"/>
    <x v="8"/>
    <x v="1"/>
    <n v="10424061"/>
    <n v="9296042"/>
    <n v="9442984"/>
    <n v="114189"/>
    <n v="97644.282781550195"/>
    <n v="93766"/>
    <n v="91.287437500003307"/>
    <n v="99.140513888888805"/>
    <n v="96.708009322223603"/>
  </r>
  <r>
    <x v="1"/>
    <x v="10"/>
    <x v="3"/>
    <n v="8235621"/>
    <n v="8049567"/>
    <n v="8298377"/>
    <n v="87492"/>
    <n v="93859.205990877294"/>
    <n v="82909"/>
    <n v="94.130524193548297"/>
    <n v="97.089059139784794"/>
    <n v="88.413034538205693"/>
  </r>
  <r>
    <x v="1"/>
    <x v="10"/>
    <x v="5"/>
    <n v="6875470"/>
    <n v="6659969"/>
    <n v="7302104"/>
    <n v="77417"/>
    <n v="82590.803794259002"/>
    <n v="68621"/>
    <n v="88.811354166666703"/>
    <n v="97.053749999999994"/>
    <n v="88.413034538205693"/>
  </r>
  <r>
    <x v="4"/>
    <x v="11"/>
    <x v="4"/>
    <n v="5276274"/>
    <n v="4807860"/>
    <n v="4923547"/>
    <n v="53103"/>
    <n v="51233.575784599299"/>
    <n v="50043"/>
    <n v="99.358319892473006"/>
    <n v="96.074999999999903"/>
    <n v="96.1"/>
  </r>
  <r>
    <x v="2"/>
    <x v="6"/>
    <x v="2"/>
    <n v="8885351"/>
    <n v="7487057"/>
    <n v="8861795"/>
    <n v="95333"/>
    <n v="86731.165506106205"/>
    <n v="78286"/>
    <n v="93.2032500000021"/>
    <n v="95.637451388888906"/>
    <n v="102.175440857832"/>
  </r>
  <r>
    <x v="0"/>
    <x v="9"/>
    <x v="0"/>
    <n v="9115554"/>
    <n v="8278367"/>
    <n v="8999545"/>
    <n v="111235"/>
    <n v="102554.75771447401"/>
    <n v="86832"/>
    <n v="81.948877688171393"/>
    <n v="95.337553763440894"/>
    <n v="87.753564014610305"/>
  </r>
  <r>
    <x v="1"/>
    <x v="10"/>
    <x v="0"/>
    <n v="8044748"/>
    <n v="7548158"/>
    <n v="7880724"/>
    <n v="94971"/>
    <n v="89135.317800844394"/>
    <n v="79295"/>
    <n v="84.707056451612502"/>
    <n v="95.190497311827897"/>
    <n v="88.413034538205693"/>
  </r>
  <r>
    <x v="0"/>
    <x v="9"/>
    <x v="2"/>
    <n v="8215276"/>
    <n v="7322575"/>
    <n v="8371963"/>
    <n v="104027"/>
    <n v="95403.114340816101"/>
    <n v="77124"/>
    <n v="78.972444444447007"/>
    <n v="94.944937499999895"/>
    <n v="87.753564014610305"/>
  </r>
  <r>
    <x v="2"/>
    <x v="12"/>
    <x v="5"/>
    <n v="7737545"/>
    <n v="7317776"/>
    <n v="7828350"/>
    <n v="86383"/>
    <n v="91121.865633877896"/>
    <n v="77592"/>
    <n v="89.572968750000001"/>
    <n v="94.310677083333303"/>
    <n v="85.910778843728195"/>
  </r>
  <r>
    <x v="2"/>
    <x v="5"/>
    <x v="1"/>
    <n v="9158680"/>
    <n v="9576095"/>
    <n v="9492874"/>
    <n v="105948"/>
    <n v="96861.107094596402"/>
    <n v="101661"/>
    <n v="86.444750000002401"/>
    <n v="94.196472222222198"/>
    <n v="98.0050147003695"/>
  </r>
  <r>
    <x v="5"/>
    <x v="13"/>
    <x v="3"/>
    <n v="13261296"/>
    <n v="12324134"/>
    <n v="12285555"/>
    <n v="144485"/>
    <n v="142204.97606273901"/>
    <n v="130998"/>
    <n v="91.782983870967797"/>
    <n v="94.079153225806394"/>
    <n v="86.393284871267298"/>
  </r>
  <r>
    <x v="1"/>
    <x v="10"/>
    <x v="2"/>
    <n v="7766438"/>
    <n v="7328305"/>
    <n v="7519760"/>
    <n v="92697"/>
    <n v="85052.613258630998"/>
    <n v="77975"/>
    <n v="83.783194444446707"/>
    <n v="93.983069444444396"/>
    <n v="88.413034538205693"/>
  </r>
  <r>
    <x v="3"/>
    <x v="8"/>
    <x v="4"/>
    <n v="9803963"/>
    <n v="9351475"/>
    <n v="10008295"/>
    <n v="108357"/>
    <n v="103489.822578739"/>
    <n v="100241"/>
    <n v="90.478434139784994"/>
    <n v="93.290053763440795"/>
    <n v="96.708009322223603"/>
  </r>
  <r>
    <x v="6"/>
    <x v="14"/>
    <x v="3"/>
    <n v="11511184"/>
    <n v="10777878"/>
    <n v="12734359"/>
    <n v="128144"/>
    <n v="152834.02529188801"/>
    <n v="115557"/>
    <n v="89.829758064516099"/>
    <n v="93.268743279569804"/>
    <n v="83.321494048065702"/>
  </r>
  <r>
    <x v="2"/>
    <x v="12"/>
    <x v="3"/>
    <n v="8864263"/>
    <n v="8817575"/>
    <n v="8910877"/>
    <n v="100936"/>
    <n v="103722.45893508699"/>
    <n v="94564"/>
    <n v="87.820551075268796"/>
    <n v="93.244986559139704"/>
    <n v="85.910778843728195"/>
  </r>
  <r>
    <x v="2"/>
    <x v="5"/>
    <x v="0"/>
    <n v="9852862"/>
    <n v="8809963"/>
    <n v="9726713"/>
    <n v="112187"/>
    <n v="99247.099121789302"/>
    <n v="94647"/>
    <n v="87.825067204300893"/>
    <n v="93.082641129032197"/>
    <n v="98.0050147003695"/>
  </r>
  <r>
    <x v="0"/>
    <x v="9"/>
    <x v="1"/>
    <n v="9436243"/>
    <n v="8281450"/>
    <n v="8927179"/>
    <n v="115132"/>
    <n v="101730.10039471"/>
    <n v="89000"/>
    <n v="81.960034722225302"/>
    <n v="93.050416666666607"/>
    <n v="87.753564014610305"/>
  </r>
  <r>
    <x v="0"/>
    <x v="9"/>
    <x v="5"/>
    <n v="10208666"/>
    <n v="8383686"/>
    <n v="9462132"/>
    <n v="114376"/>
    <n v="107826.183988659"/>
    <n v="90420"/>
    <n v="89.255052083333297"/>
    <n v="92.719635416666605"/>
    <n v="87.753564014610305"/>
  </r>
  <r>
    <x v="6"/>
    <x v="14"/>
    <x v="5"/>
    <n v="9772019"/>
    <n v="9381120"/>
    <n v="10262903"/>
    <n v="116566"/>
    <n v="123172.340685341"/>
    <n v="101574"/>
    <n v="83.832552083333297"/>
    <n v="92.357135416666594"/>
    <n v="83.321494048065702"/>
  </r>
  <r>
    <x v="7"/>
    <x v="15"/>
    <x v="0"/>
    <n v="12491601"/>
    <n v="10640804"/>
    <n v="11040349"/>
    <n v="145442"/>
    <n v="126657.92363845299"/>
    <n v="115304"/>
    <n v="85.887224462365296"/>
    <n v="92.284697580645101"/>
    <n v="87.166669283279703"/>
  </r>
  <r>
    <x v="5"/>
    <x v="13"/>
    <x v="5"/>
    <n v="10786735"/>
    <n v="9714100"/>
    <n v="9895521"/>
    <n v="122901"/>
    <n v="114540.39380543301"/>
    <n v="105517"/>
    <n v="87.767968749999994"/>
    <n v="92.062239583333294"/>
    <n v="86.393284871267298"/>
  </r>
  <r>
    <x v="2"/>
    <x v="16"/>
    <x v="4"/>
    <n v="9145687"/>
    <n v="8652871"/>
    <n v="8798808"/>
    <n v="104947"/>
    <n v="97460.262379580498"/>
    <n v="94129"/>
    <n v="87.145624999999995"/>
    <n v="91.925712365591295"/>
    <n v="90.280982690474303"/>
  </r>
  <r>
    <x v="7"/>
    <x v="17"/>
    <x v="0"/>
    <n v="8978069"/>
    <n v="7896871"/>
    <n v="8386135"/>
    <n v="100366"/>
    <n v="100813.754067595"/>
    <n v="86067"/>
    <n v="89.453225806451997"/>
    <n v="91.752594086021503"/>
    <n v="83.184435661200894"/>
  </r>
  <r>
    <x v="7"/>
    <x v="15"/>
    <x v="2"/>
    <n v="10402007"/>
    <n v="9844291"/>
    <n v="10054624"/>
    <n v="123365"/>
    <n v="115349.413844457"/>
    <n v="107293"/>
    <n v="84.319277777780201"/>
    <n v="91.751868055555505"/>
    <n v="87.166669283279703"/>
  </r>
  <r>
    <x v="7"/>
    <x v="15"/>
    <x v="3"/>
    <n v="13056379"/>
    <n v="11059698"/>
    <n v="12850438"/>
    <n v="131416"/>
    <n v="147423.75780515099"/>
    <n v="120956"/>
    <n v="99.351686827956996"/>
    <n v="91.435336021505293"/>
    <n v="87.166669283279703"/>
  </r>
  <r>
    <x v="3"/>
    <x v="18"/>
    <x v="3"/>
    <n v="8043442"/>
    <n v="11605448"/>
    <n v="8462397"/>
    <n v="96124"/>
    <n v="110956.319839092"/>
    <n v="127747"/>
    <n v="83.678178763440798"/>
    <n v="90.846780913978407"/>
    <n v="76.267822594261204"/>
  </r>
  <r>
    <x v="3"/>
    <x v="18"/>
    <x v="2"/>
    <n v="6863597"/>
    <n v="10118432"/>
    <n v="6821383"/>
    <n v="104113"/>
    <n v="89439.852208567798"/>
    <n v="111464"/>
    <n v="65.924638888889106"/>
    <n v="90.777312499999894"/>
    <n v="76.267822594261204"/>
  </r>
  <r>
    <x v="6"/>
    <x v="19"/>
    <x v="1"/>
    <n v="10854676"/>
    <n v="8494729"/>
    <n v="9875852"/>
    <n v="131512"/>
    <n v="120535.44440910099"/>
    <n v="94285"/>
    <n v="82.537777777780406"/>
    <n v="90.096416666666698"/>
    <n v="81.933174564661698"/>
  </r>
  <r>
    <x v="6"/>
    <x v="20"/>
    <x v="4"/>
    <n v="9710269"/>
    <n v="9282853"/>
    <n v="9415173"/>
    <n v="100627"/>
    <n v="104104.19406846201"/>
    <n v="103200"/>
    <n v="96.497587365591301"/>
    <n v="89.9501881720429"/>
    <n v="90.439897606894306"/>
  </r>
  <r>
    <x v="7"/>
    <x v="15"/>
    <x v="1"/>
    <n v="11515132"/>
    <n v="9825275"/>
    <n v="10261097"/>
    <n v="131009"/>
    <n v="117718.122128228"/>
    <n v="109401"/>
    <n v="87.895597222225305"/>
    <n v="89.809562499999998"/>
    <n v="87.166669283279703"/>
  </r>
  <r>
    <x v="7"/>
    <x v="17"/>
    <x v="1"/>
    <n v="8567293"/>
    <n v="7178766"/>
    <n v="7520328"/>
    <n v="96857"/>
    <n v="90405.468019633903"/>
    <n v="80139"/>
    <n v="88.453458333336101"/>
    <n v="89.578951388888896"/>
    <n v="83.184435661200894"/>
  </r>
  <r>
    <x v="7"/>
    <x v="17"/>
    <x v="2"/>
    <n v="8028846"/>
    <n v="7180788"/>
    <n v="7763032"/>
    <n v="99177"/>
    <n v="93323.125799852496"/>
    <n v="80382"/>
    <n v="80.954416666668806"/>
    <n v="89.333222222222105"/>
    <n v="83.184435661200894"/>
  </r>
  <r>
    <x v="6"/>
    <x v="20"/>
    <x v="5"/>
    <n v="9353533"/>
    <n v="7931521"/>
    <n v="8588078"/>
    <n v="95202"/>
    <n v="94958.948929032398"/>
    <n v="88903"/>
    <n v="98.249739583333294"/>
    <n v="89.215156249999893"/>
    <n v="90.439897606894306"/>
  </r>
  <r>
    <x v="1"/>
    <x v="10"/>
    <x v="4"/>
    <n v="7439451"/>
    <n v="7228036"/>
    <n v="7936131"/>
    <n v="92722"/>
    <n v="89761.998708126906"/>
    <n v="81047"/>
    <n v="80.234018817204202"/>
    <n v="89.183057795698801"/>
    <n v="88.413034538205693"/>
  </r>
  <r>
    <x v="4"/>
    <x v="11"/>
    <x v="5"/>
    <n v="4562919"/>
    <n v="4390530"/>
    <n v="4436855"/>
    <n v="47691"/>
    <n v="46169.147214359997"/>
    <n v="49267"/>
    <n v="95.677552083333296"/>
    <n v="89.116979166666596"/>
    <n v="96.1"/>
  </r>
  <r>
    <x v="3"/>
    <x v="18"/>
    <x v="4"/>
    <n v="6780165"/>
    <n v="10022142"/>
    <n v="9125844"/>
    <n v="94005"/>
    <n v="119655.237941546"/>
    <n v="112628"/>
    <n v="72.125544354838595"/>
    <n v="88.984583333333205"/>
    <n v="76.267822594261204"/>
  </r>
  <r>
    <x v="6"/>
    <x v="14"/>
    <x v="1"/>
    <n v="10206022"/>
    <n v="9131449"/>
    <n v="11822524"/>
    <n v="119706"/>
    <n v="141890.446709704"/>
    <n v="102713"/>
    <n v="85.258881944447097"/>
    <n v="88.9023819444445"/>
    <n v="83.321494048065702"/>
  </r>
  <r>
    <x v="3"/>
    <x v="21"/>
    <x v="3"/>
    <n v="10383142"/>
    <n v="9051269"/>
    <n v="9968231"/>
    <n v="120904"/>
    <n v="117800.627197119"/>
    <n v="101909"/>
    <n v="85.879038978494506"/>
    <n v="88.817063172042793"/>
    <n v="84.619508156945599"/>
  </r>
  <r>
    <x v="5"/>
    <x v="13"/>
    <x v="0"/>
    <n v="11118522"/>
    <n v="9939149"/>
    <n v="10386944"/>
    <n v="119407"/>
    <n v="120228.608253261"/>
    <n v="112007"/>
    <n v="93.114771505377107"/>
    <n v="88.736948924731195"/>
    <n v="86.393284871267298"/>
  </r>
  <r>
    <x v="6"/>
    <x v="19"/>
    <x v="0"/>
    <n v="10527717"/>
    <n v="8347340"/>
    <n v="9933328"/>
    <n v="125614"/>
    <n v="121236.941740376"/>
    <n v="94403"/>
    <n v="83.809946236558304"/>
    <n v="88.422231182795699"/>
    <n v="81.933174564661698"/>
  </r>
  <r>
    <x v="7"/>
    <x v="15"/>
    <x v="4"/>
    <n v="10522432"/>
    <n v="9602129"/>
    <n v="9827825"/>
    <n v="124635"/>
    <n v="112747.508976864"/>
    <n v="108773"/>
    <n v="84.426303763440899"/>
    <n v="88.2765389784945"/>
    <n v="87.166669283279703"/>
  </r>
  <r>
    <x v="5"/>
    <x v="13"/>
    <x v="4"/>
    <n v="10454554"/>
    <n v="9376441"/>
    <n v="9776253"/>
    <n v="119201"/>
    <n v="113159.87525613001"/>
    <n v="106283"/>
    <n v="87.704966397849404"/>
    <n v="88.221075268817202"/>
    <n v="86.393284871267298"/>
  </r>
  <r>
    <x v="6"/>
    <x v="14"/>
    <x v="0"/>
    <n v="10442437"/>
    <n v="9273271"/>
    <n v="11028814"/>
    <n v="119824"/>
    <n v="132364.572455191"/>
    <n v="105127"/>
    <n v="87.148212365590794"/>
    <n v="88.210114247311793"/>
    <n v="83.321494048065702"/>
  </r>
  <r>
    <x v="7"/>
    <x v="17"/>
    <x v="4"/>
    <n v="8110029"/>
    <n v="7348758"/>
    <n v="6940427"/>
    <n v="96919"/>
    <n v="83434.199811938597"/>
    <n v="83327"/>
    <n v="83.678790322580596"/>
    <n v="88.192237903225703"/>
    <n v="83.184435661200894"/>
  </r>
  <r>
    <x v="2"/>
    <x v="16"/>
    <x v="5"/>
    <n v="8664829"/>
    <n v="7402521"/>
    <n v="8182815"/>
    <n v="94732"/>
    <n v="90637.194840407596"/>
    <n v="83940"/>
    <n v="91.4668229166667"/>
    <n v="88.188697916666598"/>
    <n v="90.280982690474303"/>
  </r>
  <r>
    <x v="1"/>
    <x v="10"/>
    <x v="1"/>
    <n v="7788630"/>
    <n v="7379575"/>
    <n v="7612589"/>
    <n v="88733"/>
    <n v="86102.564309229594"/>
    <n v="83716"/>
    <n v="87.776013888891796"/>
    <n v="88.149638888888902"/>
    <n v="88.413034538205693"/>
  </r>
  <r>
    <x v="3"/>
    <x v="18"/>
    <x v="1"/>
    <n v="7255945"/>
    <n v="9747705"/>
    <n v="7191326"/>
    <n v="93893"/>
    <n v="94290.432360410705"/>
    <n v="110725"/>
    <n v="77.278979166667696"/>
    <n v="88.035305555555496"/>
    <n v="76.267822594261204"/>
  </r>
  <r>
    <x v="5"/>
    <x v="13"/>
    <x v="2"/>
    <n v="9874453"/>
    <n v="9081086"/>
    <n v="9504324"/>
    <n v="112676"/>
    <n v="110012.300287715"/>
    <n v="103181"/>
    <n v="87.635576388891195"/>
    <n v="88.011048611110994"/>
    <n v="86.393284871267298"/>
  </r>
  <r>
    <x v="6"/>
    <x v="14"/>
    <x v="2"/>
    <n v="9759385"/>
    <n v="8877064"/>
    <n v="10453622"/>
    <n v="113900"/>
    <n v="125461.293162477"/>
    <n v="100889"/>
    <n v="85.684083333335593"/>
    <n v="87.988201388888797"/>
    <n v="83.321494048065702"/>
  </r>
  <r>
    <x v="2"/>
    <x v="16"/>
    <x v="3"/>
    <n v="10031409"/>
    <n v="9287982"/>
    <n v="9683177"/>
    <n v="103281"/>
    <n v="107255.99946334701"/>
    <n v="105616"/>
    <n v="97.127399193548399"/>
    <n v="87.941357526881603"/>
    <n v="90.280982690474303"/>
  </r>
  <r>
    <x v="6"/>
    <x v="19"/>
    <x v="2"/>
    <n v="10084889"/>
    <n v="7601473"/>
    <n v="8830048"/>
    <n v="130603"/>
    <n v="107771.33651194299"/>
    <n v="86828"/>
    <n v="77.217972222224304"/>
    <n v="87.546763888888805"/>
    <n v="81.933174564661698"/>
  </r>
  <r>
    <x v="3"/>
    <x v="21"/>
    <x v="4"/>
    <n v="8456733"/>
    <n v="7927205"/>
    <n v="8166734"/>
    <n v="97845"/>
    <n v="96511.239231655301"/>
    <n v="90992"/>
    <n v="86.429724462365499"/>
    <n v="87.119704301075103"/>
    <n v="84.619508156945599"/>
  </r>
  <r>
    <x v="2"/>
    <x v="12"/>
    <x v="4"/>
    <n v="7702672"/>
    <n v="7827389"/>
    <n v="8559674"/>
    <n v="88915"/>
    <n v="99634.457811982502"/>
    <n v="89848"/>
    <n v="86.629704301075293"/>
    <n v="87.117963709677298"/>
    <n v="85.910778843728195"/>
  </r>
  <r>
    <x v="6"/>
    <x v="19"/>
    <x v="5"/>
    <n v="9209972"/>
    <n v="6943941"/>
    <n v="7943408"/>
    <n v="111022"/>
    <n v="96949.833778636894"/>
    <n v="79726"/>
    <n v="82.955937500000005"/>
    <n v="87.097395833333195"/>
    <n v="81.933174564661698"/>
  </r>
  <r>
    <x v="7"/>
    <x v="17"/>
    <x v="3"/>
    <n v="9971997"/>
    <n v="7663921"/>
    <n v="9252924"/>
    <n v="105964"/>
    <n v="111233.837042375"/>
    <n v="88006"/>
    <n v="94.107614247311801"/>
    <n v="87.083669354838605"/>
    <n v="83.184435661200894"/>
  </r>
  <r>
    <x v="6"/>
    <x v="19"/>
    <x v="3"/>
    <n v="11875178"/>
    <n v="9712754"/>
    <n v="11916585"/>
    <n v="133202"/>
    <n v="145442.73742128001"/>
    <n v="111589"/>
    <n v="89.151444892473094"/>
    <n v="87.040295698924695"/>
    <n v="81.933174564661698"/>
  </r>
  <r>
    <x v="7"/>
    <x v="15"/>
    <x v="5"/>
    <n v="10786907"/>
    <n v="7783095"/>
    <n v="9438777"/>
    <n v="119002"/>
    <n v="108284.24193226"/>
    <n v="89673"/>
    <n v="90.644739583333305"/>
    <n v="86.793906249999907"/>
    <n v="87.166669283279703"/>
  </r>
  <r>
    <x v="6"/>
    <x v="20"/>
    <x v="3"/>
    <n v="11426947"/>
    <n v="10544498"/>
    <n v="10813775"/>
    <n v="119167"/>
    <n v="119568.633392345"/>
    <n v="121503"/>
    <n v="95.8903561827956"/>
    <n v="86.784005376343998"/>
    <n v="90.439897606894306"/>
  </r>
  <r>
    <x v="2"/>
    <x v="7"/>
    <x v="1"/>
    <n v="8756421"/>
    <n v="8798544"/>
    <n v="8843375"/>
    <n v="97714"/>
    <n v="98193.367093686"/>
    <n v="101484"/>
    <n v="89.612979166669504"/>
    <n v="86.698548611111093"/>
    <n v="90.060822135394901"/>
  </r>
  <r>
    <x v="3"/>
    <x v="21"/>
    <x v="5"/>
    <n v="8174587"/>
    <n v="7016319"/>
    <n v="7651986"/>
    <n v="95683"/>
    <n v="90428.152350019402"/>
    <n v="80936"/>
    <n v="85.434479166666605"/>
    <n v="86.689322916666598"/>
    <n v="84.619508156945599"/>
  </r>
  <r>
    <x v="0"/>
    <x v="9"/>
    <x v="4"/>
    <n v="8644499"/>
    <n v="8267945"/>
    <n v="8828082"/>
    <n v="100807"/>
    <n v="100600.836177208"/>
    <n v="95593"/>
    <n v="85.753245967741904"/>
    <n v="86.490739247311694"/>
    <n v="87.753564014610305"/>
  </r>
  <r>
    <x v="6"/>
    <x v="14"/>
    <x v="4"/>
    <n v="10143449"/>
    <n v="9611332"/>
    <n v="10824471"/>
    <n v="120493"/>
    <n v="129912.114645419"/>
    <n v="111167"/>
    <n v="84.183232526881696"/>
    <n v="86.458467741935394"/>
    <n v="83.321494048065702"/>
  </r>
  <r>
    <x v="3"/>
    <x v="18"/>
    <x v="0"/>
    <n v="7382461"/>
    <n v="10406454"/>
    <n v="7412602"/>
    <n v="94838"/>
    <n v="97191.731131940702"/>
    <n v="120971"/>
    <n v="77.843151881720402"/>
    <n v="86.024590053763305"/>
    <n v="76.267822594261204"/>
  </r>
  <r>
    <x v="5"/>
    <x v="13"/>
    <x v="1"/>
    <n v="10559330"/>
    <n v="9508746"/>
    <n v="9860988"/>
    <n v="127978"/>
    <n v="114140.67346893399"/>
    <n v="110654"/>
    <n v="82.5090486111134"/>
    <n v="85.932000000000002"/>
    <n v="86.393284871267298"/>
  </r>
  <r>
    <x v="3"/>
    <x v="8"/>
    <x v="5"/>
    <n v="9431544"/>
    <n v="6624481"/>
    <n v="9156427"/>
    <n v="99490"/>
    <n v="94681.163770949803"/>
    <n v="77384"/>
    <n v="94.798906249999902"/>
    <n v="85.605833333333294"/>
    <n v="96.708009322223603"/>
  </r>
  <r>
    <x v="6"/>
    <x v="19"/>
    <x v="4"/>
    <n v="8907904"/>
    <n v="8088638"/>
    <n v="8530156"/>
    <n v="103868"/>
    <n v="104111.132883884"/>
    <n v="94518"/>
    <n v="85.761525537634398"/>
    <n v="85.577963709677405"/>
    <n v="81.933174564661698"/>
  </r>
  <r>
    <x v="2"/>
    <x v="12"/>
    <x v="1"/>
    <n v="7974107"/>
    <n v="7750847"/>
    <n v="8207416"/>
    <n v="99908"/>
    <n v="95534.179825436004"/>
    <n v="90596"/>
    <n v="79.814388888890804"/>
    <n v="85.554388888888894"/>
    <n v="85.910778843728195"/>
  </r>
  <r>
    <x v="3"/>
    <x v="21"/>
    <x v="0"/>
    <n v="9421685"/>
    <n v="8513628"/>
    <n v="9175981"/>
    <n v="113745"/>
    <n v="108438.12906216701"/>
    <n v="99913"/>
    <n v="82.831922043010906"/>
    <n v="85.210369623655794"/>
    <n v="84.619508156945599"/>
  </r>
  <r>
    <x v="3"/>
    <x v="21"/>
    <x v="1"/>
    <n v="8897255"/>
    <n v="7969404"/>
    <n v="8507946"/>
    <n v="103261"/>
    <n v="100543.549365946"/>
    <n v="93547"/>
    <n v="86.1627083333359"/>
    <n v="85.191847222222194"/>
    <n v="84.619508156945599"/>
  </r>
  <r>
    <x v="2"/>
    <x v="12"/>
    <x v="0"/>
    <n v="8338573"/>
    <n v="8045367"/>
    <n v="8447917"/>
    <n v="102522"/>
    <n v="98333.6091489377"/>
    <n v="94583"/>
    <n v="81.334731182795494"/>
    <n v="85.061619623655901"/>
    <n v="85.910778843728195"/>
  </r>
  <r>
    <x v="2"/>
    <x v="5"/>
    <x v="2"/>
    <n v="9332724"/>
    <n v="5548449"/>
    <n v="8611586"/>
    <n v="106831"/>
    <n v="87868.825803742497"/>
    <n v="65233"/>
    <n v="87.359756944446204"/>
    <n v="85.055881944444394"/>
    <n v="98.0050147003695"/>
  </r>
  <r>
    <x v="5"/>
    <x v="22"/>
    <x v="5"/>
    <n v="8633173"/>
    <n v="8598782"/>
    <n v="9039330"/>
    <n v="94843"/>
    <n v="103083.75351310401"/>
    <n v="101225"/>
    <n v="91.0260416666667"/>
    <n v="84.946979166666594"/>
    <n v="87.689184144336295"/>
  </r>
  <r>
    <x v="2"/>
    <x v="12"/>
    <x v="2"/>
    <n v="7705173"/>
    <n v="8028120"/>
    <n v="8336385"/>
    <n v="95735"/>
    <n v="97035.378589267493"/>
    <n v="95248"/>
    <n v="80.484638888890004"/>
    <n v="84.286708333333294"/>
    <n v="85.910778843728195"/>
  </r>
  <r>
    <x v="7"/>
    <x v="17"/>
    <x v="5"/>
    <n v="8633392"/>
    <n v="5721232"/>
    <n v="6975617"/>
    <n v="97344"/>
    <n v="83857.241146778295"/>
    <n v="68029"/>
    <n v="88.689479166666601"/>
    <n v="84.099947916666594"/>
    <n v="83.184435661200894"/>
  </r>
  <r>
    <x v="2"/>
    <x v="16"/>
    <x v="0"/>
    <n v="9618226"/>
    <n v="9008388"/>
    <n v="9215483"/>
    <n v="104885"/>
    <n v="102075.575408776"/>
    <n v="107420"/>
    <n v="91.702916666667093"/>
    <n v="83.861081989247197"/>
    <n v="90.280982690474303"/>
  </r>
  <r>
    <x v="2"/>
    <x v="16"/>
    <x v="1"/>
    <n v="9111030"/>
    <n v="8555235"/>
    <n v="8917153"/>
    <n v="101623"/>
    <n v="98771.109411515601"/>
    <n v="102328"/>
    <n v="89.655222222224793"/>
    <n v="83.606104166666697"/>
    <n v="90.280982690474303"/>
  </r>
  <r>
    <x v="3"/>
    <x v="21"/>
    <x v="2"/>
    <n v="8822885"/>
    <n v="8091213"/>
    <n v="8617270"/>
    <n v="102565"/>
    <n v="101835.50220142301"/>
    <n v="96967"/>
    <n v="86.022659722224304"/>
    <n v="83.442527777777798"/>
    <n v="84.619508156945599"/>
  </r>
  <r>
    <x v="5"/>
    <x v="22"/>
    <x v="3"/>
    <n v="10444114"/>
    <n v="10527945"/>
    <n v="10061544"/>
    <n v="124619"/>
    <n v="114740.990965758"/>
    <n v="126391"/>
    <n v="83.808158602150499"/>
    <n v="83.296848118279499"/>
    <n v="87.689184144336295"/>
  </r>
  <r>
    <x v="3"/>
    <x v="18"/>
    <x v="5"/>
    <n v="6432948"/>
    <n v="9340743"/>
    <n v="8486811"/>
    <n v="89316"/>
    <n v="111276.42485808401"/>
    <n v="112557"/>
    <n v="72.024687499999999"/>
    <n v="82.986666666666594"/>
    <n v="76.267822594261204"/>
  </r>
  <r>
    <x v="5"/>
    <x v="23"/>
    <x v="4"/>
    <n v="8810471"/>
    <n v="7655103"/>
    <n v="8074691"/>
    <n v="111534"/>
    <n v="103102.316128647"/>
    <n v="92554"/>
    <n v="78.993588709677397"/>
    <n v="82.709422043010704"/>
    <n v="78.317261234215806"/>
  </r>
  <r>
    <x v="6"/>
    <x v="20"/>
    <x v="1"/>
    <n v="10790778"/>
    <n v="9071064"/>
    <n v="9209970"/>
    <n v="126182"/>
    <n v="101835.254692923"/>
    <n v="110002"/>
    <n v="85.517687500002907"/>
    <n v="82.462527777777794"/>
    <n v="90.439897606894306"/>
  </r>
  <r>
    <x v="2"/>
    <x v="7"/>
    <x v="0"/>
    <n v="9447544"/>
    <n v="9124921"/>
    <n v="9087634"/>
    <n v="97118"/>
    <n v="100905.517266297"/>
    <n v="110744"/>
    <n v="97.279206989247001"/>
    <n v="82.396586021505399"/>
    <n v="90.060822135394901"/>
  </r>
  <r>
    <x v="2"/>
    <x v="7"/>
    <x v="2"/>
    <n v="9047987"/>
    <n v="8602758"/>
    <n v="8459137"/>
    <n v="101784"/>
    <n v="93926.935431288395"/>
    <n v="104612"/>
    <n v="88.8943125000023"/>
    <n v="82.234736111111104"/>
    <n v="90.060822135394901"/>
  </r>
  <r>
    <x v="4"/>
    <x v="24"/>
    <x v="2"/>
    <n v="5531944"/>
    <n v="5349573"/>
    <n v="5534499"/>
    <n v="78409"/>
    <n v="68307.626624218305"/>
    <n v="65243"/>
    <n v="70.552027777777994"/>
    <n v="81.994402777777793"/>
    <n v="81.023149648384205"/>
  </r>
  <r>
    <x v="5"/>
    <x v="23"/>
    <x v="1"/>
    <n v="9202315"/>
    <n v="8068931"/>
    <n v="8382743"/>
    <n v="124487"/>
    <n v="107035.70151324"/>
    <n v="98611"/>
    <n v="73.922041666669003"/>
    <n v="81.826159722222201"/>
    <n v="78.317261234215806"/>
  </r>
  <r>
    <x v="6"/>
    <x v="20"/>
    <x v="0"/>
    <n v="10615489"/>
    <n v="9158754"/>
    <n v="9571674"/>
    <n v="117692"/>
    <n v="105834.634924114"/>
    <n v="112608"/>
    <n v="90.196975806451803"/>
    <n v="81.333037634408598"/>
    <n v="90.439897606894306"/>
  </r>
  <r>
    <x v="5"/>
    <x v="22"/>
    <x v="2"/>
    <n v="8676751"/>
    <n v="8553825"/>
    <n v="8588432"/>
    <n v="103752"/>
    <n v="97941.746068288601"/>
    <n v="106091"/>
    <n v="83.629631944446203"/>
    <n v="80.627215277777694"/>
    <n v="87.689184144336295"/>
  </r>
  <r>
    <x v="2"/>
    <x v="16"/>
    <x v="2"/>
    <n v="8653464"/>
    <n v="8327283"/>
    <n v="8551514"/>
    <n v="97911"/>
    <n v="94721.103128868301"/>
    <n v="103371"/>
    <n v="88.380590277780001"/>
    <n v="80.5569722222222"/>
    <n v="90.280982690474303"/>
  </r>
  <r>
    <x v="0"/>
    <x v="0"/>
    <x v="5"/>
    <n v="9907585"/>
    <n v="7387253"/>
    <n v="7452820"/>
    <n v="93776"/>
    <n v="72374.255859590296"/>
    <n v="92441"/>
    <n v="105.65171874999901"/>
    <n v="79.9133854166666"/>
    <n v="102.97612103755201"/>
  </r>
  <r>
    <x v="5"/>
    <x v="23"/>
    <x v="3"/>
    <n v="10730113"/>
    <n v="10029563"/>
    <n v="10292298"/>
    <n v="130369"/>
    <n v="131418.007644825"/>
    <n v="125699"/>
    <n v="82.305463709677397"/>
    <n v="79.790120967741899"/>
    <n v="78.317261234215806"/>
  </r>
  <r>
    <x v="5"/>
    <x v="23"/>
    <x v="5"/>
    <n v="8794025"/>
    <n v="7265441"/>
    <n v="8093414"/>
    <n v="110701"/>
    <n v="103341.383682912"/>
    <n v="91190"/>
    <n v="79.439114583333307"/>
    <n v="79.673749999999899"/>
    <n v="78.317261234215806"/>
  </r>
  <r>
    <x v="5"/>
    <x v="23"/>
    <x v="0"/>
    <n v="9640271"/>
    <n v="8610995"/>
    <n v="8815105"/>
    <n v="125355"/>
    <n v="112556.346363255"/>
    <n v="108385"/>
    <n v="76.903702956988795"/>
    <n v="79.448071236559102"/>
    <n v="78.317261234215806"/>
  </r>
  <r>
    <x v="5"/>
    <x v="22"/>
    <x v="4"/>
    <n v="8408861"/>
    <n v="9130389"/>
    <n v="9751690"/>
    <n v="104072"/>
    <n v="111207.448183674"/>
    <n v="114960"/>
    <n v="80.798487903225805"/>
    <n v="79.422197580645104"/>
    <n v="87.689184144336295"/>
  </r>
  <r>
    <x v="6"/>
    <x v="20"/>
    <x v="2"/>
    <n v="9523313"/>
    <n v="8509559"/>
    <n v="8876455"/>
    <n v="111213"/>
    <n v="98147.556110493999"/>
    <n v="107421"/>
    <n v="85.631437500002093"/>
    <n v="79.216958333333295"/>
    <n v="90.439897606894306"/>
  </r>
  <r>
    <x v="4"/>
    <x v="11"/>
    <x v="3"/>
    <n v="2760774"/>
    <n v="2802145"/>
    <n v="2864778"/>
    <n v="30476"/>
    <n v="29810.388814776201"/>
    <n v="35477"/>
    <n v="90.588279569892407"/>
    <n v="78.984368279569907"/>
    <n v="96.1"/>
  </r>
  <r>
    <x v="4"/>
    <x v="24"/>
    <x v="5"/>
    <n v="4849465"/>
    <n v="4943060"/>
    <n v="5010219"/>
    <n v="62805"/>
    <n v="61836.882529780902"/>
    <n v="62937"/>
    <n v="77.214479166666607"/>
    <n v="78.5403645833333"/>
    <n v="81.023149648384205"/>
  </r>
  <r>
    <x v="1"/>
    <x v="25"/>
    <x v="5"/>
    <n v="4820852"/>
    <n v="4473828"/>
    <n v="5017182"/>
    <n v="67213"/>
    <n v="67826.479024795102"/>
    <n v="57065"/>
    <n v="71.724947916666594"/>
    <n v="78.399479166666595"/>
    <n v="73.970842069892498"/>
  </r>
  <r>
    <x v="4"/>
    <x v="24"/>
    <x v="3"/>
    <n v="5651567"/>
    <n v="5723821"/>
    <n v="5820641"/>
    <n v="70618"/>
    <n v="71839.239239153307"/>
    <n v="73090"/>
    <n v="80.030040322580604"/>
    <n v="78.312358870967699"/>
    <n v="81.023149648384205"/>
  </r>
  <r>
    <x v="5"/>
    <x v="22"/>
    <x v="0"/>
    <n v="9696481"/>
    <n v="9108123"/>
    <n v="9189569"/>
    <n v="109070"/>
    <n v="104797.06014454299"/>
    <n v="116346"/>
    <n v="88.901081989248397"/>
    <n v="78.284509408602105"/>
    <n v="87.689184144336295"/>
  </r>
  <r>
    <x v="7"/>
    <x v="26"/>
    <x v="3"/>
    <n v="7622920"/>
    <n v="8746879"/>
    <n v="6658234"/>
    <n v="102717"/>
    <n v="98419.858386307504"/>
    <n v="111907"/>
    <n v="74.212560483870902"/>
    <n v="78.161821236559106"/>
    <n v="67.651321791845902"/>
  </r>
  <r>
    <x v="4"/>
    <x v="24"/>
    <x v="0"/>
    <n v="5697147"/>
    <n v="5558760"/>
    <n v="5793381"/>
    <n v="73684"/>
    <n v="71502.784526909905"/>
    <n v="71144"/>
    <n v="77.318716397849101"/>
    <n v="78.133501344086"/>
    <n v="81.023149648384205"/>
  </r>
  <r>
    <x v="5"/>
    <x v="23"/>
    <x v="2"/>
    <n v="8419492"/>
    <n v="7766880"/>
    <n v="8274129"/>
    <n v="114958"/>
    <n v="105648.84895751601"/>
    <n v="99642"/>
    <n v="73.239979166668405"/>
    <n v="77.948111111111004"/>
    <n v="78.317261234215806"/>
  </r>
  <r>
    <x v="1"/>
    <x v="25"/>
    <x v="4"/>
    <n v="4804352"/>
    <n v="4780613"/>
    <n v="5600362"/>
    <n v="70105"/>
    <n v="75710.403406093494"/>
    <n v="61482"/>
    <n v="68.530987903225807"/>
    <n v="77.756122311827895"/>
    <n v="73.970842069892498"/>
  </r>
  <r>
    <x v="0"/>
    <x v="0"/>
    <x v="4"/>
    <n v="9423205"/>
    <n v="6602095"/>
    <n v="8212525"/>
    <n v="88511"/>
    <n v="79751.740118518195"/>
    <n v="85167"/>
    <n v="106.463743279569"/>
    <n v="77.519260752688098"/>
    <n v="102.97612103755201"/>
  </r>
  <r>
    <x v="5"/>
    <x v="22"/>
    <x v="1"/>
    <n v="9248364"/>
    <n v="8834966"/>
    <n v="9190120"/>
    <n v="116627"/>
    <n v="104803.34241077"/>
    <n v="114473"/>
    <n v="79.298381944446902"/>
    <n v="77.179374999999993"/>
    <n v="87.689184144336295"/>
  </r>
  <r>
    <x v="5"/>
    <x v="27"/>
    <x v="3"/>
    <n v="6404195"/>
    <n v="6510177"/>
    <n v="6622451"/>
    <n v="88081"/>
    <n v="91350.882268049405"/>
    <n v="84663"/>
    <n v="72.708266129032197"/>
    <n v="76.894952956989201"/>
    <n v="72.494656792343207"/>
  </r>
  <r>
    <x v="7"/>
    <x v="28"/>
    <x v="3"/>
    <n v="8836273"/>
    <n v="8161892"/>
    <n v="8369765"/>
    <n v="118321"/>
    <n v="117130.57290755"/>
    <n v="106219"/>
    <n v="74.680544354838702"/>
    <n v="76.840430107526799"/>
    <n v="71.456708642637295"/>
  </r>
  <r>
    <x v="7"/>
    <x v="29"/>
    <x v="5"/>
    <n v="6759673"/>
    <n v="5643194"/>
    <n v="6191439"/>
    <n v="91683"/>
    <n v="88476.221190046301"/>
    <n v="73548"/>
    <n v="73.7284895833333"/>
    <n v="76.727656249999995"/>
    <n v="69.978560745726497"/>
  </r>
  <r>
    <x v="7"/>
    <x v="26"/>
    <x v="5"/>
    <n v="6261384"/>
    <n v="6126513"/>
    <n v="6264572"/>
    <n v="87411"/>
    <n v="92600.887191461603"/>
    <n v="80136"/>
    <n v="71.631614583333302"/>
    <n v="76.451562499999994"/>
    <n v="67.651321791845902"/>
  </r>
  <r>
    <x v="4"/>
    <x v="24"/>
    <x v="4"/>
    <n v="5175743"/>
    <n v="5320582"/>
    <n v="5444465"/>
    <n v="68903"/>
    <n v="67196.4127157154"/>
    <n v="69803"/>
    <n v="75.116162634408497"/>
    <n v="76.222379032258004"/>
    <n v="81.023149648384205"/>
  </r>
  <r>
    <x v="5"/>
    <x v="27"/>
    <x v="4"/>
    <n v="5631449"/>
    <n v="5564635"/>
    <n v="5678227"/>
    <n v="73234"/>
    <n v="78326.139695577105"/>
    <n v="73057"/>
    <n v="76.896740591397801"/>
    <n v="76.168138440860105"/>
    <n v="72.494656792343207"/>
  </r>
  <r>
    <x v="5"/>
    <x v="27"/>
    <x v="0"/>
    <n v="6165922"/>
    <n v="5827640"/>
    <n v="6095216"/>
    <n v="88222"/>
    <n v="84078.134647348998"/>
    <n v="76804"/>
    <n v="69.891283602150395"/>
    <n v="75.876612903225706"/>
    <n v="72.494656792343207"/>
  </r>
  <r>
    <x v="5"/>
    <x v="27"/>
    <x v="5"/>
    <n v="5584141"/>
    <n v="5423674"/>
    <n v="5441654"/>
    <n v="72365"/>
    <n v="75062.822124771104"/>
    <n v="71586"/>
    <n v="77.166562499999998"/>
    <n v="75.764062499999994"/>
    <n v="72.494656792343207"/>
  </r>
  <r>
    <x v="1"/>
    <x v="25"/>
    <x v="1"/>
    <n v="4982382"/>
    <n v="5070666"/>
    <n v="4902786"/>
    <n v="73443"/>
    <n v="66279.986475853904"/>
    <n v="67287"/>
    <n v="67.839868055555698"/>
    <n v="75.3591319444444"/>
    <n v="73.970842069892498"/>
  </r>
  <r>
    <x v="1"/>
    <x v="25"/>
    <x v="3"/>
    <n v="5404223"/>
    <n v="5331605"/>
    <n v="5379580"/>
    <n v="72883"/>
    <n v="72725.683286355095"/>
    <n v="71034"/>
    <n v="74.149758064516107"/>
    <n v="75.056935483870902"/>
    <n v="73.970842069892498"/>
  </r>
  <r>
    <x v="7"/>
    <x v="28"/>
    <x v="0"/>
    <n v="8049012"/>
    <n v="7244880"/>
    <n v="7728624"/>
    <n v="104477"/>
    <n v="108158.127898832"/>
    <n v="96590"/>
    <n v="77.040974462365597"/>
    <n v="75.006834677419306"/>
    <n v="71.456708642637295"/>
  </r>
  <r>
    <x v="4"/>
    <x v="24"/>
    <x v="1"/>
    <n v="5606053"/>
    <n v="5580877"/>
    <n v="5824590"/>
    <n v="71742"/>
    <n v="71887.976023851705"/>
    <n v="74415"/>
    <n v="78.141729166668497"/>
    <n v="74.996249999999904"/>
    <n v="81.023149648384205"/>
  </r>
  <r>
    <x v="7"/>
    <x v="29"/>
    <x v="4"/>
    <n v="6594402"/>
    <n v="6365361"/>
    <n v="6446930"/>
    <n v="92005"/>
    <n v="92127.210807114199"/>
    <n v="85416"/>
    <n v="71.674401881720399"/>
    <n v="74.522291666666604"/>
    <n v="69.978560745726497"/>
  </r>
  <r>
    <x v="5"/>
    <x v="27"/>
    <x v="1"/>
    <n v="5833789"/>
    <n v="5580085"/>
    <n v="5978586"/>
    <n v="80351"/>
    <n v="82469.339698031996"/>
    <n v="74928"/>
    <n v="72.603611111113494"/>
    <n v="74.472756944444399"/>
    <n v="72.494656792343207"/>
  </r>
  <r>
    <x v="1"/>
    <x v="25"/>
    <x v="0"/>
    <n v="5111049"/>
    <n v="5120724"/>
    <n v="5122303"/>
    <n v="73532"/>
    <n v="69247.601854526802"/>
    <n v="69526"/>
    <n v="69.5077889784951"/>
    <n v="73.652090053763402"/>
    <n v="73.970842069892498"/>
  </r>
  <r>
    <x v="3"/>
    <x v="8"/>
    <x v="3"/>
    <n v="11745132"/>
    <n v="4717756"/>
    <n v="11158788"/>
    <n v="121745"/>
    <n v="115386.392850045"/>
    <n v="64184"/>
    <n v="96.473595430107494"/>
    <n v="73.503528225806406"/>
    <n v="96.708009322223603"/>
  </r>
  <r>
    <x v="7"/>
    <x v="28"/>
    <x v="1"/>
    <n v="7449348"/>
    <n v="6729230"/>
    <n v="7056157"/>
    <n v="103768"/>
    <n v="98747.294437931603"/>
    <n v="91553"/>
    <n v="71.788694444447003"/>
    <n v="73.500923611111105"/>
    <n v="71.456708642637295"/>
  </r>
  <r>
    <x v="7"/>
    <x v="28"/>
    <x v="2"/>
    <n v="7280441"/>
    <n v="6433169"/>
    <n v="6970187"/>
    <n v="101949"/>
    <n v="97544.191137582995"/>
    <n v="87528"/>
    <n v="71.412736111113304"/>
    <n v="73.498687500000003"/>
    <n v="71.456708642637295"/>
  </r>
  <r>
    <x v="3"/>
    <x v="30"/>
    <x v="1"/>
    <n v="8231659"/>
    <n v="7281149"/>
    <n v="7769698"/>
    <n v="114559"/>
    <n v="115190.70502008501"/>
    <n v="99138"/>
    <n v="71.855097222224401"/>
    <n v="73.444583333333298"/>
    <n v="67.450733277005597"/>
  </r>
  <r>
    <x v="1"/>
    <x v="25"/>
    <x v="2"/>
    <n v="5143879"/>
    <n v="5241607"/>
    <n v="5433861"/>
    <n v="75694"/>
    <n v="73459.505316510098"/>
    <n v="71633"/>
    <n v="67.955951388888593"/>
    <n v="73.173527777777807"/>
    <n v="73.970842069892498"/>
  </r>
  <r>
    <x v="7"/>
    <x v="26"/>
    <x v="4"/>
    <n v="5597127"/>
    <n v="5720873"/>
    <n v="6015543"/>
    <n v="80592"/>
    <n v="88919.811370559997"/>
    <n v="78481"/>
    <n v="69.450349462365494"/>
    <n v="72.894697580645101"/>
    <n v="67.651321791845902"/>
  </r>
  <r>
    <x v="7"/>
    <x v="31"/>
    <x v="0"/>
    <n v="6203228"/>
    <n v="5883356"/>
    <n v="6173901"/>
    <n v="98067"/>
    <n v="92209.991287641795"/>
    <n v="80898"/>
    <n v="63.255161290322697"/>
    <n v="72.725813172043004"/>
    <n v="66.954795775232199"/>
  </r>
  <r>
    <x v="5"/>
    <x v="32"/>
    <x v="5"/>
    <n v="5578523"/>
    <n v="4481766"/>
    <n v="4982206"/>
    <n v="83968"/>
    <n v="72539.500661071594"/>
    <n v="61706"/>
    <n v="66.436406249999905"/>
    <n v="72.630416666666605"/>
    <n v="68.6826614726575"/>
  </r>
  <r>
    <x v="3"/>
    <x v="30"/>
    <x v="3"/>
    <n v="9334129"/>
    <n v="8592178"/>
    <n v="9350387"/>
    <n v="121962"/>
    <n v="138625.436728759"/>
    <n v="118438"/>
    <n v="76.532956989247296"/>
    <n v="72.546014784946095"/>
    <n v="67.450733277005597"/>
  </r>
  <r>
    <x v="7"/>
    <x v="31"/>
    <x v="3"/>
    <n v="8104568"/>
    <n v="7092530"/>
    <n v="7079340"/>
    <n v="116890"/>
    <n v="105733.12795942801"/>
    <n v="98496"/>
    <n v="69.334905913978503"/>
    <n v="72.008172043010703"/>
    <n v="66.954795775232199"/>
  </r>
  <r>
    <x v="7"/>
    <x v="31"/>
    <x v="2"/>
    <n v="5656095"/>
    <n v="5266541"/>
    <n v="5516261"/>
    <n v="88921"/>
    <n v="82387.837409259402"/>
    <n v="73156"/>
    <n v="63.607833333334803"/>
    <n v="71.990965277777704"/>
    <n v="66.954795775232199"/>
  </r>
  <r>
    <x v="6"/>
    <x v="33"/>
    <x v="0"/>
    <n v="6988920"/>
    <n v="6207317"/>
    <n v="6860361"/>
    <n v="101518"/>
    <n v="99753.260557804999"/>
    <n v="86263"/>
    <n v="68.8438239247306"/>
    <n v="71.957647849462305"/>
    <n v="68.773296674593993"/>
  </r>
  <r>
    <x v="5"/>
    <x v="34"/>
    <x v="3"/>
    <n v="7166385"/>
    <n v="7340456"/>
    <n v="7247932"/>
    <n v="105327"/>
    <n v="113522.216942889"/>
    <n v="102072"/>
    <n v="68.039153225806402"/>
    <n v="71.914650537634401"/>
    <n v="63.845934941054601"/>
  </r>
  <r>
    <x v="5"/>
    <x v="35"/>
    <x v="0"/>
    <n v="6248431"/>
    <n v="5899066"/>
    <n v="6279154"/>
    <n v="96954"/>
    <n v="92752.465157868297"/>
    <n v="82036"/>
    <n v="64.447231182795605"/>
    <n v="71.908487903225705"/>
    <n v="67.697971575339096"/>
  </r>
  <r>
    <x v="7"/>
    <x v="28"/>
    <x v="4"/>
    <n v="7085026"/>
    <n v="6778287"/>
    <n v="6639646"/>
    <n v="103325"/>
    <n v="92918.437401106406"/>
    <n v="94405"/>
    <n v="68.570080645161298"/>
    <n v="71.799959677419295"/>
    <n v="71.456708642637295"/>
  </r>
  <r>
    <x v="5"/>
    <x v="36"/>
    <x v="0"/>
    <n v="6949009"/>
    <n v="6472697"/>
    <n v="6618121"/>
    <n v="98815"/>
    <n v="95755.727606050496"/>
    <n v="90185"/>
    <n v="70.323420698924295"/>
    <n v="71.771263440860196"/>
    <n v="69.114627897013804"/>
  </r>
  <r>
    <x v="5"/>
    <x v="27"/>
    <x v="2"/>
    <n v="5600587"/>
    <n v="5329797"/>
    <n v="5670451"/>
    <n v="83423"/>
    <n v="78218.877983554994"/>
    <n v="74423"/>
    <n v="67.134423611112993"/>
    <n v="71.614909722222194"/>
    <n v="72.494656792343207"/>
  </r>
  <r>
    <x v="7"/>
    <x v="26"/>
    <x v="1"/>
    <n v="5640661"/>
    <n v="5613337"/>
    <n v="5653255"/>
    <n v="81489"/>
    <n v="83564.591030376396"/>
    <n v="78512"/>
    <n v="69.219694444446304"/>
    <n v="71.496493055555504"/>
    <n v="67.651321791845902"/>
  </r>
  <r>
    <x v="6"/>
    <x v="33"/>
    <x v="2"/>
    <n v="6622233"/>
    <n v="5705212"/>
    <n v="6343571"/>
    <n v="91333"/>
    <n v="92238.866281415598"/>
    <n v="79984"/>
    <n v="72.506826388891"/>
    <n v="71.329805555555495"/>
    <n v="68.773296674593993"/>
  </r>
  <r>
    <x v="5"/>
    <x v="37"/>
    <x v="5"/>
    <n v="6795456"/>
    <n v="6340296"/>
    <n v="5883634"/>
    <n v="101126"/>
    <n v="89023.4032674302"/>
    <n v="88914"/>
    <n v="67.197708333333296"/>
    <n v="71.308437499999997"/>
    <n v="66.090862926519506"/>
  </r>
  <r>
    <x v="5"/>
    <x v="32"/>
    <x v="0"/>
    <n v="6072336"/>
    <n v="5368882"/>
    <n v="5512028"/>
    <n v="93869"/>
    <n v="80253.555466750899"/>
    <n v="75624"/>
    <n v="64.689737903225307"/>
    <n v="70.994677419354801"/>
    <n v="68.6826614726575"/>
  </r>
  <r>
    <x v="5"/>
    <x v="32"/>
    <x v="3"/>
    <n v="6937209"/>
    <n v="6350866"/>
    <n v="6270925"/>
    <n v="94682"/>
    <n v="91302.879562936607"/>
    <n v="89515"/>
    <n v="73.268642473118206"/>
    <n v="70.947681451612794"/>
    <n v="68.6826614726575"/>
  </r>
  <r>
    <x v="5"/>
    <x v="37"/>
    <x v="0"/>
    <n v="7841199"/>
    <n v="6914032"/>
    <n v="7139504"/>
    <n v="113228"/>
    <n v="108025.586024467"/>
    <n v="97465"/>
    <n v="69.251122311828098"/>
    <n v="70.938366935483899"/>
    <n v="66.090862926519506"/>
  </r>
  <r>
    <x v="7"/>
    <x v="31"/>
    <x v="1"/>
    <n v="6058057"/>
    <n v="5609444"/>
    <n v="5768539"/>
    <n v="95662"/>
    <n v="86155.719504619701"/>
    <n v="79197"/>
    <n v="63.327736111112998"/>
    <n v="70.828965277777698"/>
    <n v="66.954795775232199"/>
  </r>
  <r>
    <x v="6"/>
    <x v="33"/>
    <x v="5"/>
    <n v="6336945"/>
    <n v="5633556"/>
    <n v="6598922"/>
    <n v="82251"/>
    <n v="95951.801709074498"/>
    <n v="79599"/>
    <n v="77.043750000000003"/>
    <n v="70.773802083333294"/>
    <n v="68.773296674593993"/>
  </r>
  <r>
    <x v="5"/>
    <x v="35"/>
    <x v="3"/>
    <n v="8437311"/>
    <n v="8296699"/>
    <n v="7991828"/>
    <n v="120499"/>
    <n v="118051.218561343"/>
    <n v="117534"/>
    <n v="70.019899193548397"/>
    <n v="70.589872311827904"/>
    <n v="67.697971575339096"/>
  </r>
  <r>
    <x v="7"/>
    <x v="28"/>
    <x v="5"/>
    <n v="7142513"/>
    <n v="5195536"/>
    <n v="5978769"/>
    <n v="103990"/>
    <n v="83669.807985426"/>
    <n v="73610"/>
    <n v="68.684635416666595"/>
    <n v="70.582187500000003"/>
    <n v="71.456708642637295"/>
  </r>
  <r>
    <x v="5"/>
    <x v="32"/>
    <x v="2"/>
    <n v="5174230"/>
    <n v="4864150"/>
    <n v="5126148"/>
    <n v="85600"/>
    <n v="74635.249119469605"/>
    <n v="68942"/>
    <n v="60.446604166667797"/>
    <n v="70.553923611111102"/>
    <n v="68.6826614726575"/>
  </r>
  <r>
    <x v="3"/>
    <x v="30"/>
    <x v="4"/>
    <n v="8570756"/>
    <n v="7809154"/>
    <n v="8779384"/>
    <n v="115835"/>
    <n v="130159.94548710001"/>
    <n v="110686"/>
    <n v="73.991317204300998"/>
    <n v="70.552096774193402"/>
    <n v="67.450733277005597"/>
  </r>
  <r>
    <x v="5"/>
    <x v="36"/>
    <x v="2"/>
    <n v="6257457"/>
    <n v="6061446"/>
    <n v="6130649"/>
    <n v="92416"/>
    <n v="88702.632326041596"/>
    <n v="86233"/>
    <n v="67.709833333334402"/>
    <n v="70.291715277777698"/>
    <n v="69.114627897013804"/>
  </r>
  <r>
    <x v="3"/>
    <x v="30"/>
    <x v="0"/>
    <n v="8596435"/>
    <n v="7799406"/>
    <n v="8348865"/>
    <n v="115114"/>
    <n v="123777.23603853201"/>
    <n v="111168"/>
    <n v="74.677815860214594"/>
    <n v="70.159005376343998"/>
    <n v="67.450733277005597"/>
  </r>
  <r>
    <x v="7"/>
    <x v="26"/>
    <x v="0"/>
    <n v="5820338"/>
    <n v="5694757"/>
    <n v="5784256"/>
    <n v="81432"/>
    <n v="85501.009199751803"/>
    <n v="81399"/>
    <n v="71.474704301074894"/>
    <n v="69.960624999999993"/>
    <n v="67.651321791845902"/>
  </r>
  <r>
    <x v="5"/>
    <x v="35"/>
    <x v="2"/>
    <n v="5615133"/>
    <n v="5292469"/>
    <n v="5973032"/>
    <n v="88182"/>
    <n v="88230.596093308093"/>
    <n v="75892"/>
    <n v="63.676326388889798"/>
    <n v="69.736916666666602"/>
    <n v="67.697971575339096"/>
  </r>
  <r>
    <x v="6"/>
    <x v="33"/>
    <x v="4"/>
    <n v="6226452"/>
    <n v="5863078"/>
    <n v="6803224"/>
    <n v="90802"/>
    <n v="98922.465408194199"/>
    <n v="84090"/>
    <n v="68.572009408602099"/>
    <n v="69.724186827956899"/>
    <n v="68.773296674593993"/>
  </r>
  <r>
    <x v="5"/>
    <x v="37"/>
    <x v="3"/>
    <n v="8308574"/>
    <n v="7890988"/>
    <n v="8183046"/>
    <n v="114164"/>
    <n v="123815.089321771"/>
    <n v="113423"/>
    <n v="72.777278225806398"/>
    <n v="69.571485215053698"/>
    <n v="66.090862926519506"/>
  </r>
  <r>
    <x v="5"/>
    <x v="32"/>
    <x v="4"/>
    <n v="5251866"/>
    <n v="5042939"/>
    <n v="5120553"/>
    <n v="80688"/>
    <n v="74553.798546937207"/>
    <n v="72719"/>
    <n v="65.088380376344105"/>
    <n v="69.348360215053702"/>
    <n v="68.6826614726575"/>
  </r>
  <r>
    <x v="7"/>
    <x v="29"/>
    <x v="1"/>
    <n v="6994807"/>
    <n v="5949895"/>
    <n v="6027263"/>
    <n v="98740"/>
    <n v="86130.139712370001"/>
    <n v="85898"/>
    <n v="70.8403888888908"/>
    <n v="69.266993055555602"/>
    <n v="69.978560745726497"/>
  </r>
  <r>
    <x v="5"/>
    <x v="32"/>
    <x v="1"/>
    <n v="6423046"/>
    <n v="5275543"/>
    <n v="5715822"/>
    <n v="97399"/>
    <n v="83220.743782263802"/>
    <n v="76277"/>
    <n v="65.945395833334999"/>
    <n v="69.163159722222204"/>
    <n v="68.6826614726575"/>
  </r>
  <r>
    <x v="3"/>
    <x v="30"/>
    <x v="2"/>
    <n v="7796493"/>
    <n v="7435945"/>
    <n v="8181390"/>
    <n v="109674"/>
    <n v="121294.302675714"/>
    <n v="108184"/>
    <n v="71.087625000001907"/>
    <n v="68.734458333333293"/>
    <n v="67.450733277005597"/>
  </r>
  <r>
    <x v="5"/>
    <x v="34"/>
    <x v="5"/>
    <n v="5628881"/>
    <n v="5597847"/>
    <n v="5952213"/>
    <n v="91532"/>
    <n v="93227.747818171003"/>
    <n v="81442"/>
    <n v="61.496302083333298"/>
    <n v="68.733750000000001"/>
    <n v="63.845934941054601"/>
  </r>
  <r>
    <x v="5"/>
    <x v="35"/>
    <x v="5"/>
    <n v="6710236"/>
    <n v="5980202"/>
    <n v="6245465"/>
    <n v="101711"/>
    <n v="92254.833011497307"/>
    <n v="87024"/>
    <n v="65.973854166666598"/>
    <n v="68.718854166666603"/>
    <n v="67.697971575339096"/>
  </r>
  <r>
    <x v="5"/>
    <x v="36"/>
    <x v="4"/>
    <n v="6335617"/>
    <n v="6151557"/>
    <n v="6580046"/>
    <n v="95035"/>
    <n v="95204.829948658196"/>
    <n v="89552"/>
    <n v="66.665967741935404"/>
    <n v="68.692204301075193"/>
    <n v="69.114627897013804"/>
  </r>
  <r>
    <x v="6"/>
    <x v="33"/>
    <x v="1"/>
    <n v="6799272"/>
    <n v="5906630"/>
    <n v="6754256"/>
    <n v="95870"/>
    <n v="98210.448319182193"/>
    <n v="86011"/>
    <n v="70.921618055558099"/>
    <n v="68.673208333333307"/>
    <n v="68.773296674593993"/>
  </r>
  <r>
    <x v="7"/>
    <x v="29"/>
    <x v="0"/>
    <n v="7695273"/>
    <n v="6387287"/>
    <n v="6536263"/>
    <n v="110956"/>
    <n v="93403.795211652003"/>
    <n v="93058"/>
    <n v="69.354287634408394"/>
    <n v="68.637775537634397"/>
    <n v="69.978560745726497"/>
  </r>
  <r>
    <x v="5"/>
    <x v="34"/>
    <x v="1"/>
    <n v="5886462"/>
    <n v="5596179"/>
    <n v="5692517"/>
    <n v="92315"/>
    <n v="89160.202967590303"/>
    <n v="81761"/>
    <n v="63.765284722223299"/>
    <n v="68.4454652777777"/>
    <n v="63.845934941054601"/>
  </r>
  <r>
    <x v="7"/>
    <x v="29"/>
    <x v="3"/>
    <n v="8123887"/>
    <n v="3832333"/>
    <n v="7527154"/>
    <n v="111742"/>
    <n v="107563.721398195"/>
    <n v="56192"/>
    <n v="72.702291666666596"/>
    <n v="68.200463709677393"/>
    <n v="69.978560745726497"/>
  </r>
  <r>
    <x v="5"/>
    <x v="36"/>
    <x v="3"/>
    <n v="7064048"/>
    <n v="7134988"/>
    <n v="7428169"/>
    <n v="98481"/>
    <n v="107476.081579554"/>
    <n v="104701"/>
    <n v="71.729818548387001"/>
    <n v="68.146505376344095"/>
    <n v="69.114627897013804"/>
  </r>
  <r>
    <x v="6"/>
    <x v="33"/>
    <x v="3"/>
    <n v="7675902"/>
    <n v="6617838"/>
    <n v="7075063"/>
    <n v="102580"/>
    <n v="102875.14360808"/>
    <n v="97229"/>
    <n v="74.828212365591398"/>
    <n v="68.064791666666693"/>
    <n v="68.773296674593993"/>
  </r>
  <r>
    <x v="5"/>
    <x v="35"/>
    <x v="1"/>
    <n v="6235449"/>
    <n v="5860234"/>
    <n v="6118763"/>
    <n v="101240"/>
    <n v="90383.249564436497"/>
    <n v="86115"/>
    <n v="61.590763888889697"/>
    <n v="68.051131944444407"/>
    <n v="67.697971575339096"/>
  </r>
  <r>
    <x v="5"/>
    <x v="35"/>
    <x v="4"/>
    <n v="5965605"/>
    <n v="5844912"/>
    <n v="6041923"/>
    <n v="86281"/>
    <n v="89248.215076519904"/>
    <n v="86025"/>
    <n v="69.141559139784903"/>
    <n v="67.944126344086001"/>
    <n v="67.697971575339096"/>
  </r>
  <r>
    <x v="7"/>
    <x v="29"/>
    <x v="2"/>
    <n v="6657495"/>
    <n v="6103751"/>
    <n v="6057036"/>
    <n v="110583"/>
    <n v="86555.598595529693"/>
    <n v="89997"/>
    <n v="60.2035000000011"/>
    <n v="67.821784722222105"/>
    <n v="69.978560745726497"/>
  </r>
  <r>
    <x v="6"/>
    <x v="38"/>
    <x v="3"/>
    <n v="8306917"/>
    <n v="8040097"/>
    <n v="7990704"/>
    <n v="138702"/>
    <n v="125686.317185726"/>
    <n v="118554"/>
    <n v="59.890456989247298"/>
    <n v="67.818192204300999"/>
    <n v="63.576561684054397"/>
  </r>
  <r>
    <x v="2"/>
    <x v="39"/>
    <x v="5"/>
    <n v="4837239"/>
    <n v="4768710"/>
    <n v="4625816"/>
    <n v="70812"/>
    <n v="72935.799661020807"/>
    <n v="70511"/>
    <n v="68.310937499999994"/>
    <n v="67.630312500000002"/>
    <n v="63.423114179855602"/>
  </r>
  <r>
    <x v="5"/>
    <x v="37"/>
    <x v="2"/>
    <n v="6861655"/>
    <n v="6190576"/>
    <n v="6627607"/>
    <n v="96179"/>
    <n v="100280.229010909"/>
    <n v="91678"/>
    <n v="71.342347222223907"/>
    <n v="67.525256944444394"/>
    <n v="66.090862926519506"/>
  </r>
  <r>
    <x v="7"/>
    <x v="31"/>
    <x v="5"/>
    <n v="6747684"/>
    <n v="5512561"/>
    <n v="6000084"/>
    <n v="97062"/>
    <n v="89613.959908746998"/>
    <n v="81714"/>
    <n v="69.519427083333298"/>
    <n v="67.461874999999907"/>
    <n v="66.954795775232199"/>
  </r>
  <r>
    <x v="5"/>
    <x v="34"/>
    <x v="0"/>
    <n v="6172549"/>
    <n v="5930508"/>
    <n v="6114127"/>
    <n v="93057"/>
    <n v="95763.765018788195"/>
    <n v="88042"/>
    <n v="66.330504032258403"/>
    <n v="67.360087365591397"/>
    <n v="63.845934941054601"/>
  </r>
  <r>
    <x v="2"/>
    <x v="39"/>
    <x v="3"/>
    <n v="5415183"/>
    <n v="5878384"/>
    <n v="5980162"/>
    <n v="80606"/>
    <n v="94289.943897132296"/>
    <n v="87298"/>
    <n v="67.181135752688206"/>
    <n v="67.336989247311806"/>
    <n v="63.423114179855602"/>
  </r>
  <r>
    <x v="7"/>
    <x v="31"/>
    <x v="4"/>
    <n v="6354838"/>
    <n v="6142072"/>
    <n v="6344765"/>
    <n v="99382"/>
    <n v="94761.923130934898"/>
    <n v="91253"/>
    <n v="63.943494623655901"/>
    <n v="67.3079166666666"/>
    <n v="66.954795775232199"/>
  </r>
  <r>
    <x v="5"/>
    <x v="34"/>
    <x v="2"/>
    <n v="5671532"/>
    <n v="5240025"/>
    <n v="5388089"/>
    <n v="87675"/>
    <n v="84392.043132808903"/>
    <n v="77949"/>
    <n v="64.688409722223"/>
    <n v="67.223819444444402"/>
    <n v="63.845934941054601"/>
  </r>
  <r>
    <x v="6"/>
    <x v="38"/>
    <x v="5"/>
    <n v="6256659"/>
    <n v="5965040"/>
    <n v="5323638"/>
    <n v="109324"/>
    <n v="83735.853013819302"/>
    <n v="88940"/>
    <n v="57.230208333333302"/>
    <n v="67.067916666666605"/>
    <n v="63.576561684054397"/>
  </r>
  <r>
    <x v="7"/>
    <x v="26"/>
    <x v="2"/>
    <n v="5363356"/>
    <n v="5319258"/>
    <n v="5404944"/>
    <n v="77446"/>
    <n v="79894.144219831898"/>
    <n v="79319"/>
    <n v="69.252652777779105"/>
    <n v="67.061750000000004"/>
    <n v="67.651321791845902"/>
  </r>
  <r>
    <x v="5"/>
    <x v="40"/>
    <x v="0"/>
    <n v="4156942"/>
    <n v="4494402"/>
    <n v="4652185"/>
    <n v="81319"/>
    <n v="80311.940048829405"/>
    <n v="67218"/>
    <n v="51.119005376344298"/>
    <n v="66.862654569892499"/>
    <n v="57.926444284268101"/>
  </r>
  <r>
    <x v="5"/>
    <x v="36"/>
    <x v="5"/>
    <n v="6070053"/>
    <n v="5995508"/>
    <n v="6110354"/>
    <n v="88873"/>
    <n v="88408.977671194196"/>
    <n v="89715"/>
    <n v="68.300312500000004"/>
    <n v="66.828437500000007"/>
    <n v="69.114627897013804"/>
  </r>
  <r>
    <x v="5"/>
    <x v="37"/>
    <x v="1"/>
    <n v="7169021"/>
    <n v="6302287"/>
    <n v="6584202"/>
    <n v="103380"/>
    <n v="99623.482738005405"/>
    <n v="94601"/>
    <n v="69.346277777779903"/>
    <n v="66.619972222222202"/>
    <n v="66.090862926519506"/>
  </r>
  <r>
    <x v="0"/>
    <x v="41"/>
    <x v="5"/>
    <n v="6051370"/>
    <n v="5729785"/>
    <n v="5606386"/>
    <n v="96583"/>
    <n v="84219.142615352204"/>
    <n v="86134"/>
    <n v="62.654791666666597"/>
    <n v="66.521770833333306"/>
    <n v="66.569024345279999"/>
  </r>
  <r>
    <x v="6"/>
    <x v="42"/>
    <x v="2"/>
    <n v="6079662"/>
    <n v="5272514"/>
    <n v="5467984"/>
    <n v="99417"/>
    <n v="90533.9378495977"/>
    <n v="79383"/>
    <n v="61.1528750000003"/>
    <n v="66.418819444444395"/>
    <n v="60.397061823201099"/>
  </r>
  <r>
    <x v="2"/>
    <x v="43"/>
    <x v="5"/>
    <n v="5248583"/>
    <n v="4604128"/>
    <n v="4741119"/>
    <n v="99477"/>
    <n v="83591.3782599939"/>
    <n v="69324"/>
    <n v="52.761874999999897"/>
    <n v="66.415104166666595"/>
    <n v="56.717795741490399"/>
  </r>
  <r>
    <x v="6"/>
    <x v="42"/>
    <x v="3"/>
    <n v="6761612"/>
    <n v="6134959"/>
    <n v="6459263"/>
    <n v="101192"/>
    <n v="106946.645456165"/>
    <n v="92402"/>
    <n v="66.819845430107506"/>
    <n v="66.394012096774205"/>
    <n v="60.397061823201099"/>
  </r>
  <r>
    <x v="5"/>
    <x v="37"/>
    <x v="4"/>
    <n v="6901710"/>
    <n v="6152401"/>
    <n v="6077617"/>
    <n v="102430"/>
    <n v="91958.510286923498"/>
    <n v="92789"/>
    <n v="67.379798387096798"/>
    <n v="66.305618279569799"/>
    <n v="66.090862926519506"/>
  </r>
  <r>
    <x v="5"/>
    <x v="36"/>
    <x v="1"/>
    <n v="6479343"/>
    <n v="6086905"/>
    <n v="6323102"/>
    <n v="94569"/>
    <n v="91487.173478267199"/>
    <n v="91832"/>
    <n v="68.514347222223805"/>
    <n v="66.283097222222196"/>
    <n v="69.114627897013804"/>
  </r>
  <r>
    <x v="3"/>
    <x v="30"/>
    <x v="5"/>
    <n v="7937803"/>
    <n v="6425955"/>
    <n v="7824592"/>
    <n v="109020"/>
    <n v="116004.55495073801"/>
    <n v="97060"/>
    <n v="72.810312499999995"/>
    <n v="66.206041666666593"/>
    <n v="67.450733277005597"/>
  </r>
  <r>
    <x v="0"/>
    <x v="41"/>
    <x v="3"/>
    <n v="7311690"/>
    <n v="7510713"/>
    <n v="7284371"/>
    <n v="113038"/>
    <n v="109425.83890846001"/>
    <n v="113640"/>
    <n v="64.683198924731201"/>
    <n v="66.091948924731099"/>
    <n v="66.569024345279999"/>
  </r>
  <r>
    <x v="2"/>
    <x v="39"/>
    <x v="4"/>
    <n v="4956015"/>
    <n v="4982684"/>
    <n v="4883987"/>
    <n v="72234"/>
    <n v="77006.415061076303"/>
    <n v="75403"/>
    <n v="68.610772849462293"/>
    <n v="66.080893817204199"/>
    <n v="63.423114179855602"/>
  </r>
  <r>
    <x v="6"/>
    <x v="38"/>
    <x v="2"/>
    <n v="4958196"/>
    <n v="4488061"/>
    <n v="4890751"/>
    <n v="81687"/>
    <n v="76926.953668943694"/>
    <n v="68083"/>
    <n v="60.697388888889897"/>
    <n v="65.920069444444394"/>
    <n v="63.576561684054397"/>
  </r>
  <r>
    <x v="6"/>
    <x v="44"/>
    <x v="3"/>
    <n v="7356206"/>
    <n v="7136134"/>
    <n v="6851115"/>
    <n v="107881"/>
    <n v="109301.103561139"/>
    <n v="108560"/>
    <n v="68.187856182795699"/>
    <n v="65.734516129032201"/>
    <n v="62.681117153293101"/>
  </r>
  <r>
    <x v="0"/>
    <x v="41"/>
    <x v="4"/>
    <n v="5732262"/>
    <n v="5500316"/>
    <n v="6038665"/>
    <n v="94435"/>
    <n v="90712.8413626533"/>
    <n v="83798"/>
    <n v="60.700913978494597"/>
    <n v="65.637607526881695"/>
    <n v="66.569024345279999"/>
  </r>
  <r>
    <x v="5"/>
    <x v="34"/>
    <x v="4"/>
    <n v="5374283"/>
    <n v="5757214"/>
    <n v="6409046"/>
    <n v="86907"/>
    <n v="100382.994394507"/>
    <n v="87928"/>
    <n v="61.839637096774098"/>
    <n v="65.476814516128997"/>
    <n v="63.845934941054601"/>
  </r>
  <r>
    <x v="5"/>
    <x v="40"/>
    <x v="2"/>
    <n v="3636438"/>
    <n v="4214268"/>
    <n v="4299976"/>
    <n v="72885"/>
    <n v="74231.660731639306"/>
    <n v="64377"/>
    <n v="49.892645833333198"/>
    <n v="65.462638888888904"/>
    <n v="57.926444284268101"/>
  </r>
  <r>
    <x v="6"/>
    <x v="38"/>
    <x v="0"/>
    <n v="5861971"/>
    <n v="4831829"/>
    <n v="5126037"/>
    <n v="98423"/>
    <n v="80627.785295687907"/>
    <n v="73966"/>
    <n v="59.5589448924732"/>
    <n v="65.324771505376305"/>
    <n v="63.576561684054397"/>
  </r>
  <r>
    <x v="6"/>
    <x v="42"/>
    <x v="0"/>
    <n v="6363639"/>
    <n v="5587376"/>
    <n v="5917459"/>
    <n v="103452"/>
    <n v="97975.944451106494"/>
    <n v="86017"/>
    <n v="61.513017473118303"/>
    <n v="64.956330645161302"/>
    <n v="60.397061823201099"/>
  </r>
  <r>
    <x v="5"/>
    <x v="40"/>
    <x v="3"/>
    <n v="5387484"/>
    <n v="5889750"/>
    <n v="5779916"/>
    <n v="90735"/>
    <n v="99780.262864671095"/>
    <n v="90921"/>
    <n v="59.375712365591397"/>
    <n v="64.778931451612905"/>
    <n v="57.926444284268101"/>
  </r>
  <r>
    <x v="6"/>
    <x v="42"/>
    <x v="1"/>
    <n v="6003071"/>
    <n v="5208389"/>
    <n v="5601213"/>
    <n v="93900"/>
    <n v="92739.829586351305"/>
    <n v="80689"/>
    <n v="63.930562500000903"/>
    <n v="64.548604166666607"/>
    <n v="60.397061823201099"/>
  </r>
  <r>
    <x v="0"/>
    <x v="45"/>
    <x v="4"/>
    <n v="6231313"/>
    <n v="6163135"/>
    <n v="6784347"/>
    <n v="99750"/>
    <n v="107615.984902882"/>
    <n v="95903"/>
    <n v="62.469307795698903"/>
    <n v="64.264327956989206"/>
    <n v="63.0421886183778"/>
  </r>
  <r>
    <x v="6"/>
    <x v="44"/>
    <x v="2"/>
    <n v="5233390"/>
    <n v="5403075"/>
    <n v="5561717"/>
    <n v="81223"/>
    <n v="88730.347228787301"/>
    <n v="84102"/>
    <n v="64.432083333335001"/>
    <n v="64.243958333333296"/>
    <n v="62.681117153293101"/>
  </r>
  <r>
    <x v="6"/>
    <x v="42"/>
    <x v="4"/>
    <n v="5718851"/>
    <n v="4979107"/>
    <n v="5383615"/>
    <n v="91183"/>
    <n v="89137.037590658394"/>
    <n v="77811"/>
    <n v="62.718353494623599"/>
    <n v="63.989361559139702"/>
    <n v="60.397061823201099"/>
  </r>
  <r>
    <x v="6"/>
    <x v="38"/>
    <x v="4"/>
    <n v="5093224"/>
    <n v="5105255"/>
    <n v="5267588"/>
    <n v="86584"/>
    <n v="82854.243645282797"/>
    <n v="79905"/>
    <n v="58.824086021505302"/>
    <n v="63.891323924731097"/>
    <n v="63.576561684054397"/>
  </r>
  <r>
    <x v="1"/>
    <x v="46"/>
    <x v="2"/>
    <n v="6418284"/>
    <n v="5710411"/>
    <n v="5965518"/>
    <n v="107588"/>
    <n v="92906.652912237303"/>
    <n v="89553"/>
    <n v="59.655993055556998"/>
    <n v="63.765576388888803"/>
    <n v="64.209802769831995"/>
  </r>
  <r>
    <x v="0"/>
    <x v="41"/>
    <x v="2"/>
    <n v="5038079"/>
    <n v="5006299"/>
    <n v="5346486"/>
    <n v="86063"/>
    <n v="80314.916931467407"/>
    <n v="78580"/>
    <n v="58.539347222222098"/>
    <n v="63.709965277777698"/>
    <n v="66.569024345279999"/>
  </r>
  <r>
    <x v="2"/>
    <x v="43"/>
    <x v="3"/>
    <n v="5607846"/>
    <n v="5205947"/>
    <n v="5355794"/>
    <n v="99615"/>
    <n v="94428.803697004405"/>
    <n v="81791"/>
    <n v="56.295147849462303"/>
    <n v="63.649193548386997"/>
    <n v="56.717795741490399"/>
  </r>
  <r>
    <x v="0"/>
    <x v="45"/>
    <x v="2"/>
    <n v="5474442"/>
    <n v="5554799"/>
    <n v="6405068"/>
    <n v="94382"/>
    <n v="101599.71469697299"/>
    <n v="87396"/>
    <n v="58.003312500000597"/>
    <n v="63.558638888888801"/>
    <n v="63.0421886183778"/>
  </r>
  <r>
    <x v="0"/>
    <x v="41"/>
    <x v="1"/>
    <n v="5565095"/>
    <n v="5761791"/>
    <n v="5784602"/>
    <n v="93466"/>
    <n v="86896.305723160898"/>
    <n v="90685"/>
    <n v="59.541659722222803"/>
    <n v="63.536083333333302"/>
    <n v="66.569024345279999"/>
  </r>
  <r>
    <x v="2"/>
    <x v="43"/>
    <x v="0"/>
    <n v="5433265"/>
    <n v="4930016"/>
    <n v="5784989"/>
    <n v="102379"/>
    <n v="101996.01040504"/>
    <n v="77633"/>
    <n v="53.070020161290898"/>
    <n v="63.504536290322498"/>
    <n v="56.717795741490399"/>
  </r>
  <r>
    <x v="7"/>
    <x v="47"/>
    <x v="3"/>
    <n v="6011558"/>
    <n v="6496963"/>
    <n v="6336415"/>
    <n v="96560"/>
    <n v="115277.345253835"/>
    <n v="102480"/>
    <n v="62.257096774193499"/>
    <n v="63.397654569892403"/>
    <n v="54.966698955874797"/>
  </r>
  <r>
    <x v="6"/>
    <x v="38"/>
    <x v="1"/>
    <n v="6572691"/>
    <n v="5536075"/>
    <n v="5417520"/>
    <n v="109172"/>
    <n v="85212.529921365"/>
    <n v="87396"/>
    <n v="60.205152777778899"/>
    <n v="63.344361111111098"/>
    <n v="63.576561684054397"/>
  </r>
  <r>
    <x v="6"/>
    <x v="42"/>
    <x v="5"/>
    <n v="5364219"/>
    <n v="4813520"/>
    <n v="4935251"/>
    <n v="83272"/>
    <n v="81713.429644091593"/>
    <n v="76043"/>
    <n v="64.418281250000007"/>
    <n v="63.3001041666666"/>
    <n v="60.397061823201099"/>
  </r>
  <r>
    <x v="0"/>
    <x v="41"/>
    <x v="0"/>
    <n v="5573921"/>
    <n v="5740738"/>
    <n v="5918957"/>
    <n v="90325"/>
    <n v="88914.581187183503"/>
    <n v="90873"/>
    <n v="61.709469086021898"/>
    <n v="63.173212365591397"/>
    <n v="66.569024345279999"/>
  </r>
  <r>
    <x v="2"/>
    <x v="39"/>
    <x v="1"/>
    <n v="5189960"/>
    <n v="4932323"/>
    <n v="5097573"/>
    <n v="84966"/>
    <n v="80374.056818532597"/>
    <n v="78641"/>
    <n v="61.082729166667498"/>
    <n v="62.719756944444399"/>
    <n v="63.423114179855602"/>
  </r>
  <r>
    <x v="1"/>
    <x v="46"/>
    <x v="0"/>
    <n v="6795114"/>
    <n v="6136818"/>
    <n v="6401465"/>
    <n v="104197"/>
    <n v="99696.074872661397"/>
    <n v="97919"/>
    <n v="65.214032258064407"/>
    <n v="62.672345430107498"/>
    <n v="64.209802769831995"/>
  </r>
  <r>
    <x v="6"/>
    <x v="44"/>
    <x v="5"/>
    <n v="5940355"/>
    <n v="5505677"/>
    <n v="5673452"/>
    <n v="89945"/>
    <n v="90512.9407078847"/>
    <n v="87983"/>
    <n v="66.044062499999995"/>
    <n v="62.576927083333302"/>
    <n v="62.681117153293101"/>
  </r>
  <r>
    <x v="6"/>
    <x v="44"/>
    <x v="4"/>
    <n v="5892825"/>
    <n v="6030239"/>
    <n v="6325176"/>
    <n v="88742"/>
    <n v="100910.392728501"/>
    <n v="96474"/>
    <n v="66.403844086021493"/>
    <n v="62.506424731182797"/>
    <n v="62.681117153293101"/>
  </r>
  <r>
    <x v="5"/>
    <x v="48"/>
    <x v="3"/>
    <n v="4720487"/>
    <n v="4986772"/>
    <n v="4986231"/>
    <n v="87795"/>
    <n v="90615.795529805604"/>
    <n v="80110"/>
    <n v="53.767056451612902"/>
    <n v="62.249334677419299"/>
    <n v="55.026064794188201"/>
  </r>
  <r>
    <x v="7"/>
    <x v="47"/>
    <x v="4"/>
    <n v="5263425"/>
    <n v="4818334"/>
    <n v="5182983"/>
    <n v="91017"/>
    <n v="94293.154567289894"/>
    <n v="77441"/>
    <n v="57.829032258064501"/>
    <n v="62.2191330645161"/>
    <n v="54.966698955874797"/>
  </r>
  <r>
    <x v="2"/>
    <x v="39"/>
    <x v="2"/>
    <n v="4650711"/>
    <n v="4818380"/>
    <n v="5036876"/>
    <n v="76221"/>
    <n v="79417.040957913196"/>
    <n v="77515"/>
    <n v="61.015986111111197"/>
    <n v="62.160680555555501"/>
    <n v="63.423114179855602"/>
  </r>
  <r>
    <x v="0"/>
    <x v="45"/>
    <x v="5"/>
    <n v="5792634"/>
    <n v="5427544"/>
    <n v="6590898"/>
    <n v="86530"/>
    <n v="104547.416951172"/>
    <n v="87358"/>
    <n v="66.943906249999898"/>
    <n v="62.129947916666602"/>
    <n v="63.0421886183778"/>
  </r>
  <r>
    <x v="4"/>
    <x v="49"/>
    <x v="0"/>
    <n v="3684960"/>
    <n v="3486990"/>
    <n v="3658508"/>
    <n v="60097"/>
    <n v="62951.728929195699"/>
    <n v="56243"/>
    <n v="61.3171303763447"/>
    <n v="61.998689516128998"/>
    <n v="58.116081161406498"/>
  </r>
  <r>
    <x v="5"/>
    <x v="40"/>
    <x v="5"/>
    <n v="4138428"/>
    <n v="4529475"/>
    <n v="4825489"/>
    <n v="71669"/>
    <n v="83303.730995802194"/>
    <n v="73078"/>
    <n v="57.743645833333296"/>
    <n v="61.981406249999999"/>
    <n v="57.926444284268101"/>
  </r>
  <r>
    <x v="7"/>
    <x v="47"/>
    <x v="5"/>
    <n v="5208573"/>
    <n v="5079732"/>
    <n v="5046556"/>
    <n v="90226"/>
    <n v="91811.160816682401"/>
    <n v="82168"/>
    <n v="57.728281250000002"/>
    <n v="61.8209374999999"/>
    <n v="54.966698955874797"/>
  </r>
  <r>
    <x v="7"/>
    <x v="47"/>
    <x v="0"/>
    <n v="5526601"/>
    <n v="5100384"/>
    <n v="5354974"/>
    <n v="92805"/>
    <n v="97422.154848679595"/>
    <n v="82591"/>
    <n v="59.5504301075269"/>
    <n v="61.754912634408598"/>
    <n v="54.966698955874797"/>
  </r>
  <r>
    <x v="4"/>
    <x v="49"/>
    <x v="2"/>
    <n v="3653879"/>
    <n v="3346172"/>
    <n v="3523283"/>
    <n v="63681"/>
    <n v="60624.927309099498"/>
    <n v="54325"/>
    <n v="57.3775902777776"/>
    <n v="61.5957222222222"/>
    <n v="58.116081161406498"/>
  </r>
  <r>
    <x v="6"/>
    <x v="50"/>
    <x v="5"/>
    <n v="5908629"/>
    <n v="5446165"/>
    <n v="5521781"/>
    <n v="114256"/>
    <n v="101009.508015477"/>
    <n v="88485"/>
    <n v="51.7138541666666"/>
    <n v="61.548854166666601"/>
    <n v="54.665953766984899"/>
  </r>
  <r>
    <x v="2"/>
    <x v="39"/>
    <x v="0"/>
    <n v="5343017"/>
    <n v="5157024"/>
    <n v="5319842"/>
    <n v="85576"/>
    <n v="83878.5961457831"/>
    <n v="83948"/>
    <n v="62.435672043010698"/>
    <n v="61.431444892473102"/>
    <n v="63.423114179855602"/>
  </r>
  <r>
    <x v="6"/>
    <x v="44"/>
    <x v="0"/>
    <n v="5973842"/>
    <n v="5803496"/>
    <n v="5985242"/>
    <n v="90223"/>
    <n v="95487.1598899948"/>
    <n v="94546"/>
    <n v="66.212049731182802"/>
    <n v="61.382802419354803"/>
    <n v="62.681117153293101"/>
  </r>
  <r>
    <x v="5"/>
    <x v="40"/>
    <x v="1"/>
    <n v="4046590"/>
    <n v="4241333"/>
    <n v="4403324"/>
    <n v="75712"/>
    <n v="76015.780134736604"/>
    <n v="69296"/>
    <n v="53.447041666667403"/>
    <n v="61.205666666666602"/>
    <n v="57.926444284268101"/>
  </r>
  <r>
    <x v="5"/>
    <x v="51"/>
    <x v="3"/>
    <n v="6265943"/>
    <n v="6281500"/>
    <n v="5953237"/>
    <n v="100068"/>
    <n v="104860.497340752"/>
    <n v="102802"/>
    <n v="62.6167405913978"/>
    <n v="61.102661290322501"/>
    <n v="56.772923994003698"/>
  </r>
  <r>
    <x v="7"/>
    <x v="52"/>
    <x v="2"/>
    <n v="6738012"/>
    <n v="5862529"/>
    <n v="6317006"/>
    <n v="115441"/>
    <n v="106743.32737228701"/>
    <n v="96113"/>
    <n v="58.367409722223101"/>
    <n v="60.995958333333299"/>
    <n v="59.179400136818103"/>
  </r>
  <r>
    <x v="1"/>
    <x v="46"/>
    <x v="1"/>
    <n v="6576733"/>
    <n v="6066983"/>
    <n v="6375655"/>
    <n v="102894"/>
    <n v="99294.107247990207"/>
    <n v="99593"/>
    <n v="63.9175833333355"/>
    <n v="60.9176944444444"/>
    <n v="64.209802769831995"/>
  </r>
  <r>
    <x v="7"/>
    <x v="53"/>
    <x v="3"/>
    <n v="5245370"/>
    <n v="5293162"/>
    <n v="6298644"/>
    <n v="84718"/>
    <n v="115249.71206746"/>
    <n v="87425"/>
    <n v="61.915376344085999"/>
    <n v="60.545013440860203"/>
    <n v="54.652141241039402"/>
  </r>
  <r>
    <x v="1"/>
    <x v="46"/>
    <x v="5"/>
    <n v="5866426"/>
    <n v="5397340"/>
    <n v="5656366"/>
    <n v="92783"/>
    <n v="88091.937039207798"/>
    <n v="89334"/>
    <n v="63.227656249999903"/>
    <n v="60.41765625"/>
    <n v="64.209802769831995"/>
  </r>
  <r>
    <x v="0"/>
    <x v="45"/>
    <x v="0"/>
    <n v="6293447"/>
    <n v="6101716"/>
    <n v="7471549"/>
    <n v="108634"/>
    <n v="118516.65281528499"/>
    <n v="101268"/>
    <n v="57.932715053763999"/>
    <n v="60.2532997311827"/>
    <n v="63.0421886183778"/>
  </r>
  <r>
    <x v="6"/>
    <x v="50"/>
    <x v="2"/>
    <n v="5096594"/>
    <n v="4512287"/>
    <n v="4792926"/>
    <n v="96366"/>
    <n v="87676.616865224103"/>
    <n v="74908"/>
    <n v="52.887673611110898"/>
    <n v="60.237673611111099"/>
    <n v="54.665953766984899"/>
  </r>
  <r>
    <x v="5"/>
    <x v="40"/>
    <x v="4"/>
    <n v="3993660"/>
    <n v="4422922"/>
    <n v="4656465"/>
    <n v="73798"/>
    <n v="80385.830387739101"/>
    <n v="73443"/>
    <n v="54.116256720430101"/>
    <n v="60.222815860215"/>
    <n v="57.926444284268101"/>
  </r>
  <r>
    <x v="3"/>
    <x v="54"/>
    <x v="5"/>
    <n v="6425457"/>
    <n v="5349294"/>
    <n v="6466202"/>
    <n v="113574"/>
    <n v="114589.300985807"/>
    <n v="88964"/>
    <n v="56.575312500000003"/>
    <n v="60.128802083333298"/>
    <n v="56.429371630436002"/>
  </r>
  <r>
    <x v="7"/>
    <x v="55"/>
    <x v="5"/>
    <n v="5719413"/>
    <n v="5420739"/>
    <n v="5485899"/>
    <n v="97283"/>
    <n v="98291.871308202695"/>
    <n v="90197"/>
    <n v="58.791249999999899"/>
    <n v="60.0985937499999"/>
    <n v="55.812340478272901"/>
  </r>
  <r>
    <x v="0"/>
    <x v="56"/>
    <x v="5"/>
    <n v="4656237"/>
    <n v="3904541"/>
    <n v="4318721"/>
    <n v="87288"/>
    <n v="80960.752207412603"/>
    <n v="64984"/>
    <n v="53.343229166666603"/>
    <n v="60.084375000000001"/>
    <n v="53.343390369396602"/>
  </r>
  <r>
    <x v="4"/>
    <x v="49"/>
    <x v="5"/>
    <n v="3462166"/>
    <n v="2760968"/>
    <n v="2773897"/>
    <n v="58628"/>
    <n v="47730.2898795949"/>
    <n v="45953"/>
    <n v="59.053124999999902"/>
    <n v="60.082500000000003"/>
    <n v="58.116081161406498"/>
  </r>
  <r>
    <x v="6"/>
    <x v="50"/>
    <x v="3"/>
    <n v="6432504"/>
    <n v="6030728"/>
    <n v="5870202"/>
    <n v="119695"/>
    <n v="107383.13805009"/>
    <n v="100423"/>
    <n v="53.740665322580597"/>
    <n v="60.053508064516102"/>
    <n v="54.665953766984899"/>
  </r>
  <r>
    <x v="1"/>
    <x v="46"/>
    <x v="4"/>
    <n v="5950274"/>
    <n v="5487015"/>
    <n v="5978000"/>
    <n v="95165"/>
    <n v="93101.052719767395"/>
    <n v="91415"/>
    <n v="62.525759408602099"/>
    <n v="60.023212365591299"/>
    <n v="64.209802769831995"/>
  </r>
  <r>
    <x v="7"/>
    <x v="55"/>
    <x v="3"/>
    <n v="7688902"/>
    <n v="7417542"/>
    <n v="7342313"/>
    <n v="123057"/>
    <n v="131553.57762963299"/>
    <n v="123658"/>
    <n v="62.482526881720403"/>
    <n v="59.9844959677419"/>
    <n v="55.812340478272901"/>
  </r>
  <r>
    <x v="7"/>
    <x v="47"/>
    <x v="1"/>
    <n v="4981514"/>
    <n v="4763533"/>
    <n v="5050689"/>
    <n v="83337"/>
    <n v="91886.337945352905"/>
    <n v="79548"/>
    <n v="59.775868055556103"/>
    <n v="59.882229166666697"/>
    <n v="54.966698955874797"/>
  </r>
  <r>
    <x v="2"/>
    <x v="43"/>
    <x v="4"/>
    <n v="4844291"/>
    <n v="4583942"/>
    <n v="5126510"/>
    <n v="87330"/>
    <n v="90386.273826044198"/>
    <n v="76596"/>
    <n v="55.470860215053698"/>
    <n v="59.845624999999998"/>
    <n v="56.717795741490399"/>
  </r>
  <r>
    <x v="5"/>
    <x v="48"/>
    <x v="0"/>
    <n v="3920329"/>
    <n v="3787342"/>
    <n v="3959260"/>
    <n v="79452"/>
    <n v="71952.4555446343"/>
    <n v="63470"/>
    <n v="49.341861559139701"/>
    <n v="59.671801075268803"/>
    <n v="55.026064794188201"/>
  </r>
  <r>
    <x v="6"/>
    <x v="44"/>
    <x v="1"/>
    <n v="6091625"/>
    <n v="5857270"/>
    <n v="5813915"/>
    <n v="91170"/>
    <n v="92753.857184476597"/>
    <n v="98471"/>
    <n v="66.8157777777798"/>
    <n v="59.482208333333297"/>
    <n v="62.681117153293101"/>
  </r>
  <r>
    <x v="5"/>
    <x v="48"/>
    <x v="1"/>
    <n v="3916169"/>
    <n v="3653034"/>
    <n v="3945923"/>
    <n v="81604"/>
    <n v="71710.071795226002"/>
    <n v="61563"/>
    <n v="47.989861111111601"/>
    <n v="59.338368055555499"/>
    <n v="55.026064794188201"/>
  </r>
  <r>
    <x v="6"/>
    <x v="50"/>
    <x v="4"/>
    <n v="6102849"/>
    <n v="5715029"/>
    <n v="5777456"/>
    <n v="114577"/>
    <n v="105686.557353898"/>
    <n v="96389"/>
    <n v="53.264072580645099"/>
    <n v="59.291364247311797"/>
    <n v="54.665953766984899"/>
  </r>
  <r>
    <x v="1"/>
    <x v="46"/>
    <x v="3"/>
    <n v="7288715"/>
    <n v="6146098"/>
    <n v="7551171"/>
    <n v="112841"/>
    <n v="117601.532154959"/>
    <n v="103843"/>
    <n v="64.593017473118195"/>
    <n v="59.186317204300998"/>
    <n v="64.209802769831995"/>
  </r>
  <r>
    <x v="7"/>
    <x v="52"/>
    <x v="5"/>
    <n v="6817105"/>
    <n v="6209815"/>
    <n v="6143479"/>
    <n v="110154"/>
    <n v="103811.10089823"/>
    <n v="104993"/>
    <n v="61.886979166666599"/>
    <n v="59.145156249999999"/>
    <n v="59.179400136818103"/>
  </r>
  <r>
    <x v="0"/>
    <x v="45"/>
    <x v="3"/>
    <n v="6413220"/>
    <n v="7107254"/>
    <n v="8857246"/>
    <n v="94998"/>
    <n v="140497.11824119501"/>
    <n v="120289"/>
    <n v="67.5088844086021"/>
    <n v="59.084845430107499"/>
    <n v="63.0421886183778"/>
  </r>
  <r>
    <x v="2"/>
    <x v="43"/>
    <x v="2"/>
    <n v="5011815"/>
    <n v="5220375"/>
    <n v="5379351"/>
    <n v="96082"/>
    <n v="94844.148300792906"/>
    <n v="88420"/>
    <n v="52.162104166666303"/>
    <n v="59.040527777777797"/>
    <n v="56.717795741490399"/>
  </r>
  <r>
    <x v="7"/>
    <x v="55"/>
    <x v="2"/>
    <n v="5354998"/>
    <n v="5005931"/>
    <n v="5487188"/>
    <n v="93059"/>
    <n v="98314.955853465595"/>
    <n v="84892"/>
    <n v="57.544374999999597"/>
    <n v="58.968291666666602"/>
    <n v="55.812340478272901"/>
  </r>
  <r>
    <x v="7"/>
    <x v="52"/>
    <x v="3"/>
    <n v="8284520"/>
    <n v="7573634"/>
    <n v="7751668"/>
    <n v="133828"/>
    <n v="130985.91720224801"/>
    <n v="128455"/>
    <n v="61.904415322580597"/>
    <n v="58.9594758064516"/>
    <n v="59.179400136818103"/>
  </r>
  <r>
    <x v="7"/>
    <x v="47"/>
    <x v="2"/>
    <n v="4650391"/>
    <n v="4738187"/>
    <n v="4846089"/>
    <n v="79818"/>
    <n v="88164.097580068395"/>
    <n v="80556"/>
    <n v="58.262798611110902"/>
    <n v="58.8188125"/>
    <n v="54.966698955874797"/>
  </r>
  <r>
    <x v="7"/>
    <x v="52"/>
    <x v="0"/>
    <n v="7362386"/>
    <n v="6405895"/>
    <n v="6784832"/>
    <n v="122732"/>
    <n v="114648.549311314"/>
    <n v="109157"/>
    <n v="59.987365591397598"/>
    <n v="58.685309139784898"/>
    <n v="59.179400136818103"/>
  </r>
  <r>
    <x v="4"/>
    <x v="57"/>
    <x v="3"/>
    <n v="2853791"/>
    <n v="2762190"/>
    <n v="2805145"/>
    <n v="54817"/>
    <n v="56039.920217281302"/>
    <n v="47088"/>
    <n v="52.059912634408597"/>
    <n v="58.660141129032198"/>
    <n v="50.0561866937662"/>
  </r>
  <r>
    <x v="7"/>
    <x v="55"/>
    <x v="0"/>
    <n v="5909448"/>
    <n v="5537331"/>
    <n v="5710060"/>
    <n v="96883"/>
    <n v="102308.20515263701"/>
    <n v="94436"/>
    <n v="60.995920698925502"/>
    <n v="58.635819892473101"/>
    <n v="55.812340478272901"/>
  </r>
  <r>
    <x v="2"/>
    <x v="43"/>
    <x v="1"/>
    <n v="5092167"/>
    <n v="4536700"/>
    <n v="5000793"/>
    <n v="97996"/>
    <n v="88169.728562666904"/>
    <n v="77569"/>
    <n v="51.962895833332901"/>
    <n v="58.486166666666598"/>
    <n v="56.717795741490399"/>
  </r>
  <r>
    <x v="3"/>
    <x v="54"/>
    <x v="3"/>
    <n v="8228752"/>
    <n v="7621814"/>
    <n v="8992512"/>
    <n v="130225"/>
    <n v="159358.70456777699"/>
    <n v="130467"/>
    <n v="63.188783602150501"/>
    <n v="58.419657258064497"/>
    <n v="56.429371630436002"/>
  </r>
  <r>
    <x v="0"/>
    <x v="58"/>
    <x v="0"/>
    <n v="6281220"/>
    <n v="5002160"/>
    <n v="5365252"/>
    <n v="125623"/>
    <n v="100701.166094008"/>
    <n v="85706"/>
    <n v="50.000463709677298"/>
    <n v="58.364005376343997"/>
    <n v="53.278949580299098"/>
  </r>
  <r>
    <x v="7"/>
    <x v="52"/>
    <x v="1"/>
    <n v="6763465"/>
    <n v="5870635"/>
    <n v="6212807"/>
    <n v="110663"/>
    <n v="104982.591674408"/>
    <n v="100827"/>
    <n v="61.117826388890499"/>
    <n v="58.224881944444398"/>
    <n v="59.179400136818103"/>
  </r>
  <r>
    <x v="3"/>
    <x v="59"/>
    <x v="3"/>
    <n v="8567236"/>
    <n v="7813520"/>
    <n v="7944867"/>
    <n v="142561"/>
    <n v="147717.36571248699"/>
    <n v="134198"/>
    <n v="60.095282258064501"/>
    <n v="58.223911290322498"/>
    <n v="53.7842448352594"/>
  </r>
  <r>
    <x v="0"/>
    <x v="56"/>
    <x v="4"/>
    <n v="4618851"/>
    <n v="4657651"/>
    <n v="4605271"/>
    <n v="93032"/>
    <n v="86332.544577857698"/>
    <n v="80011"/>
    <n v="49.648111559139799"/>
    <n v="58.212950268817202"/>
    <n v="53.343390369396602"/>
  </r>
  <r>
    <x v="5"/>
    <x v="60"/>
    <x v="0"/>
    <n v="5517917"/>
    <n v="4904568"/>
    <n v="5180877"/>
    <n v="99456"/>
    <n v="91256.129549487203"/>
    <n v="84320"/>
    <n v="55.4809274193547"/>
    <n v="58.165813172043002"/>
    <n v="56.772923994003698"/>
  </r>
  <r>
    <x v="0"/>
    <x v="58"/>
    <x v="5"/>
    <n v="5666972"/>
    <n v="4883197"/>
    <n v="5091005"/>
    <n v="102838"/>
    <n v="95553.787873146997"/>
    <n v="83961"/>
    <n v="55.105989583333297"/>
    <n v="58.160052083333298"/>
    <n v="53.278949580299098"/>
  </r>
  <r>
    <x v="5"/>
    <x v="51"/>
    <x v="0"/>
    <n v="5126938"/>
    <n v="4961382"/>
    <n v="5086754"/>
    <n v="92300"/>
    <n v="89598.2341324757"/>
    <n v="85349"/>
    <n v="55.546505376344498"/>
    <n v="58.130295698924698"/>
    <n v="56.772923994003698"/>
  </r>
  <r>
    <x v="4"/>
    <x v="61"/>
    <x v="2"/>
    <n v="3134248"/>
    <n v="3113046"/>
    <n v="3238058"/>
    <n v="56661"/>
    <n v="58269.006108961497"/>
    <n v="53643"/>
    <n v="55.315749999999802"/>
    <n v="58.0324305555555"/>
    <n v="55.570851329520103"/>
  </r>
  <r>
    <x v="6"/>
    <x v="50"/>
    <x v="0"/>
    <n v="5415275"/>
    <n v="4774168"/>
    <n v="5170473"/>
    <n v="97463"/>
    <n v="94583.050718172206"/>
    <n v="82521"/>
    <n v="55.562170698924902"/>
    <n v="57.8537768817204"/>
    <n v="54.665953766984899"/>
  </r>
  <r>
    <x v="4"/>
    <x v="61"/>
    <x v="0"/>
    <n v="3379480"/>
    <n v="3181146"/>
    <n v="3294783"/>
    <n v="56854"/>
    <n v="59289.774383027303"/>
    <n v="55072"/>
    <n v="59.4417137096776"/>
    <n v="57.762889784946204"/>
    <n v="55.570851329520103"/>
  </r>
  <r>
    <x v="7"/>
    <x v="62"/>
    <x v="2"/>
    <n v="6254351"/>
    <n v="5596372"/>
    <n v="6003312"/>
    <n v="124183"/>
    <n v="108383.536469796"/>
    <n v="96980"/>
    <n v="50.364173611111099"/>
    <n v="57.706736111111098"/>
    <n v="55.389519717073902"/>
  </r>
  <r>
    <x v="4"/>
    <x v="61"/>
    <x v="1"/>
    <n v="3209610"/>
    <n v="3165034"/>
    <n v="3281688"/>
    <n v="49295"/>
    <n v="59054.118124634799"/>
    <n v="54943"/>
    <n v="65.110743055556497"/>
    <n v="57.606256944444397"/>
    <n v="55.570851329520103"/>
  </r>
  <r>
    <x v="7"/>
    <x v="62"/>
    <x v="3"/>
    <n v="7976528"/>
    <n v="7302910"/>
    <n v="7363413"/>
    <n v="132061"/>
    <n v="132938.74719643401"/>
    <n v="126906"/>
    <n v="60.4004032258064"/>
    <n v="57.545739247311801"/>
    <n v="55.389519717073902"/>
  </r>
  <r>
    <x v="7"/>
    <x v="52"/>
    <x v="4"/>
    <n v="6665892"/>
    <n v="6017118"/>
    <n v="6403509"/>
    <n v="115829"/>
    <n v="108205.02870923901"/>
    <n v="104694"/>
    <n v="57.549361559139697"/>
    <n v="57.473151881720398"/>
    <n v="59.179400136818103"/>
  </r>
  <r>
    <x v="5"/>
    <x v="51"/>
    <x v="5"/>
    <n v="5167632"/>
    <n v="4948762"/>
    <n v="5350459"/>
    <n v="83153"/>
    <n v="94243.151393173001"/>
    <n v="86158"/>
    <n v="62.1458333333333"/>
    <n v="57.438541666666602"/>
    <n v="56.772923994003698"/>
  </r>
  <r>
    <x v="0"/>
    <x v="58"/>
    <x v="4"/>
    <n v="5335932"/>
    <n v="4628856"/>
    <n v="5186665"/>
    <n v="103626"/>
    <n v="97349.238591555506"/>
    <n v="80642"/>
    <n v="51.492150537634402"/>
    <n v="57.399811827956903"/>
    <n v="53.278949580299098"/>
  </r>
  <r>
    <x v="5"/>
    <x v="48"/>
    <x v="5"/>
    <n v="3755677"/>
    <n v="3701008"/>
    <n v="3800663"/>
    <n v="67129"/>
    <n v="69070.229488797093"/>
    <n v="64478"/>
    <n v="55.947291666666601"/>
    <n v="57.3997395833333"/>
    <n v="55.026064794188201"/>
  </r>
  <r>
    <x v="0"/>
    <x v="58"/>
    <x v="1"/>
    <n v="6000820"/>
    <n v="4984716"/>
    <n v="5050431"/>
    <n v="124230"/>
    <n v="94792.2331743471"/>
    <n v="86933"/>
    <n v="48.304131944444997"/>
    <n v="57.3397222222222"/>
    <n v="53.278949580299098"/>
  </r>
  <r>
    <x v="4"/>
    <x v="49"/>
    <x v="1"/>
    <n v="3673070"/>
    <n v="3443434"/>
    <n v="3668538"/>
    <n v="62892"/>
    <n v="63124.3148675376"/>
    <n v="60075"/>
    <n v="58.402895833333197"/>
    <n v="57.319013888888897"/>
    <n v="58.116081161406498"/>
  </r>
  <r>
    <x v="7"/>
    <x v="55"/>
    <x v="1"/>
    <n v="5786403"/>
    <n v="5193865"/>
    <n v="5686640"/>
    <n v="103783"/>
    <n v="101888.58144040201"/>
    <n v="90688"/>
    <n v="55.754708333333497"/>
    <n v="57.271763888888799"/>
    <n v="55.812340478272901"/>
  </r>
  <r>
    <x v="4"/>
    <x v="49"/>
    <x v="3"/>
    <n v="3979052"/>
    <n v="3580872"/>
    <n v="3702137"/>
    <n v="68100"/>
    <n v="63702.456785033501"/>
    <n v="62561"/>
    <n v="58.4298655913978"/>
    <n v="57.238266129032198"/>
    <n v="58.116081161406498"/>
  </r>
  <r>
    <x v="5"/>
    <x v="63"/>
    <x v="0"/>
    <n v="3924158"/>
    <n v="3663874"/>
    <n v="3933075"/>
    <n v="77425"/>
    <n v="76875.959932802405"/>
    <n v="64015"/>
    <n v="50.683575268817499"/>
    <n v="57.234643817204201"/>
    <n v="51.161312105083503"/>
  </r>
  <r>
    <x v="5"/>
    <x v="64"/>
    <x v="5"/>
    <n v="4417794"/>
    <n v="4394655"/>
    <n v="4490526"/>
    <n v="88391"/>
    <n v="83597.679010900407"/>
    <n v="76901"/>
    <n v="49.980208333333302"/>
    <n v="57.146770833333299"/>
    <n v="53.715920394326602"/>
  </r>
  <r>
    <x v="7"/>
    <x v="53"/>
    <x v="1"/>
    <n v="4520291"/>
    <n v="4548748"/>
    <n v="40"/>
    <n v="81081"/>
    <n v="0.72659550199253498"/>
    <n v="79678"/>
    <n v="55.7504305555561"/>
    <n v="57.089083333333299"/>
    <n v="54.652141241039402"/>
  </r>
  <r>
    <x v="4"/>
    <x v="49"/>
    <x v="4"/>
    <n v="3719546"/>
    <n v="3307978"/>
    <n v="3381320"/>
    <n v="64597"/>
    <n v="58182.169486084502"/>
    <n v="57965"/>
    <n v="57.580927419354801"/>
    <n v="57.068393817204303"/>
    <n v="58.116081161406498"/>
  </r>
  <r>
    <x v="0"/>
    <x v="56"/>
    <x v="3"/>
    <n v="5387372"/>
    <n v="5049665"/>
    <n v="5142654"/>
    <n v="94008"/>
    <n v="96406.587796308595"/>
    <n v="88729"/>
    <n v="57.3074193548387"/>
    <n v="56.911129032258003"/>
    <n v="53.343390369396602"/>
  </r>
  <r>
    <x v="5"/>
    <x v="60"/>
    <x v="3"/>
    <n v="6302852"/>
    <n v="5983425"/>
    <n v="6091752"/>
    <n v="101328"/>
    <n v="107300.299335355"/>
    <n v="105249"/>
    <n v="62.202479838709699"/>
    <n v="56.849926075268797"/>
    <n v="56.772923994003698"/>
  </r>
  <r>
    <x v="4"/>
    <x v="57"/>
    <x v="4"/>
    <n v="2681978"/>
    <n v="2511906"/>
    <n v="2563659"/>
    <n v="53519"/>
    <n v="51215.621253451704"/>
    <n v="44207"/>
    <n v="50.112426075268701"/>
    <n v="56.821041666666602"/>
    <n v="50.0561866937662"/>
  </r>
  <r>
    <x v="7"/>
    <x v="53"/>
    <x v="4"/>
    <n v="4469325"/>
    <n v="4882180"/>
    <n v="5809913"/>
    <n v="79764"/>
    <n v="106307.15015859601"/>
    <n v="86019"/>
    <n v="56.032036290322502"/>
    <n v="56.757157258064503"/>
    <n v="54.652141241039402"/>
  </r>
  <r>
    <x v="7"/>
    <x v="62"/>
    <x v="0"/>
    <n v="6998744"/>
    <n v="6023437"/>
    <n v="6370430"/>
    <n v="123778"/>
    <n v="115011.473786733"/>
    <n v="106130"/>
    <n v="56.542923387096899"/>
    <n v="56.755369623655902"/>
    <n v="55.389519717073902"/>
  </r>
  <r>
    <x v="3"/>
    <x v="54"/>
    <x v="4"/>
    <n v="5704413"/>
    <n v="5200158"/>
    <n v="6127396"/>
    <n v="104552"/>
    <n v="108585.220989685"/>
    <n v="91629"/>
    <n v="54.560295698924698"/>
    <n v="56.752170698924701"/>
    <n v="56.429371630436002"/>
  </r>
  <r>
    <x v="3"/>
    <x v="59"/>
    <x v="5"/>
    <n v="7240401"/>
    <n v="6269034"/>
    <n v="6619892"/>
    <n v="125714"/>
    <n v="123082.369567085"/>
    <n v="110485"/>
    <n v="57.594374999999999"/>
    <n v="56.741093749999997"/>
    <n v="53.7842448352594"/>
  </r>
  <r>
    <x v="6"/>
    <x v="50"/>
    <x v="1"/>
    <n v="5259503"/>
    <n v="4857724"/>
    <n v="4977930"/>
    <n v="103979"/>
    <n v="91060.884787971503"/>
    <n v="85618"/>
    <n v="50.582534722221801"/>
    <n v="56.737479166666603"/>
    <n v="54.665953766984899"/>
  </r>
  <r>
    <x v="5"/>
    <x v="60"/>
    <x v="1"/>
    <n v="5337820"/>
    <n v="4828770"/>
    <n v="4996231"/>
    <n v="91569"/>
    <n v="88003.761318118603"/>
    <n v="85130"/>
    <n v="58.292645833333999"/>
    <n v="56.722604166666599"/>
    <n v="56.772923994003698"/>
  </r>
  <r>
    <x v="0"/>
    <x v="56"/>
    <x v="1"/>
    <n v="4686481"/>
    <n v="4436510"/>
    <n v="4711109"/>
    <n v="89713"/>
    <n v="88316.642593883298"/>
    <n v="78311"/>
    <n v="52.238715277778297"/>
    <n v="56.652652777777703"/>
    <n v="53.343390369396602"/>
  </r>
  <r>
    <x v="0"/>
    <x v="56"/>
    <x v="0"/>
    <n v="5256475"/>
    <n v="4730881"/>
    <n v="5014376"/>
    <n v="98500"/>
    <n v="94001.815560954099"/>
    <n v="83680"/>
    <n v="53.365450268817703"/>
    <n v="56.535490591397803"/>
    <n v="53.343390369396602"/>
  </r>
  <r>
    <x v="7"/>
    <x v="53"/>
    <x v="5"/>
    <n v="4465768"/>
    <n v="4326984"/>
    <n v="5250935"/>
    <n v="72204"/>
    <n v="96079.2229409844"/>
    <n v="76616"/>
    <n v="61.849322916666601"/>
    <n v="56.476093749999997"/>
    <n v="54.652141241039402"/>
  </r>
  <r>
    <x v="5"/>
    <x v="51"/>
    <x v="2"/>
    <n v="4731533"/>
    <n v="4483416"/>
    <n v="4716391"/>
    <n v="85645"/>
    <n v="83074.651099494804"/>
    <n v="79388"/>
    <n v="55.2460416666665"/>
    <n v="56.474833333333301"/>
    <n v="56.772923994003698"/>
  </r>
  <r>
    <x v="3"/>
    <x v="54"/>
    <x v="2"/>
    <n v="6223966"/>
    <n v="5372116"/>
    <n v="6188659"/>
    <n v="103380"/>
    <n v="109670.88494854"/>
    <n v="95136"/>
    <n v="60.204909722222801"/>
    <n v="56.467833333333303"/>
    <n v="56.429371630436002"/>
  </r>
  <r>
    <x v="3"/>
    <x v="54"/>
    <x v="0"/>
    <n v="6681528"/>
    <n v="6027624"/>
    <n v="7281451"/>
    <n v="103191"/>
    <n v="129036.53785101901"/>
    <n v="106748"/>
    <n v="64.748965053763399"/>
    <n v="56.465725806451601"/>
    <n v="56.429371630436002"/>
  </r>
  <r>
    <x v="7"/>
    <x v="62"/>
    <x v="5"/>
    <n v="6631508"/>
    <n v="5664677"/>
    <n v="5310382"/>
    <n v="112809"/>
    <n v="95873.406646692107"/>
    <n v="100473"/>
    <n v="58.785260416666603"/>
    <n v="56.380260416666601"/>
    <n v="55.389519717073902"/>
  </r>
  <r>
    <x v="0"/>
    <x v="45"/>
    <x v="1"/>
    <n v="6117805"/>
    <n v="6293126"/>
    <n v="7376601"/>
    <n v="98019"/>
    <n v="117010.55428062299"/>
    <n v="111708"/>
    <n v="62.414381944446099"/>
    <n v="56.335659722222204"/>
    <n v="63.0421886183778"/>
  </r>
  <r>
    <x v="7"/>
    <x v="53"/>
    <x v="2"/>
    <n v="4235429"/>
    <n v="4519456"/>
    <n v="140"/>
    <n v="75558"/>
    <n v="2.55982651041943"/>
    <n v="80314"/>
    <n v="56.055368055555498"/>
    <n v="56.272319444444399"/>
    <n v="54.652141241039402"/>
  </r>
  <r>
    <x v="5"/>
    <x v="60"/>
    <x v="2"/>
    <n v="5040977"/>
    <n v="4608563"/>
    <n v="4789990"/>
    <n v="87789"/>
    <n v="84371.030484635703"/>
    <n v="82064"/>
    <n v="57.421437500000302"/>
    <n v="56.158374999999999"/>
    <n v="56.772923994003698"/>
  </r>
  <r>
    <x v="0"/>
    <x v="58"/>
    <x v="2"/>
    <n v="5245173"/>
    <n v="4358586"/>
    <n v="4724861"/>
    <n v="109201"/>
    <n v="88681.5792300662"/>
    <n v="77795"/>
    <n v="48.032104166666798"/>
    <n v="56.026687499999902"/>
    <n v="53.278949580299098"/>
  </r>
  <r>
    <x v="7"/>
    <x v="65"/>
    <x v="2"/>
    <n v="3962124"/>
    <n v="3556361"/>
    <n v="3815145"/>
    <n v="76950"/>
    <n v="78000.088291173102"/>
    <n v="63551"/>
    <n v="51.489277777777502"/>
    <n v="55.960576388888803"/>
    <n v="48.912057594834003"/>
  </r>
  <r>
    <x v="4"/>
    <x v="57"/>
    <x v="5"/>
    <n v="2571073"/>
    <n v="2559403"/>
    <n v="2587138"/>
    <n v="49026"/>
    <n v="51684.680707453699"/>
    <n v="45778"/>
    <n v="52.4427083333333"/>
    <n v="55.909114583333299"/>
    <n v="50.0561866937662"/>
  </r>
  <r>
    <x v="7"/>
    <x v="55"/>
    <x v="4"/>
    <n v="5402380"/>
    <n v="5074248"/>
    <n v="5336477"/>
    <n v="92811"/>
    <n v="95614.636565499706"/>
    <n v="90900"/>
    <n v="58.208151881720397"/>
    <n v="55.822083333333303"/>
    <n v="55.812340478272901"/>
  </r>
  <r>
    <x v="5"/>
    <x v="51"/>
    <x v="1"/>
    <n v="4908748"/>
    <n v="4860857"/>
    <n v="4929668"/>
    <n v="90275"/>
    <n v="86831.322744987701"/>
    <n v="87303"/>
    <n v="54.375756944444802"/>
    <n v="55.677999999999997"/>
    <n v="56.772923994003698"/>
  </r>
  <r>
    <x v="5"/>
    <x v="63"/>
    <x v="3"/>
    <n v="4863032"/>
    <n v="4826621"/>
    <n v="4603973"/>
    <n v="91558"/>
    <n v="89989.354748048703"/>
    <n v="86785"/>
    <n v="53.114287634408498"/>
    <n v="55.615752688172002"/>
    <n v="51.161312105083503"/>
  </r>
  <r>
    <x v="0"/>
    <x v="66"/>
    <x v="5"/>
    <n v="5040093"/>
    <n v="4488193"/>
    <n v="4942631"/>
    <n v="96582"/>
    <n v="101922.539069604"/>
    <n v="80787"/>
    <n v="52.1845833333333"/>
    <n v="55.556041666666601"/>
    <n v="48.493991244905999"/>
  </r>
  <r>
    <x v="5"/>
    <x v="60"/>
    <x v="5"/>
    <n v="5222212"/>
    <n v="4835070"/>
    <n v="4932110"/>
    <n v="86074"/>
    <n v="86874.3317152542"/>
    <n v="87101"/>
    <n v="60.671041666666603"/>
    <n v="55.511302083333298"/>
    <n v="56.772923994003698"/>
  </r>
  <r>
    <x v="7"/>
    <x v="65"/>
    <x v="1"/>
    <n v="4232125"/>
    <n v="3724737"/>
    <n v="3927115"/>
    <n v="82588"/>
    <n v="80289.308193298595"/>
    <n v="67140"/>
    <n v="51.243694444444202"/>
    <n v="55.4774305555555"/>
    <n v="48.912057594834003"/>
  </r>
  <r>
    <x v="7"/>
    <x v="67"/>
    <x v="3"/>
    <n v="4881000"/>
    <n v="5410300"/>
    <n v="5577497"/>
    <n v="93241"/>
    <n v="118254.49120105999"/>
    <n v="97830"/>
    <n v="52.347956989247301"/>
    <n v="55.303245967741901"/>
    <n v="47.1651983950185"/>
  </r>
  <r>
    <x v="6"/>
    <x v="68"/>
    <x v="3"/>
    <n v="6484451"/>
    <n v="5861082"/>
    <n v="6725559"/>
    <n v="120071"/>
    <n v="132658.56321990301"/>
    <n v="106437"/>
    <n v="54.005282258064497"/>
    <n v="55.066102150537603"/>
    <n v="50.698263574219901"/>
  </r>
  <r>
    <x v="5"/>
    <x v="64"/>
    <x v="3"/>
    <n v="5004846"/>
    <n v="5149693"/>
    <n v="5184758"/>
    <n v="104067"/>
    <n v="96521.804785971806"/>
    <n v="93543"/>
    <n v="48.092634408602102"/>
    <n v="55.051377688172003"/>
    <n v="53.715920394326602"/>
  </r>
  <r>
    <x v="0"/>
    <x v="56"/>
    <x v="2"/>
    <n v="4853515"/>
    <n v="4212440"/>
    <n v="4387375"/>
    <n v="90082"/>
    <n v="82247.775271086997"/>
    <n v="76546"/>
    <n v="53.878999999999898"/>
    <n v="55.031472222222199"/>
    <n v="53.343390369396602"/>
  </r>
  <r>
    <x v="5"/>
    <x v="63"/>
    <x v="5"/>
    <n v="3822749"/>
    <n v="3438742"/>
    <n v="3648045"/>
    <n v="73922"/>
    <n v="71304.762110225798"/>
    <n v="62492"/>
    <n v="51.7135416666666"/>
    <n v="55.027083333333302"/>
    <n v="51.161312105083503"/>
  </r>
  <r>
    <x v="7"/>
    <x v="65"/>
    <x v="0"/>
    <n v="4505027"/>
    <n v="3962713"/>
    <n v="4270737"/>
    <n v="87496"/>
    <n v="87314.602795427403"/>
    <n v="72037"/>
    <n v="51.488622311828102"/>
    <n v="55.009509408602099"/>
    <n v="48.912057594834003"/>
  </r>
  <r>
    <x v="3"/>
    <x v="54"/>
    <x v="1"/>
    <n v="6471814"/>
    <n v="5696436"/>
    <n v="7202295"/>
    <n v="96862"/>
    <n v="127633.794277718"/>
    <n v="103643"/>
    <n v="66.815000000001803"/>
    <n v="54.961909722222202"/>
    <n v="56.429371630436002"/>
  </r>
  <r>
    <x v="3"/>
    <x v="59"/>
    <x v="1"/>
    <n v="6934665"/>
    <n v="5907237"/>
    <n v="6387424"/>
    <n v="127766"/>
    <n v="118760.137617709"/>
    <n v="107627"/>
    <n v="54.276104166666897"/>
    <n v="54.886270833333299"/>
    <n v="53.7842448352594"/>
  </r>
  <r>
    <x v="3"/>
    <x v="69"/>
    <x v="2"/>
    <n v="4208188"/>
    <n v="4380564"/>
    <n v="4686930"/>
    <n v="81464"/>
    <n v="91650.577626825601"/>
    <n v="79872"/>
    <n v="51.656888888888702"/>
    <n v="54.844756944444399"/>
    <n v="51.1391180400827"/>
  </r>
  <r>
    <x v="5"/>
    <x v="63"/>
    <x v="1"/>
    <n v="3761302"/>
    <n v="3445128"/>
    <n v="3555402"/>
    <n v="75292"/>
    <n v="69493.953135864198"/>
    <n v="62920"/>
    <n v="49.956326388888797"/>
    <n v="54.754243055555499"/>
    <n v="51.161312105083503"/>
  </r>
  <r>
    <x v="6"/>
    <x v="68"/>
    <x v="4"/>
    <n v="5370817"/>
    <n v="5124832"/>
    <n v="4912839"/>
    <n v="97397"/>
    <n v="96903.494335813404"/>
    <n v="93693"/>
    <n v="55.143440860215001"/>
    <n v="54.6980376344085"/>
    <n v="50.698263574219901"/>
  </r>
  <r>
    <x v="4"/>
    <x v="61"/>
    <x v="4"/>
    <n v="3274355"/>
    <n v="3197874"/>
    <n v="3294666"/>
    <n v="58768"/>
    <n v="59287.6666071484"/>
    <n v="58583"/>
    <n v="55.716518817204303"/>
    <n v="54.5870161290322"/>
    <n v="55.570851329520103"/>
  </r>
  <r>
    <x v="6"/>
    <x v="68"/>
    <x v="5"/>
    <n v="5312500"/>
    <n v="4919073"/>
    <n v="4754064"/>
    <n v="96774"/>
    <n v="93771.729107452906"/>
    <n v="90235"/>
    <n v="54.8958333333333"/>
    <n v="54.513906249999899"/>
    <n v="50.698263574219901"/>
  </r>
  <r>
    <x v="7"/>
    <x v="62"/>
    <x v="4"/>
    <n v="6201146"/>
    <n v="5440157"/>
    <n v="5350862"/>
    <n v="106480"/>
    <n v="96604.228827616796"/>
    <n v="99825"/>
    <n v="58.237788978494599"/>
    <n v="54.497022849462297"/>
    <n v="55.389519717073902"/>
  </r>
  <r>
    <x v="6"/>
    <x v="68"/>
    <x v="0"/>
    <n v="5144020"/>
    <n v="4795836"/>
    <n v="5106877"/>
    <n v="99397"/>
    <n v="100730.808569484"/>
    <n v="88083"/>
    <n v="51.752439516129499"/>
    <n v="54.446686827956903"/>
    <n v="50.698263574219901"/>
  </r>
  <r>
    <x v="7"/>
    <x v="53"/>
    <x v="0"/>
    <n v="4588627"/>
    <n v="4736377"/>
    <n v="49"/>
    <n v="84391"/>
    <n v="0.89401803644813105"/>
    <n v="87126"/>
    <n v="54.3732056451612"/>
    <n v="54.3626680107526"/>
    <n v="54.652141241039402"/>
  </r>
  <r>
    <x v="0"/>
    <x v="66"/>
    <x v="0"/>
    <n v="5521085"/>
    <n v="5002698"/>
    <n v="5431442"/>
    <n v="96745"/>
    <n v="112002.373786268"/>
    <n v="92126"/>
    <n v="57.068346774193401"/>
    <n v="54.302688172042899"/>
    <n v="48.493991244905999"/>
  </r>
  <r>
    <x v="0"/>
    <x v="66"/>
    <x v="3"/>
    <n v="6308309"/>
    <n v="5799927"/>
    <n v="6135148"/>
    <n v="113388"/>
    <n v="126513.576461794"/>
    <n v="106836"/>
    <n v="55.634616935483798"/>
    <n v="54.288010752688102"/>
    <n v="48.493991244905999"/>
  </r>
  <r>
    <x v="3"/>
    <x v="69"/>
    <x v="0"/>
    <n v="4642006"/>
    <n v="4525870"/>
    <n v="4725905"/>
    <n v="85389"/>
    <n v="92412.722558020003"/>
    <n v="83413"/>
    <n v="54.363044354839097"/>
    <n v="54.2585147849462"/>
    <n v="51.1391180400827"/>
  </r>
  <r>
    <x v="3"/>
    <x v="70"/>
    <x v="3"/>
    <n v="4321005"/>
    <n v="4272545"/>
    <n v="4243304"/>
    <n v="92466"/>
    <n v="91218.694754519005"/>
    <n v="78753"/>
    <n v="46.730927419354799"/>
    <n v="54.252493279569897"/>
    <n v="46.517920556956597"/>
  </r>
  <r>
    <x v="5"/>
    <x v="71"/>
    <x v="0"/>
    <n v="3899155"/>
    <n v="3684553"/>
    <n v="3858732"/>
    <n v="76028"/>
    <n v="73023.278758985907"/>
    <n v="67962"/>
    <n v="51.285819892472901"/>
    <n v="54.214717741935402"/>
    <n v="52.842490794418801"/>
  </r>
  <r>
    <x v="0"/>
    <x v="66"/>
    <x v="2"/>
    <n v="4724789"/>
    <n v="4288688"/>
    <n v="4858034"/>
    <n v="87725"/>
    <n v="100178.058874671"/>
    <n v="79312"/>
    <n v="53.859263888889302"/>
    <n v="54.073590277777697"/>
    <n v="48.493991244905999"/>
  </r>
  <r>
    <x v="6"/>
    <x v="68"/>
    <x v="1"/>
    <n v="5286315"/>
    <n v="4768102"/>
    <n v="4896971"/>
    <n v="102922"/>
    <n v="96590.511425131102"/>
    <n v="88317"/>
    <n v="51.362402777778698"/>
    <n v="53.988374999999998"/>
    <n v="50.698263574219901"/>
  </r>
  <r>
    <x v="5"/>
    <x v="60"/>
    <x v="4"/>
    <n v="5081790"/>
    <n v="4827976"/>
    <n v="5086795"/>
    <n v="88172"/>
    <n v="89598.966710561799"/>
    <n v="89440"/>
    <n v="57.6350268817204"/>
    <n v="53.980114247311803"/>
    <n v="56.772923994003698"/>
  </r>
  <r>
    <x v="3"/>
    <x v="59"/>
    <x v="0"/>
    <n v="7723581"/>
    <n v="6896889"/>
    <n v="7307446"/>
    <n v="140094"/>
    <n v="135865.92528876499"/>
    <n v="127882"/>
    <n v="55.131397849463099"/>
    <n v="53.931518817204299"/>
    <n v="53.7842448352594"/>
  </r>
  <r>
    <x v="0"/>
    <x v="58"/>
    <x v="3"/>
    <n v="7190444"/>
    <n v="6436913"/>
    <n v="6265491"/>
    <n v="133870"/>
    <n v="117597.86308581301"/>
    <n v="119551"/>
    <n v="53.712298387096702"/>
    <n v="53.842325268817198"/>
    <n v="53.278949580299098"/>
  </r>
  <r>
    <x v="5"/>
    <x v="64"/>
    <x v="4"/>
    <n v="4354373"/>
    <n v="4451525"/>
    <n v="4825572"/>
    <n v="88817"/>
    <n v="89835.033702776607"/>
    <n v="82734"/>
    <n v="49.026344086021503"/>
    <n v="53.805067204300997"/>
    <n v="53.715920394326602"/>
  </r>
  <r>
    <x v="5"/>
    <x v="64"/>
    <x v="1"/>
    <n v="4339266"/>
    <n v="4308565"/>
    <n v="4412352"/>
    <n v="103649"/>
    <n v="82142.351779678705"/>
    <n v="80091"/>
    <n v="41.865201388888899"/>
    <n v="53.796118055555503"/>
    <n v="53.715920394326602"/>
  </r>
  <r>
    <x v="4"/>
    <x v="72"/>
    <x v="0"/>
    <n v="2782428"/>
    <n v="2785143"/>
    <n v="2924537"/>
    <n v="57323"/>
    <n v="57934.110457474897"/>
    <n v="51812"/>
    <n v="48.539684139785301"/>
    <n v="53.754778225806398"/>
    <n v="50.480391665747199"/>
  </r>
  <r>
    <x v="3"/>
    <x v="69"/>
    <x v="5"/>
    <n v="4566035"/>
    <n v="3810704"/>
    <n v="4035885"/>
    <n v="85216"/>
    <n v="78919.725859110098"/>
    <n v="70899"/>
    <n v="53.581666666666599"/>
    <n v="53.748645833333299"/>
    <n v="51.1391180400827"/>
  </r>
  <r>
    <x v="5"/>
    <x v="71"/>
    <x v="3"/>
    <n v="4709095"/>
    <n v="4667423"/>
    <n v="4387786"/>
    <n v="83164"/>
    <n v="83035.191192452796"/>
    <n v="86853"/>
    <n v="56.624213709677399"/>
    <n v="53.739395161290297"/>
    <n v="52.842490794418801"/>
  </r>
  <r>
    <x v="7"/>
    <x v="65"/>
    <x v="3"/>
    <n v="4898567"/>
    <n v="4531729"/>
    <n v="4604868"/>
    <n v="87858"/>
    <n v="94145.868473673807"/>
    <n v="84438"/>
    <n v="55.7553293010752"/>
    <n v="53.6695833333333"/>
    <n v="48.912057594834003"/>
  </r>
  <r>
    <x v="5"/>
    <x v="64"/>
    <x v="0"/>
    <n v="4505835"/>
    <n v="4542065"/>
    <n v="4697961"/>
    <n v="113845"/>
    <n v="87459.384834373705"/>
    <n v="84637"/>
    <n v="39.578649193548202"/>
    <n v="53.665349462365597"/>
    <n v="53.715920394326602"/>
  </r>
  <r>
    <x v="5"/>
    <x v="71"/>
    <x v="2"/>
    <n v="3578619"/>
    <n v="3472407"/>
    <n v="3619861"/>
    <n v="70314"/>
    <n v="68502.847204589401"/>
    <n v="64722"/>
    <n v="50.894715277777898"/>
    <n v="53.6513541666666"/>
    <n v="52.842490794418801"/>
  </r>
  <r>
    <x v="4"/>
    <x v="72"/>
    <x v="4"/>
    <n v="2589819"/>
    <n v="2647542"/>
    <n v="3090090"/>
    <n v="56752"/>
    <n v="61213.662018726602"/>
    <n v="49367"/>
    <n v="45.633978494623598"/>
    <n v="53.629596774193502"/>
    <n v="50.480391665747199"/>
  </r>
  <r>
    <x v="3"/>
    <x v="59"/>
    <x v="2"/>
    <n v="6904548"/>
    <n v="6420726"/>
    <n v="6906900"/>
    <n v="128989"/>
    <n v="128418.642703932"/>
    <n v="119743"/>
    <n v="53.528319444444001"/>
    <n v="53.620826388888801"/>
    <n v="53.7842448352594"/>
  </r>
  <r>
    <x v="1"/>
    <x v="73"/>
    <x v="4"/>
    <n v="2882492"/>
    <n v="2882393"/>
    <n v="3196348"/>
    <n v="60076"/>
    <n v="70225.000016785998"/>
    <n v="53855"/>
    <n v="47.981142473118197"/>
    <n v="53.520880376344003"/>
    <n v="45.515809558361902"/>
  </r>
  <r>
    <x v="5"/>
    <x v="51"/>
    <x v="4"/>
    <n v="4687882"/>
    <n v="4731755"/>
    <n v="5048741"/>
    <n v="80169"/>
    <n v="88928.679485193294"/>
    <n v="88437"/>
    <n v="58.475073924731198"/>
    <n v="53.5043212365591"/>
    <n v="56.772923994003698"/>
  </r>
  <r>
    <x v="4"/>
    <x v="57"/>
    <x v="1"/>
    <n v="2733988"/>
    <n v="2565007"/>
    <n v="2671608"/>
    <n v="55130"/>
    <n v="53372.187087369697"/>
    <n v="47941"/>
    <n v="49.591888888888498"/>
    <n v="53.5029930555555"/>
    <n v="50.0561866937662"/>
  </r>
  <r>
    <x v="5"/>
    <x v="71"/>
    <x v="5"/>
    <n v="3926842"/>
    <n v="3811966"/>
    <n v="3954019"/>
    <n v="70178"/>
    <n v="74826.504166560102"/>
    <n v="71287"/>
    <n v="55.955520833333303"/>
    <n v="53.473697916666602"/>
    <n v="52.842490794418801"/>
  </r>
  <r>
    <x v="4"/>
    <x v="74"/>
    <x v="2"/>
    <n v="2920448"/>
    <n v="3244500"/>
    <n v="3350928"/>
    <n v="58661"/>
    <m/>
    <n v="60709"/>
    <n v="49.785458333333402"/>
    <n v="53.443541666666597"/>
    <m/>
  </r>
  <r>
    <x v="0"/>
    <x v="66"/>
    <x v="1"/>
    <n v="5347175"/>
    <n v="4761071"/>
    <n v="5240456"/>
    <n v="99157"/>
    <n v="108064.03570567"/>
    <n v="89108"/>
    <n v="53.926201388889702"/>
    <n v="53.430465277777699"/>
    <n v="48.493991244905999"/>
  </r>
  <r>
    <x v="5"/>
    <x v="63"/>
    <x v="2"/>
    <n v="3530697"/>
    <n v="3322932"/>
    <n v="3640606"/>
    <n v="67768"/>
    <n v="71159.358231906197"/>
    <n v="62198"/>
    <n v="52.099784722222097"/>
    <n v="53.425409722222199"/>
    <n v="51.161312105083503"/>
  </r>
  <r>
    <x v="4"/>
    <x v="74"/>
    <x v="5"/>
    <m/>
    <n v="3074727"/>
    <n v="2847531"/>
    <m/>
    <m/>
    <n v="57575"/>
    <n v="1.6483854166666601"/>
    <n v="53.403906249999999"/>
    <m/>
  </r>
  <r>
    <x v="3"/>
    <x v="59"/>
    <x v="4"/>
    <n v="7338438"/>
    <n v="6603868"/>
    <n v="6908530"/>
    <n v="131193"/>
    <n v="128448.957488587"/>
    <n v="123974"/>
    <n v="55.936397849462303"/>
    <n v="53.268306451612901"/>
    <n v="53.7842448352594"/>
  </r>
  <r>
    <x v="4"/>
    <x v="57"/>
    <x v="0"/>
    <n v="2772388"/>
    <n v="2640971"/>
    <n v="2746292"/>
    <n v="54416"/>
    <n v="54864.194755810502"/>
    <n v="49601"/>
    <n v="50.947862903226302"/>
    <n v="53.244220430107497"/>
    <n v="50.0561866937662"/>
  </r>
  <r>
    <x v="7"/>
    <x v="67"/>
    <x v="0"/>
    <n v="4127750"/>
    <n v="4047688"/>
    <n v="4316063"/>
    <n v="81749"/>
    <n v="91509.492892451206"/>
    <n v="76043"/>
    <n v="50.492768817204997"/>
    <n v="53.229260752688099"/>
    <n v="47.1651983950185"/>
  </r>
  <r>
    <x v="5"/>
    <x v="48"/>
    <x v="2"/>
    <n v="3402026"/>
    <n v="3440874"/>
    <n v="3652011"/>
    <n v="67119"/>
    <n v="66368.739862817107"/>
    <n v="64661"/>
    <n v="50.686368055556002"/>
    <n v="53.214340277777701"/>
    <n v="55.026064794188201"/>
  </r>
  <r>
    <x v="7"/>
    <x v="62"/>
    <x v="1"/>
    <n v="6454839"/>
    <n v="5654294"/>
    <n v="5984606"/>
    <n v="113601"/>
    <n v="108045.81832211099"/>
    <n v="106490"/>
    <n v="56.820069444445402"/>
    <n v="53.096701388888903"/>
    <n v="55.389519717073902"/>
  </r>
  <r>
    <x v="0"/>
    <x v="66"/>
    <x v="4"/>
    <n v="4507405"/>
    <n v="3602615"/>
    <n v="5180133"/>
    <n v="84445"/>
    <n v="106820.095935991"/>
    <n v="67864"/>
    <n v="53.376693548387003"/>
    <n v="53.085685483870897"/>
    <n v="48.493991244905999"/>
  </r>
  <r>
    <x v="4"/>
    <x v="72"/>
    <x v="5"/>
    <n v="2534449"/>
    <n v="2424543"/>
    <n v="2454863"/>
    <n v="51681"/>
    <n v="48630.034641068502"/>
    <n v="45780"/>
    <n v="49.039791666666602"/>
    <n v="52.960885416666599"/>
    <n v="50.480391665747199"/>
  </r>
  <r>
    <x v="4"/>
    <x v="74"/>
    <x v="4"/>
    <m/>
    <n v="3268596"/>
    <n v="2996584"/>
    <m/>
    <m/>
    <n v="61822"/>
    <m/>
    <n v="52.8709341397849"/>
    <m/>
  </r>
  <r>
    <x v="8"/>
    <x v="75"/>
    <x v="6"/>
    <m/>
    <m/>
    <m/>
    <m/>
    <m/>
    <m/>
    <m/>
    <m/>
    <m/>
  </r>
  <r>
    <x v="4"/>
    <x v="72"/>
    <x v="1"/>
    <n v="2791217"/>
    <n v="2724024"/>
    <n v="2835779"/>
    <n v="55694"/>
    <n v="56175.846823394902"/>
    <n v="51892"/>
    <n v="50.116840277777499"/>
    <n v="52.493874999999903"/>
    <n v="50.480391665747199"/>
  </r>
  <r>
    <x v="4"/>
    <x v="72"/>
    <x v="3"/>
    <n v="2824445"/>
    <n v="2657199"/>
    <n v="2753039"/>
    <n v="55004"/>
    <n v="54536.795588454799"/>
    <n v="50692"/>
    <n v="51.349422043010698"/>
    <n v="52.418474462365502"/>
    <n v="50.480391665747199"/>
  </r>
  <r>
    <x v="3"/>
    <x v="69"/>
    <x v="1"/>
    <n v="4569013"/>
    <n v="4187109"/>
    <n v="4400190"/>
    <n v="87688"/>
    <n v="86043.526353957495"/>
    <n v="79991"/>
    <n v="52.105180555555798"/>
    <n v="52.345027777777702"/>
    <n v="51.1391180400827"/>
  </r>
  <r>
    <x v="4"/>
    <x v="74"/>
    <x v="0"/>
    <n v="2960325"/>
    <n v="3402519"/>
    <n v="3412716"/>
    <n v="53403"/>
    <m/>
    <n v="65082"/>
    <n v="55.434072580645697"/>
    <n v="52.280262096774102"/>
    <m/>
  </r>
  <r>
    <x v="7"/>
    <x v="67"/>
    <x v="5"/>
    <n v="3908547"/>
    <n v="4369312"/>
    <n v="3688221"/>
    <n v="74810"/>
    <n v="78197.9363324281"/>
    <n v="83693"/>
    <n v="52.246510416666602"/>
    <n v="52.20671875"/>
    <n v="47.1651983950185"/>
  </r>
  <r>
    <x v="3"/>
    <x v="70"/>
    <x v="5"/>
    <n v="3532325"/>
    <n v="3440526"/>
    <n v="3353388"/>
    <n v="87250"/>
    <n v="72088.089584617206"/>
    <n v="66018"/>
    <n v="40.4853124999999"/>
    <n v="52.114791666666598"/>
    <n v="46.517920556956597"/>
  </r>
  <r>
    <x v="7"/>
    <x v="65"/>
    <x v="4"/>
    <n v="4115539"/>
    <n v="3886033"/>
    <n v="3795921"/>
    <n v="80779"/>
    <n v="77607.061447787404"/>
    <n v="74604"/>
    <n v="50.948051075268801"/>
    <n v="52.088844086021403"/>
    <n v="48.912057594834003"/>
  </r>
  <r>
    <x v="6"/>
    <x v="68"/>
    <x v="2"/>
    <n v="4419981"/>
    <n v="4237215"/>
    <n v="4425516"/>
    <n v="92381"/>
    <n v="87291.274051649598"/>
    <n v="81409"/>
    <n v="47.8450972222223"/>
    <n v="52.048256944444397"/>
    <n v="50.698263574219901"/>
  </r>
  <r>
    <x v="5"/>
    <x v="71"/>
    <x v="1"/>
    <n v="3934945"/>
    <n v="3569671"/>
    <n v="3786241"/>
    <n v="75863"/>
    <n v="71651.442221567093"/>
    <n v="68990"/>
    <n v="51.869173611111798"/>
    <n v="51.741763888888897"/>
    <n v="52.842490794418801"/>
  </r>
  <r>
    <x v="0"/>
    <x v="76"/>
    <x v="3"/>
    <n v="5143510"/>
    <n v="5393702"/>
    <n v="5474073"/>
    <n v="109158"/>
    <n v="112881.475642098"/>
    <n v="104398"/>
    <n v="47.119643817204299"/>
    <n v="51.664657258064501"/>
    <n v="48.493991244905999"/>
  </r>
  <r>
    <x v="3"/>
    <x v="69"/>
    <x v="4"/>
    <n v="4801563"/>
    <n v="4765753"/>
    <n v="4443459"/>
    <n v="96082"/>
    <n v="86889.636636228795"/>
    <n v="92360"/>
    <n v="49.9736962365591"/>
    <n v="51.600020161290303"/>
    <n v="51.1391180400827"/>
  </r>
  <r>
    <x v="5"/>
    <x v="48"/>
    <x v="4"/>
    <n v="3438453"/>
    <n v="3637023"/>
    <n v="3903346"/>
    <n v="64521"/>
    <n v="70936.3113662502"/>
    <n v="70516"/>
    <n v="53.291827956989202"/>
    <n v="51.577251344086001"/>
    <n v="55.026064794188201"/>
  </r>
  <r>
    <x v="7"/>
    <x v="65"/>
    <x v="5"/>
    <n v="3996361"/>
    <n v="3734887"/>
    <n v="3598491"/>
    <n v="77401"/>
    <n v="73570.638941594298"/>
    <n v="72430"/>
    <n v="51.631770833333299"/>
    <n v="51.5654166666666"/>
    <n v="48.912057594834003"/>
  </r>
  <r>
    <x v="4"/>
    <x v="11"/>
    <x v="1"/>
    <n v="1956145"/>
    <n v="2351099"/>
    <n v="2425934"/>
    <n v="63999"/>
    <n v="25243.854937565"/>
    <n v="45611"/>
    <n v="30.565256944444499"/>
    <n v="51.547319444444398"/>
    <n v="96.1"/>
  </r>
  <r>
    <x v="4"/>
    <x v="61"/>
    <x v="3"/>
    <n v="3225829"/>
    <n v="3335318"/>
    <n v="3381205"/>
    <n v="50926"/>
    <n v="60844.938261794203"/>
    <n v="64887"/>
    <n v="63.343319892473097"/>
    <n v="51.401827956989202"/>
    <n v="55.570851329520103"/>
  </r>
  <r>
    <x v="0"/>
    <x v="77"/>
    <x v="3"/>
    <n v="3486324"/>
    <n v="3987514"/>
    <n v="4665241"/>
    <n v="67721"/>
    <n v="99333.987023066205"/>
    <n v="77618"/>
    <n v="51.481001344086003"/>
    <n v="51.373649193548303"/>
    <n v="46.965208254619697"/>
  </r>
  <r>
    <x v="1"/>
    <x v="73"/>
    <x v="0"/>
    <n v="3056968"/>
    <n v="2996508"/>
    <n v="3108347"/>
    <n v="66228"/>
    <n v="68291.589104097293"/>
    <n v="58337"/>
    <n v="46.158508064516198"/>
    <n v="51.3650873655913"/>
    <n v="45.515809558361902"/>
  </r>
  <r>
    <x v="4"/>
    <x v="74"/>
    <x v="3"/>
    <n v="772435"/>
    <n v="3466723"/>
    <n v="3260483"/>
    <n v="13301"/>
    <m/>
    <n v="67542"/>
    <n v="58.071915322580601"/>
    <n v="51.327123655913901"/>
    <m/>
  </r>
  <r>
    <x v="7"/>
    <x v="67"/>
    <x v="1"/>
    <n v="3956770"/>
    <n v="3736759"/>
    <n v="4196291"/>
    <n v="75212"/>
    <n v="88970.061869668702"/>
    <n v="72860"/>
    <n v="52.608159722221899"/>
    <n v="51.286569444444403"/>
    <n v="47.1651983950185"/>
  </r>
  <r>
    <x v="5"/>
    <x v="64"/>
    <x v="2"/>
    <n v="4167586"/>
    <n v="4249639"/>
    <n v="4424901"/>
    <n v="98828"/>
    <n v="82375.966201769596"/>
    <n v="83205"/>
    <n v="42.169993055555501"/>
    <n v="51.074187499999901"/>
    <n v="53.715920394326602"/>
  </r>
  <r>
    <x v="3"/>
    <x v="70"/>
    <x v="0"/>
    <n v="3902377"/>
    <n v="3582139"/>
    <n v="3782649"/>
    <n v="87014"/>
    <n v="81315.949645008499"/>
    <n v="70149"/>
    <n v="44.8474663978498"/>
    <n v="51.064482526881697"/>
    <n v="46.517920556956597"/>
  </r>
  <r>
    <x v="1"/>
    <x v="73"/>
    <x v="2"/>
    <n v="2929767"/>
    <n v="2831452"/>
    <n v="2961210"/>
    <n v="69154"/>
    <n v="65058.938479453602"/>
    <n v="55536"/>
    <n v="42.365895833333198"/>
    <n v="50.984305555555501"/>
    <n v="45.515809558361902"/>
  </r>
  <r>
    <x v="5"/>
    <x v="71"/>
    <x v="4"/>
    <n v="3799222"/>
    <n v="3628386"/>
    <n v="3795219"/>
    <n v="69897"/>
    <n v="71821.342059084796"/>
    <n v="71241"/>
    <n v="54.354247311827898"/>
    <n v="50.931303763440802"/>
    <n v="52.842490794418801"/>
  </r>
  <r>
    <x v="1"/>
    <x v="73"/>
    <x v="1"/>
    <n v="3036566"/>
    <n v="2990521"/>
    <n v="3048808"/>
    <n v="63514"/>
    <n v="66983.489158656201"/>
    <n v="58888"/>
    <n v="47.8091736111109"/>
    <n v="50.782958333333298"/>
    <n v="45.515809558361902"/>
  </r>
  <r>
    <x v="1"/>
    <x v="73"/>
    <x v="3"/>
    <n v="3275101"/>
    <n v="3240910"/>
    <n v="3223366"/>
    <n v="66289"/>
    <n v="70818.602074228402"/>
    <n v="63848"/>
    <n v="49.406357526881699"/>
    <n v="50.759973118279497"/>
    <n v="45.515809558361902"/>
  </r>
  <r>
    <x v="4"/>
    <x v="74"/>
    <x v="1"/>
    <n v="2948369"/>
    <n v="3286679"/>
    <n v="3443208"/>
    <n v="45473"/>
    <m/>
    <n v="64803"/>
    <n v="64.8383749999998"/>
    <n v="50.718111111111099"/>
    <m/>
  </r>
  <r>
    <x v="0"/>
    <x v="76"/>
    <x v="5"/>
    <n v="4490117"/>
    <n v="4030102"/>
    <n v="4416424"/>
    <n v="100803"/>
    <n v="91071.573983177004"/>
    <n v="80553"/>
    <n v="44.54328125"/>
    <n v="50.0305729166666"/>
    <n v="48.493991244905999"/>
  </r>
  <r>
    <x v="4"/>
    <x v="72"/>
    <x v="2"/>
    <n v="2854550"/>
    <n v="2630192"/>
    <n v="2785200"/>
    <n v="60188"/>
    <n v="55173.888862471998"/>
    <n v="52605"/>
    <n v="47.427381944444399"/>
    <n v="49.998763888888803"/>
    <n v="50.480391665747199"/>
  </r>
  <r>
    <x v="3"/>
    <x v="69"/>
    <x v="3"/>
    <n v="5282065"/>
    <n v="3817957"/>
    <n v="5178761"/>
    <n v="96360"/>
    <n v="101268.08453248801"/>
    <n v="76433"/>
    <n v="54.816115591397804"/>
    <n v="49.9515860215053"/>
    <n v="51.1391180400827"/>
  </r>
  <r>
    <x v="5"/>
    <x v="63"/>
    <x v="4"/>
    <n v="3565543"/>
    <n v="3618133"/>
    <n v="3549447"/>
    <n v="74195"/>
    <n v="69377.560690968196"/>
    <n v="72530"/>
    <n v="48.056693548387102"/>
    <n v="49.884361559139798"/>
    <n v="51.161312105083503"/>
  </r>
  <r>
    <x v="0"/>
    <x v="77"/>
    <x v="5"/>
    <n v="2779834"/>
    <n v="3311640"/>
    <n v="3120685"/>
    <n v="59138"/>
    <n v="66446.737071437004"/>
    <n v="66466"/>
    <n v="47.0055208333333"/>
    <n v="49.824427083333298"/>
    <n v="46.965208254619697"/>
  </r>
  <r>
    <x v="0"/>
    <x v="77"/>
    <x v="0"/>
    <n v="2837037"/>
    <n v="3411281"/>
    <n v="3440911"/>
    <n v="60430"/>
    <n v="73265.106943532694"/>
    <n v="68483"/>
    <n v="46.947278225807104"/>
    <n v="49.812385752688101"/>
    <n v="46.965208254619697"/>
  </r>
  <r>
    <x v="5"/>
    <x v="78"/>
    <x v="3"/>
    <n v="3314990"/>
    <n v="3465965"/>
    <n v="3517998"/>
    <n v="75155"/>
    <n v="84795.749823371705"/>
    <n v="69617"/>
    <n v="44.108561827956997"/>
    <n v="49.786041666666598"/>
    <n v="41.4879059956181"/>
  </r>
  <r>
    <x v="1"/>
    <x v="73"/>
    <x v="5"/>
    <n v="2741153"/>
    <n v="2759308"/>
    <n v="2901432"/>
    <n v="52977"/>
    <n v="63745.587844146401"/>
    <n v="55474"/>
    <n v="51.742447916666599"/>
    <n v="49.740937500000001"/>
    <n v="45.515809558361902"/>
  </r>
  <r>
    <x v="0"/>
    <x v="77"/>
    <x v="4"/>
    <n v="3015239"/>
    <n v="3290007"/>
    <n v="3521555"/>
    <n v="66153"/>
    <n v="74982.203981893297"/>
    <n v="66415"/>
    <n v="45.579973118279497"/>
    <n v="49.536807795698898"/>
    <n v="46.965208254619697"/>
  </r>
  <r>
    <x v="6"/>
    <x v="79"/>
    <x v="5"/>
    <n v="4109009"/>
    <n v="3836060"/>
    <n v="3957123"/>
    <n v="85439"/>
    <n v="88469.294435659103"/>
    <n v="77511"/>
    <n v="48.092864583333302"/>
    <n v="49.490677083333303"/>
    <n v="44.728769766304502"/>
  </r>
  <r>
    <x v="7"/>
    <x v="67"/>
    <x v="2"/>
    <n v="3678585"/>
    <n v="3653533"/>
    <n v="3942813"/>
    <n v="73911"/>
    <n v="83595.802487209105"/>
    <n v="74273"/>
    <n v="49.770583333332901"/>
    <n v="49.190458333333297"/>
    <n v="47.1651983950185"/>
  </r>
  <r>
    <x v="6"/>
    <x v="79"/>
    <x v="3"/>
    <n v="4846245"/>
    <n v="4819017"/>
    <n v="4606572"/>
    <n v="99290"/>
    <n v="102989.025644301"/>
    <n v="98104"/>
    <n v="48.809005376343997"/>
    <n v="49.121512096774097"/>
    <n v="44.728769766304502"/>
  </r>
  <r>
    <x v="0"/>
    <x v="76"/>
    <x v="2"/>
    <n v="4407221"/>
    <n v="4328492"/>
    <n v="4503568"/>
    <n v="97401"/>
    <n v="92868.5854203239"/>
    <n v="88150"/>
    <n v="45.248194444444302"/>
    <n v="49.103541666666601"/>
    <n v="48.493991244905999"/>
  </r>
  <r>
    <x v="6"/>
    <x v="79"/>
    <x v="4"/>
    <n v="4092156"/>
    <n v="3840690"/>
    <n v="4060971"/>
    <n v="92778"/>
    <n v="90791.025090058407"/>
    <n v="78269"/>
    <n v="44.107150537634404"/>
    <n v="49.070564516128997"/>
    <n v="44.728769766304502"/>
  </r>
  <r>
    <x v="0"/>
    <x v="77"/>
    <x v="1"/>
    <n v="2969277"/>
    <n v="3110946"/>
    <n v="3271274"/>
    <n v="63523"/>
    <n v="69653.132249833405"/>
    <n v="63499"/>
    <n v="46.743618055555203"/>
    <n v="48.992368055555502"/>
    <n v="46.965208254619697"/>
  </r>
  <r>
    <x v="0"/>
    <x v="76"/>
    <x v="4"/>
    <n v="4842988"/>
    <n v="4611334"/>
    <n v="4908889"/>
    <n v="104369"/>
    <n v="101226.749928851"/>
    <n v="94175"/>
    <n v="46.402379032257997"/>
    <n v="48.965564516129"/>
    <n v="48.493991244905999"/>
  </r>
  <r>
    <x v="3"/>
    <x v="70"/>
    <x v="1"/>
    <n v="3775308"/>
    <n v="3458485"/>
    <n v="3635241"/>
    <n v="86460"/>
    <n v="78147.116009818099"/>
    <n v="70689"/>
    <n v="43.665416666666097"/>
    <n v="48.925041666666601"/>
    <n v="46.517920556956597"/>
  </r>
  <r>
    <x v="0"/>
    <x v="76"/>
    <x v="0"/>
    <n v="4820413"/>
    <n v="4603620"/>
    <n v="4879210"/>
    <n v="105498"/>
    <n v="100614.73024686299"/>
    <n v="94142"/>
    <n v="45.6919825268822"/>
    <n v="48.900739247311797"/>
    <n v="48.493991244905999"/>
  </r>
  <r>
    <x v="7"/>
    <x v="67"/>
    <x v="4"/>
    <n v="3861838"/>
    <n v="3996396"/>
    <n v="3932259"/>
    <n v="76350"/>
    <n v="83372.045200923298"/>
    <n v="82131"/>
    <n v="50.580833333333302"/>
    <n v="48.6586559139784"/>
    <n v="47.1651983950185"/>
  </r>
  <r>
    <x v="4"/>
    <x v="57"/>
    <x v="2"/>
    <n v="2681039"/>
    <n v="2482002"/>
    <n v="2615181"/>
    <n v="56387"/>
    <n v="52244.914385891097"/>
    <n v="51448"/>
    <n v="47.547402777777698"/>
    <n v="48.242590277777701"/>
    <n v="50.0561866937662"/>
  </r>
  <r>
    <x v="0"/>
    <x v="77"/>
    <x v="2"/>
    <n v="2298744"/>
    <n v="2996137"/>
    <n v="3170258"/>
    <n v="55258"/>
    <n v="67502.263150044804"/>
    <n v="62470"/>
    <n v="41.599930555555197"/>
    <n v="47.961229166666598"/>
    <n v="46.965208254619697"/>
  </r>
  <r>
    <x v="6"/>
    <x v="79"/>
    <x v="0"/>
    <n v="4230278"/>
    <n v="3887723"/>
    <n v="4023652"/>
    <n v="91947"/>
    <n v="89956.691715923997"/>
    <n v="81125"/>
    <n v="46.007876344086903"/>
    <n v="47.922526881720401"/>
    <n v="44.728769766304502"/>
  </r>
  <r>
    <x v="3"/>
    <x v="70"/>
    <x v="4"/>
    <n v="3687231"/>
    <n v="3641138"/>
    <n v="3686616"/>
    <n v="86878"/>
    <n v="79251.514103819296"/>
    <n v="76982"/>
    <n v="42.441545698924699"/>
    <n v="47.298313172043002"/>
    <n v="46.517920556956597"/>
  </r>
  <r>
    <x v="5"/>
    <x v="78"/>
    <x v="5"/>
    <n v="2741659"/>
    <n v="2775224"/>
    <n v="2881803"/>
    <n v="63654"/>
    <n v="69461.279653506004"/>
    <n v="59116"/>
    <n v="43.071093749999903"/>
    <n v="46.945052083333302"/>
    <n v="41.4879059956181"/>
  </r>
  <r>
    <x v="6"/>
    <x v="79"/>
    <x v="1"/>
    <n v="4247926"/>
    <n v="3876235"/>
    <n v="3909186"/>
    <n v="94619"/>
    <n v="87397.564447321405"/>
    <n v="82618"/>
    <n v="44.895131944444302"/>
    <n v="46.917840277777699"/>
    <n v="44.728769766304502"/>
  </r>
  <r>
    <x v="3"/>
    <x v="70"/>
    <x v="2"/>
    <n v="3502788"/>
    <n v="3300782"/>
    <n v="3501149"/>
    <n v="77291"/>
    <n v="75264.511381440199"/>
    <n v="70744"/>
    <n v="45.319604166666402"/>
    <n v="46.657965277777699"/>
    <n v="46.517920556956597"/>
  </r>
  <r>
    <x v="0"/>
    <x v="76"/>
    <x v="1"/>
    <n v="4707771"/>
    <n v="4566694"/>
    <n v="4647548"/>
    <n v="100810"/>
    <n v="95837.611885332095"/>
    <n v="99361"/>
    <n v="46.699333333332802"/>
    <n v="45.960444444444398"/>
    <n v="48.493991244905999"/>
  </r>
  <r>
    <x v="5"/>
    <x v="78"/>
    <x v="1"/>
    <n v="2824864"/>
    <n v="2649130"/>
    <n v="3021781"/>
    <n v="65245"/>
    <n v="72835.230141987704"/>
    <n v="58050"/>
    <n v="43.296506944444303"/>
    <n v="45.635041666666602"/>
    <n v="41.4879059956181"/>
  </r>
  <r>
    <x v="1"/>
    <x v="80"/>
    <x v="4"/>
    <n v="2990520"/>
    <n v="2895922"/>
    <n v="3168218"/>
    <n v="70242"/>
    <n v="72859.643322539298"/>
    <n v="63836"/>
    <n v="42.574583333333301"/>
    <n v="45.364751344086002"/>
    <n v="43.4838537745065"/>
  </r>
  <r>
    <x v="1"/>
    <x v="80"/>
    <x v="3"/>
    <n v="4505513"/>
    <n v="4555194"/>
    <n v="4652270"/>
    <n v="107730"/>
    <n v="106988.455464991"/>
    <n v="101315"/>
    <n v="41.822177419354801"/>
    <n v="44.960557795698897"/>
    <n v="43.4838537745065"/>
  </r>
  <r>
    <x v="1"/>
    <x v="80"/>
    <x v="0"/>
    <n v="3170605"/>
    <n v="3026444"/>
    <n v="3205855"/>
    <n v="70139"/>
    <n v="73725.175832495093"/>
    <n v="67455"/>
    <n v="45.204852150537597"/>
    <n v="44.866283602150503"/>
    <n v="43.4838537745065"/>
  </r>
  <r>
    <x v="1"/>
    <x v="80"/>
    <x v="5"/>
    <n v="3296807"/>
    <n v="3056310"/>
    <n v="3310110"/>
    <n v="78360"/>
    <n v="76122.730118751206"/>
    <n v="68981"/>
    <n v="42.072447916666597"/>
    <n v="44.306718750000002"/>
    <n v="43.4838537745065"/>
  </r>
  <r>
    <x v="5"/>
    <x v="78"/>
    <x v="0"/>
    <n v="2775015"/>
    <n v="2816787"/>
    <n v="2935965"/>
    <n v="65907"/>
    <n v="70766.764724401597"/>
    <n v="63669"/>
    <n v="42.104811827957001"/>
    <n v="44.241034946236503"/>
    <n v="41.4879059956181"/>
  </r>
  <r>
    <x v="1"/>
    <x v="80"/>
    <x v="2"/>
    <n v="2816904"/>
    <n v="2830209"/>
    <n v="3078292"/>
    <n v="63107"/>
    <n v="70791.611853517999"/>
    <n v="64305"/>
    <n v="44.636958333333403"/>
    <n v="44.011965277777698"/>
    <n v="43.4838537745065"/>
  </r>
  <r>
    <x v="1"/>
    <x v="81"/>
    <x v="4"/>
    <n v="3047886"/>
    <n v="3222757"/>
    <n v="3496091"/>
    <n v="72434"/>
    <n v="84340.915088821697"/>
    <n v="73353"/>
    <n v="42.077950268817197"/>
    <n v="43.935067204300999"/>
    <n v="41.451897990650998"/>
  </r>
  <r>
    <x v="6"/>
    <x v="79"/>
    <x v="2"/>
    <n v="3609149"/>
    <n v="3388587"/>
    <n v="3576767"/>
    <n v="78353"/>
    <n v="79965.696201519095"/>
    <n v="77722"/>
    <n v="46.062819444443797"/>
    <n v="43.598624999999998"/>
    <n v="44.728769766304502"/>
  </r>
  <r>
    <x v="1"/>
    <x v="80"/>
    <x v="1"/>
    <n v="3010500"/>
    <n v="2984682"/>
    <n v="3053678"/>
    <n v="72425"/>
    <n v="70225.550716718993"/>
    <n v="68517"/>
    <n v="41.566972222222198"/>
    <n v="43.561437499999897"/>
    <n v="43.4838537745065"/>
  </r>
  <r>
    <x v="5"/>
    <x v="78"/>
    <x v="4"/>
    <n v="2593587"/>
    <n v="2496107"/>
    <n v="2621097"/>
    <n v="62540"/>
    <n v="63177.380626942999"/>
    <n v="57805"/>
    <n v="41.471048387096701"/>
    <n v="43.181814516129002"/>
    <n v="41.4879059956181"/>
  </r>
  <r>
    <x v="1"/>
    <x v="82"/>
    <x v="4"/>
    <n v="1991286"/>
    <n v="2323976"/>
    <n v="0"/>
    <n v="65105"/>
    <n v="0"/>
    <n v="54377"/>
    <n v="30.585766129032201"/>
    <n v="42.738481182795603"/>
    <n v="35.223177541544402"/>
  </r>
  <r>
    <x v="1"/>
    <x v="81"/>
    <x v="3"/>
    <n v="3517102"/>
    <n v="3715064"/>
    <n v="3551347"/>
    <n v="75789"/>
    <n v="85673.939962916993"/>
    <n v="87246"/>
    <n v="46.406659946236502"/>
    <n v="42.581451612903201"/>
    <n v="41.451897990650998"/>
  </r>
  <r>
    <x v="1"/>
    <x v="82"/>
    <x v="5"/>
    <n v="1759321"/>
    <n v="2187190"/>
    <n v="0"/>
    <n v="55835"/>
    <n v="0"/>
    <n v="51814"/>
    <n v="31.509010416666602"/>
    <n v="42.212187499999999"/>
    <n v="35.223177541544402"/>
  </r>
  <r>
    <x v="0"/>
    <x v="83"/>
    <x v="5"/>
    <n v="3154591"/>
    <n v="3138435"/>
    <n v="3264406"/>
    <n v="85216"/>
    <n v="83887.643432057404"/>
    <n v="76328"/>
    <n v="37.018645833333302"/>
    <n v="41.117760416666599"/>
    <n v="38.914029696684899"/>
  </r>
  <r>
    <x v="1"/>
    <x v="81"/>
    <x v="5"/>
    <n v="2959385"/>
    <n v="3056100"/>
    <n v="3285513"/>
    <n v="63027"/>
    <n v="79260.851098808605"/>
    <n v="74331"/>
    <n v="46.9541145833333"/>
    <n v="41.1148958333333"/>
    <n v="41.451897990650998"/>
  </r>
  <r>
    <x v="1"/>
    <x v="84"/>
    <x v="0"/>
    <n v="2633170"/>
    <n v="2363562"/>
    <n v="2519195"/>
    <n v="67050"/>
    <n v="68120.244426139398"/>
    <n v="57701"/>
    <n v="39.271881720430599"/>
    <n v="40.9621370967741"/>
    <n v="36.981595266169002"/>
  </r>
  <r>
    <x v="1"/>
    <x v="84"/>
    <x v="1"/>
    <n v="2546172"/>
    <n v="2270465"/>
    <n v="2377330"/>
    <n v="67717"/>
    <n v="64284.134742959301"/>
    <n v="55825"/>
    <n v="37.600402777777198"/>
    <n v="40.671312499999999"/>
    <n v="36.981595266169002"/>
  </r>
  <r>
    <x v="1"/>
    <x v="81"/>
    <x v="2"/>
    <n v="3126983"/>
    <n v="3215061"/>
    <n v="3157714"/>
    <n v="73943"/>
    <n v="76177.788076487501"/>
    <n v="79198"/>
    <n v="42.289041666666201"/>
    <n v="40.594993055555499"/>
    <n v="41.451897990650998"/>
  </r>
  <r>
    <x v="1"/>
    <x v="81"/>
    <x v="0"/>
    <n v="3314037"/>
    <n v="3356932"/>
    <n v="3245810"/>
    <n v="75267"/>
    <n v="78303.049224236893"/>
    <n v="82954"/>
    <n v="44.0305174731186"/>
    <n v="40.467244623655901"/>
    <n v="41.451897990650998"/>
  </r>
  <r>
    <x v="0"/>
    <x v="83"/>
    <x v="2"/>
    <n v="2564085"/>
    <n v="2584678"/>
    <n v="2748518"/>
    <n v="70493"/>
    <n v="70630.528090339198"/>
    <n v="64318"/>
    <n v="36.373701388888399"/>
    <n v="40.186222222222199"/>
    <n v="38.914029696684899"/>
  </r>
  <r>
    <x v="1"/>
    <x v="85"/>
    <x v="0"/>
    <n v="2207601"/>
    <n v="2246607"/>
    <n v="2361789"/>
    <n v="59548"/>
    <n v="70019.471582744794"/>
    <n v="56071"/>
    <n v="37.072903225806598"/>
    <n v="40.067426075268799"/>
    <n v="33.730466012000299"/>
  </r>
  <r>
    <x v="1"/>
    <x v="81"/>
    <x v="1"/>
    <n v="3272377"/>
    <n v="3347309"/>
    <n v="3242396"/>
    <n v="74649"/>
    <n v="78220.6883972184"/>
    <n v="83616"/>
    <n v="43.836576388888702"/>
    <n v="40.031784722222199"/>
    <n v="41.451897990650998"/>
  </r>
  <r>
    <x v="0"/>
    <x v="83"/>
    <x v="1"/>
    <n v="2853081"/>
    <n v="2803706"/>
    <n v="2980342"/>
    <n v="76970"/>
    <n v="76587.850236283601"/>
    <n v="70330"/>
    <n v="37.0675277777773"/>
    <n v="39.864805555555499"/>
    <n v="38.914029696684899"/>
  </r>
  <r>
    <x v="0"/>
    <x v="83"/>
    <x v="3"/>
    <n v="3987061"/>
    <n v="3996313"/>
    <n v="3954369"/>
    <n v="99383"/>
    <n v="101618.09054015399"/>
    <n v="100721"/>
    <n v="40.117950268817097"/>
    <n v="39.677016129032197"/>
    <n v="38.914029696684899"/>
  </r>
  <r>
    <x v="1"/>
    <x v="84"/>
    <x v="2"/>
    <n v="2347084"/>
    <n v="2169032"/>
    <n v="2313489"/>
    <n v="61962"/>
    <n v="62557.850578079"/>
    <n v="54738"/>
    <n v="37.879381944443999"/>
    <n v="39.625736111111102"/>
    <n v="36.981595266169002"/>
  </r>
  <r>
    <x v="0"/>
    <x v="83"/>
    <x v="4"/>
    <n v="2903155"/>
    <n v="2843180"/>
    <n v="3055925"/>
    <n v="79811"/>
    <n v="78530.163900253494"/>
    <n v="71775"/>
    <n v="36.375490591397799"/>
    <n v="39.612661290322599"/>
    <n v="38.914029696684899"/>
  </r>
  <r>
    <x v="0"/>
    <x v="83"/>
    <x v="0"/>
    <n v="2870301"/>
    <n v="2988564"/>
    <n v="3074225"/>
    <n v="80080"/>
    <n v="79000.437589271096"/>
    <n v="75700"/>
    <n v="35.843057795699501"/>
    <n v="39.479294354838601"/>
    <n v="38.914029696684899"/>
  </r>
  <r>
    <x v="1"/>
    <x v="85"/>
    <x v="1"/>
    <n v="2112674"/>
    <n v="2207757"/>
    <n v="2226952"/>
    <n v="73180"/>
    <n v="66021.987994702198"/>
    <n v="56630"/>
    <n v="28.8695069444443"/>
    <n v="38.985624999999899"/>
    <n v="33.730466012000299"/>
  </r>
  <r>
    <x v="5"/>
    <x v="78"/>
    <x v="2"/>
    <n v="2452236"/>
    <n v="2547626"/>
    <n v="2546423"/>
    <n v="62674"/>
    <n v="61377.465502089901"/>
    <n v="65887"/>
    <n v="39.127131944444102"/>
    <n v="38.666687500000002"/>
    <n v="41.4879059956181"/>
  </r>
  <r>
    <x v="1"/>
    <x v="86"/>
    <x v="0"/>
    <n v="2717231"/>
    <n v="2578448"/>
    <n v="2696021"/>
    <n v="81508"/>
    <n v="75386.969307890002"/>
    <n v="66861"/>
    <n v="33.3371706989251"/>
    <n v="38.564260752688099"/>
    <n v="35.762421795855801"/>
  </r>
  <r>
    <x v="1"/>
    <x v="82"/>
    <x v="3"/>
    <n v="2134888"/>
    <n v="2561977"/>
    <n v="0"/>
    <n v="71867"/>
    <n v="0"/>
    <n v="66836"/>
    <n v="29.706014784946198"/>
    <n v="38.332338709677401"/>
    <n v="35.223177541544402"/>
  </r>
  <r>
    <x v="1"/>
    <x v="84"/>
    <x v="4"/>
    <n v="2430425"/>
    <n v="2225295"/>
    <n v="2459968"/>
    <n v="65523"/>
    <n v="66518.697149075801"/>
    <n v="58094"/>
    <n v="37.092426075268797"/>
    <n v="38.304818548387097"/>
    <n v="36.981595266169002"/>
  </r>
  <r>
    <x v="1"/>
    <x v="85"/>
    <x v="3"/>
    <n v="2244985"/>
    <n v="2347002"/>
    <n v="2311848"/>
    <n v="68611"/>
    <n v="68538.880218183403"/>
    <n v="61577"/>
    <n v="32.720483870967698"/>
    <n v="38.115188172042998"/>
    <n v="33.730466012000299"/>
  </r>
  <r>
    <x v="1"/>
    <x v="85"/>
    <x v="5"/>
    <n v="1917534"/>
    <n v="1998079"/>
    <n v="2209657"/>
    <n v="49538"/>
    <n v="65509.2333623218"/>
    <n v="52766"/>
    <n v="38.708593749999899"/>
    <n v="37.866927083333302"/>
    <n v="33.730466012000299"/>
  </r>
  <r>
    <x v="1"/>
    <x v="86"/>
    <x v="2"/>
    <n v="2564150"/>
    <n v="2491028"/>
    <n v="2577910"/>
    <n v="73488"/>
    <n v="72084.328293413506"/>
    <n v="66487"/>
    <n v="34.892277777777501"/>
    <n v="37.466284722222198"/>
    <n v="35.762421795855801"/>
  </r>
  <r>
    <x v="1"/>
    <x v="84"/>
    <x v="3"/>
    <n v="2766432"/>
    <n v="2551029"/>
    <n v="2533756"/>
    <n v="72993"/>
    <n v="68513.959981004096"/>
    <n v="68114"/>
    <n v="37.899966397849397"/>
    <n v="37.452446236559098"/>
    <n v="36.981595266169002"/>
  </r>
  <r>
    <x v="1"/>
    <x v="86"/>
    <x v="3"/>
    <n v="2828630"/>
    <n v="2771957"/>
    <n v="2790879"/>
    <n v="77160"/>
    <n v="78039.431074642896"/>
    <n v="74135"/>
    <n v="36.6591599462365"/>
    <n v="37.390819892473097"/>
    <n v="35.762421795855801"/>
  </r>
  <r>
    <x v="1"/>
    <x v="85"/>
    <x v="2"/>
    <n v="2119703"/>
    <n v="2162608"/>
    <n v="2297535"/>
    <n v="57038"/>
    <n v="68114.529591218801"/>
    <n v="58100"/>
    <n v="37.163097222222099"/>
    <n v="37.222159722222202"/>
    <n v="33.730466012000299"/>
  </r>
  <r>
    <x v="1"/>
    <x v="84"/>
    <x v="5"/>
    <n v="2348347"/>
    <n v="2174557"/>
    <n v="2290784"/>
    <n v="60036"/>
    <n v="61943.894607911003"/>
    <n v="58813"/>
    <n v="39.115781249999998"/>
    <n v="36.974322916666601"/>
    <n v="36.981595266169002"/>
  </r>
  <r>
    <x v="1"/>
    <x v="86"/>
    <x v="4"/>
    <n v="2537568"/>
    <n v="2516043"/>
    <n v="2743246"/>
    <n v="67004"/>
    <n v="76707.514207493805"/>
    <n v="68081"/>
    <n v="37.871740591397803"/>
    <n v="36.9568010752688"/>
    <n v="35.762421795855801"/>
  </r>
  <r>
    <x v="6"/>
    <x v="87"/>
    <x v="2"/>
    <n v="3014442"/>
    <n v="2536119"/>
    <n v="2785575"/>
    <n v="94974"/>
    <n v="75032.560732402693"/>
    <n v="69711"/>
    <n v="31.739555555555398"/>
    <n v="36.380555555555503"/>
    <n v="37.124878906032698"/>
  </r>
  <r>
    <x v="6"/>
    <x v="87"/>
    <x v="3"/>
    <n v="3280732"/>
    <n v="2573285"/>
    <n v="2613631"/>
    <n v="91028"/>
    <n v="70401.060935859001"/>
    <n v="71148"/>
    <n v="36.041061827956902"/>
    <n v="36.167842741935402"/>
    <n v="37.124878906032698"/>
  </r>
  <r>
    <x v="5"/>
    <x v="88"/>
    <x v="3"/>
    <n v="2126605"/>
    <n v="2126697"/>
    <n v="2149408"/>
    <n v="58101"/>
    <n v="68357.871860251107"/>
    <n v="59576"/>
    <n v="36.601673387096703"/>
    <n v="35.697177419354801"/>
    <n v="31.443465596679001"/>
  </r>
  <r>
    <x v="1"/>
    <x v="86"/>
    <x v="1"/>
    <n v="2621415"/>
    <n v="2544245"/>
    <n v="2598866"/>
    <n v="80841"/>
    <n v="72670.309288202494"/>
    <n v="71725"/>
    <n v="32.426916666666301"/>
    <n v="35.472159722222202"/>
    <n v="35.762421795855801"/>
  </r>
  <r>
    <x v="1"/>
    <x v="82"/>
    <x v="1"/>
    <n v="2039024"/>
    <n v="2360967"/>
    <m/>
    <n v="71680"/>
    <n v="0"/>
    <n v="66676"/>
    <n v="28.4462013888886"/>
    <n v="35.4096458333333"/>
    <n v="35.223177541544402"/>
  </r>
  <r>
    <x v="1"/>
    <x v="86"/>
    <x v="5"/>
    <n v="2407695"/>
    <n v="2406858"/>
    <n v="2499631"/>
    <n v="62899"/>
    <n v="69895.460491147605"/>
    <n v="68342"/>
    <n v="38.2786458333333"/>
    <n v="35.217968749999997"/>
    <n v="35.762421795855801"/>
  </r>
  <r>
    <x v="1"/>
    <x v="85"/>
    <x v="4"/>
    <n v="2001640"/>
    <n v="2185237"/>
    <n v="2380800"/>
    <n v="57667"/>
    <n v="70583.081006143693"/>
    <n v="62169"/>
    <n v="34.710450268817198"/>
    <n v="35.149879032257999"/>
    <n v="33.730466012000299"/>
  </r>
  <r>
    <x v="5"/>
    <x v="88"/>
    <x v="5"/>
    <n v="1815700"/>
    <n v="1822181"/>
    <n v="1858575"/>
    <n v="54754"/>
    <n v="59108.477291901901"/>
    <n v="52294"/>
    <n v="33.1611458333333"/>
    <n v="34.844947916666598"/>
    <n v="31.443465596679001"/>
  </r>
  <r>
    <x v="7"/>
    <x v="89"/>
    <x v="3"/>
    <n v="2493929"/>
    <n v="2479490"/>
    <n v="2476503"/>
    <n v="80035"/>
    <n v="83393.469950881699"/>
    <n v="71746"/>
    <n v="31.160678763440799"/>
    <n v="34.559159946236498"/>
    <n v="29.696606396863501"/>
  </r>
  <r>
    <x v="6"/>
    <x v="87"/>
    <x v="1"/>
    <n v="3295944"/>
    <n v="2543720"/>
    <n v="2568141"/>
    <n v="92375"/>
    <n v="69175.744742501498"/>
    <n v="74249"/>
    <n v="35.679972222222297"/>
    <n v="34.259263888888803"/>
    <n v="37.124878906032698"/>
  </r>
  <r>
    <x v="1"/>
    <x v="82"/>
    <x v="2"/>
    <n v="1986541"/>
    <n v="2242582"/>
    <m/>
    <n v="69936"/>
    <n v="0"/>
    <n v="65731"/>
    <n v="28.405319444444402"/>
    <n v="34.117708333333297"/>
    <n v="35.223177541544402"/>
  </r>
  <r>
    <x v="6"/>
    <x v="87"/>
    <x v="0"/>
    <n v="3248906"/>
    <n v="2596911"/>
    <n v="2772704"/>
    <n v="100718"/>
    <n v="74685.882300600293"/>
    <n v="76297"/>
    <n v="32.257439516129097"/>
    <n v="34.036700268817199"/>
    <n v="37.124878906032698"/>
  </r>
  <r>
    <x v="1"/>
    <x v="82"/>
    <x v="0"/>
    <n v="2076233"/>
    <n v="2358692"/>
    <m/>
    <n v="77117"/>
    <n v="0"/>
    <n v="69337"/>
    <n v="26.923326612903399"/>
    <n v="34.017836021505303"/>
    <n v="35.223177541544402"/>
  </r>
  <r>
    <x v="7"/>
    <x v="89"/>
    <x v="5"/>
    <n v="1815764"/>
    <n v="1785735"/>
    <n v="1698381"/>
    <n v="62232"/>
    <n v="57191.088217385601"/>
    <n v="52929"/>
    <n v="29.177187499999999"/>
    <n v="33.7385937499999"/>
    <n v="29.696606396863501"/>
  </r>
  <r>
    <x v="6"/>
    <x v="87"/>
    <x v="5"/>
    <n v="2518906"/>
    <n v="2116916"/>
    <n v="2095000"/>
    <n v="65336"/>
    <n v="56431.153251777003"/>
    <n v="64106"/>
    <n v="38.552916666666597"/>
    <n v="33.022031249999998"/>
    <n v="37.124878906032698"/>
  </r>
  <r>
    <x v="7"/>
    <x v="89"/>
    <x v="4"/>
    <n v="1773812"/>
    <n v="1721569"/>
    <n v="1786944"/>
    <n v="59721"/>
    <n v="60173.339347917303"/>
    <n v="52324"/>
    <n v="29.701875000000001"/>
    <n v="32.9023051075268"/>
    <n v="29.696606396863501"/>
  </r>
  <r>
    <x v="5"/>
    <x v="88"/>
    <x v="1"/>
    <n v="2012869"/>
    <n v="1919161"/>
    <n v="1971163"/>
    <n v="62766"/>
    <n v="62689.124534930001"/>
    <n v="58651"/>
    <n v="32.069187499999799"/>
    <n v="32.721888888888898"/>
    <n v="31.443465596679001"/>
  </r>
  <r>
    <x v="6"/>
    <x v="87"/>
    <x v="4"/>
    <n v="2723288"/>
    <n v="2380725"/>
    <n v="2338878"/>
    <n v="70812"/>
    <n v="63000.275387293797"/>
    <n v="72842"/>
    <n v="38.457802419354799"/>
    <n v="32.6835551075268"/>
    <n v="37.124878906032698"/>
  </r>
  <r>
    <x v="5"/>
    <x v="88"/>
    <x v="2"/>
    <n v="1893904"/>
    <n v="1763184"/>
    <n v="1914842"/>
    <n v="62628"/>
    <n v="60897.9232588866"/>
    <n v="54122"/>
    <n v="30.2406805555555"/>
    <n v="32.578145833333302"/>
    <n v="31.443465596679001"/>
  </r>
  <r>
    <x v="3"/>
    <x v="90"/>
    <x v="3"/>
    <n v="3340842"/>
    <n v="3275379"/>
    <n v="3244079"/>
    <n v="104742"/>
    <n v="111581.229580645"/>
    <n v="101057"/>
    <n v="31.896055107526799"/>
    <n v="32.411270161290297"/>
    <n v="29.073700348097901"/>
  </r>
  <r>
    <x v="7"/>
    <x v="89"/>
    <x v="0"/>
    <n v="1858752"/>
    <n v="1738341"/>
    <n v="1912427"/>
    <n v="60712"/>
    <n v="64398.840932948697"/>
    <n v="53885"/>
    <n v="30.615779569892702"/>
    <n v="32.260168010752601"/>
    <n v="29.696606396863501"/>
  </r>
  <r>
    <x v="5"/>
    <x v="88"/>
    <x v="0"/>
    <n v="2118463"/>
    <n v="1989571"/>
    <n v="2057060"/>
    <n v="65196"/>
    <n v="65420.908515162599"/>
    <n v="62309"/>
    <n v="32.493548387096901"/>
    <n v="31.930678763440799"/>
    <n v="31.443465596679001"/>
  </r>
  <r>
    <x v="5"/>
    <x v="88"/>
    <x v="4"/>
    <n v="1886916"/>
    <n v="1825356"/>
    <n v="1843766"/>
    <n v="57623"/>
    <n v="58637.478888291902"/>
    <n v="57665"/>
    <n v="32.745651881720399"/>
    <n v="31.654301075268801"/>
    <n v="31.443465596679001"/>
  </r>
  <r>
    <x v="7"/>
    <x v="89"/>
    <x v="2"/>
    <n v="1748913"/>
    <n v="1554170"/>
    <n v="1693183"/>
    <n v="56831"/>
    <n v="57016.047438970301"/>
    <n v="49319"/>
    <n v="30.773847222222098"/>
    <n v="31.5125416666666"/>
    <n v="29.696606396863501"/>
  </r>
  <r>
    <x v="3"/>
    <x v="90"/>
    <x v="5"/>
    <n v="2702396"/>
    <n v="2554723"/>
    <n v="2512624"/>
    <n v="88574"/>
    <n v="86422.561680023005"/>
    <n v="81423"/>
    <n v="30.510156250000001"/>
    <n v="31.3759895833333"/>
    <n v="29.073700348097901"/>
  </r>
  <r>
    <x v="3"/>
    <x v="90"/>
    <x v="0"/>
    <n v="2764626"/>
    <n v="2531584"/>
    <n v="2723405"/>
    <n v="95801"/>
    <n v="93672.444112473298"/>
    <n v="83544"/>
    <n v="28.858017473118299"/>
    <n v="30.302473118279501"/>
    <n v="29.073700348097901"/>
  </r>
  <r>
    <x v="3"/>
    <x v="90"/>
    <x v="1"/>
    <n v="2747750"/>
    <n v="2583201"/>
    <n v="2603333"/>
    <n v="93175"/>
    <n v="89542.555675074793"/>
    <n v="87671"/>
    <n v="29.4901249999998"/>
    <n v="29.4648472222222"/>
    <n v="29.073700348097901"/>
  </r>
  <r>
    <x v="7"/>
    <x v="89"/>
    <x v="1"/>
    <n v="1795576"/>
    <n v="1711418"/>
    <n v="1732452"/>
    <n v="62805"/>
    <n v="58338.383461989702"/>
    <n v="59310"/>
    <n v="28.5897499999998"/>
    <n v="28.855652777777699"/>
    <n v="29.696606396863501"/>
  </r>
  <r>
    <x v="3"/>
    <x v="90"/>
    <x v="2"/>
    <n v="2573810"/>
    <n v="2255652"/>
    <n v="2447882"/>
    <n v="85667"/>
    <n v="84195.760312297003"/>
    <n v="79259"/>
    <n v="30.0443888888888"/>
    <n v="28.459423611111099"/>
    <n v="29.073700348097901"/>
  </r>
  <r>
    <x v="3"/>
    <x v="90"/>
    <x v="4"/>
    <n v="2713915"/>
    <n v="2428365"/>
    <n v="2593216"/>
    <n v="95641"/>
    <n v="89194.566035680196"/>
    <n v="86866"/>
    <n v="28.376108870967698"/>
    <n v="27.9553561827957"/>
    <n v="29.073700348097901"/>
  </r>
  <r>
    <x v="1"/>
    <x v="91"/>
    <x v="5"/>
    <n v="1400399"/>
    <n v="1474871"/>
    <n v="1541006"/>
    <n v="55233"/>
    <n v="56925.586794897899"/>
    <n v="53309"/>
    <n v="25.354583333333299"/>
    <n v="27.666249999999899"/>
    <n v="27.0705325261243"/>
  </r>
  <r>
    <x v="1"/>
    <x v="91"/>
    <x v="2"/>
    <n v="1641535"/>
    <n v="1568156"/>
    <n v="1547662"/>
    <n v="69056"/>
    <n v="57171.470313944897"/>
    <n v="57724"/>
    <n v="23.7712222222221"/>
    <n v="27.166562500000001"/>
    <n v="27.0705325261243"/>
  </r>
  <r>
    <x v="1"/>
    <x v="91"/>
    <x v="4"/>
    <n v="1535141"/>
    <n v="1570142"/>
    <n v="1773063"/>
    <n v="58809"/>
    <n v="65497.882946665697"/>
    <n v="58410"/>
    <n v="26.104025537634399"/>
    <n v="26.881176075268801"/>
    <n v="27.0705325261243"/>
  </r>
  <r>
    <x v="7"/>
    <x v="92"/>
    <x v="4"/>
    <n v="1460734"/>
    <n v="1401792"/>
    <n v="2054446"/>
    <n v="67034"/>
    <n v="87117.013739392394"/>
    <n v="52238"/>
    <n v="21.7908870967741"/>
    <n v="26.834885752688098"/>
    <n v="23.5825991975092"/>
  </r>
  <r>
    <x v="1"/>
    <x v="91"/>
    <x v="1"/>
    <n v="1607803"/>
    <n v="1540390"/>
    <n v="1478234"/>
    <n v="72382"/>
    <n v="54606.774989499499"/>
    <n v="57456"/>
    <n v="22.2127499999999"/>
    <n v="26.8098541666666"/>
    <n v="27.0705325261243"/>
  </r>
  <r>
    <x v="7"/>
    <x v="92"/>
    <x v="1"/>
    <n v="1474556"/>
    <n v="1305270"/>
    <n v="1737266"/>
    <n v="61981"/>
    <n v="73667.269059276805"/>
    <n v="48687"/>
    <n v="23.790472222222199"/>
    <n v="26.8094166666666"/>
    <n v="23.5825991975092"/>
  </r>
  <r>
    <x v="7"/>
    <x v="92"/>
    <x v="5"/>
    <n v="1516617"/>
    <n v="1411073"/>
    <n v="1893865"/>
    <n v="67371"/>
    <n v="80307.7295313582"/>
    <n v="53609"/>
    <n v="22.511302083333302"/>
    <n v="26.3214062499999"/>
    <n v="23.5825991975092"/>
  </r>
  <r>
    <x v="7"/>
    <x v="92"/>
    <x v="3"/>
    <n v="2026405"/>
    <n v="1823537"/>
    <n v="2074140"/>
    <n v="81828"/>
    <n v="87952.153879588703"/>
    <n v="69426"/>
    <n v="24.764193548386999"/>
    <n v="26.2658064516129"/>
    <n v="23.5825991975092"/>
  </r>
  <r>
    <x v="1"/>
    <x v="91"/>
    <x v="0"/>
    <n v="1731113"/>
    <n v="1636554"/>
    <n v="1595309"/>
    <n v="71291"/>
    <n v="58931.556494518503"/>
    <n v="62649"/>
    <n v="24.282190860215199"/>
    <n v="26.122560483870899"/>
    <n v="27.0705325261243"/>
  </r>
  <r>
    <x v="1"/>
    <x v="93"/>
    <x v="5"/>
    <n v="2639017"/>
    <n v="2376295"/>
    <n v="2417235"/>
    <n v="112510"/>
    <n v="123027.246416925"/>
    <n v="91273"/>
    <n v="23.455937500000001"/>
    <n v="26.034895833333302"/>
    <n v="19.647967156057899"/>
  </r>
  <r>
    <x v="1"/>
    <x v="91"/>
    <x v="3"/>
    <n v="1751367"/>
    <n v="2452740"/>
    <n v="2070739"/>
    <n v="70390"/>
    <n v="76494.195457796697"/>
    <n v="94474"/>
    <n v="24.880954301075199"/>
    <n v="25.962049731182699"/>
    <n v="27.0705325261243"/>
  </r>
  <r>
    <x v="9"/>
    <x v="94"/>
    <x v="3"/>
    <n v="2819804"/>
    <n v="3107812"/>
    <n v="2307120"/>
    <n v="231397"/>
    <n v="196971.94955803099"/>
    <n v="120140"/>
    <n v="12.1859744623655"/>
    <n v="25.868245967741899"/>
    <n v="11.712938172043"/>
  </r>
  <r>
    <x v="7"/>
    <x v="92"/>
    <x v="0"/>
    <n v="1618489"/>
    <n v="1403201"/>
    <n v="1546371"/>
    <n v="67663"/>
    <n v="65572.539602136996"/>
    <n v="54591"/>
    <n v="23.9199126344086"/>
    <n v="25.703689516129"/>
    <n v="23.5825991975092"/>
  </r>
  <r>
    <x v="9"/>
    <x v="95"/>
    <x v="1"/>
    <n v="923700"/>
    <n v="804636"/>
    <n v="808627"/>
    <n v="64034"/>
    <n v="61307.109918989001"/>
    <n v="31366"/>
    <n v="14.425152777777701"/>
    <n v="25.653395833333299"/>
    <n v="13.189776457714499"/>
  </r>
  <r>
    <x v="7"/>
    <x v="92"/>
    <x v="2"/>
    <n v="1541256"/>
    <n v="1342678"/>
    <n v="2783131"/>
    <n v="64660"/>
    <n v="118016.314452477"/>
    <n v="52369"/>
    <n v="23.836263888888901"/>
    <n v="25.6388125"/>
    <n v="23.5825991975092"/>
  </r>
  <r>
    <x v="9"/>
    <x v="95"/>
    <x v="0"/>
    <n v="941433"/>
    <n v="824494"/>
    <n v="833750"/>
    <n v="63291"/>
    <n v="63211.824208919701"/>
    <n v="32884"/>
    <n v="14.874764784946199"/>
    <n v="25.0728427419354"/>
    <n v="13.189776457714499"/>
  </r>
  <r>
    <x v="9"/>
    <x v="94"/>
    <x v="0"/>
    <n v="990495"/>
    <n v="1099360"/>
    <n v="1164460"/>
    <n v="84108"/>
    <n v="99416.536627793903"/>
    <n v="44103"/>
    <n v="11.7764180107527"/>
    <n v="24.927244623655898"/>
    <n v="11.712938172043"/>
  </r>
  <r>
    <x v="1"/>
    <x v="93"/>
    <x v="4"/>
    <n v="2915277"/>
    <n v="2501860"/>
    <n v="2438215"/>
    <n v="116590"/>
    <n v="124095.044501753"/>
    <n v="100931"/>
    <n v="25.004583333333301"/>
    <n v="24.787809139784901"/>
    <n v="19.647967156057899"/>
  </r>
  <r>
    <x v="10"/>
    <x v="96"/>
    <x v="5"/>
    <m/>
    <n v="1269589"/>
    <m/>
    <m/>
    <n v="0"/>
    <m/>
    <m/>
    <n v="24.647343750000001"/>
    <m/>
  </r>
  <r>
    <x v="9"/>
    <x v="95"/>
    <x v="3"/>
    <n v="999878"/>
    <n v="799458"/>
    <n v="825496"/>
    <n v="69811"/>
    <n v="62586.084885250297"/>
    <n v="32585"/>
    <n v="14.322668010752601"/>
    <n v="24.5344825268817"/>
    <n v="13.189776457714499"/>
  </r>
  <r>
    <x v="1"/>
    <x v="93"/>
    <x v="3"/>
    <n v="1656529"/>
    <n v="1850048"/>
    <n v="1911335"/>
    <n v="73322"/>
    <n v="97279.004892406097"/>
    <n v="75842"/>
    <n v="22.592594086021499"/>
    <n v="24.3933534946236"/>
    <n v="19.647967156057899"/>
  </r>
  <r>
    <x v="9"/>
    <x v="94"/>
    <x v="1"/>
    <n v="1141410"/>
    <n v="1380007"/>
    <n v="1376521"/>
    <n v="97980"/>
    <n v="117521.431410399"/>
    <n v="59339"/>
    <n v="11.6494583333333"/>
    <n v="23.256479166666601"/>
    <n v="11.712938172043"/>
  </r>
  <r>
    <x v="9"/>
    <x v="94"/>
    <x v="2"/>
    <n v="909515"/>
    <n v="965427"/>
    <n v="1000315"/>
    <n v="86392"/>
    <n v="85402.564335872405"/>
    <n v="41985"/>
    <n v="10.527708333333299"/>
    <n v="22.994368055555501"/>
    <n v="11.712938172043"/>
  </r>
  <r>
    <x v="10"/>
    <x v="96"/>
    <x v="4"/>
    <m/>
    <n v="1372026"/>
    <m/>
    <m/>
    <n v="0"/>
    <m/>
    <m/>
    <n v="22.812614247311799"/>
    <m/>
  </r>
  <r>
    <x v="9"/>
    <x v="95"/>
    <x v="2"/>
    <n v="862652"/>
    <n v="815028"/>
    <n v="775038"/>
    <n v="58340"/>
    <n v="58760.527396708698"/>
    <n v="37078"/>
    <n v="14.7866249999999"/>
    <n v="21.981506944444401"/>
    <n v="13.189776457714499"/>
  </r>
  <r>
    <x v="4"/>
    <x v="11"/>
    <x v="0"/>
    <n v="768135"/>
    <n v="615986"/>
    <n v="638917"/>
    <n v="34968"/>
    <n v="6648.4577346513997"/>
    <n v="29391"/>
    <n v="21.9669690860214"/>
    <n v="20.958555107526799"/>
    <n v="96.1"/>
  </r>
  <r>
    <x v="10"/>
    <x v="96"/>
    <x v="3"/>
    <m/>
    <n v="285641"/>
    <m/>
    <m/>
    <n v="0"/>
    <m/>
    <m/>
    <n v="20.895282258064501"/>
    <m/>
  </r>
  <r>
    <x v="1"/>
    <x v="93"/>
    <x v="1"/>
    <n v="1189667"/>
    <n v="1251344"/>
    <n v="1294400"/>
    <n v="59602"/>
    <n v="65879.568889695598"/>
    <n v="60971"/>
    <n v="19.960159722222301"/>
    <n v="20.523562500000001"/>
    <n v="19.647967156057899"/>
  </r>
  <r>
    <x v="9"/>
    <x v="97"/>
    <x v="1"/>
    <n v="672313"/>
    <n v="729144"/>
    <n v="700085"/>
    <n v="59532"/>
    <n v="65712.533625454496"/>
    <n v="35625"/>
    <n v="11.2933819444444"/>
    <n v="20.467076388888799"/>
    <n v="10.6537530266343"/>
  </r>
  <r>
    <x v="1"/>
    <x v="98"/>
    <x v="2"/>
    <n v="1010006"/>
    <n v="943608"/>
    <n v="985070"/>
    <n v="55283"/>
    <n v="56402.980724945402"/>
    <n v="46408"/>
    <n v="18.2696111111111"/>
    <n v="20.332666666666601"/>
    <n v="17.464859694273699"/>
  </r>
  <r>
    <x v="9"/>
    <x v="97"/>
    <x v="0"/>
    <n v="697767"/>
    <n v="728782"/>
    <n v="701198"/>
    <n v="58631"/>
    <n v="65816.9963999545"/>
    <n v="35993"/>
    <n v="11.900940860215"/>
    <n v="20.247735215053702"/>
    <n v="10.6537530266343"/>
  </r>
  <r>
    <x v="1"/>
    <x v="98"/>
    <x v="1"/>
    <n v="1163569"/>
    <n v="1072879"/>
    <n v="1085185"/>
    <n v="60380"/>
    <n v="62135.3623502513"/>
    <n v="54531"/>
    <n v="19.270854166666599"/>
    <n v="19.6747152777777"/>
    <n v="17.464859694273699"/>
  </r>
  <r>
    <x v="9"/>
    <x v="97"/>
    <x v="3"/>
    <n v="736031"/>
    <n v="770043"/>
    <n v="800677"/>
    <n v="60831"/>
    <n v="75154.427411477198"/>
    <n v="39166"/>
    <n v="12.0996505376344"/>
    <n v="19.6608266129032"/>
    <n v="10.6537530266343"/>
  </r>
  <r>
    <x v="1"/>
    <x v="93"/>
    <x v="0"/>
    <n v="817446"/>
    <n v="695614"/>
    <n v="723342"/>
    <n v="44414"/>
    <n v="36815.088082889699"/>
    <n v="35604"/>
    <n v="18.405342741935399"/>
    <n v="19.537385752688099"/>
    <n v="19.647967156057899"/>
  </r>
  <r>
    <x v="1"/>
    <x v="98"/>
    <x v="0"/>
    <n v="1187393"/>
    <n v="1067583"/>
    <n v="1118900"/>
    <n v="63508"/>
    <n v="64065.809258510897"/>
    <n v="54738"/>
    <n v="18.696633064516099"/>
    <n v="19.503326612903201"/>
    <n v="17.464859694273699"/>
  </r>
  <r>
    <x v="1"/>
    <x v="98"/>
    <x v="3"/>
    <n v="1249248"/>
    <n v="1319679"/>
    <n v="1334696"/>
    <n v="63266"/>
    <n v="76421.776233198601"/>
    <n v="68339"/>
    <n v="19.745880376344001"/>
    <n v="19.310685483870898"/>
    <n v="17.464859694273699"/>
  </r>
  <r>
    <x v="1"/>
    <x v="98"/>
    <x v="5"/>
    <n v="1139532"/>
    <n v="1170970"/>
    <n v="1124838"/>
    <n v="65856"/>
    <n v="64405.7881535001"/>
    <n v="60708"/>
    <n v="17.303489583333299"/>
    <n v="19.288697916666599"/>
    <n v="17.464859694273699"/>
  </r>
  <r>
    <x v="4"/>
    <x v="11"/>
    <x v="2"/>
    <n v="458564"/>
    <n v="416162"/>
    <n v="438990"/>
    <n v="24195"/>
    <n v="4568.0532851196604"/>
    <n v="22277"/>
    <n v="18.952986111110999"/>
    <n v="18.681493055555499"/>
    <n v="96.1"/>
  </r>
  <r>
    <x v="9"/>
    <x v="97"/>
    <x v="2"/>
    <n v="661304"/>
    <n v="679674"/>
    <n v="651821"/>
    <n v="57650"/>
    <n v="61182.246666545398"/>
    <n v="39633"/>
    <n v="11.471006944444399"/>
    <n v="17.149270833333301"/>
    <n v="10.6537530266343"/>
  </r>
  <r>
    <x v="1"/>
    <x v="93"/>
    <x v="2"/>
    <n v="562501"/>
    <n v="494849"/>
    <n v="514633"/>
    <n v="32109"/>
    <n v="26192.6632517463"/>
    <n v="29267"/>
    <n v="17.5182291666667"/>
    <n v="16.908111111111101"/>
    <n v="19.647967156057899"/>
  </r>
  <r>
    <x v="1"/>
    <x v="98"/>
    <x v="4"/>
    <n v="1117393"/>
    <n v="1113516"/>
    <n v="1152569"/>
    <n v="68004"/>
    <n v="65993.626566487306"/>
    <n v="67368"/>
    <n v="16.4313239247311"/>
    <n v="16.528938172042999"/>
    <n v="17.464859694273699"/>
  </r>
  <r>
    <x v="1"/>
    <x v="99"/>
    <x v="2"/>
    <n v="1148547"/>
    <n v="1033362"/>
    <n v="988627"/>
    <n v="88871"/>
    <n v="70758.329275624099"/>
    <n v="68936"/>
    <n v="12.9237013888888"/>
    <n v="14.990159722222201"/>
    <n v="13.971887755419001"/>
  </r>
  <r>
    <x v="1"/>
    <x v="100"/>
    <x v="0"/>
    <n v="1253650"/>
    <n v="1074969"/>
    <n v="1102124"/>
    <n v="99585"/>
    <n v="78881.522060076604"/>
    <n v="72109"/>
    <n v="12.5887567204301"/>
    <n v="14.907506720430099"/>
    <n v="13.971887755419001"/>
  </r>
  <r>
    <x v="9"/>
    <x v="101"/>
    <x v="3"/>
    <n v="1065936"/>
    <n v="1087934"/>
    <n v="1116118"/>
    <n v="80805"/>
    <n v="75184.089641100902"/>
    <n v="74643"/>
    <n v="13.1914717741935"/>
    <n v="14.575241935483801"/>
    <n v="14.845130740132699"/>
  </r>
  <r>
    <x v="1"/>
    <x v="100"/>
    <x v="5"/>
    <n v="1053961"/>
    <n v="983161"/>
    <n v="1154067"/>
    <n v="82298"/>
    <n v="82599.217865344806"/>
    <n v="67948"/>
    <n v="12.806666666666599"/>
    <n v="14.46921875"/>
    <n v="13.971887755419001"/>
  </r>
  <r>
    <x v="9"/>
    <x v="101"/>
    <x v="0"/>
    <n v="1111855"/>
    <n v="1000164"/>
    <n v="989268"/>
    <n v="88301"/>
    <n v="66639.257849416303"/>
    <n v="69598"/>
    <n v="12.591673387096799"/>
    <n v="14.3705107526881"/>
    <n v="14.845130740132699"/>
  </r>
  <r>
    <x v="9"/>
    <x v="101"/>
    <x v="5"/>
    <n v="930383"/>
    <n v="953267"/>
    <n v="1007627"/>
    <n v="70360"/>
    <n v="67875.893660939997"/>
    <n v="66419"/>
    <n v="13.223177083333301"/>
    <n v="14.352395833333301"/>
    <n v="14.845130740132699"/>
  </r>
  <r>
    <x v="1"/>
    <x v="99"/>
    <x v="3"/>
    <n v="1236118"/>
    <n v="1183693"/>
    <n v="1244811"/>
    <n v="89209"/>
    <n v="89093.964351180693"/>
    <n v="83243"/>
    <n v="13.8564717741935"/>
    <n v="14.2197379032258"/>
    <n v="13.971887755419001"/>
  </r>
  <r>
    <x v="1"/>
    <x v="100"/>
    <x v="4"/>
    <n v="1082863"/>
    <n v="1035404"/>
    <n v="1089254"/>
    <n v="81075"/>
    <n v="77960.377335376907"/>
    <n v="72853"/>
    <n v="13.356310483870899"/>
    <n v="14.212211021505301"/>
    <n v="13.971887755419001"/>
  </r>
  <r>
    <x v="1"/>
    <x v="100"/>
    <x v="3"/>
    <n v="1258609"/>
    <n v="1158814"/>
    <n v="1189744"/>
    <n v="105768"/>
    <n v="85152.732667678007"/>
    <n v="83055"/>
    <n v="11.8997647849462"/>
    <n v="13.9522983870967"/>
    <n v="13.971887755419001"/>
  </r>
  <r>
    <x v="1"/>
    <x v="99"/>
    <x v="0"/>
    <n v="1263592"/>
    <n v="1083884"/>
    <n v="1063519"/>
    <n v="85039"/>
    <n v="76118.497816267598"/>
    <n v="79424"/>
    <n v="14.859005376343999"/>
    <n v="13.6468481182795"/>
    <n v="13.971887755419001"/>
  </r>
  <r>
    <x v="1"/>
    <x v="99"/>
    <x v="5"/>
    <n v="1029899"/>
    <n v="955543"/>
    <n v="1078437"/>
    <n v="78001"/>
    <n v="77186.187233842196"/>
    <n v="70440"/>
    <n v="13.203645833333301"/>
    <n v="13.565312499999999"/>
    <n v="13.971887755419001"/>
  </r>
  <r>
    <x v="1"/>
    <x v="100"/>
    <x v="2"/>
    <n v="1165952"/>
    <n v="1012839"/>
    <n v="1024514"/>
    <n v="122028"/>
    <n v="73326.784872190197"/>
    <n v="75587"/>
    <n v="9.5547569444444296"/>
    <n v="13.399701388888801"/>
    <n v="13.971887755419001"/>
  </r>
  <r>
    <x v="9"/>
    <x v="95"/>
    <x v="4"/>
    <n v="871338"/>
    <n v="721674"/>
    <n v="958053"/>
    <n v="48849"/>
    <n v="72636.043724580697"/>
    <n v="55690"/>
    <n v="17.837439516128999"/>
    <n v="12.9587970430107"/>
    <n v="13.189776457714499"/>
  </r>
  <r>
    <x v="9"/>
    <x v="101"/>
    <x v="4"/>
    <n v="974815"/>
    <n v="1020760"/>
    <n v="1069528"/>
    <n v="79900"/>
    <n v="72045.692363531096"/>
    <n v="79628"/>
    <n v="12.2004166666666"/>
    <n v="12.819173387096701"/>
    <n v="14.845130740132699"/>
  </r>
  <r>
    <x v="9"/>
    <x v="94"/>
    <x v="4"/>
    <n v="1096297"/>
    <n v="803194"/>
    <n v="1543298"/>
    <n v="76714"/>
    <n v="131760.14977041501"/>
    <n v="62760"/>
    <n v="14.2907728494623"/>
    <n v="12.7977688172043"/>
    <n v="11.712938172043"/>
  </r>
  <r>
    <x v="1"/>
    <x v="99"/>
    <x v="1"/>
    <n v="1148081"/>
    <n v="1067306"/>
    <n v="1031473"/>
    <n v="81376"/>
    <n v="73824.876334262095"/>
    <n v="83437"/>
    <n v="14.1084027777777"/>
    <n v="12.791770833333301"/>
    <n v="13.971887755419001"/>
  </r>
  <r>
    <x v="9"/>
    <x v="101"/>
    <x v="2"/>
    <n v="991635"/>
    <n v="936717"/>
    <n v="925316"/>
    <n v="88238"/>
    <n v="62331.2749209057"/>
    <n v="73258"/>
    <n v="11.2381597222222"/>
    <n v="12.7865208333333"/>
    <n v="14.845130740132699"/>
  </r>
  <r>
    <x v="9"/>
    <x v="95"/>
    <x v="5"/>
    <n v="833861"/>
    <n v="638112"/>
    <n v="863141"/>
    <n v="45356"/>
    <n v="65440.151390523199"/>
    <n v="50909"/>
    <n v="18.384635416666601"/>
    <n v="12.5343229166666"/>
    <n v="13.189776457714499"/>
  </r>
  <r>
    <x v="1"/>
    <x v="99"/>
    <x v="4"/>
    <n v="1059777"/>
    <n v="995607"/>
    <n v="1171838"/>
    <n v="82734"/>
    <n v="83871.148953762502"/>
    <n v="81243"/>
    <n v="12.8093884408602"/>
    <n v="12.254610215053701"/>
    <n v="13.971887755419001"/>
  </r>
  <r>
    <x v="1"/>
    <x v="100"/>
    <x v="1"/>
    <n v="1180435"/>
    <n v="1044238"/>
    <n v="1068914"/>
    <n v="94552"/>
    <n v="76504.644469779596"/>
    <n v="85315"/>
    <n v="12.4845486111111"/>
    <n v="12.2397916666666"/>
    <n v="13.971887755419001"/>
  </r>
  <r>
    <x v="9"/>
    <x v="94"/>
    <x v="5"/>
    <n v="2231847"/>
    <n v="785428"/>
    <n v="1314369"/>
    <n v="156793"/>
    <n v="112215.14865819"/>
    <n v="66528"/>
    <n v="14.234375"/>
    <n v="11.8060416666666"/>
    <n v="11.712938172043"/>
  </r>
  <r>
    <x v="9"/>
    <x v="102"/>
    <x v="5"/>
    <n v="603202"/>
    <n v="612858"/>
    <n v="657267"/>
    <n v="59849"/>
    <n v="65449.887473983603"/>
    <n v="52597"/>
    <n v="10.078645833333301"/>
    <n v="11.65203125"/>
    <n v="10.042294324207401"/>
  </r>
  <r>
    <x v="9"/>
    <x v="103"/>
    <x v="1"/>
    <n v="688852"/>
    <n v="730843"/>
    <n v="718926"/>
    <n v="64089"/>
    <n v="71589.769438144795"/>
    <n v="63187"/>
    <n v="10.7483055555555"/>
    <n v="11.566430555555501"/>
    <n v="10.042294324207401"/>
  </r>
  <r>
    <x v="9"/>
    <x v="104"/>
    <x v="3"/>
    <n v="1000551"/>
    <n v="1000801"/>
    <n v="1046710"/>
    <n v="85657"/>
    <n v="88788.684404030995"/>
    <n v="87587"/>
    <n v="11.680873655913899"/>
    <n v="11.426323924731101"/>
    <n v="11.7887802936347"/>
  </r>
  <r>
    <x v="9"/>
    <x v="104"/>
    <x v="0"/>
    <n v="838266"/>
    <n v="906853"/>
    <n v="894270"/>
    <n v="77060"/>
    <n v="75857.678209750797"/>
    <n v="79725"/>
    <n v="10.878084677419301"/>
    <n v="11.374717741935401"/>
    <n v="11.7887802936347"/>
  </r>
  <r>
    <x v="9"/>
    <x v="104"/>
    <x v="5"/>
    <n v="842265"/>
    <n v="832190"/>
    <n v="958073"/>
    <n v="81351"/>
    <n v="81269.881678709295"/>
    <n v="73759"/>
    <n v="10.3534375"/>
    <n v="11.2825520833333"/>
    <n v="11.7887802936347"/>
  </r>
  <r>
    <x v="9"/>
    <x v="103"/>
    <x v="3"/>
    <n v="775077"/>
    <n v="814927"/>
    <n v="867620"/>
    <n v="67714"/>
    <n v="86396.573600572694"/>
    <n v="72466"/>
    <n v="11.446317204301"/>
    <n v="11.2455846774193"/>
    <n v="10.042294324207401"/>
  </r>
  <r>
    <x v="9"/>
    <x v="101"/>
    <x v="1"/>
    <n v="998781"/>
    <n v="1000023"/>
    <n v="1044831"/>
    <n v="83744"/>
    <n v="70382.0881600844"/>
    <n v="89315"/>
    <n v="11.9266388888888"/>
    <n v="11.1965972222222"/>
    <n v="14.845130740132699"/>
  </r>
  <r>
    <x v="9"/>
    <x v="102"/>
    <x v="4"/>
    <n v="643587"/>
    <n v="634784"/>
    <n v="737445"/>
    <n v="64610"/>
    <n v="73433.916741750305"/>
    <n v="56982"/>
    <n v="9.9611223118279497"/>
    <n v="11.1400201612903"/>
    <n v="10.042294324207401"/>
  </r>
  <r>
    <x v="9"/>
    <x v="102"/>
    <x v="3"/>
    <n v="707382"/>
    <n v="705803"/>
    <n v="717929"/>
    <n v="68503"/>
    <n v="71490.500340086495"/>
    <n v="63958"/>
    <n v="10.326223118279501"/>
    <n v="11.035443548387001"/>
    <n v="10.042294324207401"/>
  </r>
  <r>
    <x v="9"/>
    <x v="104"/>
    <x v="2"/>
    <n v="739292"/>
    <n v="865040"/>
    <n v="831296"/>
    <n v="78296"/>
    <n v="70515.876366687997"/>
    <n v="79067"/>
    <n v="9.4423194444444398"/>
    <n v="10.9406111111111"/>
    <n v="11.7887802936347"/>
  </r>
  <r>
    <x v="9"/>
    <x v="103"/>
    <x v="5"/>
    <n v="655011"/>
    <n v="689677"/>
    <n v="756620"/>
    <n v="58115"/>
    <n v="75343.304495281802"/>
    <n v="63412"/>
    <n v="11.270937499999899"/>
    <n v="10.8761458333333"/>
    <n v="10.042294324207401"/>
  </r>
  <r>
    <x v="9"/>
    <x v="103"/>
    <x v="2"/>
    <n v="647603"/>
    <n v="686892"/>
    <n v="689063"/>
    <n v="65478"/>
    <n v="68616.064542042106"/>
    <n v="63160"/>
    <n v="9.8903680555555606"/>
    <n v="10.875374999999901"/>
    <n v="10.042294324207401"/>
  </r>
  <r>
    <x v="9"/>
    <x v="97"/>
    <x v="5"/>
    <n v="641092"/>
    <n v="550399"/>
    <n v="650489"/>
    <n v="43798"/>
    <n v="61057.2690275227"/>
    <n v="50739"/>
    <n v="14.637499999999999"/>
    <n v="10.847604166666599"/>
    <n v="10.6537530266343"/>
  </r>
  <r>
    <x v="9"/>
    <x v="104"/>
    <x v="4"/>
    <n v="909841"/>
    <n v="939055"/>
    <n v="1061138"/>
    <n v="89639"/>
    <n v="90012.555732584806"/>
    <n v="86800"/>
    <n v="10.1500940860215"/>
    <n v="10.818669354838701"/>
    <n v="11.7887802936347"/>
  </r>
  <r>
    <x v="9"/>
    <x v="105"/>
    <x v="0"/>
    <n v="539280"/>
    <n v="529454"/>
    <n v="523131"/>
    <n v="52881"/>
    <n v="52188.0795873487"/>
    <n v="49199"/>
    <n v="10.1979368279569"/>
    <n v="10.7615120967741"/>
    <n v="10.0239560630779"/>
  </r>
  <r>
    <x v="9"/>
    <x v="106"/>
    <x v="2"/>
    <n v="673473"/>
    <n v="600190"/>
    <n v="594707"/>
    <n v="85114"/>
    <n v="59220.215998492597"/>
    <n v="57155"/>
    <n v="7.9126250000000002"/>
    <n v="10.501166666666601"/>
    <n v="10.042294324207401"/>
  </r>
  <r>
    <x v="9"/>
    <x v="103"/>
    <x v="0"/>
    <n v="693710"/>
    <n v="752476"/>
    <n v="741261"/>
    <n v="65774"/>
    <n v="73813.9496283388"/>
    <n v="71737"/>
    <n v="10.546948924731099"/>
    <n v="10.4894153225806"/>
    <n v="10.042294324207401"/>
  </r>
  <r>
    <x v="9"/>
    <x v="97"/>
    <x v="4"/>
    <n v="663685"/>
    <n v="548450"/>
    <n v="785405"/>
    <n v="43713"/>
    <n v="73720.966201909003"/>
    <n v="52483"/>
    <n v="15.1828024193548"/>
    <n v="10.4499462365591"/>
    <n v="10.6537530266343"/>
  </r>
  <r>
    <x v="9"/>
    <x v="103"/>
    <x v="4"/>
    <n v="677601"/>
    <n v="750959"/>
    <n v="829833"/>
    <n v="63462"/>
    <n v="82633.766737910599"/>
    <n v="72009"/>
    <n v="10.6773051075268"/>
    <n v="10.428682795698901"/>
    <n v="10.042294324207401"/>
  </r>
  <r>
    <x v="9"/>
    <x v="102"/>
    <x v="0"/>
    <n v="657953"/>
    <n v="605059"/>
    <n v="613345"/>
    <n v="68767"/>
    <n v="61076.217754492798"/>
    <n v="58592"/>
    <n v="9.5677956989247299"/>
    <n v="10.3265994623655"/>
    <n v="10.042294324207401"/>
  </r>
  <r>
    <x v="9"/>
    <x v="102"/>
    <x v="2"/>
    <n v="597876"/>
    <n v="580203"/>
    <n v="570132"/>
    <n v="66121"/>
    <n v="56773.042543243399"/>
    <n v="56207"/>
    <n v="9.0421527777777797"/>
    <n v="10.322569444444399"/>
    <n v="10.042294324207401"/>
  </r>
  <r>
    <x v="9"/>
    <x v="105"/>
    <x v="2"/>
    <n v="496952"/>
    <n v="506384"/>
    <n v="511310"/>
    <n v="51190"/>
    <n v="51008.839871450502"/>
    <n v="49866"/>
    <n v="9.7079305555555599"/>
    <n v="10.154958333333299"/>
    <n v="10.0239560630779"/>
  </r>
  <r>
    <x v="9"/>
    <x v="105"/>
    <x v="5"/>
    <n v="486083"/>
    <n v="482613"/>
    <n v="501861"/>
    <n v="51398"/>
    <n v="50066.158744304899"/>
    <n v="48026"/>
    <n v="9.4572395833333296"/>
    <n v="10.049010416666601"/>
    <n v="10.0239560630779"/>
  </r>
  <r>
    <x v="9"/>
    <x v="106"/>
    <x v="3"/>
    <n v="742546"/>
    <n v="686383"/>
    <n v="698688"/>
    <n v="73555"/>
    <n v="69574.495254115405"/>
    <n v="68484"/>
    <n v="10.0951478494623"/>
    <n v="10.022466397849399"/>
    <n v="10.042294324207401"/>
  </r>
  <r>
    <x v="9"/>
    <x v="107"/>
    <x v="3"/>
    <n v="647020"/>
    <n v="676448"/>
    <n v="680245"/>
    <n v="62177"/>
    <n v="67737.987190859101"/>
    <n v="67538"/>
    <n v="10.406102150537601"/>
    <n v="10.015786290322501"/>
    <n v="10.042294324207401"/>
  </r>
  <r>
    <x v="9"/>
    <x v="106"/>
    <x v="5"/>
    <n v="627573"/>
    <n v="604072"/>
    <n v="656582"/>
    <n v="63035"/>
    <n v="65381.702587353699"/>
    <n v="60405"/>
    <n v="9.9559374999999992"/>
    <n v="10.000364583333299"/>
    <n v="10.042294324207401"/>
  </r>
  <r>
    <x v="9"/>
    <x v="105"/>
    <x v="3"/>
    <n v="566105"/>
    <n v="559020"/>
    <n v="587243"/>
    <n v="61046"/>
    <n v="58583.964674689501"/>
    <n v="56015"/>
    <n v="9.2733534946236507"/>
    <n v="9.9797983870967695"/>
    <n v="10.0239560630779"/>
  </r>
  <r>
    <x v="9"/>
    <x v="106"/>
    <x v="4"/>
    <n v="630542"/>
    <n v="609575"/>
    <n v="675158"/>
    <n v="64714"/>
    <n v="67231.475228972195"/>
    <n v="61258"/>
    <n v="9.7435013440860203"/>
    <n v="9.9508669354838695"/>
    <n v="10.042294324207401"/>
  </r>
  <r>
    <x v="9"/>
    <x v="106"/>
    <x v="0"/>
    <n v="708196"/>
    <n v="640877"/>
    <n v="639758"/>
    <n v="80486"/>
    <n v="63706.335748179903"/>
    <n v="64598"/>
    <n v="8.7989717741935607"/>
    <n v="9.9210416666666603"/>
    <n v="10.042294324207401"/>
  </r>
  <r>
    <x v="9"/>
    <x v="102"/>
    <x v="1"/>
    <n v="636295"/>
    <n v="613405"/>
    <n v="594864"/>
    <n v="57072"/>
    <n v="59235.841919714803"/>
    <n v="61981"/>
    <n v="11.1490069444444"/>
    <n v="9.8966388888888801"/>
    <n v="10.042294324207401"/>
  </r>
  <r>
    <x v="9"/>
    <x v="104"/>
    <x v="1"/>
    <n v="864911"/>
    <n v="911123"/>
    <n v="867323"/>
    <n v="89430"/>
    <n v="73571.915872272206"/>
    <n v="93757"/>
    <n v="9.6714236111111198"/>
    <n v="9.7178958333333298"/>
    <n v="11.7887802936347"/>
  </r>
  <r>
    <x v="9"/>
    <x v="105"/>
    <x v="1"/>
    <n v="502669"/>
    <n v="505348"/>
    <n v="507368"/>
    <n v="50603"/>
    <n v="50615.5354240655"/>
    <n v="52319"/>
    <n v="9.9336319444444499"/>
    <n v="9.6589305555555498"/>
    <n v="10.0239560630779"/>
  </r>
  <r>
    <x v="9"/>
    <x v="105"/>
    <x v="4"/>
    <n v="492038"/>
    <n v="508066"/>
    <n v="526299"/>
    <n v="56360"/>
    <n v="52504.135272355998"/>
    <n v="52727"/>
    <n v="8.7301948924731203"/>
    <n v="9.6358198924731102"/>
    <n v="10.0239560630779"/>
  </r>
  <r>
    <x v="9"/>
    <x v="107"/>
    <x v="5"/>
    <n v="565192"/>
    <n v="543513"/>
    <n v="591618"/>
    <n v="58155"/>
    <n v="58912.666368867103"/>
    <n v="58454"/>
    <n v="9.7188020833333297"/>
    <n v="9.2980729166666602"/>
    <n v="10.042294324207401"/>
  </r>
  <r>
    <x v="9"/>
    <x v="106"/>
    <x v="1"/>
    <n v="679758"/>
    <n v="657392"/>
    <n v="680528"/>
    <n v="71246"/>
    <n v="67766.156411046002"/>
    <n v="70822"/>
    <n v="9.5409999999999897"/>
    <n v="9.2822430555555506"/>
    <n v="10.042294324207401"/>
  </r>
  <r>
    <x v="9"/>
    <x v="107"/>
    <x v="2"/>
    <n v="592249"/>
    <n v="553282"/>
    <n v="540203"/>
    <n v="68246"/>
    <n v="53792.800664865499"/>
    <n v="60839"/>
    <n v="8.6781041666666603"/>
    <n v="9.0941666666666592"/>
    <n v="10.042294324207401"/>
  </r>
  <r>
    <x v="9"/>
    <x v="107"/>
    <x v="0"/>
    <n v="629010"/>
    <n v="585529"/>
    <n v="581150"/>
    <n v="71932"/>
    <n v="57870.213084584801"/>
    <n v="64438"/>
    <n v="8.7444959677419707"/>
    <n v="9.0866868279569797"/>
    <n v="10.042294324207401"/>
  </r>
  <r>
    <x v="9"/>
    <x v="108"/>
    <x v="5"/>
    <n v="465796"/>
    <n v="405482"/>
    <n v="483203"/>
    <n v="59966"/>
    <n v="59272.734187432899"/>
    <n v="45806"/>
    <n v="7.7676041666666604"/>
    <n v="8.8522395833333292"/>
    <n v="8.1521894564878892"/>
  </r>
  <r>
    <x v="9"/>
    <x v="108"/>
    <x v="2"/>
    <n v="489090"/>
    <n v="433722"/>
    <n v="435373"/>
    <n v="74037"/>
    <n v="53405.598474347302"/>
    <n v="49390"/>
    <n v="6.6060069444444398"/>
    <n v="8.7815972222222207"/>
    <n v="8.1521894564878892"/>
  </r>
  <r>
    <x v="9"/>
    <x v="108"/>
    <x v="4"/>
    <n v="465374"/>
    <n v="430620"/>
    <n v="528953"/>
    <n v="61208"/>
    <n v="64884.803833776699"/>
    <n v="49112"/>
    <n v="7.6031384408602101"/>
    <n v="8.7681115591397791"/>
    <n v="8.1521894564878892"/>
  </r>
  <r>
    <x v="9"/>
    <x v="108"/>
    <x v="0"/>
    <n v="534897"/>
    <n v="451697"/>
    <n v="468353"/>
    <n v="66918"/>
    <n v="57451.2424790695"/>
    <n v="52242"/>
    <n v="7.9933602150537704"/>
    <n v="8.6461760752688193"/>
    <n v="8.1521894564878892"/>
  </r>
  <r>
    <x v="9"/>
    <x v="107"/>
    <x v="4"/>
    <n v="582226"/>
    <n v="556142"/>
    <n v="645004"/>
    <n v="57948"/>
    <n v="64228.781300024901"/>
    <n v="65097"/>
    <n v="10.0473991935483"/>
    <n v="8.5433400537634405"/>
    <n v="10.042294324207401"/>
  </r>
  <r>
    <x v="9"/>
    <x v="107"/>
    <x v="1"/>
    <n v="612963"/>
    <n v="563740"/>
    <n v="563638"/>
    <n v="66058"/>
    <n v="56126.441339338497"/>
    <n v="67377"/>
    <n v="9.27922916666666"/>
    <n v="8.3669930555555503"/>
    <n v="10.042294324207401"/>
  </r>
  <r>
    <x v="9"/>
    <x v="108"/>
    <x v="3"/>
    <n v="553833"/>
    <n v="462706"/>
    <n v="478015"/>
    <n v="67139"/>
    <n v="58636.340292554603"/>
    <n v="56164"/>
    <n v="8.2490860215053701"/>
    <n v="8.2385483870967704"/>
    <n v="8.1521894564878892"/>
  </r>
  <r>
    <x v="9"/>
    <x v="109"/>
    <x v="0"/>
    <n v="289312"/>
    <n v="282492"/>
    <n v="274201"/>
    <n v="42337"/>
    <n v="34889.186349674899"/>
    <n v="34728"/>
    <n v="6.8336088709677396"/>
    <n v="8.1343481182795703"/>
    <n v="7.85918686242319"/>
  </r>
  <r>
    <x v="9"/>
    <x v="109"/>
    <x v="5"/>
    <n v="277172"/>
    <n v="235334"/>
    <n v="269622"/>
    <n v="38726"/>
    <n v="34306.549827582101"/>
    <n v="28980"/>
    <n v="7.1571875"/>
    <n v="8.1205208333333303"/>
    <n v="7.85918686242319"/>
  </r>
  <r>
    <x v="9"/>
    <x v="108"/>
    <x v="1"/>
    <n v="498743"/>
    <n v="430969"/>
    <n v="444233"/>
    <n v="60956"/>
    <n v="54492.477005236702"/>
    <n v="53572"/>
    <n v="8.1820763888888894"/>
    <n v="8.0446527777777703"/>
    <n v="8.1521894564878892"/>
  </r>
  <r>
    <x v="9"/>
    <x v="109"/>
    <x v="3"/>
    <n v="311549"/>
    <n v="275302"/>
    <n v="290866"/>
    <n v="38864"/>
    <n v="37009.736820320097"/>
    <n v="34374"/>
    <n v="8.0164583333333308"/>
    <n v="8.0089784946236495"/>
    <n v="7.85918686242319"/>
  </r>
  <r>
    <x v="9"/>
    <x v="109"/>
    <x v="2"/>
    <n v="260068"/>
    <n v="266533"/>
    <n v="254892"/>
    <n v="35678"/>
    <n v="32432.333937586202"/>
    <n v="33333"/>
    <n v="7.2893819444444503"/>
    <n v="7.9959444444444401"/>
    <n v="7.85918686242319"/>
  </r>
  <r>
    <x v="0"/>
    <x v="3"/>
    <x v="3"/>
    <m/>
    <m/>
    <m/>
    <m/>
    <n v="0"/>
    <m/>
    <m/>
    <n v="7.7687768817204299"/>
    <n v="87.909090308325105"/>
  </r>
  <r>
    <x v="9"/>
    <x v="109"/>
    <x v="1"/>
    <n v="292776"/>
    <n v="267989"/>
    <n v="265938"/>
    <n v="39798"/>
    <n v="33837.896738595096"/>
    <n v="35962"/>
    <n v="7.3565138888888804"/>
    <n v="7.4520833333333298"/>
    <n v="7.85918686242319"/>
  </r>
  <r>
    <x v="9"/>
    <x v="110"/>
    <x v="5"/>
    <n v="312656"/>
    <n v="317773"/>
    <n v="315892"/>
    <n v="48295"/>
    <n v="42558.287094907202"/>
    <n v="44608"/>
    <n v="6.4739062499999998"/>
    <n v="7.1236979166666599"/>
    <n v="7.4225653700663496"/>
  </r>
  <r>
    <x v="9"/>
    <x v="110"/>
    <x v="3"/>
    <n v="375877"/>
    <n v="357973"/>
    <n v="376309"/>
    <n v="54713"/>
    <n v="50698.007931001302"/>
    <n v="51045"/>
    <n v="6.87002016129032"/>
    <n v="7.0129368279569899"/>
    <n v="7.4225653700663496"/>
  </r>
  <r>
    <x v="9"/>
    <x v="109"/>
    <x v="4"/>
    <n v="281217"/>
    <n v="249564"/>
    <n v="295071"/>
    <n v="46198"/>
    <n v="37544.722076886901"/>
    <n v="36709"/>
    <n v="6.0871774193548296"/>
    <n v="6.7983736559139798"/>
    <n v="7.85918686242319"/>
  </r>
  <r>
    <x v="9"/>
    <x v="111"/>
    <x v="4"/>
    <n v="151114"/>
    <n v="140000"/>
    <n v="158706"/>
    <n v="22571"/>
    <n v="24633.2419648547"/>
    <n v="21588"/>
    <n v="6.6951142473118201"/>
    <n v="6.4851142473118299"/>
    <n v="6.4427386872759902"/>
  </r>
  <r>
    <x v="9"/>
    <x v="110"/>
    <x v="4"/>
    <n v="321626"/>
    <n v="334725"/>
    <n v="346115"/>
    <n v="54648"/>
    <n v="46630.070271365701"/>
    <n v="52250"/>
    <n v="5.8854099462365497"/>
    <n v="6.4062231182795699"/>
    <n v="7.4225653700663496"/>
  </r>
  <r>
    <x v="9"/>
    <x v="110"/>
    <x v="1"/>
    <n v="343397"/>
    <n v="346279"/>
    <n v="365159"/>
    <n v="74105"/>
    <n v="49195.819611452702"/>
    <n v="54128"/>
    <n v="4.6339027777777702"/>
    <n v="6.3973680555555497"/>
    <n v="7.4225653700663496"/>
  </r>
  <r>
    <x v="9"/>
    <x v="111"/>
    <x v="0"/>
    <n v="155417"/>
    <n v="140259"/>
    <n v="141526"/>
    <n v="23509"/>
    <n v="21966.780459295202"/>
    <n v="21976"/>
    <n v="6.6110954301075298"/>
    <n v="6.3822311827957003"/>
    <n v="6.4427386872759902"/>
  </r>
  <r>
    <x v="9"/>
    <x v="111"/>
    <x v="5"/>
    <n v="146358"/>
    <n v="127168"/>
    <n v="131467"/>
    <n v="22783"/>
    <n v="20405.459848874401"/>
    <n v="20334"/>
    <n v="6.4238541666666604"/>
    <n v="6.2539583333333297"/>
    <n v="6.4427386872759902"/>
  </r>
  <r>
    <x v="9"/>
    <x v="111"/>
    <x v="3"/>
    <n v="154463"/>
    <n v="142976"/>
    <n v="146275"/>
    <n v="26983"/>
    <n v="22703.842946305402"/>
    <n v="22963"/>
    <n v="5.7243817204300997"/>
    <n v="6.2264717741935396"/>
    <n v="6.4427386872759902"/>
  </r>
  <r>
    <x v="9"/>
    <x v="110"/>
    <x v="0"/>
    <n v="359753"/>
    <n v="342288"/>
    <n v="340074"/>
    <n v="80186"/>
    <n v="45816.2448082232"/>
    <n v="55241"/>
    <n v="4.4864919354838602"/>
    <n v="6.19622311827957"/>
    <n v="7.4225653700663496"/>
  </r>
  <r>
    <x v="9"/>
    <x v="111"/>
    <x v="2"/>
    <n v="131548"/>
    <n v="132268"/>
    <n v="131277"/>
    <n v="24533"/>
    <n v="20376.016050327202"/>
    <n v="22360"/>
    <n v="5.3620972222222099"/>
    <n v="5.9153888888888799"/>
    <n v="6.4427386872759902"/>
  </r>
  <r>
    <x v="9"/>
    <x v="110"/>
    <x v="2"/>
    <n v="335763"/>
    <n v="330401"/>
    <n v="331844"/>
    <n v="60341"/>
    <n v="44707.452040538003"/>
    <n v="56187"/>
    <n v="5.5644652777777699"/>
    <n v="5.88034027777777"/>
    <n v="7.4225653700663496"/>
  </r>
  <r>
    <x v="9"/>
    <x v="111"/>
    <x v="1"/>
    <n v="152157"/>
    <n v="138856"/>
    <n v="137140"/>
    <n v="24250"/>
    <n v="21285.951729012701"/>
    <n v="24854"/>
    <n v="6.27438194444444"/>
    <n v="5.5867777777777796"/>
    <n v="6.4427386872759902"/>
  </r>
  <r>
    <x v="8"/>
    <x v="75"/>
    <x v="0"/>
    <m/>
    <m/>
    <m/>
    <m/>
    <n v="0"/>
    <m/>
    <m/>
    <n v="3.0954301075268802E-2"/>
    <m/>
  </r>
  <r>
    <x v="0"/>
    <x v="3"/>
    <x v="1"/>
    <n v="109"/>
    <m/>
    <m/>
    <m/>
    <n v="0"/>
    <m/>
    <m/>
    <n v="1.8229166666666598E-2"/>
    <n v="87.909090308325105"/>
  </r>
  <r>
    <x v="8"/>
    <x v="75"/>
    <x v="4"/>
    <m/>
    <m/>
    <m/>
    <m/>
    <n v="0"/>
    <m/>
    <m/>
    <m/>
    <m/>
  </r>
  <r>
    <x v="10"/>
    <x v="112"/>
    <x v="4"/>
    <m/>
    <m/>
    <m/>
    <m/>
    <n v="0"/>
    <m/>
    <m/>
    <m/>
    <m/>
  </r>
  <r>
    <x v="10"/>
    <x v="113"/>
    <x v="4"/>
    <m/>
    <m/>
    <m/>
    <m/>
    <n v="0"/>
    <m/>
    <m/>
    <m/>
    <m/>
  </r>
  <r>
    <x v="10"/>
    <x v="114"/>
    <x v="4"/>
    <m/>
    <m/>
    <m/>
    <m/>
    <n v="0"/>
    <m/>
    <m/>
    <m/>
    <m/>
  </r>
  <r>
    <x v="10"/>
    <x v="115"/>
    <x v="4"/>
    <n v="2577978"/>
    <n v="4440576"/>
    <n v="4374319"/>
    <m/>
    <n v="0"/>
    <m/>
    <m/>
    <m/>
    <m/>
  </r>
  <r>
    <x v="10"/>
    <x v="116"/>
    <x v="4"/>
    <m/>
    <m/>
    <m/>
    <m/>
    <n v="0"/>
    <m/>
    <m/>
    <m/>
    <m/>
  </r>
  <r>
    <x v="3"/>
    <x v="117"/>
    <x v="4"/>
    <n v="5190041"/>
    <m/>
    <n v="5300979"/>
    <n v="55382"/>
    <n v="63106.890682142803"/>
    <m/>
    <n v="93.712735215053698"/>
    <m/>
    <n v="84"/>
  </r>
  <r>
    <x v="3"/>
    <x v="118"/>
    <x v="4"/>
    <n v="6021223"/>
    <m/>
    <n v="7107086"/>
    <n v="71055"/>
    <n v="84608.166271428505"/>
    <m/>
    <n v="84.740315860215006"/>
    <m/>
    <n v="84"/>
  </r>
  <r>
    <x v="4"/>
    <x v="119"/>
    <x v="4"/>
    <m/>
    <m/>
    <m/>
    <m/>
    <n v="0"/>
    <m/>
    <m/>
    <m/>
    <m/>
  </r>
  <r>
    <x v="8"/>
    <x v="75"/>
    <x v="5"/>
    <m/>
    <m/>
    <m/>
    <m/>
    <n v="0"/>
    <m/>
    <m/>
    <m/>
    <m/>
  </r>
  <r>
    <x v="10"/>
    <x v="112"/>
    <x v="5"/>
    <m/>
    <m/>
    <m/>
    <m/>
    <n v="0"/>
    <m/>
    <m/>
    <m/>
    <m/>
  </r>
  <r>
    <x v="10"/>
    <x v="113"/>
    <x v="5"/>
    <m/>
    <m/>
    <m/>
    <m/>
    <n v="0"/>
    <m/>
    <m/>
    <m/>
    <m/>
  </r>
  <r>
    <x v="10"/>
    <x v="114"/>
    <x v="5"/>
    <m/>
    <m/>
    <m/>
    <m/>
    <n v="0"/>
    <m/>
    <m/>
    <m/>
    <m/>
  </r>
  <r>
    <x v="10"/>
    <x v="115"/>
    <x v="5"/>
    <n v="2869576"/>
    <n v="3853613"/>
    <n v="3835536"/>
    <m/>
    <n v="0"/>
    <m/>
    <m/>
    <m/>
    <m/>
  </r>
  <r>
    <x v="10"/>
    <x v="116"/>
    <x v="5"/>
    <m/>
    <m/>
    <m/>
    <m/>
    <n v="0"/>
    <m/>
    <m/>
    <m/>
    <m/>
  </r>
  <r>
    <x v="3"/>
    <x v="117"/>
    <x v="5"/>
    <n v="4870628"/>
    <m/>
    <n v="4992866"/>
    <n v="55258"/>
    <n v="59438.877825000003"/>
    <m/>
    <n v="88.1438541666666"/>
    <m/>
    <n v="84"/>
  </r>
  <r>
    <x v="3"/>
    <x v="118"/>
    <x v="5"/>
    <n v="5620898"/>
    <m/>
    <n v="7438916"/>
    <n v="63928"/>
    <n v="88558.527017857094"/>
    <m/>
    <n v="87.925416666666607"/>
    <m/>
    <n v="84"/>
  </r>
  <r>
    <x v="4"/>
    <x v="119"/>
    <x v="5"/>
    <m/>
    <m/>
    <m/>
    <m/>
    <n v="0"/>
    <m/>
    <m/>
    <m/>
    <m/>
  </r>
  <r>
    <x v="8"/>
    <x v="75"/>
    <x v="3"/>
    <m/>
    <m/>
    <m/>
    <m/>
    <n v="0"/>
    <m/>
    <m/>
    <m/>
    <m/>
  </r>
  <r>
    <x v="10"/>
    <x v="112"/>
    <x v="3"/>
    <m/>
    <m/>
    <m/>
    <m/>
    <n v="0"/>
    <m/>
    <m/>
    <m/>
    <m/>
  </r>
  <r>
    <x v="10"/>
    <x v="113"/>
    <x v="3"/>
    <m/>
    <m/>
    <m/>
    <m/>
    <n v="0"/>
    <m/>
    <m/>
    <m/>
    <m/>
  </r>
  <r>
    <x v="10"/>
    <x v="114"/>
    <x v="3"/>
    <m/>
    <m/>
    <m/>
    <m/>
    <n v="0"/>
    <m/>
    <m/>
    <m/>
    <m/>
  </r>
  <r>
    <x v="10"/>
    <x v="115"/>
    <x v="3"/>
    <n v="3976375"/>
    <n v="5911646"/>
    <n v="4791471"/>
    <m/>
    <n v="0"/>
    <m/>
    <m/>
    <m/>
    <m/>
  </r>
  <r>
    <x v="10"/>
    <x v="116"/>
    <x v="3"/>
    <m/>
    <m/>
    <m/>
    <m/>
    <n v="0"/>
    <m/>
    <m/>
    <m/>
    <m/>
  </r>
  <r>
    <x v="3"/>
    <x v="117"/>
    <x v="3"/>
    <n v="5888404"/>
    <m/>
    <n v="5316989"/>
    <n v="73717"/>
    <n v="63297.4906214285"/>
    <m/>
    <n v="79.878985215053703"/>
    <m/>
    <n v="84"/>
  </r>
  <r>
    <x v="3"/>
    <x v="118"/>
    <x v="3"/>
    <n v="6998675"/>
    <m/>
    <n v="9170612"/>
    <n v="83320"/>
    <n v="109173.94922738"/>
    <m/>
    <n v="83.997130376344103"/>
    <m/>
    <n v="84"/>
  </r>
  <r>
    <x v="4"/>
    <x v="119"/>
    <x v="3"/>
    <m/>
    <m/>
    <m/>
    <m/>
    <n v="0"/>
    <m/>
    <m/>
    <m/>
    <m/>
  </r>
  <r>
    <x v="8"/>
    <x v="75"/>
    <x v="1"/>
    <m/>
    <m/>
    <m/>
    <m/>
    <n v="0"/>
    <m/>
    <m/>
    <m/>
    <m/>
  </r>
  <r>
    <x v="10"/>
    <x v="112"/>
    <x v="1"/>
    <m/>
    <m/>
    <m/>
    <m/>
    <n v="0"/>
    <m/>
    <m/>
    <m/>
    <m/>
  </r>
  <r>
    <x v="10"/>
    <x v="113"/>
    <x v="1"/>
    <m/>
    <m/>
    <m/>
    <m/>
    <n v="0"/>
    <m/>
    <m/>
    <m/>
    <m/>
  </r>
  <r>
    <x v="10"/>
    <x v="114"/>
    <x v="1"/>
    <m/>
    <m/>
    <n v="2048"/>
    <m/>
    <n v="0"/>
    <m/>
    <m/>
    <m/>
    <m/>
  </r>
  <r>
    <x v="10"/>
    <x v="115"/>
    <x v="1"/>
    <n v="5313922"/>
    <n v="5872806"/>
    <n v="5841651"/>
    <m/>
    <n v="0"/>
    <m/>
    <m/>
    <m/>
    <m/>
  </r>
  <r>
    <x v="10"/>
    <x v="96"/>
    <x v="1"/>
    <m/>
    <m/>
    <m/>
    <m/>
    <n v="0"/>
    <m/>
    <m/>
    <m/>
    <m/>
  </r>
  <r>
    <x v="10"/>
    <x v="116"/>
    <x v="1"/>
    <m/>
    <m/>
    <m/>
    <m/>
    <n v="0"/>
    <m/>
    <m/>
    <m/>
    <m/>
  </r>
  <r>
    <x v="3"/>
    <x v="117"/>
    <x v="1"/>
    <n v="5455207"/>
    <m/>
    <n v="4985652"/>
    <n v="74542"/>
    <n v="59352.996215476203"/>
    <m/>
    <n v="73.182909722224693"/>
    <m/>
    <n v="84"/>
  </r>
  <r>
    <x v="3"/>
    <x v="118"/>
    <x v="1"/>
    <n v="6011149"/>
    <m/>
    <n v="6618090"/>
    <n v="84003"/>
    <n v="78786.790186904705"/>
    <m/>
    <n v="71.558326388891203"/>
    <m/>
    <n v="84"/>
  </r>
  <r>
    <x v="4"/>
    <x v="119"/>
    <x v="1"/>
    <m/>
    <m/>
    <n v="3351982"/>
    <m/>
    <m/>
    <m/>
    <n v="16.999791666666798"/>
    <m/>
    <m/>
  </r>
  <r>
    <x v="10"/>
    <x v="112"/>
    <x v="0"/>
    <m/>
    <m/>
    <m/>
    <m/>
    <n v="0"/>
    <m/>
    <m/>
    <m/>
    <m/>
  </r>
  <r>
    <x v="10"/>
    <x v="113"/>
    <x v="0"/>
    <m/>
    <m/>
    <m/>
    <m/>
    <n v="0"/>
    <m/>
    <m/>
    <m/>
    <m/>
  </r>
  <r>
    <x v="10"/>
    <x v="114"/>
    <x v="0"/>
    <m/>
    <m/>
    <n v="2033"/>
    <m/>
    <n v="0"/>
    <m/>
    <m/>
    <m/>
    <m/>
  </r>
  <r>
    <x v="10"/>
    <x v="115"/>
    <x v="0"/>
    <n v="3286175"/>
    <n v="3797712"/>
    <n v="3789598"/>
    <m/>
    <n v="0"/>
    <m/>
    <m/>
    <m/>
    <m/>
  </r>
  <r>
    <x v="10"/>
    <x v="96"/>
    <x v="0"/>
    <m/>
    <m/>
    <m/>
    <m/>
    <n v="0"/>
    <m/>
    <m/>
    <m/>
    <m/>
  </r>
  <r>
    <x v="10"/>
    <x v="116"/>
    <x v="0"/>
    <m/>
    <m/>
    <m/>
    <m/>
    <n v="0"/>
    <m/>
    <m/>
    <m/>
    <m/>
  </r>
  <r>
    <x v="3"/>
    <x v="117"/>
    <x v="0"/>
    <n v="5822326"/>
    <m/>
    <n v="5344461"/>
    <n v="84942"/>
    <n v="63624.533322618998"/>
    <m/>
    <n v="68.544489247312001"/>
    <m/>
    <n v="84"/>
  </r>
  <r>
    <x v="3"/>
    <x v="118"/>
    <x v="0"/>
    <n v="6172300"/>
    <m/>
    <n v="6786297"/>
    <n v="86487"/>
    <n v="80789.244526190407"/>
    <m/>
    <n v="71.366458333333199"/>
    <m/>
    <n v="84"/>
  </r>
  <r>
    <x v="4"/>
    <x v="119"/>
    <x v="0"/>
    <m/>
    <m/>
    <n v="3188376"/>
    <m/>
    <m/>
    <m/>
    <n v="56.135248655915099"/>
    <m/>
    <m/>
  </r>
  <r>
    <x v="0"/>
    <x v="3"/>
    <x v="0"/>
    <m/>
    <m/>
    <m/>
    <m/>
    <n v="0"/>
    <m/>
    <m/>
    <m/>
    <n v="87.909090308325105"/>
  </r>
  <r>
    <x v="8"/>
    <x v="75"/>
    <x v="2"/>
    <m/>
    <m/>
    <m/>
    <m/>
    <n v="0"/>
    <m/>
    <m/>
    <m/>
    <m/>
  </r>
  <r>
    <x v="10"/>
    <x v="112"/>
    <x v="2"/>
    <m/>
    <m/>
    <m/>
    <m/>
    <n v="0"/>
    <m/>
    <m/>
    <m/>
    <m/>
  </r>
  <r>
    <x v="10"/>
    <x v="113"/>
    <x v="2"/>
    <m/>
    <m/>
    <m/>
    <m/>
    <n v="0"/>
    <m/>
    <m/>
    <m/>
    <m/>
  </r>
  <r>
    <x v="10"/>
    <x v="114"/>
    <x v="2"/>
    <n v="199"/>
    <m/>
    <n v="2043"/>
    <m/>
    <n v="0"/>
    <m/>
    <m/>
    <m/>
    <m/>
  </r>
  <r>
    <x v="10"/>
    <x v="115"/>
    <x v="2"/>
    <n v="3030814"/>
    <n v="3264862"/>
    <n v="3127556"/>
    <m/>
    <n v="0"/>
    <m/>
    <m/>
    <m/>
    <m/>
  </r>
  <r>
    <x v="10"/>
    <x v="96"/>
    <x v="2"/>
    <n v="142"/>
    <m/>
    <m/>
    <m/>
    <n v="0"/>
    <m/>
    <m/>
    <m/>
    <m/>
  </r>
  <r>
    <x v="10"/>
    <x v="116"/>
    <x v="2"/>
    <m/>
    <m/>
    <m/>
    <m/>
    <n v="0"/>
    <m/>
    <m/>
    <m/>
    <m/>
  </r>
  <r>
    <x v="3"/>
    <x v="117"/>
    <x v="2"/>
    <n v="5287608"/>
    <m/>
    <n v="4958838"/>
    <n v="81510"/>
    <n v="59033.7894547619"/>
    <m/>
    <n v="64.870506944446007"/>
    <m/>
    <n v="84"/>
  </r>
  <r>
    <x v="3"/>
    <x v="118"/>
    <x v="2"/>
    <n v="5945118"/>
    <m/>
    <n v="6835902"/>
    <n v="85531"/>
    <n v="81379.791638095194"/>
    <m/>
    <n v="69.508590277779504"/>
    <m/>
    <n v="84"/>
  </r>
  <r>
    <x v="4"/>
    <x v="119"/>
    <x v="2"/>
    <n v="0"/>
    <m/>
    <n v="3040006"/>
    <n v="0"/>
    <m/>
    <m/>
    <n v="39.231791666666602"/>
    <m/>
    <m/>
  </r>
  <r>
    <x v="0"/>
    <x v="3"/>
    <x v="2"/>
    <n v="631"/>
    <n v="76"/>
    <m/>
    <m/>
    <n v="0"/>
    <m/>
    <m/>
    <m/>
    <n v="87.909090308325105"/>
  </r>
  <r>
    <x v="4"/>
    <x v="61"/>
    <x v="5"/>
    <n v="1387612"/>
    <n v="3045628"/>
    <n v="3087310"/>
    <n v="27306"/>
    <n v="55556.2822979458"/>
    <n v="57658"/>
    <n v="50.8173958333333"/>
    <n v="52.8222395833333"/>
    <n v="55.570851329520103"/>
  </r>
  <r>
    <x v="8"/>
    <x v="75"/>
    <x v="6"/>
    <m/>
    <m/>
    <m/>
    <m/>
    <m/>
    <m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108">
  <r>
    <x v="0"/>
    <n v="9.06"/>
    <s v="99.07 %"/>
    <x v="0"/>
  </r>
  <r>
    <x v="0"/>
    <n v="9.06"/>
    <s v="99.07 %"/>
    <x v="1"/>
  </r>
  <r>
    <x v="0"/>
    <n v="9.06"/>
    <s v="99.07 %"/>
    <x v="2"/>
  </r>
  <r>
    <x v="0"/>
    <n v="9.06"/>
    <s v="99.07 %"/>
    <x v="3"/>
  </r>
  <r>
    <x v="0"/>
    <n v="9.06"/>
    <s v="99.07 %"/>
    <x v="4"/>
  </r>
  <r>
    <x v="0"/>
    <n v="9.06"/>
    <s v="99.07 %"/>
    <x v="5"/>
  </r>
  <r>
    <x v="0"/>
    <n v="9.06"/>
    <s v="99.07 %"/>
    <x v="6"/>
  </r>
  <r>
    <x v="0"/>
    <n v="9.06"/>
    <s v="99.07 %"/>
    <x v="7"/>
  </r>
  <r>
    <x v="0"/>
    <n v="9.06"/>
    <s v="99.07 %"/>
    <x v="8"/>
  </r>
  <r>
    <x v="0"/>
    <n v="9.06"/>
    <s v="99.07 %"/>
    <x v="9"/>
  </r>
  <r>
    <x v="0"/>
    <n v="9.06"/>
    <s v="99.07 %"/>
    <x v="10"/>
  </r>
  <r>
    <x v="0"/>
    <n v="9.06"/>
    <s v="99.07 %"/>
    <x v="11"/>
  </r>
  <r>
    <x v="1"/>
    <n v="13.07"/>
    <s v="94.34 %"/>
    <x v="0"/>
  </r>
  <r>
    <x v="1"/>
    <n v="13.07"/>
    <s v="94.34 %"/>
    <x v="1"/>
  </r>
  <r>
    <x v="1"/>
    <n v="13.07"/>
    <s v="94.34 %"/>
    <x v="2"/>
  </r>
  <r>
    <x v="1"/>
    <n v="13.07"/>
    <s v="94.34 %"/>
    <x v="3"/>
  </r>
  <r>
    <x v="1"/>
    <n v="13.07"/>
    <s v="94.34 %"/>
    <x v="4"/>
  </r>
  <r>
    <x v="1"/>
    <n v="13.07"/>
    <s v="94.34 %"/>
    <x v="5"/>
  </r>
  <r>
    <x v="1"/>
    <n v="13.07"/>
    <s v="94.34 %"/>
    <x v="6"/>
  </r>
  <r>
    <x v="1"/>
    <n v="13.07"/>
    <s v="94.34 %"/>
    <x v="7"/>
  </r>
  <r>
    <x v="1"/>
    <n v="13.07"/>
    <s v="94.34 %"/>
    <x v="8"/>
  </r>
  <r>
    <x v="1"/>
    <n v="13.07"/>
    <s v="94.34 %"/>
    <x v="9"/>
  </r>
  <r>
    <x v="1"/>
    <n v="13.07"/>
    <s v="94.34 %"/>
    <x v="10"/>
  </r>
  <r>
    <x v="1"/>
    <n v="13.07"/>
    <s v="94.34 %"/>
    <x v="11"/>
  </r>
  <r>
    <x v="2"/>
    <n v="14.19"/>
    <s v="94.11 %"/>
    <x v="0"/>
  </r>
  <r>
    <x v="2"/>
    <n v="14.19"/>
    <s v="94.11 %"/>
    <x v="1"/>
  </r>
  <r>
    <x v="2"/>
    <n v="14.19"/>
    <s v="94.11 %"/>
    <x v="2"/>
  </r>
  <r>
    <x v="2"/>
    <n v="14.19"/>
    <s v="94.11 %"/>
    <x v="3"/>
  </r>
  <r>
    <x v="2"/>
    <n v="14.19"/>
    <s v="94.11 %"/>
    <x v="4"/>
  </r>
  <r>
    <x v="2"/>
    <n v="14.19"/>
    <s v="94.11 %"/>
    <x v="5"/>
  </r>
  <r>
    <x v="2"/>
    <n v="14.19"/>
    <s v="94.11 %"/>
    <x v="6"/>
  </r>
  <r>
    <x v="2"/>
    <n v="14.19"/>
    <s v="94.11 %"/>
    <x v="7"/>
  </r>
  <r>
    <x v="2"/>
    <n v="14.19"/>
    <s v="94.11 %"/>
    <x v="8"/>
  </r>
  <r>
    <x v="2"/>
    <n v="14.19"/>
    <s v="94.11 %"/>
    <x v="9"/>
  </r>
  <r>
    <x v="2"/>
    <n v="14.19"/>
    <s v="94.11 %"/>
    <x v="10"/>
  </r>
  <r>
    <x v="2"/>
    <n v="14.19"/>
    <s v="94.11 %"/>
    <x v="11"/>
  </r>
  <r>
    <x v="3"/>
    <n v="12.26"/>
    <s v="93.38 %"/>
    <x v="0"/>
  </r>
  <r>
    <x v="3"/>
    <n v="12.26"/>
    <s v="93.38 %"/>
    <x v="1"/>
  </r>
  <r>
    <x v="3"/>
    <n v="12.26"/>
    <s v="93.38 %"/>
    <x v="2"/>
  </r>
  <r>
    <x v="3"/>
    <n v="12.26"/>
    <s v="93.38 %"/>
    <x v="3"/>
  </r>
  <r>
    <x v="3"/>
    <n v="12.26"/>
    <s v="93.38 %"/>
    <x v="4"/>
  </r>
  <r>
    <x v="3"/>
    <n v="12.26"/>
    <s v="93.38 %"/>
    <x v="5"/>
  </r>
  <r>
    <x v="3"/>
    <n v="12.26"/>
    <s v="93.38 %"/>
    <x v="6"/>
  </r>
  <r>
    <x v="3"/>
    <n v="12.26"/>
    <s v="93.38 %"/>
    <x v="7"/>
  </r>
  <r>
    <x v="3"/>
    <n v="12.26"/>
    <s v="93.38 %"/>
    <x v="8"/>
  </r>
  <r>
    <x v="3"/>
    <n v="12.26"/>
    <s v="93.38 %"/>
    <x v="9"/>
  </r>
  <r>
    <x v="3"/>
    <n v="12.26"/>
    <s v="93.38 %"/>
    <x v="10"/>
  </r>
  <r>
    <x v="3"/>
    <n v="12.26"/>
    <s v="93.38 %"/>
    <x v="11"/>
  </r>
  <r>
    <x v="4"/>
    <n v="13.62"/>
    <s v="92.46 %"/>
    <x v="0"/>
  </r>
  <r>
    <x v="4"/>
    <n v="13.62"/>
    <s v="92.46 %"/>
    <x v="1"/>
  </r>
  <r>
    <x v="4"/>
    <n v="13.62"/>
    <s v="92.46 %"/>
    <x v="2"/>
  </r>
  <r>
    <x v="4"/>
    <n v="13.62"/>
    <s v="92.46 %"/>
    <x v="3"/>
  </r>
  <r>
    <x v="4"/>
    <n v="13.62"/>
    <s v="92.46 %"/>
    <x v="4"/>
  </r>
  <r>
    <x v="4"/>
    <n v="13.62"/>
    <s v="92.46 %"/>
    <x v="5"/>
  </r>
  <r>
    <x v="4"/>
    <n v="13.62"/>
    <s v="92.46 %"/>
    <x v="6"/>
  </r>
  <r>
    <x v="4"/>
    <n v="13.62"/>
    <s v="92.46 %"/>
    <x v="7"/>
  </r>
  <r>
    <x v="4"/>
    <n v="13.62"/>
    <s v="92.46 %"/>
    <x v="8"/>
  </r>
  <r>
    <x v="4"/>
    <n v="13.62"/>
    <s v="92.46 %"/>
    <x v="9"/>
  </r>
  <r>
    <x v="4"/>
    <n v="13.62"/>
    <s v="92.46 %"/>
    <x v="10"/>
  </r>
  <r>
    <x v="4"/>
    <n v="13.62"/>
    <s v="92.46 %"/>
    <x v="11"/>
  </r>
  <r>
    <x v="5"/>
    <n v="13.71"/>
    <s v="91.97 %"/>
    <x v="0"/>
  </r>
  <r>
    <x v="5"/>
    <n v="13.71"/>
    <s v="91.97 %"/>
    <x v="1"/>
  </r>
  <r>
    <x v="5"/>
    <n v="13.71"/>
    <s v="91.97 %"/>
    <x v="2"/>
  </r>
  <r>
    <x v="5"/>
    <n v="13.71"/>
    <s v="91.97 %"/>
    <x v="3"/>
  </r>
  <r>
    <x v="5"/>
    <n v="13.71"/>
    <s v="91.97 %"/>
    <x v="4"/>
  </r>
  <r>
    <x v="5"/>
    <n v="13.71"/>
    <s v="91.97 %"/>
    <x v="5"/>
  </r>
  <r>
    <x v="5"/>
    <n v="13.71"/>
    <s v="91.97 %"/>
    <x v="6"/>
  </r>
  <r>
    <x v="5"/>
    <n v="13.71"/>
    <s v="91.97 %"/>
    <x v="7"/>
  </r>
  <r>
    <x v="5"/>
    <n v="13.71"/>
    <s v="91.97 %"/>
    <x v="8"/>
  </r>
  <r>
    <x v="5"/>
    <n v="13.71"/>
    <s v="91.97 %"/>
    <x v="9"/>
  </r>
  <r>
    <x v="5"/>
    <n v="13.71"/>
    <s v="91.97 %"/>
    <x v="10"/>
  </r>
  <r>
    <x v="5"/>
    <n v="13.71"/>
    <s v="91.97 %"/>
    <x v="11"/>
  </r>
  <r>
    <x v="6"/>
    <n v="13.02"/>
    <s v="91.91 %"/>
    <x v="0"/>
  </r>
  <r>
    <x v="6"/>
    <n v="13.02"/>
    <s v="91.91 %"/>
    <x v="1"/>
  </r>
  <r>
    <x v="6"/>
    <n v="13.02"/>
    <s v="91.91 %"/>
    <x v="2"/>
  </r>
  <r>
    <x v="6"/>
    <n v="13.02"/>
    <s v="91.91 %"/>
    <x v="3"/>
  </r>
  <r>
    <x v="6"/>
    <n v="13.02"/>
    <s v="91.91 %"/>
    <x v="4"/>
  </r>
  <r>
    <x v="6"/>
    <n v="13.02"/>
    <s v="91.91 %"/>
    <x v="5"/>
  </r>
  <r>
    <x v="6"/>
    <n v="13.02"/>
    <s v="91.91 %"/>
    <x v="6"/>
  </r>
  <r>
    <x v="6"/>
    <n v="13.02"/>
    <s v="91.91 %"/>
    <x v="7"/>
  </r>
  <r>
    <x v="6"/>
    <n v="13.02"/>
    <s v="91.91 %"/>
    <x v="8"/>
  </r>
  <r>
    <x v="6"/>
    <n v="13.02"/>
    <s v="91.91 %"/>
    <x v="9"/>
  </r>
  <r>
    <x v="6"/>
    <n v="13.02"/>
    <s v="91.91 %"/>
    <x v="10"/>
  </r>
  <r>
    <x v="6"/>
    <n v="13.02"/>
    <s v="91.91 %"/>
    <x v="11"/>
  </r>
  <r>
    <x v="7"/>
    <n v="12.63"/>
    <s v="89.77 %"/>
    <x v="0"/>
  </r>
  <r>
    <x v="7"/>
    <n v="12.63"/>
    <s v="89.77 %"/>
    <x v="1"/>
  </r>
  <r>
    <x v="7"/>
    <n v="12.63"/>
    <s v="89.77 %"/>
    <x v="2"/>
  </r>
  <r>
    <x v="7"/>
    <n v="12.63"/>
    <s v="89.77 %"/>
    <x v="3"/>
  </r>
  <r>
    <x v="7"/>
    <n v="12.63"/>
    <s v="89.77 %"/>
    <x v="4"/>
  </r>
  <r>
    <x v="7"/>
    <n v="12.63"/>
    <s v="89.77 %"/>
    <x v="5"/>
  </r>
  <r>
    <x v="7"/>
    <n v="12.63"/>
    <s v="89.77 %"/>
    <x v="6"/>
  </r>
  <r>
    <x v="7"/>
    <n v="12.63"/>
    <s v="89.77 %"/>
    <x v="7"/>
  </r>
  <r>
    <x v="7"/>
    <n v="12.63"/>
    <s v="89.77 %"/>
    <x v="8"/>
  </r>
  <r>
    <x v="7"/>
    <n v="12.63"/>
    <s v="89.77 %"/>
    <x v="9"/>
  </r>
  <r>
    <x v="7"/>
    <n v="12.63"/>
    <s v="89.77 %"/>
    <x v="10"/>
  </r>
  <r>
    <x v="7"/>
    <n v="12.63"/>
    <s v="89.77 %"/>
    <x v="11"/>
  </r>
  <r>
    <x v="8"/>
    <n v="11.26"/>
    <s v="85.80 %"/>
    <x v="0"/>
  </r>
  <r>
    <x v="8"/>
    <n v="11.26"/>
    <s v="85.80 %"/>
    <x v="1"/>
  </r>
  <r>
    <x v="8"/>
    <n v="11.26"/>
    <s v="85.80 %"/>
    <x v="2"/>
  </r>
  <r>
    <x v="8"/>
    <n v="11.26"/>
    <s v="85.80 %"/>
    <x v="3"/>
  </r>
  <r>
    <x v="8"/>
    <n v="11.26"/>
    <s v="85.80 %"/>
    <x v="4"/>
  </r>
  <r>
    <x v="8"/>
    <n v="11.26"/>
    <s v="85.80 %"/>
    <x v="5"/>
  </r>
  <r>
    <x v="8"/>
    <n v="11.26"/>
    <s v="85.80 %"/>
    <x v="6"/>
  </r>
  <r>
    <x v="8"/>
    <n v="11.26"/>
    <s v="85.80 %"/>
    <x v="7"/>
  </r>
  <r>
    <x v="8"/>
    <n v="11.26"/>
    <s v="85.80 %"/>
    <x v="8"/>
  </r>
  <r>
    <x v="8"/>
    <n v="11.26"/>
    <s v="85.80 %"/>
    <x v="9"/>
  </r>
  <r>
    <x v="8"/>
    <n v="11.26"/>
    <s v="85.80 %"/>
    <x v="10"/>
  </r>
  <r>
    <x v="8"/>
    <n v="11.26"/>
    <s v="85.80 %"/>
    <x v="1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54">
  <r>
    <n v="2026"/>
    <x v="0"/>
    <n v="13.13"/>
    <n v="11.4"/>
    <n v="11.14"/>
    <x v="0"/>
  </r>
  <r>
    <n v="2026"/>
    <x v="0"/>
    <n v="13.86"/>
    <n v="12.36"/>
    <n v="12.11"/>
    <x v="1"/>
  </r>
  <r>
    <n v="2026"/>
    <x v="0"/>
    <n v="14.73"/>
    <n v="12.86"/>
    <n v="12.82"/>
    <x v="2"/>
  </r>
  <r>
    <n v="2026"/>
    <x v="0"/>
    <n v="13.13"/>
    <n v="10.050000000000001"/>
    <n v="10.63"/>
    <x v="3"/>
  </r>
  <r>
    <n v="2026"/>
    <x v="0"/>
    <n v="9.14"/>
    <n v="8.93"/>
    <n v="8.83"/>
    <x v="4"/>
  </r>
  <r>
    <n v="2026"/>
    <x v="0"/>
    <n v="15.08"/>
    <n v="13.51"/>
    <n v="14.09"/>
    <x v="5"/>
  </r>
  <r>
    <n v="2026"/>
    <x v="0"/>
    <n v="14.91"/>
    <n v="12.92"/>
    <n v="14.31"/>
    <x v="6"/>
  </r>
  <r>
    <n v="2026"/>
    <x v="0"/>
    <n v="14.07"/>
    <n v="11.29"/>
    <n v="11.92"/>
    <x v="7"/>
  </r>
  <r>
    <n v="2026"/>
    <x v="0"/>
    <n v="14.17"/>
    <n v="11.93"/>
    <n v="12.59"/>
    <x v="8"/>
  </r>
  <r>
    <n v="2026"/>
    <x v="1"/>
    <n v="13.13"/>
    <n v="12.01"/>
    <n v="11.21"/>
    <x v="0"/>
  </r>
  <r>
    <n v="2026"/>
    <x v="1"/>
    <n v="13.86"/>
    <n v="12.61"/>
    <n v="12.14"/>
    <x v="1"/>
  </r>
  <r>
    <n v="2026"/>
    <x v="1"/>
    <n v="14.73"/>
    <n v="13.18"/>
    <n v="13.04"/>
    <x v="2"/>
  </r>
  <r>
    <n v="2026"/>
    <x v="1"/>
    <n v="13.13"/>
    <n v="10.76"/>
    <n v="10.78"/>
    <x v="3"/>
  </r>
  <r>
    <n v="2026"/>
    <x v="1"/>
    <n v="9.14"/>
    <n v="9.0299999999999994"/>
    <n v="8.9"/>
    <x v="4"/>
  </r>
  <r>
    <n v="2026"/>
    <x v="1"/>
    <n v="15.08"/>
    <n v="14.22"/>
    <n v="14.31"/>
    <x v="5"/>
  </r>
  <r>
    <n v="2026"/>
    <x v="1"/>
    <n v="14.91"/>
    <n v="13.09"/>
    <n v="13.8"/>
    <x v="6"/>
  </r>
  <r>
    <n v="2026"/>
    <x v="1"/>
    <n v="14.07"/>
    <n v="12.12"/>
    <n v="12.27"/>
    <x v="7"/>
  </r>
  <r>
    <n v="2026"/>
    <x v="1"/>
    <n v="14.17"/>
    <n v="12.75"/>
    <n v="12.74"/>
    <x v="8"/>
  </r>
  <r>
    <n v="2026"/>
    <x v="2"/>
    <n v="13.13"/>
    <n v="12.62"/>
    <n v="11.47"/>
    <x v="0"/>
  </r>
  <r>
    <n v="2026"/>
    <x v="2"/>
    <n v="13.86"/>
    <n v="13.27"/>
    <n v="11.94"/>
    <x v="1"/>
  </r>
  <r>
    <n v="2026"/>
    <x v="2"/>
    <n v="14.73"/>
    <n v="13.89"/>
    <n v="13.42"/>
    <x v="2"/>
  </r>
  <r>
    <n v="2026"/>
    <x v="2"/>
    <n v="13.13"/>
    <n v="11.78"/>
    <n v="11.3"/>
    <x v="3"/>
  </r>
  <r>
    <n v="2026"/>
    <x v="2"/>
    <n v="9.14"/>
    <n v="8.99"/>
    <n v="8.68"/>
    <x v="4"/>
  </r>
  <r>
    <n v="2026"/>
    <x v="2"/>
    <n v="15.08"/>
    <n v="14.42"/>
    <n v="14.75"/>
    <x v="5"/>
  </r>
  <r>
    <n v="2026"/>
    <x v="2"/>
    <n v="14.91"/>
    <n v="13.69"/>
    <n v="14.04"/>
    <x v="6"/>
  </r>
  <r>
    <n v="2026"/>
    <x v="2"/>
    <n v="14.07"/>
    <n v="12.82"/>
    <n v="12.53"/>
    <x v="7"/>
  </r>
  <r>
    <n v="2026"/>
    <x v="2"/>
    <n v="14.17"/>
    <n v="13.1"/>
    <n v="12.93"/>
    <x v="8"/>
  </r>
  <r>
    <n v="2026"/>
    <x v="3"/>
    <n v="13.13"/>
    <n v="12.55"/>
    <n v="11.31"/>
    <x v="0"/>
  </r>
  <r>
    <n v="2026"/>
    <x v="3"/>
    <n v="13.86"/>
    <n v="13.35"/>
    <n v="11.76"/>
    <x v="1"/>
  </r>
  <r>
    <n v="2026"/>
    <x v="3"/>
    <n v="14.73"/>
    <n v="14.02"/>
    <n v="13.04"/>
    <x v="2"/>
  </r>
  <r>
    <n v="2026"/>
    <x v="3"/>
    <n v="13.13"/>
    <n v="11.98"/>
    <n v="11.33"/>
    <x v="3"/>
  </r>
  <r>
    <n v="2026"/>
    <x v="3"/>
    <n v="9.14"/>
    <n v="8.99"/>
    <n v="8.65"/>
    <x v="4"/>
  </r>
  <r>
    <n v="2026"/>
    <x v="3"/>
    <n v="15.08"/>
    <n v="14.32"/>
    <n v="14.48"/>
    <x v="5"/>
  </r>
  <r>
    <n v="2026"/>
    <x v="3"/>
    <n v="14.91"/>
    <n v="14.12"/>
    <n v="14.39"/>
    <x v="6"/>
  </r>
  <r>
    <n v="2026"/>
    <x v="3"/>
    <n v="14.07"/>
    <n v="13.19"/>
    <n v="12.43"/>
    <x v="7"/>
  </r>
  <r>
    <n v="2026"/>
    <x v="3"/>
    <n v="14.17"/>
    <n v="13.56"/>
    <n v="12.73"/>
    <x v="8"/>
  </r>
  <r>
    <n v="2026"/>
    <x v="4"/>
    <n v="13.13"/>
    <n v="12.61"/>
    <n v="11.19"/>
    <x v="0"/>
  </r>
  <r>
    <n v="2026"/>
    <x v="4"/>
    <n v="13.86"/>
    <n v="13.55"/>
    <n v="11.55"/>
    <x v="1"/>
  </r>
  <r>
    <n v="2026"/>
    <x v="4"/>
    <n v="14.73"/>
    <n v="13.92"/>
    <n v="13.37"/>
    <x v="2"/>
  </r>
  <r>
    <n v="2026"/>
    <x v="4"/>
    <n v="13.13"/>
    <n v="11.74"/>
    <n v="11.14"/>
    <x v="3"/>
  </r>
  <r>
    <n v="2026"/>
    <x v="4"/>
    <n v="9.14"/>
    <n v="9.19"/>
    <n v="8.69"/>
    <x v="4"/>
  </r>
  <r>
    <n v="2026"/>
    <x v="4"/>
    <n v="15.08"/>
    <n v="14.26"/>
    <n v="14.57"/>
    <x v="5"/>
  </r>
  <r>
    <n v="2026"/>
    <x v="4"/>
    <n v="14.91"/>
    <n v="14.36"/>
    <n v="14.53"/>
    <x v="6"/>
  </r>
  <r>
    <n v="2026"/>
    <x v="4"/>
    <n v="14.07"/>
    <n v="13.37"/>
    <n v="12.76"/>
    <x v="7"/>
  </r>
  <r>
    <n v="2026"/>
    <x v="4"/>
    <n v="14.17"/>
    <n v="13.58"/>
    <n v="12.46"/>
    <x v="8"/>
  </r>
  <r>
    <n v="2026"/>
    <x v="5"/>
    <n v="13.13"/>
    <n v="12.51"/>
    <n v="10.93"/>
    <x v="0"/>
  </r>
  <r>
    <n v="2026"/>
    <x v="5"/>
    <n v="13.86"/>
    <n v="13.36"/>
    <n v="11.32"/>
    <x v="1"/>
  </r>
  <r>
    <n v="2026"/>
    <x v="5"/>
    <n v="14.73"/>
    <n v="14.05"/>
    <n v="12.99"/>
    <x v="2"/>
  </r>
  <r>
    <n v="2026"/>
    <x v="5"/>
    <n v="13.13"/>
    <n v="11.62"/>
    <n v="10.81"/>
    <x v="3"/>
  </r>
  <r>
    <n v="2026"/>
    <x v="5"/>
    <n v="9.14"/>
    <n v="9.35"/>
    <n v="8.6199999999999992"/>
    <x v="4"/>
  </r>
  <r>
    <n v="2026"/>
    <x v="5"/>
    <n v="15.08"/>
    <n v="14.51"/>
    <n v="13.97"/>
    <x v="5"/>
  </r>
  <r>
    <n v="2026"/>
    <x v="5"/>
    <n v="14.91"/>
    <n v="14.52"/>
    <n v="14.5"/>
    <x v="6"/>
  </r>
  <r>
    <n v="2026"/>
    <x v="5"/>
    <n v="14.07"/>
    <n v="13.44"/>
    <n v="12.26"/>
    <x v="7"/>
  </r>
  <r>
    <n v="2026"/>
    <x v="5"/>
    <n v="14.17"/>
    <n v="13.43"/>
    <n v="12.37"/>
    <x v="8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111">
  <r>
    <x v="0"/>
    <n v="1.2376"/>
    <n v="17.329999999999998"/>
    <s v="Fátima L"/>
    <x v="0"/>
  </r>
  <r>
    <x v="1"/>
    <n v="1.1736"/>
    <n v="15.26"/>
    <s v="Fátima L"/>
    <x v="0"/>
  </r>
  <r>
    <x v="2"/>
    <n v="1.1558999999999999"/>
    <n v="16.18"/>
    <s v="MELANY A"/>
    <x v="1"/>
  </r>
  <r>
    <x v="3"/>
    <n v="1.1165"/>
    <n v="14.51"/>
    <s v="DANIEL R"/>
    <x v="2"/>
  </r>
  <r>
    <x v="4"/>
    <n v="1.101"/>
    <n v="16.510000000000002"/>
    <s v="RODOLFO O"/>
    <x v="3"/>
  </r>
  <r>
    <x v="5"/>
    <n v="1.0768"/>
    <n v="10.77"/>
    <s v="María R"/>
    <x v="4"/>
  </r>
  <r>
    <x v="6"/>
    <n v="1.0750999999999999"/>
    <n v="15.05"/>
    <s v="DANIEL R"/>
    <x v="2"/>
  </r>
  <r>
    <x v="7"/>
    <n v="1.0626"/>
    <n v="12.75"/>
    <s v="Fátima L"/>
    <x v="0"/>
  </r>
  <r>
    <x v="8"/>
    <n v="1.0622"/>
    <n v="14.87"/>
    <s v="RODOLFO O"/>
    <x v="3"/>
  </r>
  <r>
    <x v="9"/>
    <n v="1.0593999999999999"/>
    <n v="14.83"/>
    <s v="Fátima L"/>
    <x v="0"/>
  </r>
  <r>
    <x v="10"/>
    <n v="1.0499000000000001"/>
    <n v="12.6"/>
    <s v="DANIEL R"/>
    <x v="2"/>
  </r>
  <r>
    <x v="11"/>
    <n v="1.0485"/>
    <n v="14.68"/>
    <s v="PEPE A"/>
    <x v="5"/>
  </r>
  <r>
    <x v="12"/>
    <n v="1.0467"/>
    <n v="14.65"/>
    <s v="MELANY A"/>
    <x v="1"/>
  </r>
  <r>
    <x v="13"/>
    <n v="1.0438000000000001"/>
    <n v="9.39"/>
    <s v="María R"/>
    <x v="4"/>
  </r>
  <r>
    <x v="14"/>
    <n v="1.0261"/>
    <n v="12.31"/>
    <s v="Fátima L"/>
    <x v="0"/>
  </r>
  <r>
    <x v="15"/>
    <n v="1.0219"/>
    <n v="16.86"/>
    <s v="PEPE A"/>
    <x v="5"/>
  </r>
  <r>
    <x v="16"/>
    <n v="1.0204"/>
    <n v="14.29"/>
    <s v="MELANY A"/>
    <x v="1"/>
  </r>
  <r>
    <x v="17"/>
    <n v="1.0161"/>
    <n v="16.260000000000002"/>
    <s v="JOE H"/>
    <x v="6"/>
  </r>
  <r>
    <x v="18"/>
    <n v="1.0127999999999999"/>
    <n v="15.19"/>
    <s v="VIK E"/>
    <x v="7"/>
  </r>
  <r>
    <x v="19"/>
    <n v="1.0125999999999999"/>
    <n v="14.18"/>
    <s v="VIK E"/>
    <x v="7"/>
  </r>
  <r>
    <x v="20"/>
    <n v="1.0032000000000001"/>
    <n v="15.05"/>
    <s v="DANIEL R"/>
    <x v="2"/>
  </r>
  <r>
    <x v="21"/>
    <n v="1.0018"/>
    <n v="14.03"/>
    <s v="JOE H"/>
    <x v="6"/>
  </r>
  <r>
    <x v="22"/>
    <n v="0.99519999999999997"/>
    <n v="8.9600000000000009"/>
    <s v="María R"/>
    <x v="4"/>
  </r>
  <r>
    <x v="23"/>
    <n v="0.99439999999999995"/>
    <n v="15.91"/>
    <s v="VIK E"/>
    <x v="7"/>
  </r>
  <r>
    <x v="24"/>
    <n v="0.99319999999999997"/>
    <n v="8.94"/>
    <s v="María R"/>
    <x v="4"/>
  </r>
  <r>
    <x v="25"/>
    <n v="0.99129999999999996"/>
    <n v="8.92"/>
    <s v="María R"/>
    <x v="4"/>
  </r>
  <r>
    <x v="26"/>
    <n v="0.99039999999999995"/>
    <n v="14.86"/>
    <s v="VIK E"/>
    <x v="7"/>
  </r>
  <r>
    <x v="27"/>
    <n v="0.98609999999999998"/>
    <n v="12.82"/>
    <s v="DANIEL R"/>
    <x v="2"/>
  </r>
  <r>
    <x v="28"/>
    <n v="0.98309999999999997"/>
    <n v="15.73"/>
    <s v="VIK E"/>
    <x v="7"/>
  </r>
  <r>
    <x v="29"/>
    <n v="0.97729999999999995"/>
    <n v="13.68"/>
    <s v="PEPE A"/>
    <x v="5"/>
  </r>
  <r>
    <x v="30"/>
    <n v="0.97670000000000001"/>
    <n v="12.7"/>
    <s v="JOE H"/>
    <x v="6"/>
  </r>
  <r>
    <x v="31"/>
    <n v="0.97370000000000001"/>
    <n v="13.63"/>
    <s v="MELANY A"/>
    <x v="1"/>
  </r>
  <r>
    <x v="32"/>
    <n v="0.97340000000000004"/>
    <n v="13.63"/>
    <s v="VIK E"/>
    <x v="7"/>
  </r>
  <r>
    <x v="33"/>
    <n v="0.9708"/>
    <n v="15.53"/>
    <s v="PEPE A"/>
    <x v="5"/>
  </r>
  <r>
    <x v="34"/>
    <n v="0.96850000000000003"/>
    <n v="13.56"/>
    <s v="MELANY A"/>
    <x v="1"/>
  </r>
  <r>
    <x v="35"/>
    <n v="0.96850000000000003"/>
    <n v="12.59"/>
    <s v="PEPE A"/>
    <x v="5"/>
  </r>
  <r>
    <x v="36"/>
    <n v="0.96740000000000004"/>
    <n v="12.58"/>
    <s v="DANIEL R"/>
    <x v="2"/>
  </r>
  <r>
    <x v="37"/>
    <n v="0.96279999999999999"/>
    <n v="12.52"/>
    <s v="DANIEL R"/>
    <x v="2"/>
  </r>
  <r>
    <x v="38"/>
    <n v="0.96179999999999999"/>
    <n v="8.66"/>
    <s v="María R"/>
    <x v="4"/>
  </r>
  <r>
    <x v="39"/>
    <n v="0.9617"/>
    <n v="13.46"/>
    <s v="JOE H"/>
    <x v="6"/>
  </r>
  <r>
    <x v="40"/>
    <n v="0.96150000000000002"/>
    <n v="15.38"/>
    <s v="DANIEL R"/>
    <x v="2"/>
  </r>
  <r>
    <x v="41"/>
    <n v="0.9597"/>
    <n v="13.92"/>
    <s v="PEPE A"/>
    <x v="5"/>
  </r>
  <r>
    <x v="42"/>
    <n v="0.95930000000000004"/>
    <n v="14.39"/>
    <s v="MELANY A"/>
    <x v="1"/>
  </r>
  <r>
    <x v="43"/>
    <n v="0.95640000000000003"/>
    <n v="13.39"/>
    <s v="RODOLFO O"/>
    <x v="3"/>
  </r>
  <r>
    <x v="44"/>
    <n v="0.95620000000000005"/>
    <n v="15.3"/>
    <s v="JOE H"/>
    <x v="6"/>
  </r>
  <r>
    <x v="45"/>
    <n v="0.95279999999999998"/>
    <n v="12.39"/>
    <s v="DANIEL R"/>
    <x v="2"/>
  </r>
  <r>
    <x v="46"/>
    <n v="0.95020000000000004"/>
    <n v="12.35"/>
    <s v="DANIEL R"/>
    <x v="2"/>
  </r>
  <r>
    <x v="47"/>
    <n v="0.94940000000000002"/>
    <n v="11.39"/>
    <s v="DANIEL R"/>
    <x v="2"/>
  </r>
  <r>
    <x v="48"/>
    <n v="0.94820000000000004"/>
    <n v="12.33"/>
    <s v="PEPE A"/>
    <x v="5"/>
  </r>
  <r>
    <x v="49"/>
    <n v="0.94530000000000003"/>
    <n v="12.29"/>
    <s v="Fátima L"/>
    <x v="0"/>
  </r>
  <r>
    <x v="50"/>
    <n v="0.94499999999999995"/>
    <n v="13.23"/>
    <s v="VIK E"/>
    <x v="7"/>
  </r>
  <r>
    <x v="51"/>
    <n v="0.9446"/>
    <n v="13.22"/>
    <s v="VIK E"/>
    <x v="7"/>
  </r>
  <r>
    <x v="52"/>
    <n v="0.94450000000000001"/>
    <n v="11.33"/>
    <s v="DANIEL R"/>
    <x v="2"/>
  </r>
  <r>
    <x v="53"/>
    <n v="0.94159999999999999"/>
    <n v="13.18"/>
    <s v="RODOLFO O"/>
    <x v="3"/>
  </r>
  <r>
    <x v="54"/>
    <n v="0.94010000000000005"/>
    <n v="13.16"/>
    <s v="MELANY A"/>
    <x v="1"/>
  </r>
  <r>
    <x v="55"/>
    <n v="0.93989999999999996"/>
    <n v="15.04"/>
    <s v="RODOLFO O"/>
    <x v="3"/>
  </r>
  <r>
    <x v="56"/>
    <n v="0.93469999999999998"/>
    <n v="13.09"/>
    <s v="JOE H"/>
    <x v="6"/>
  </r>
  <r>
    <x v="57"/>
    <n v="0.92859999999999998"/>
    <n v="13"/>
    <s v="RODOLFO O"/>
    <x v="3"/>
  </r>
  <r>
    <x v="58"/>
    <n v="0.92720000000000002"/>
    <n v="11.13"/>
    <s v="DANIEL R"/>
    <x v="2"/>
  </r>
  <r>
    <x v="59"/>
    <n v="0.92100000000000004"/>
    <n v="12.89"/>
    <s v="RODOLFO O"/>
    <x v="3"/>
  </r>
  <r>
    <x v="60"/>
    <n v="0.9204"/>
    <n v="12.89"/>
    <s v="JOE H"/>
    <x v="6"/>
  </r>
  <r>
    <x v="61"/>
    <n v="0.91100000000000003"/>
    <n v="12.75"/>
    <s v="MELANY A"/>
    <x v="1"/>
  </r>
  <r>
    <x v="62"/>
    <n v="0.90739999999999998"/>
    <n v="12.7"/>
    <s v="RODOLFO O"/>
    <x v="3"/>
  </r>
  <r>
    <x v="63"/>
    <n v="0.90680000000000005"/>
    <n v="13.6"/>
    <s v="Fátima L"/>
    <x v="0"/>
  </r>
  <r>
    <x v="64"/>
    <n v="0.90449999999999997"/>
    <n v="11.76"/>
    <s v="Fátima L"/>
    <x v="0"/>
  </r>
  <r>
    <x v="65"/>
    <n v="0.90410000000000001"/>
    <n v="12.66"/>
    <s v="RODOLFO O"/>
    <x v="3"/>
  </r>
  <r>
    <x v="66"/>
    <n v="0.89970000000000006"/>
    <n v="11.7"/>
    <s v="VIK E"/>
    <x v="7"/>
  </r>
  <r>
    <x v="67"/>
    <n v="0.89839999999999998"/>
    <n v="12.58"/>
    <s v="MELANY A"/>
    <x v="1"/>
  </r>
  <r>
    <x v="68"/>
    <n v="0.89649999999999996"/>
    <n v="12.55"/>
    <s v="VIK E"/>
    <x v="7"/>
  </r>
  <r>
    <x v="69"/>
    <n v="0.89539999999999997"/>
    <n v="15.22"/>
    <s v="JOE H"/>
    <x v="6"/>
  </r>
  <r>
    <x v="70"/>
    <n v="0.89539999999999997"/>
    <n v="11.64"/>
    <s v="DANIEL R"/>
    <x v="2"/>
  </r>
  <r>
    <x v="71"/>
    <n v="0.89500000000000002"/>
    <n v="11.63"/>
    <s v="JOHANNA V"/>
    <x v="8"/>
  </r>
  <r>
    <x v="72"/>
    <n v="0.89449999999999996"/>
    <n v="11.63"/>
    <s v="VIK E"/>
    <x v="7"/>
  </r>
  <r>
    <x v="73"/>
    <n v="0.89359999999999995"/>
    <n v="12.51"/>
    <s v="MELANY A"/>
    <x v="1"/>
  </r>
  <r>
    <x v="74"/>
    <n v="0.89359999999999995"/>
    <n v="16.079999999999998"/>
    <s v="JOE H"/>
    <x v="6"/>
  </r>
  <r>
    <x v="75"/>
    <n v="0.89300000000000002"/>
    <n v="13.39"/>
    <s v="RODOLFO O"/>
    <x v="3"/>
  </r>
  <r>
    <x v="76"/>
    <n v="0.89080000000000004"/>
    <n v="16.03"/>
    <s v="PEPE A"/>
    <x v="5"/>
  </r>
  <r>
    <x v="77"/>
    <n v="0.88800000000000001"/>
    <n v="12.43"/>
    <s v="Fátima L"/>
    <x v="0"/>
  </r>
  <r>
    <x v="78"/>
    <n v="0.8871"/>
    <n v="11.53"/>
    <s v="DANIEL R"/>
    <x v="2"/>
  </r>
  <r>
    <x v="79"/>
    <n v="0.88590000000000002"/>
    <n v="10.63"/>
    <s v="Fátima L"/>
    <x v="0"/>
  </r>
  <r>
    <x v="80"/>
    <n v="0.88580000000000003"/>
    <n v="11.52"/>
    <s v="RODOLFO O"/>
    <x v="3"/>
  </r>
  <r>
    <x v="81"/>
    <n v="0.88290000000000002"/>
    <n v="7.95"/>
    <s v="María R"/>
    <x v="4"/>
  </r>
  <r>
    <x v="82"/>
    <n v="0.88039999999999996"/>
    <n v="12.33"/>
    <s v="VIK E"/>
    <x v="7"/>
  </r>
  <r>
    <x v="83"/>
    <n v="0.87949999999999995"/>
    <n v="12.31"/>
    <s v="RODOLFO O"/>
    <x v="3"/>
  </r>
  <r>
    <x v="84"/>
    <n v="0.87719999999999998"/>
    <n v="11.4"/>
    <s v="RODOLFO O"/>
    <x v="3"/>
  </r>
  <r>
    <x v="85"/>
    <n v="0.87680000000000002"/>
    <n v="12.28"/>
    <s v="JOHANNA V"/>
    <x v="8"/>
  </r>
  <r>
    <x v="86"/>
    <n v="0.876"/>
    <n v="12.26"/>
    <s v="RODOLFO O"/>
    <x v="3"/>
  </r>
  <r>
    <x v="87"/>
    <n v="0.87380000000000002"/>
    <n v="11.36"/>
    <s v="VIK E"/>
    <x v="7"/>
  </r>
  <r>
    <x v="88"/>
    <n v="0.87360000000000004"/>
    <n v="13.98"/>
    <s v="Fátima L"/>
    <x v="0"/>
  </r>
  <r>
    <x v="89"/>
    <n v="0.87319999999999998"/>
    <n v="15.72"/>
    <s v="PEPE A"/>
    <x v="5"/>
  </r>
  <r>
    <x v="90"/>
    <n v="0.86780000000000002"/>
    <n v="11.28"/>
    <s v="Fátima L"/>
    <x v="0"/>
  </r>
  <r>
    <x v="91"/>
    <n v="0.86770000000000003"/>
    <n v="13.88"/>
    <s v="Fátima L"/>
    <x v="0"/>
  </r>
  <r>
    <x v="92"/>
    <n v="0.86539999999999995"/>
    <n v="11.25"/>
    <s v="JOE H"/>
    <x v="6"/>
  </r>
  <r>
    <x v="93"/>
    <n v="0.86270000000000002"/>
    <n v="11.22"/>
    <s v="PEPE A"/>
    <x v="5"/>
  </r>
  <r>
    <x v="94"/>
    <n v="0.8619"/>
    <n v="11.21"/>
    <s v="VIK E"/>
    <x v="7"/>
  </r>
  <r>
    <x v="95"/>
    <n v="0.86070000000000002"/>
    <n v="11.19"/>
    <s v="JOHANNA V"/>
    <x v="8"/>
  </r>
  <r>
    <x v="96"/>
    <n v="0.85909999999999997"/>
    <n v="12.03"/>
    <s v="PEPE A"/>
    <x v="5"/>
  </r>
  <r>
    <x v="97"/>
    <n v="0.85640000000000005"/>
    <n v="11.13"/>
    <s v="JOHANNA V"/>
    <x v="8"/>
  </r>
  <r>
    <x v="98"/>
    <n v="0.85140000000000005"/>
    <n v="11.92"/>
    <s v="VIK E"/>
    <x v="7"/>
  </r>
  <r>
    <x v="99"/>
    <n v="0.85"/>
    <n v="11.05"/>
    <s v="JOE H"/>
    <x v="6"/>
  </r>
  <r>
    <x v="100"/>
    <n v="0.8468"/>
    <n v="12.7"/>
    <s v="VIK E"/>
    <x v="7"/>
  </r>
  <r>
    <x v="101"/>
    <n v="0.84089999999999998"/>
    <n v="10.93"/>
    <s v="JOHANNA V"/>
    <x v="8"/>
  </r>
  <r>
    <x v="102"/>
    <n v="0.8407"/>
    <n v="10.93"/>
    <s v="JOHANNA V"/>
    <x v="8"/>
  </r>
  <r>
    <x v="103"/>
    <n v="0.8377"/>
    <n v="10.89"/>
    <s v="JOHANNA V"/>
    <x v="8"/>
  </r>
  <r>
    <x v="104"/>
    <n v="0.83250000000000002"/>
    <n v="11.66"/>
    <s v="VIK E"/>
    <x v="7"/>
  </r>
  <r>
    <x v="105"/>
    <n v="0.82599999999999996"/>
    <n v="10.74"/>
    <s v="JOHANNA V"/>
    <x v="8"/>
  </r>
  <r>
    <x v="106"/>
    <n v="0.81479999999999997"/>
    <n v="10.59"/>
    <s v="DANIEL R"/>
    <x v="2"/>
  </r>
  <r>
    <x v="107"/>
    <n v="0.81399999999999995"/>
    <n v="13.84"/>
    <s v="Fátima L"/>
    <x v="0"/>
  </r>
  <r>
    <x v="108"/>
    <n v="0.81140000000000001"/>
    <n v="22.72"/>
    <s v="MELANY A"/>
    <x v="1"/>
  </r>
  <r>
    <x v="109"/>
    <n v="0.80320000000000003"/>
    <n v="10.44"/>
    <s v="RODOLFO O"/>
    <x v="3"/>
  </r>
  <r>
    <x v="110"/>
    <n v="0.75219999999999998"/>
    <n v="10.53"/>
    <s v="VIK E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name="TablaDinámica3" cacheId="0" applyNumberFormats="0" applyBorderFormats="0" applyFontFormats="0" applyPatternFormats="0" applyAlignmentFormats="0" applyWidthHeightFormats="1" dataCaption="Valores" showError="1" updatedVersion="6" minRefreshableVersion="3" colGrandTotals="0" itemPrintTitles="1" createdVersion="6" indent="0" outline="1" outlineData="1" multipleFieldFilters="0" chartFormat="1">
  <location ref="A3:D117" firstHeaderRow="1" firstDataRow="2" firstDataCol="1" rowPageCount="1" colPageCount="1"/>
  <pivotFields count="16">
    <pivotField axis="axisRow" showAll="0">
      <items count="113">
        <item x="61"/>
        <item x="79"/>
        <item x="7"/>
        <item x="88"/>
        <item x="49"/>
        <item x="35"/>
        <item x="64"/>
        <item x="40"/>
        <item x="82"/>
        <item x="70"/>
        <item x="65"/>
        <item x="44"/>
        <item x="41"/>
        <item x="58"/>
        <item x="31"/>
        <item x="54"/>
        <item x="59"/>
        <item x="50"/>
        <item x="47"/>
        <item x="99"/>
        <item x="12"/>
        <item x="9"/>
        <item x="85"/>
        <item x="76"/>
        <item x="94"/>
        <item x="83"/>
        <item x="98"/>
        <item x="100"/>
        <item x="71"/>
        <item x="8"/>
        <item x="4"/>
        <item x="29"/>
        <item x="90"/>
        <item x="6"/>
        <item x="55"/>
        <item x="24"/>
        <item x="60"/>
        <item x="28"/>
        <item x="3"/>
        <item x="32"/>
        <item x="57"/>
        <item x="36"/>
        <item x="72"/>
        <item x="78"/>
        <item x="111"/>
        <item x="48"/>
        <item x="66"/>
        <item x="18"/>
        <item x="26"/>
        <item x="46"/>
        <item x="10"/>
        <item x="20"/>
        <item x="17"/>
        <item x="75"/>
        <item x="93"/>
        <item x="86"/>
        <item x="56"/>
        <item x="84"/>
        <item x="102"/>
        <item x="81"/>
        <item x="87"/>
        <item x="51"/>
        <item x="0"/>
        <item x="63"/>
        <item x="96"/>
        <item x="42"/>
        <item x="68"/>
        <item x="13"/>
        <item x="62"/>
        <item x="77"/>
        <item x="92"/>
        <item x="80"/>
        <item x="67"/>
        <item x="34"/>
        <item x="73"/>
        <item x="101"/>
        <item x="43"/>
        <item x="15"/>
        <item x="52"/>
        <item x="16"/>
        <item x="38"/>
        <item x="53"/>
        <item x="22"/>
        <item x="25"/>
        <item x="19"/>
        <item x="74"/>
        <item x="91"/>
        <item x="45"/>
        <item x="89"/>
        <item x="39"/>
        <item x="21"/>
        <item x="5"/>
        <item x="110"/>
        <item x="30"/>
        <item x="27"/>
        <item x="23"/>
        <item x="37"/>
        <item x="14"/>
        <item x="33"/>
        <item x="2"/>
        <item x="1"/>
        <item x="11"/>
        <item x="69"/>
        <item x="103"/>
        <item x="107"/>
        <item x="106"/>
        <item x="97"/>
        <item x="105"/>
        <item x="109"/>
        <item x="108"/>
        <item x="104"/>
        <item x="95"/>
        <item t="default"/>
      </items>
    </pivotField>
    <pivotField showAll="0"/>
    <pivotField axis="axisCol" showAll="0" defaultSubtotal="0">
      <items count="3">
        <item x="2"/>
        <item x="1"/>
        <item x="0"/>
      </items>
    </pivotField>
    <pivotField axis="axisPage" multipleItemSelectionAllowed="1" showAll="0" defaultSubtotal="0">
      <items count="12">
        <item x="10"/>
        <item x="2"/>
        <item x="0"/>
        <item x="9"/>
        <item x="3"/>
        <item h="1" x="11"/>
        <item h="1" x="6"/>
        <item h="1" x="5"/>
        <item h="1" x="4"/>
        <item h="1" x="8"/>
        <item h="1" x="7"/>
        <item h="1" x="1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</pivotFields>
  <rowFields count="1">
    <field x="0"/>
  </rowFields>
  <rowItems count="1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 t="grand">
      <x/>
    </i>
  </rowItems>
  <colFields count="1">
    <field x="2"/>
  </colFields>
  <colItems count="3">
    <i>
      <x/>
    </i>
    <i>
      <x v="1"/>
    </i>
    <i>
      <x v="2"/>
    </i>
  </colItems>
  <pageFields count="1">
    <pageField fld="3" hier="-1"/>
  </pageFields>
  <dataFields count="1">
    <dataField name="Suma de prodcreal" fld="14" baseField="0" baseItem="0"/>
  </dataFields>
  <formats count="12">
    <format dxfId="570">
      <pivotArea outline="0" collapsedLevelsAreSubtotals="1" fieldPosition="0"/>
    </format>
    <format dxfId="569">
      <pivotArea dataOnly="0" labelOnly="1" outline="0" fieldPosition="0">
        <references count="1">
          <reference field="3" count="0"/>
        </references>
      </pivotArea>
    </format>
    <format dxfId="568">
      <pivotArea field="2" type="button" dataOnly="0" labelOnly="1" outline="0" axis="axisCol" fieldPosition="0"/>
    </format>
    <format dxfId="567">
      <pivotArea type="topRight" dataOnly="0" labelOnly="1" outline="0" fieldPosition="0"/>
    </format>
    <format dxfId="566">
      <pivotArea dataOnly="0" labelOnly="1" fieldPosition="0">
        <references count="1">
          <reference field="2" count="0"/>
        </references>
      </pivotArea>
    </format>
    <format dxfId="565">
      <pivotArea dataOnly="0" labelOnly="1" grandCol="1" outline="0" fieldPosition="0"/>
    </format>
    <format dxfId="564">
      <pivotArea outline="0" collapsedLevelsAreSubtotals="1" fieldPosition="0"/>
    </format>
    <format dxfId="563">
      <pivotArea dataOnly="0" labelOnly="1" outline="0" fieldPosition="0">
        <references count="1">
          <reference field="3" count="0"/>
        </references>
      </pivotArea>
    </format>
    <format dxfId="562">
      <pivotArea field="2" type="button" dataOnly="0" labelOnly="1" outline="0" axis="axisCol" fieldPosition="0"/>
    </format>
    <format dxfId="561">
      <pivotArea type="topRight" dataOnly="0" labelOnly="1" outline="0" fieldPosition="0"/>
    </format>
    <format dxfId="560">
      <pivotArea dataOnly="0" labelOnly="1" fieldPosition="0">
        <references count="1">
          <reference field="2" count="0"/>
        </references>
      </pivotArea>
    </format>
    <format dxfId="55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laDinámica3" cacheId="0" applyNumberFormats="0" applyBorderFormats="0" applyFontFormats="0" applyPatternFormats="0" applyAlignmentFormats="0" applyWidthHeightFormats="1" dataCaption="Valores" showError="1" updatedVersion="6" minRefreshableVersion="3" colGrandTotals="0" itemPrintTitles="1" createdVersion="6" indent="0" outline="1" outlineData="1" multipleFieldFilters="0" chartFormat="1">
  <location ref="A4:E117" firstHeaderRow="0" firstDataRow="1" firstDataCol="1" rowPageCount="2" colPageCount="1"/>
  <pivotFields count="16">
    <pivotField axis="axisRow" showAll="0">
      <items count="113">
        <item x="61"/>
        <item x="79"/>
        <item x="7"/>
        <item x="88"/>
        <item x="49"/>
        <item x="35"/>
        <item x="64"/>
        <item x="40"/>
        <item x="82"/>
        <item x="70"/>
        <item x="65"/>
        <item x="44"/>
        <item x="41"/>
        <item x="58"/>
        <item x="31"/>
        <item x="54"/>
        <item x="59"/>
        <item x="50"/>
        <item x="47"/>
        <item x="99"/>
        <item x="12"/>
        <item x="9"/>
        <item x="85"/>
        <item x="76"/>
        <item x="94"/>
        <item x="83"/>
        <item x="98"/>
        <item x="100"/>
        <item x="71"/>
        <item x="8"/>
        <item x="4"/>
        <item x="29"/>
        <item x="90"/>
        <item x="6"/>
        <item x="55"/>
        <item x="24"/>
        <item x="60"/>
        <item x="28"/>
        <item x="3"/>
        <item x="32"/>
        <item x="57"/>
        <item x="36"/>
        <item x="72"/>
        <item x="78"/>
        <item x="111"/>
        <item x="48"/>
        <item x="66"/>
        <item x="18"/>
        <item x="26"/>
        <item x="46"/>
        <item x="10"/>
        <item x="20"/>
        <item x="17"/>
        <item x="75"/>
        <item x="93"/>
        <item x="86"/>
        <item x="56"/>
        <item x="84"/>
        <item x="102"/>
        <item x="81"/>
        <item x="87"/>
        <item x="51"/>
        <item x="0"/>
        <item x="63"/>
        <item x="96"/>
        <item x="42"/>
        <item x="68"/>
        <item x="13"/>
        <item x="62"/>
        <item x="77"/>
        <item x="92"/>
        <item x="80"/>
        <item x="67"/>
        <item x="34"/>
        <item x="73"/>
        <item x="101"/>
        <item x="43"/>
        <item x="15"/>
        <item x="52"/>
        <item x="16"/>
        <item x="38"/>
        <item x="53"/>
        <item x="22"/>
        <item x="25"/>
        <item x="19"/>
        <item x="74"/>
        <item x="91"/>
        <item x="45"/>
        <item x="89"/>
        <item x="39"/>
        <item x="21"/>
        <item x="5"/>
        <item x="110"/>
        <item x="30"/>
        <item x="27"/>
        <item x="23"/>
        <item x="37"/>
        <item x="14"/>
        <item x="33"/>
        <item x="2"/>
        <item x="1"/>
        <item x="11"/>
        <item x="69"/>
        <item x="103"/>
        <item x="107"/>
        <item x="106"/>
        <item x="97"/>
        <item x="105"/>
        <item x="109"/>
        <item x="108"/>
        <item x="104"/>
        <item x="95"/>
        <item t="default"/>
      </items>
    </pivotField>
    <pivotField showAll="0"/>
    <pivotField axis="axisPage" showAll="0" defaultSubtotal="0">
      <items count="3">
        <item x="2"/>
        <item x="1"/>
        <item x="0"/>
      </items>
    </pivotField>
    <pivotField axis="axisPage" multipleItemSelectionAllowed="1" showAll="0" defaultSubtotal="0">
      <items count="12">
        <item x="10"/>
        <item x="2"/>
        <item x="0"/>
        <item x="9"/>
        <item x="3"/>
        <item h="1" x="11"/>
        <item h="1" x="6"/>
        <item h="1" x="5"/>
        <item h="1" x="4"/>
        <item h="1" x="8"/>
        <item h="1" x="7"/>
        <item h="1" x="1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0"/>
  </rowFields>
  <rowItems count="1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3" hier="-1"/>
    <pageField fld="2" item="2" hier="-1"/>
  </pageFields>
  <dataFields count="4">
    <dataField name="Suma de prodcreal" fld="14" baseField="0" baseItem="0"/>
    <dataField name="Suma de prodmeta2" fld="15" baseField="0" baseItem="0"/>
    <dataField name="Suma de JEq" fld="8" baseField="0" baseItem="105"/>
    <dataField name="Suma de VtaNeta" fld="7" baseField="0" baseItem="0"/>
  </dataFields>
  <formats count="12">
    <format dxfId="558">
      <pivotArea outline="0" collapsedLevelsAreSubtotals="1" fieldPosition="0"/>
    </format>
    <format dxfId="557">
      <pivotArea dataOnly="0" labelOnly="1" outline="0" fieldPosition="0">
        <references count="1">
          <reference field="3" count="0"/>
        </references>
      </pivotArea>
    </format>
    <format dxfId="556">
      <pivotArea field="2" type="button" dataOnly="0" labelOnly="1" outline="0" axis="axisPage" fieldPosition="1"/>
    </format>
    <format dxfId="555">
      <pivotArea type="topRight" dataOnly="0" labelOnly="1" outline="0" fieldPosition="0"/>
    </format>
    <format dxfId="554">
      <pivotArea dataOnly="0" labelOnly="1" fieldPosition="0">
        <references count="1">
          <reference field="2" count="0"/>
        </references>
      </pivotArea>
    </format>
    <format dxfId="553">
      <pivotArea dataOnly="0" labelOnly="1" grandCol="1" outline="0" fieldPosition="0"/>
    </format>
    <format dxfId="552">
      <pivotArea outline="0" collapsedLevelsAreSubtotals="1" fieldPosition="0"/>
    </format>
    <format dxfId="551">
      <pivotArea dataOnly="0" labelOnly="1" outline="0" fieldPosition="0">
        <references count="1">
          <reference field="3" count="0"/>
        </references>
      </pivotArea>
    </format>
    <format dxfId="550">
      <pivotArea field="2" type="button" dataOnly="0" labelOnly="1" outline="0" axis="axisPage" fieldPosition="1"/>
    </format>
    <format dxfId="549">
      <pivotArea type="topRight" dataOnly="0" labelOnly="1" outline="0" fieldPosition="0"/>
    </format>
    <format dxfId="548">
      <pivotArea dataOnly="0" labelOnly="1" fieldPosition="0">
        <references count="1">
          <reference field="2" count="0"/>
        </references>
      </pivotArea>
    </format>
    <format dxfId="54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ablaDinámica4" cacheId="1" dataOnRows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B3:C12" firstHeaderRow="1" firstDataRow="1" firstDataCol="1"/>
  <pivotFields count="10"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</pivotFields>
  <rowFields count="1">
    <field x="-2"/>
  </rowFields>
  <row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rowItems>
  <colItems count="1">
    <i/>
  </colItems>
  <dataFields count="9">
    <dataField name="Suma de JEq" fld="0" baseField="0" baseItem="0"/>
    <dataField name="Suma de JEqMeta" fld="1" baseField="0" baseItem="0"/>
    <dataField name="Suma de Prod" fld="2" baseField="0" baseItem="0"/>
    <dataField name="Suma de ProdMeta" fld="3" baseField="0" baseItem="0"/>
    <dataField name="Suma de VtaNeta" fld="4" baseField="0" baseItem="0"/>
    <dataField name="Suma de VtaNetaMeta" fld="5" baseField="0" baseItem="0"/>
    <dataField name="Suma de JEqAA" fld="7" baseField="0" baseItem="0"/>
    <dataField name="Suma de ProdAA" fld="8" baseField="0" baseItem="0"/>
    <dataField name="Suma de VtaNetaAA" fld="9" baseField="0" baseItem="0"/>
  </dataFields>
  <formats count="4">
    <format dxfId="546">
      <pivotArea outline="0" collapsedLevelsAreSubtotals="1" fieldPosition="0"/>
    </format>
    <format dxfId="545">
      <pivotArea dataOnly="0" labelOnly="1" grandCol="1" outline="0" axis="axisCol" fieldPosition="0"/>
    </format>
    <format dxfId="544">
      <pivotArea outline="0" collapsedLevelsAreSubtotals="1" fieldPosition="0"/>
    </format>
    <format dxfId="543">
      <pivotArea dataOnly="0" labelOnly="1" grandCol="1" outline="0" axis="axisCol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TablaDinámica10" cacheId="4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G124:N135" firstHeaderRow="1" firstDataRow="2" firstDataCol="1"/>
  <pivotFields count="15">
    <pivotField axis="axisRow" showAll="0">
      <items count="12">
        <item h="1" sd="0" x="10"/>
        <item sd="0" x="1"/>
        <item sd="0" x="9"/>
        <item sd="0" x="6"/>
        <item sd="0" x="2"/>
        <item sd="0" x="3"/>
        <item sd="0" x="4"/>
        <item sd="0" x="0"/>
        <item sd="0" x="7"/>
        <item sd="0" x="5"/>
        <item h="1" sd="0" x="8"/>
        <item t="default" sd="0"/>
      </items>
    </pivotField>
    <pivotField axis="axisRow" showAll="0">
      <items count="121">
        <item x="88"/>
        <item x="46"/>
        <item x="78"/>
        <item x="38"/>
        <item x="109"/>
        <item x="11"/>
        <item x="47"/>
        <item x="62"/>
        <item x="81"/>
        <item x="112"/>
        <item x="113"/>
        <item x="90"/>
        <item x="61"/>
        <item x="26"/>
        <item x="105"/>
        <item x="71"/>
        <item x="36"/>
        <item x="54"/>
        <item x="63"/>
        <item x="1"/>
        <item x="32"/>
        <item x="97"/>
        <item x="67"/>
        <item x="98"/>
        <item x="9"/>
        <item x="58"/>
        <item x="41"/>
        <item x="79"/>
        <item x="102"/>
        <item x="65"/>
        <item x="106"/>
        <item x="48"/>
        <item x="34"/>
        <item x="85"/>
        <item x="12"/>
        <item x="20"/>
        <item x="87"/>
        <item x="25"/>
        <item x="114"/>
        <item x="57"/>
        <item x="115"/>
        <item x="89"/>
        <item x="0"/>
        <item x="80"/>
        <item x="91"/>
        <item x="93"/>
        <item x="92"/>
        <item x="29"/>
        <item x="7"/>
        <item x="69"/>
        <item x="8"/>
        <item x="30"/>
        <item x="70"/>
        <item x="44"/>
        <item x="50"/>
        <item x="35"/>
        <item x="59"/>
        <item h="1" x="74"/>
        <item x="111"/>
        <item x="39"/>
        <item x="19"/>
        <item x="28"/>
        <item x="6"/>
        <item x="101"/>
        <item x="104"/>
        <item x="108"/>
        <item x="72"/>
        <item x="51"/>
        <item x="31"/>
        <item x="99"/>
        <item x="82"/>
        <item x="5"/>
        <item x="24"/>
        <item x="42"/>
        <item x="96"/>
        <item x="76"/>
        <item x="66"/>
        <item h="1" x="119"/>
        <item x="49"/>
        <item x="68"/>
        <item x="2"/>
        <item x="53"/>
        <item x="23"/>
        <item x="100"/>
        <item x="21"/>
        <item x="13"/>
        <item x="33"/>
        <item x="17"/>
        <item x="116"/>
        <item x="60"/>
        <item x="64"/>
        <item x="86"/>
        <item x="16"/>
        <item x="4"/>
        <item x="43"/>
        <item x="73"/>
        <item x="27"/>
        <item x="15"/>
        <item x="110"/>
        <item x="55"/>
        <item x="117"/>
        <item x="22"/>
        <item x="83"/>
        <item x="103"/>
        <item x="14"/>
        <item x="77"/>
        <item x="56"/>
        <item x="18"/>
        <item x="118"/>
        <item x="3"/>
        <item x="94"/>
        <item x="95"/>
        <item x="45"/>
        <item x="40"/>
        <item x="10"/>
        <item x="37"/>
        <item x="52"/>
        <item x="84"/>
        <item x="107"/>
        <item x="75"/>
        <item t="default"/>
      </items>
    </pivotField>
    <pivotField axis="axisCol" showAll="0">
      <items count="8">
        <item x="4"/>
        <item x="5"/>
        <item x="3"/>
        <item x="1"/>
        <item x="0"/>
        <item x="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0"/>
    <field x="1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a de product1" fld="12" baseField="0" baseItem="0"/>
  </dataFields>
  <formats count="3">
    <format dxfId="506">
      <pivotArea outline="0" collapsedLevelsAreSubtotals="1" fieldPosition="0"/>
    </format>
    <format dxfId="505">
      <pivotArea outline="0" collapsedLevelsAreSubtotals="1" fieldPosition="0"/>
    </format>
    <format dxfId="50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TablaDinámica3" cacheId="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G34:N45" firstHeaderRow="1" firstDataRow="2" firstDataCol="1"/>
  <pivotFields count="11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numFmtId="165" showAll="0"/>
    <pivotField numFmtId="165" showAll="0"/>
    <pivotField numFmtId="165" showAll="0"/>
    <pivotField dataField="1" numFmtId="165" showAll="0"/>
    <pivotField numFmtId="165" showAll="0"/>
    <pivotField numFmtId="165" showAll="0"/>
    <pivotField numFmtId="165" showAll="0"/>
    <pivotField numFmtId="165" showAll="0"/>
    <pivotField dragToRow="0" dragToCol="0" dragToPage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a de Prod" fld="5" baseField="0" baseItem="0" numFmtId="165"/>
  </dataFields>
  <formats count="4">
    <format dxfId="510">
      <pivotArea outline="0" collapsedLevelsAreSubtotals="1" fieldPosition="0"/>
    </format>
    <format dxfId="509">
      <pivotArea dataOnly="0" outline="0" fieldPosition="0">
        <references count="1">
          <reference field="1" count="0"/>
        </references>
      </pivotArea>
    </format>
    <format dxfId="508">
      <pivotArea dataOnly="0" grandCol="1" outline="0" fieldPosition="0"/>
    </format>
    <format dxfId="50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TablaDinámica2" cacheId="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G20:N31" firstHeaderRow="1" firstDataRow="2" firstDataCol="1"/>
  <pivotFields count="11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dragToRow="0" dragToCol="0" dragToPage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a de cump" fld="10" baseField="0" baseItem="0" numFmtId="166"/>
  </dataFields>
  <formats count="4">
    <format dxfId="514">
      <pivotArea outline="0" collapsedLevelsAreSubtotals="1" fieldPosition="0"/>
    </format>
    <format dxfId="513">
      <pivotArea outline="0" collapsedLevelsAreSubtotals="1" fieldPosition="0"/>
    </format>
    <format dxfId="512">
      <pivotArea dataOnly="0" outline="0" fieldPosition="0">
        <references count="1">
          <reference field="1" count="0"/>
        </references>
      </pivotArea>
    </format>
    <format dxfId="511">
      <pivotArea dataOnly="0" grandCol="1" outline="0" fieldPosition="0"/>
    </format>
  </formats>
  <conditionalFormats count="1">
    <conditionalFormat priority="8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TablaDinámica9" cacheId="4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G92:N103" firstHeaderRow="1" firstDataRow="2" firstDataCol="1"/>
  <pivotFields count="15">
    <pivotField axis="axisRow" showAll="0">
      <items count="12">
        <item h="1" sd="0" x="10"/>
        <item sd="0" x="1"/>
        <item sd="0" x="9"/>
        <item sd="0" x="6"/>
        <item sd="0" x="2"/>
        <item sd="0" x="3"/>
        <item sd="0" x="4"/>
        <item sd="0" x="0"/>
        <item sd="0" x="7"/>
        <item sd="0" x="5"/>
        <item h="1" sd="0" x="8"/>
        <item t="default" sd="0"/>
      </items>
    </pivotField>
    <pivotField axis="axisRow" showAll="0">
      <items count="121">
        <item x="88"/>
        <item x="46"/>
        <item x="78"/>
        <item x="38"/>
        <item x="109"/>
        <item x="11"/>
        <item x="47"/>
        <item x="62"/>
        <item x="81"/>
        <item x="112"/>
        <item x="113"/>
        <item x="90"/>
        <item x="61"/>
        <item x="26"/>
        <item x="105"/>
        <item x="71"/>
        <item x="36"/>
        <item x="54"/>
        <item x="63"/>
        <item x="1"/>
        <item x="32"/>
        <item x="97"/>
        <item x="67"/>
        <item x="98"/>
        <item x="9"/>
        <item x="58"/>
        <item x="41"/>
        <item x="79"/>
        <item x="102"/>
        <item x="65"/>
        <item x="106"/>
        <item x="48"/>
        <item x="34"/>
        <item x="85"/>
        <item x="12"/>
        <item x="20"/>
        <item x="87"/>
        <item x="25"/>
        <item x="114"/>
        <item x="57"/>
        <item x="115"/>
        <item x="89"/>
        <item x="0"/>
        <item x="80"/>
        <item x="91"/>
        <item x="93"/>
        <item x="92"/>
        <item x="29"/>
        <item x="7"/>
        <item x="69"/>
        <item x="8"/>
        <item x="30"/>
        <item x="70"/>
        <item x="44"/>
        <item x="50"/>
        <item x="35"/>
        <item x="59"/>
        <item x="74"/>
        <item x="111"/>
        <item x="39"/>
        <item x="19"/>
        <item x="28"/>
        <item x="6"/>
        <item x="101"/>
        <item x="104"/>
        <item x="108"/>
        <item x="72"/>
        <item x="51"/>
        <item x="31"/>
        <item x="99"/>
        <item x="82"/>
        <item x="5"/>
        <item x="24"/>
        <item x="42"/>
        <item x="96"/>
        <item x="76"/>
        <item x="66"/>
        <item x="119"/>
        <item x="49"/>
        <item x="68"/>
        <item x="2"/>
        <item x="53"/>
        <item x="23"/>
        <item x="100"/>
        <item x="21"/>
        <item x="13"/>
        <item x="33"/>
        <item x="17"/>
        <item x="116"/>
        <item x="60"/>
        <item x="64"/>
        <item x="86"/>
        <item x="16"/>
        <item x="4"/>
        <item x="43"/>
        <item x="73"/>
        <item x="27"/>
        <item x="15"/>
        <item x="110"/>
        <item x="55"/>
        <item x="117"/>
        <item x="22"/>
        <item x="83"/>
        <item x="103"/>
        <item x="14"/>
        <item x="77"/>
        <item x="56"/>
        <item x="18"/>
        <item x="118"/>
        <item x="3"/>
        <item x="94"/>
        <item x="95"/>
        <item x="45"/>
        <item x="40"/>
        <item x="10"/>
        <item x="37"/>
        <item x="52"/>
        <item x="84"/>
        <item x="107"/>
        <item x="75"/>
        <item t="default"/>
      </items>
    </pivotField>
    <pivotField axis="axisCol" showAll="0">
      <items count="8">
        <item x="4"/>
        <item x="5"/>
        <item x="3"/>
        <item x="1"/>
        <item x="0"/>
        <item x="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0"/>
    <field x="1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a de product1" fld="12" baseField="0" baseItem="0"/>
  </dataFields>
  <formats count="3">
    <format dxfId="517">
      <pivotArea outline="0" collapsedLevelsAreSubtotals="1" fieldPosition="0"/>
    </format>
    <format dxfId="516">
      <pivotArea outline="0" collapsedLevelsAreSubtotals="1" fieldPosition="0"/>
    </format>
    <format dxfId="5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TablaDinámica1" cacheId="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4">
  <location ref="G4:N14" firstHeaderRow="1" firstDataRow="2" firstDataCol="1"/>
  <pivotFields count="6">
    <pivotField axis="axisRow" showAll="0" sortType="descending">
      <items count="9">
        <item x="0"/>
        <item x="1"/>
        <item x="2"/>
        <item x="3"/>
        <item x="4"/>
        <item x="5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numFmtId="166" showAll="0"/>
    <pivotField numFmtId="165" showAll="0"/>
    <pivotField numFmtId="165" showAll="0"/>
    <pivotField dataField="1" dragToRow="0" dragToCol="0" dragToPage="0" showAll="0" defaultSubtotal="0"/>
  </pivotFields>
  <rowFields count="1">
    <field x="0"/>
  </rowFields>
  <rowItems count="9">
    <i>
      <x v="2"/>
    </i>
    <i>
      <x v="1"/>
    </i>
    <i>
      <x v="5"/>
    </i>
    <i>
      <x v="3"/>
    </i>
    <i>
      <x v="6"/>
    </i>
    <i>
      <x v="7"/>
    </i>
    <i>
      <x/>
    </i>
    <i>
      <x v="4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a de cumplimiento" fld="5" baseField="0" baseItem="0" numFmtId="165"/>
  </dataFields>
  <formats count="4">
    <format dxfId="521">
      <pivotArea dataOnly="0" outline="0" fieldPosition="0">
        <references count="1">
          <reference field="1" count="0"/>
        </references>
      </pivotArea>
    </format>
    <format dxfId="520">
      <pivotArea dataOnly="0" outline="0" fieldPosition="0">
        <references count="1">
          <reference field="1" count="0"/>
        </references>
      </pivotArea>
    </format>
    <format dxfId="519">
      <pivotArea dataOnly="0" outline="0" fieldPosition="0">
        <references count="1">
          <reference field="1" count="0"/>
        </references>
      </pivotArea>
    </format>
    <format dxfId="518">
      <pivotArea dataOnly="0" grandCol="1" outline="0" fieldPosition="0"/>
    </format>
  </formats>
  <conditionalFormats count="1">
    <conditionalFormat priority="9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1" count="6" selected="0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TablaDinámica8" cacheId="4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G78:N89" firstHeaderRow="1" firstDataRow="2" firstDataCol="1"/>
  <pivotFields count="15">
    <pivotField axis="axisRow" showAll="0">
      <items count="12">
        <item h="1" sd="0" x="10"/>
        <item sd="0" x="1"/>
        <item sd="0" x="9"/>
        <item sd="0" x="6"/>
        <item sd="0" x="2"/>
        <item sd="0" x="3"/>
        <item sd="0" x="4"/>
        <item sd="0" x="0"/>
        <item sd="0" x="7"/>
        <item sd="0" x="5"/>
        <item h="1" sd="0" x="8"/>
        <item t="default" sd="0"/>
      </items>
    </pivotField>
    <pivotField axis="axisRow" showAll="0">
      <items count="121">
        <item x="88"/>
        <item x="46"/>
        <item x="78"/>
        <item x="38"/>
        <item x="109"/>
        <item x="11"/>
        <item x="47"/>
        <item x="62"/>
        <item x="81"/>
        <item x="112"/>
        <item x="113"/>
        <item x="90"/>
        <item x="61"/>
        <item x="26"/>
        <item x="105"/>
        <item x="71"/>
        <item x="36"/>
        <item x="54"/>
        <item x="63"/>
        <item x="1"/>
        <item x="32"/>
        <item x="97"/>
        <item x="67"/>
        <item x="98"/>
        <item x="9"/>
        <item x="58"/>
        <item x="41"/>
        <item x="79"/>
        <item x="102"/>
        <item x="65"/>
        <item x="106"/>
        <item x="48"/>
        <item x="34"/>
        <item x="85"/>
        <item x="12"/>
        <item x="20"/>
        <item x="87"/>
        <item x="25"/>
        <item x="114"/>
        <item x="57"/>
        <item x="115"/>
        <item x="89"/>
        <item x="0"/>
        <item x="80"/>
        <item x="91"/>
        <item x="93"/>
        <item x="92"/>
        <item x="29"/>
        <item x="7"/>
        <item x="69"/>
        <item x="8"/>
        <item x="30"/>
        <item x="70"/>
        <item x="44"/>
        <item x="50"/>
        <item x="35"/>
        <item x="59"/>
        <item x="74"/>
        <item x="111"/>
        <item x="39"/>
        <item x="19"/>
        <item x="28"/>
        <item x="6"/>
        <item x="101"/>
        <item x="104"/>
        <item x="108"/>
        <item x="72"/>
        <item x="51"/>
        <item x="31"/>
        <item x="99"/>
        <item x="82"/>
        <item x="5"/>
        <item x="24"/>
        <item x="42"/>
        <item x="96"/>
        <item x="76"/>
        <item x="66"/>
        <item x="119"/>
        <item x="49"/>
        <item x="68"/>
        <item x="2"/>
        <item x="53"/>
        <item x="23"/>
        <item x="100"/>
        <item x="21"/>
        <item x="13"/>
        <item x="33"/>
        <item x="17"/>
        <item x="116"/>
        <item x="60"/>
        <item x="64"/>
        <item x="86"/>
        <item x="16"/>
        <item x="4"/>
        <item x="43"/>
        <item x="73"/>
        <item x="27"/>
        <item x="15"/>
        <item x="110"/>
        <item x="55"/>
        <item x="117"/>
        <item x="22"/>
        <item x="83"/>
        <item x="103"/>
        <item x="14"/>
        <item x="77"/>
        <item x="56"/>
        <item x="18"/>
        <item x="118"/>
        <item x="3"/>
        <item x="94"/>
        <item x="95"/>
        <item x="45"/>
        <item x="40"/>
        <item x="10"/>
        <item x="37"/>
        <item x="52"/>
        <item x="84"/>
        <item x="107"/>
        <item x="75"/>
        <item t="default"/>
      </items>
    </pivotField>
    <pivotField axis="axisCol" showAll="0">
      <items count="8">
        <item x="4"/>
        <item x="5"/>
        <item x="3"/>
        <item x="1"/>
        <item x="0"/>
        <item x="2"/>
        <item x="6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0"/>
    <field x="1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a de Vta" fld="3" baseField="0" baseItem="0" numFmtId="165"/>
  </dataFields>
  <formats count="3">
    <format dxfId="524">
      <pivotArea outline="0" collapsedLevelsAreSubtotals="1" fieldPosition="0"/>
    </format>
    <format dxfId="523">
      <pivotArea outline="0" collapsedLevelsAreSubtotals="1" fieldPosition="0"/>
    </format>
    <format dxfId="52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TablaDinámica7" cacheId="4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H106:O117" firstHeaderRow="1" firstDataRow="2" firstDataCol="1"/>
  <pivotFields count="15">
    <pivotField axis="axisRow" showAll="0">
      <items count="12">
        <item h="1" sd="0" x="10"/>
        <item sd="0" x="1"/>
        <item sd="0" x="9"/>
        <item sd="0" x="6"/>
        <item sd="0" x="2"/>
        <item sd="0" x="3"/>
        <item sd="0" x="4"/>
        <item sd="0" x="0"/>
        <item sd="0" x="7"/>
        <item sd="0" x="5"/>
        <item h="1" sd="0" x="8"/>
        <item t="default" sd="0"/>
      </items>
    </pivotField>
    <pivotField axis="axisRow" showAll="0">
      <items count="121">
        <item x="88"/>
        <item x="46"/>
        <item x="78"/>
        <item x="38"/>
        <item x="109"/>
        <item x="11"/>
        <item x="47"/>
        <item x="62"/>
        <item x="81"/>
        <item x="112"/>
        <item x="113"/>
        <item x="90"/>
        <item x="61"/>
        <item x="26"/>
        <item x="105"/>
        <item x="71"/>
        <item x="36"/>
        <item x="54"/>
        <item x="63"/>
        <item x="1"/>
        <item x="32"/>
        <item x="97"/>
        <item x="67"/>
        <item x="98"/>
        <item x="9"/>
        <item x="58"/>
        <item x="41"/>
        <item x="79"/>
        <item x="102"/>
        <item x="65"/>
        <item x="106"/>
        <item x="48"/>
        <item x="34"/>
        <item x="85"/>
        <item x="12"/>
        <item x="20"/>
        <item x="87"/>
        <item x="25"/>
        <item x="114"/>
        <item x="57"/>
        <item x="115"/>
        <item x="89"/>
        <item x="0"/>
        <item x="80"/>
        <item x="91"/>
        <item x="93"/>
        <item x="92"/>
        <item x="29"/>
        <item x="7"/>
        <item x="69"/>
        <item x="8"/>
        <item x="30"/>
        <item x="70"/>
        <item x="44"/>
        <item x="50"/>
        <item x="35"/>
        <item x="59"/>
        <item x="74"/>
        <item x="111"/>
        <item x="39"/>
        <item x="19"/>
        <item x="28"/>
        <item x="6"/>
        <item x="101"/>
        <item x="104"/>
        <item x="108"/>
        <item x="72"/>
        <item x="51"/>
        <item x="31"/>
        <item x="99"/>
        <item x="82"/>
        <item x="5"/>
        <item x="24"/>
        <item x="42"/>
        <item x="96"/>
        <item x="76"/>
        <item x="66"/>
        <item x="119"/>
        <item x="49"/>
        <item x="68"/>
        <item x="2"/>
        <item x="53"/>
        <item x="23"/>
        <item x="100"/>
        <item x="21"/>
        <item x="13"/>
        <item x="33"/>
        <item x="17"/>
        <item x="116"/>
        <item x="60"/>
        <item x="64"/>
        <item x="86"/>
        <item x="16"/>
        <item x="4"/>
        <item x="43"/>
        <item x="73"/>
        <item x="27"/>
        <item x="15"/>
        <item x="110"/>
        <item x="55"/>
        <item x="117"/>
        <item x="22"/>
        <item x="83"/>
        <item x="103"/>
        <item x="14"/>
        <item x="77"/>
        <item x="56"/>
        <item x="18"/>
        <item x="118"/>
        <item x="3"/>
        <item x="94"/>
        <item x="95"/>
        <item x="45"/>
        <item x="40"/>
        <item x="10"/>
        <item x="37"/>
        <item x="52"/>
        <item x="84"/>
        <item x="107"/>
        <item x="75"/>
        <item t="default"/>
      </items>
    </pivotField>
    <pivotField axis="axisCol" showAll="0">
      <items count="8">
        <item x="4"/>
        <item x="5"/>
        <item x="3"/>
        <item x="1"/>
        <item x="0"/>
        <item x="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2">
    <field x="0"/>
    <field x="1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a de cump" fld="14" baseField="0" baseItem="0" numFmtId="9"/>
  </dataFields>
  <formats count="2">
    <format dxfId="526">
      <pivotArea outline="0" collapsedLevelsAreSubtotals="1" fieldPosition="0"/>
    </format>
    <format dxfId="525">
      <pivotArea outline="0" collapsedLevelsAreSubtotals="1" fieldPosition="0"/>
    </format>
  </formats>
  <conditionalFormats count="1">
    <conditionalFormat priority="6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name="TablaDinámica12" cacheId="4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P138:W161" firstHeaderRow="1" firstDataRow="2" firstDataCol="1"/>
  <pivotFields count="15">
    <pivotField axis="axisRow" showAll="0">
      <items count="12">
        <item h="1" sd="0" x="10"/>
        <item sd="0" x="1"/>
        <item sd="0" x="9"/>
        <item sd="0" x="6"/>
        <item sd="0" x="2"/>
        <item sd="0" x="3"/>
        <item sd="0" x="4"/>
        <item x="0"/>
        <item sd="0" x="7"/>
        <item sd="0" x="5"/>
        <item h="1" sd="0" x="8"/>
        <item t="default" sd="0"/>
      </items>
    </pivotField>
    <pivotField axis="axisRow" showAll="0" sortType="descending">
      <items count="121">
        <item x="88"/>
        <item x="46"/>
        <item x="78"/>
        <item x="38"/>
        <item x="109"/>
        <item x="11"/>
        <item x="47"/>
        <item x="62"/>
        <item x="81"/>
        <item x="112"/>
        <item x="113"/>
        <item x="90"/>
        <item x="61"/>
        <item x="26"/>
        <item x="105"/>
        <item x="71"/>
        <item x="36"/>
        <item x="54"/>
        <item x="63"/>
        <item x="1"/>
        <item x="32"/>
        <item x="97"/>
        <item x="67"/>
        <item x="98"/>
        <item x="9"/>
        <item x="58"/>
        <item x="41"/>
        <item x="79"/>
        <item x="102"/>
        <item x="65"/>
        <item x="106"/>
        <item x="48"/>
        <item x="34"/>
        <item x="85"/>
        <item x="12"/>
        <item x="20"/>
        <item x="87"/>
        <item x="25"/>
        <item x="114"/>
        <item x="57"/>
        <item x="115"/>
        <item x="89"/>
        <item x="0"/>
        <item x="80"/>
        <item x="91"/>
        <item x="93"/>
        <item x="92"/>
        <item x="29"/>
        <item x="7"/>
        <item x="69"/>
        <item x="8"/>
        <item x="30"/>
        <item x="70"/>
        <item x="44"/>
        <item x="50"/>
        <item x="35"/>
        <item x="59"/>
        <item x="74"/>
        <item x="111"/>
        <item x="39"/>
        <item x="19"/>
        <item x="28"/>
        <item x="6"/>
        <item x="101"/>
        <item x="104"/>
        <item x="108"/>
        <item x="72"/>
        <item x="51"/>
        <item x="31"/>
        <item x="99"/>
        <item x="82"/>
        <item x="5"/>
        <item x="24"/>
        <item x="42"/>
        <item x="96"/>
        <item x="76"/>
        <item x="66"/>
        <item x="119"/>
        <item x="49"/>
        <item x="68"/>
        <item x="2"/>
        <item x="53"/>
        <item x="23"/>
        <item x="100"/>
        <item x="21"/>
        <item x="13"/>
        <item x="33"/>
        <item x="17"/>
        <item x="116"/>
        <item x="60"/>
        <item x="64"/>
        <item x="86"/>
        <item x="16"/>
        <item x="4"/>
        <item x="43"/>
        <item x="73"/>
        <item x="27"/>
        <item x="15"/>
        <item x="110"/>
        <item x="55"/>
        <item x="117"/>
        <item x="22"/>
        <item x="83"/>
        <item x="103"/>
        <item x="14"/>
        <item x="77"/>
        <item x="56"/>
        <item x="18"/>
        <item x="118"/>
        <item x="3"/>
        <item x="94"/>
        <item x="95"/>
        <item x="45"/>
        <item x="40"/>
        <item x="10"/>
        <item x="37"/>
        <item x="52"/>
        <item x="84"/>
        <item x="107"/>
        <item x="7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8">
        <item x="4"/>
        <item x="5"/>
        <item x="3"/>
        <item x="1"/>
        <item x="0"/>
        <item x="2"/>
        <item x="6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0"/>
    <field x="1"/>
  </rowFields>
  <rowItems count="22">
    <i>
      <x v="1"/>
    </i>
    <i>
      <x v="2"/>
    </i>
    <i>
      <x v="3"/>
    </i>
    <i>
      <x v="4"/>
    </i>
    <i>
      <x v="5"/>
    </i>
    <i>
      <x v="6"/>
    </i>
    <i>
      <x v="7"/>
    </i>
    <i r="1">
      <x v="80"/>
    </i>
    <i r="1">
      <x v="42"/>
    </i>
    <i r="1">
      <x v="24"/>
    </i>
    <i r="1">
      <x v="112"/>
    </i>
    <i r="1">
      <x v="25"/>
    </i>
    <i r="1">
      <x v="26"/>
    </i>
    <i r="1">
      <x v="76"/>
    </i>
    <i r="1">
      <x v="106"/>
    </i>
    <i r="1">
      <x v="75"/>
    </i>
    <i r="1">
      <x v="102"/>
    </i>
    <i r="1">
      <x v="105"/>
    </i>
    <i r="1">
      <x v="109"/>
    </i>
    <i>
      <x v="8"/>
    </i>
    <i>
      <x v="9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a de Vta" fld="3" baseField="0" baseItem="0" numFmtId="165"/>
  </dataFields>
  <formats count="13">
    <format dxfId="539">
      <pivotArea outline="0" collapsedLevelsAreSubtotals="1" fieldPosition="0"/>
    </format>
    <format dxfId="538">
      <pivotArea outline="0" collapsedLevelsAreSubtotals="1" fieldPosition="0"/>
    </format>
    <format dxfId="537">
      <pivotArea outline="0" collapsedLevelsAreSubtotals="1" fieldPosition="0"/>
    </format>
    <format dxfId="536">
      <pivotArea outline="0" collapsedLevelsAreSubtotals="1" fieldPosition="0"/>
    </format>
    <format dxfId="535">
      <pivotArea field="2" type="button" dataOnly="0" labelOnly="1" outline="0" axis="axisCol" fieldPosition="0"/>
    </format>
    <format dxfId="534">
      <pivotArea type="topRight" dataOnly="0" labelOnly="1" outline="0" fieldPosition="0"/>
    </format>
    <format dxfId="533">
      <pivotArea dataOnly="0" labelOnly="1" fieldPosition="0">
        <references count="1">
          <reference field="2" count="6">
            <x v="0"/>
            <x v="1"/>
            <x v="2"/>
            <x v="3"/>
            <x v="4"/>
            <x v="5"/>
          </reference>
        </references>
      </pivotArea>
    </format>
    <format dxfId="532">
      <pivotArea dataOnly="0" labelOnly="1" grandCol="1" outline="0" fieldPosition="0"/>
    </format>
    <format dxfId="531">
      <pivotArea outline="0" collapsedLevelsAreSubtotals="1" fieldPosition="0"/>
    </format>
    <format dxfId="530">
      <pivotArea field="2" type="button" dataOnly="0" labelOnly="1" outline="0" axis="axisCol" fieldPosition="0"/>
    </format>
    <format dxfId="529">
      <pivotArea type="topRight" dataOnly="0" labelOnly="1" outline="0" fieldPosition="0"/>
    </format>
    <format dxfId="528">
      <pivotArea dataOnly="0" labelOnly="1" fieldPosition="0">
        <references count="1">
          <reference field="2" count="6">
            <x v="0"/>
            <x v="1"/>
            <x v="2"/>
            <x v="3"/>
            <x v="4"/>
            <x v="5"/>
          </reference>
        </references>
      </pivotArea>
    </format>
    <format dxfId="52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name="TablaDinámica11" cacheId="4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G138:N161" firstHeaderRow="1" firstDataRow="2" firstDataCol="1"/>
  <pivotFields count="15">
    <pivotField axis="axisRow" showAll="0">
      <items count="12">
        <item h="1" sd="0" x="10"/>
        <item sd="0" x="1"/>
        <item sd="0" x="9"/>
        <item sd="0" x="6"/>
        <item sd="0" x="2"/>
        <item sd="0" x="3"/>
        <item sd="0" x="4"/>
        <item x="0"/>
        <item sd="0" x="7"/>
        <item sd="0" x="5"/>
        <item h="1" sd="0" x="8"/>
        <item t="default" sd="0"/>
      </items>
    </pivotField>
    <pivotField axis="axisRow" showAll="0">
      <items count="121">
        <item x="88"/>
        <item x="46"/>
        <item x="78"/>
        <item x="38"/>
        <item x="109"/>
        <item x="11"/>
        <item x="47"/>
        <item x="62"/>
        <item x="81"/>
        <item x="112"/>
        <item x="113"/>
        <item x="90"/>
        <item x="61"/>
        <item x="26"/>
        <item x="105"/>
        <item x="71"/>
        <item x="36"/>
        <item x="54"/>
        <item x="63"/>
        <item x="1"/>
        <item x="32"/>
        <item x="97"/>
        <item x="67"/>
        <item x="98"/>
        <item x="9"/>
        <item x="58"/>
        <item x="41"/>
        <item x="79"/>
        <item x="102"/>
        <item x="65"/>
        <item x="106"/>
        <item x="48"/>
        <item x="34"/>
        <item x="85"/>
        <item x="12"/>
        <item x="20"/>
        <item x="87"/>
        <item x="25"/>
        <item x="114"/>
        <item x="57"/>
        <item x="115"/>
        <item x="89"/>
        <item x="0"/>
        <item x="80"/>
        <item x="91"/>
        <item x="93"/>
        <item x="92"/>
        <item x="29"/>
        <item x="7"/>
        <item x="69"/>
        <item x="8"/>
        <item x="30"/>
        <item x="70"/>
        <item x="44"/>
        <item x="50"/>
        <item x="35"/>
        <item x="59"/>
        <item x="74"/>
        <item x="111"/>
        <item x="39"/>
        <item x="19"/>
        <item x="28"/>
        <item x="6"/>
        <item x="101"/>
        <item x="104"/>
        <item x="108"/>
        <item x="72"/>
        <item x="51"/>
        <item x="31"/>
        <item x="99"/>
        <item x="82"/>
        <item x="5"/>
        <item x="24"/>
        <item x="42"/>
        <item x="96"/>
        <item x="76"/>
        <item x="66"/>
        <item x="119"/>
        <item x="49"/>
        <item x="68"/>
        <item x="2"/>
        <item x="53"/>
        <item x="23"/>
        <item x="100"/>
        <item x="21"/>
        <item x="13"/>
        <item x="33"/>
        <item x="17"/>
        <item x="116"/>
        <item x="60"/>
        <item x="64"/>
        <item x="86"/>
        <item x="16"/>
        <item x="4"/>
        <item x="43"/>
        <item x="73"/>
        <item x="27"/>
        <item x="15"/>
        <item x="110"/>
        <item x="55"/>
        <item x="117"/>
        <item x="22"/>
        <item x="83"/>
        <item x="103"/>
        <item x="14"/>
        <item x="77"/>
        <item x="56"/>
        <item x="18"/>
        <item x="118"/>
        <item x="3"/>
        <item x="94"/>
        <item x="95"/>
        <item x="45"/>
        <item x="40"/>
        <item x="10"/>
        <item x="37"/>
        <item x="52"/>
        <item x="84"/>
        <item x="107"/>
        <item x="75"/>
        <item t="default"/>
      </items>
    </pivotField>
    <pivotField axis="axisCol" showAll="0">
      <items count="8">
        <item x="4"/>
        <item x="5"/>
        <item x="3"/>
        <item x="1"/>
        <item x="0"/>
        <item x="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2">
    <field x="0"/>
    <field x="1"/>
  </rowFields>
  <rowItems count="22">
    <i>
      <x v="1"/>
    </i>
    <i>
      <x v="2"/>
    </i>
    <i>
      <x v="3"/>
    </i>
    <i>
      <x v="4"/>
    </i>
    <i>
      <x v="5"/>
    </i>
    <i>
      <x v="6"/>
    </i>
    <i>
      <x v="7"/>
    </i>
    <i r="1">
      <x v="24"/>
    </i>
    <i r="1">
      <x v="25"/>
    </i>
    <i r="1">
      <x v="26"/>
    </i>
    <i r="1">
      <x v="42"/>
    </i>
    <i r="1">
      <x v="75"/>
    </i>
    <i r="1">
      <x v="76"/>
    </i>
    <i r="1">
      <x v="80"/>
    </i>
    <i r="1">
      <x v="102"/>
    </i>
    <i r="1">
      <x v="105"/>
    </i>
    <i r="1">
      <x v="106"/>
    </i>
    <i r="1">
      <x v="109"/>
    </i>
    <i r="1">
      <x v="112"/>
    </i>
    <i>
      <x v="8"/>
    </i>
    <i>
      <x v="9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a de cump" fld="14" baseField="0" baseItem="0" numFmtId="9"/>
  </dataFields>
  <formats count="2">
    <format dxfId="541">
      <pivotArea outline="0" collapsedLevelsAreSubtotals="1" fieldPosition="0"/>
    </format>
    <format dxfId="540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name="TablaDinámica6" cacheId="4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G49:N60" firstHeaderRow="1" firstDataRow="2" firstDataCol="1"/>
  <pivotFields count="15">
    <pivotField axis="axisRow" showAll="0">
      <items count="12">
        <item h="1" x="10"/>
        <item x="1"/>
        <item x="9"/>
        <item x="6"/>
        <item x="2"/>
        <item x="3"/>
        <item x="4"/>
        <item x="0"/>
        <item x="7"/>
        <item x="5"/>
        <item h="1" x="8"/>
        <item t="default"/>
      </items>
    </pivotField>
    <pivotField showAll="0"/>
    <pivotField axis="axisCol" showAll="0">
      <items count="8">
        <item x="4"/>
        <item x="5"/>
        <item x="3"/>
        <item x="1"/>
        <item x="0"/>
        <item x="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0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a de product2" fld="13" baseField="0" baseItem="0" numFmtId="165"/>
  </dataFields>
  <formats count="1">
    <format dxfId="54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name="TablaDinámica1" cacheId="8" applyNumberFormats="0" applyBorderFormats="0" applyFontFormats="0" applyPatternFormats="0" applyAlignmentFormats="0" applyWidthHeightFormats="1" dataCaption="Valores" updatedVersion="6" minRefreshableVersion="3" itemPrintTitles="1" createdVersion="6" indent="0" outline="1" outlineData="1" multipleFieldFilters="0">
  <location ref="F7:S18" firstHeaderRow="1" firstDataRow="2" firstDataCol="1"/>
  <pivotFields count="4">
    <pivotField axis="axisRow" showAll="0">
      <items count="10">
        <item x="3"/>
        <item x="1"/>
        <item x="4"/>
        <item x="8"/>
        <item x="0"/>
        <item x="2"/>
        <item x="5"/>
        <item x="7"/>
        <item x="6"/>
        <item t="default"/>
      </items>
    </pivotField>
    <pivotField showAll="0"/>
    <pivotField dataField="1" showAll="0"/>
    <pivotField axis="axisCol" showAll="0">
      <items count="13">
        <item x="0"/>
        <item x="1"/>
        <item x="2"/>
        <item x="3"/>
        <item x="4"/>
        <item x="5"/>
        <item x="6"/>
        <item x="7"/>
        <item x="11"/>
        <item x="8"/>
        <item x="9"/>
        <item x="10"/>
        <item t="default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3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a de Cumplimiento" fld="2" baseField="0" baseItem="0"/>
  </dataFields>
  <formats count="2">
    <format dxfId="479">
      <pivotArea dataOnly="0" outline="0" fieldPosition="0">
        <references count="1">
          <reference field="3" count="0"/>
        </references>
      </pivotArea>
    </format>
    <format dxfId="478">
      <pivotArea dataOnly="0" outline="0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TablaDinámica4" cacheId="14" applyNumberFormats="0" applyBorderFormats="0" applyFontFormats="0" applyPatternFormats="0" applyAlignmentFormats="0" applyWidthHeightFormats="1" dataCaption="Valores" updatedVersion="6" minRefreshableVersion="3" colGrandTotals="0" itemPrintTitles="1" createdVersion="6" indent="0" outline="1" outlineData="1" multipleFieldFilters="0">
  <location ref="H31:N42" firstHeaderRow="1" firstDataRow="2" firstDataCol="1"/>
  <pivotFields count="7">
    <pivotField showAll="0"/>
    <pivotField axis="axisCol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showAll="0"/>
    <pivotField showAll="0"/>
    <pivotField axis="axisRow" showAll="0" sortType="descending">
      <items count="10"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5"/>
            </reference>
          </references>
        </pivotArea>
      </autoSortScope>
    </pivotField>
    <pivotField dragToRow="0" dragToCol="0" dragToPage="0" showAll="0" defaultSubtotal="0"/>
  </pivotFields>
  <rowFields count="1">
    <field x="5"/>
  </rowFields>
  <rowItems count="10">
    <i>
      <x v="5"/>
    </i>
    <i>
      <x v="6"/>
    </i>
    <i>
      <x v="2"/>
    </i>
    <i>
      <x v="8"/>
    </i>
    <i>
      <x v="7"/>
    </i>
    <i>
      <x v="1"/>
    </i>
    <i>
      <x/>
    </i>
    <i>
      <x v="3"/>
    </i>
    <i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Promedio de Meta Promedio" fld="2" subtotal="average" baseField="5" baseItem="8"/>
  </dataFields>
  <formats count="8">
    <format dxfId="450">
      <pivotArea outline="0" collapsedLevelsAreSubtotals="1" fieldPosition="0"/>
    </format>
    <format dxfId="451">
      <pivotArea outline="0" collapsedLevelsAreSubtotals="1" fieldPosition="0"/>
    </format>
    <format dxfId="452">
      <pivotArea outline="0" collapsedLevelsAreSubtotals="1" fieldPosition="0"/>
    </format>
    <format dxfId="453">
      <pivotArea outline="0" collapsedLevelsAreSubtotals="1" fieldPosition="0"/>
    </format>
    <format dxfId="454">
      <pivotArea outline="0" collapsedLevelsAreSubtotals="1" fieldPosition="0"/>
    </format>
    <format dxfId="455">
      <pivotArea dataOnly="0" outline="0" fieldPosition="0">
        <references count="1">
          <reference field="1" count="0"/>
        </references>
      </pivotArea>
    </format>
    <format dxfId="456">
      <pivotArea dataOnly="0" outline="0" fieldPosition="0">
        <references count="1">
          <reference field="1" count="0"/>
        </references>
      </pivotArea>
    </format>
    <format dxfId="457">
      <pivotArea dataOnly="0" outline="0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TablaDinámica3" cacheId="14" applyNumberFormats="0" applyBorderFormats="0" applyFontFormats="0" applyPatternFormats="0" applyAlignmentFormats="0" applyWidthHeightFormats="1" dataCaption="Valores" updatedVersion="6" minRefreshableVersion="3" colGrandTotals="0" itemPrintTitles="1" createdVersion="6" indent="0" outline="1" outlineData="1" multipleFieldFilters="0">
  <location ref="H18:N29" firstHeaderRow="1" firstDataRow="2" firstDataCol="1"/>
  <pivotFields count="7">
    <pivotField showAll="0"/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ragToRow="0" dragToCol="0" dragToPage="0" showAll="0" defaultSubtota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uma de Unid x Minuto" fld="3" baseField="0" baseItem="0"/>
  </dataFields>
  <formats count="8">
    <format dxfId="460">
      <pivotArea outline="0" collapsedLevelsAreSubtotals="1" fieldPosition="0"/>
    </format>
    <format dxfId="461">
      <pivotArea outline="0" collapsedLevelsAreSubtotals="1" fieldPosition="0"/>
    </format>
    <format dxfId="462">
      <pivotArea outline="0" collapsedLevelsAreSubtotals="1" fieldPosition="0"/>
    </format>
    <format dxfId="463">
      <pivotArea outline="0" collapsedLevelsAreSubtotals="1" fieldPosition="0"/>
    </format>
    <format dxfId="464">
      <pivotArea outline="0" collapsedLevelsAreSubtotals="1" fieldPosition="0"/>
    </format>
    <format dxfId="465">
      <pivotArea dataOnly="0" outline="0" fieldPosition="0">
        <references count="1">
          <reference field="1" count="0"/>
        </references>
      </pivotArea>
    </format>
    <format dxfId="459">
      <pivotArea dataOnly="0" outline="0" fieldPosition="0">
        <references count="1">
          <reference field="1" count="0"/>
        </references>
      </pivotArea>
    </format>
    <format dxfId="458">
      <pivotArea dataOnly="0" outline="0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TablaDinámica2" cacheId="14" applyNumberFormats="0" applyBorderFormats="0" applyFontFormats="0" applyPatternFormats="0" applyAlignmentFormats="0" applyWidthHeightFormats="1" dataCaption="Valores" updatedVersion="6" minRefreshableVersion="3" colGrandTotals="0" itemPrintTitles="1" createdVersion="6" indent="0" outline="1" outlineData="1" multipleFieldFilters="0">
  <location ref="H5:N16" firstHeaderRow="1" firstDataRow="2" firstDataCol="1"/>
  <pivotFields count="7">
    <pivotField showAll="0"/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dragToRow="0" dragToCol="0" dragToPage="0" showAll="0" defaultSubtota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uma de Cumpl" fld="6" baseField="0" baseItem="0"/>
  </dataFields>
  <formats count="6">
    <format dxfId="471">
      <pivotArea outline="0" collapsedLevelsAreSubtotals="1" fieldPosition="0"/>
    </format>
    <format dxfId="470">
      <pivotArea outline="0" collapsedLevelsAreSubtotals="1" fieldPosition="0"/>
    </format>
    <format dxfId="469">
      <pivotArea outline="0" collapsedLevelsAreSubtotals="1" fieldPosition="0"/>
    </format>
    <format dxfId="468">
      <pivotArea outline="0" collapsedLevelsAreSubtotals="1" fieldPosition="0"/>
    </format>
    <format dxfId="467">
      <pivotArea outline="0" collapsedLevelsAreSubtotals="1" fieldPosition="0"/>
    </format>
    <format dxfId="466">
      <pivotArea dataOnly="0" outline="0" fieldPosition="0">
        <references count="1">
          <reference field="1" count="0"/>
        </references>
      </pivotArea>
    </format>
  </formats>
  <conditionalFormats count="1">
    <conditionalFormat priority="5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TablaDinámica24" cacheId="26" applyNumberFormats="0" applyBorderFormats="0" applyFontFormats="0" applyPatternFormats="0" applyAlignmentFormats="0" applyWidthHeightFormats="1" dataCaption="Valores" updatedVersion="6" minRefreshableVersion="3" rowGrandTotals="0" colGrandTotals="0" itemPrintTitles="1" createdVersion="6" indent="0" outline="1" outlineData="1" multipleFieldFilters="0" rowHeaderCaption="Tiendas Bottom">
  <location ref="M41:N59" firstHeaderRow="1" firstDataRow="1" firstDataCol="1" rowPageCount="1" colPageCount="1"/>
  <pivotFields count="5">
    <pivotField axis="axisRow" showAll="0" sortType="ascending">
      <items count="112">
        <item x="26"/>
        <item x="36"/>
        <item x="110"/>
        <item x="99"/>
        <item x="77"/>
        <item x="22"/>
        <item x="86"/>
        <item x="27"/>
        <item x="76"/>
        <item x="13"/>
        <item x="80"/>
        <item x="63"/>
        <item x="87"/>
        <item x="98"/>
        <item x="33"/>
        <item x="72"/>
        <item x="52"/>
        <item x="100"/>
        <item x="88"/>
        <item x="75"/>
        <item x="45"/>
        <item x="67"/>
        <item x="54"/>
        <item x="42"/>
        <item x="17"/>
        <item x="79"/>
        <item x="53"/>
        <item x="9"/>
        <item x="82"/>
        <item x="18"/>
        <item x="106"/>
        <item x="105"/>
        <item x="60"/>
        <item x="39"/>
        <item x="58"/>
        <item x="38"/>
        <item x="4"/>
        <item x="12"/>
        <item x="3"/>
        <item x="6"/>
        <item x="47"/>
        <item x="55"/>
        <item x="84"/>
        <item x="95"/>
        <item x="29"/>
        <item x="89"/>
        <item x="41"/>
        <item x="11"/>
        <item x="92"/>
        <item x="56"/>
        <item x="51"/>
        <item x="15"/>
        <item x="81"/>
        <item x="7"/>
        <item x="101"/>
        <item x="69"/>
        <item x="62"/>
        <item x="103"/>
        <item x="64"/>
        <item x="14"/>
        <item x="1"/>
        <item x="5"/>
        <item x="32"/>
        <item x="57"/>
        <item x="78"/>
        <item x="46"/>
        <item x="97"/>
        <item x="25"/>
        <item x="21"/>
        <item x="61"/>
        <item x="2"/>
        <item x="24"/>
        <item x="44"/>
        <item x="31"/>
        <item x="109"/>
        <item x="23"/>
        <item x="40"/>
        <item x="93"/>
        <item x="28"/>
        <item x="74"/>
        <item x="65"/>
        <item x="50"/>
        <item x="104"/>
        <item x="10"/>
        <item x="85"/>
        <item x="71"/>
        <item x="102"/>
        <item x="37"/>
        <item x="66"/>
        <item x="83"/>
        <item x="90"/>
        <item x="59"/>
        <item x="35"/>
        <item x="8"/>
        <item x="94"/>
        <item x="108"/>
        <item x="91"/>
        <item x="30"/>
        <item x="73"/>
        <item x="16"/>
        <item x="96"/>
        <item x="48"/>
        <item x="107"/>
        <item x="49"/>
        <item x="34"/>
        <item x="68"/>
        <item x="70"/>
        <item x="19"/>
        <item x="43"/>
        <item x="20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0" showAll="0"/>
    <pivotField showAll="0"/>
    <pivotField showAll="0"/>
    <pivotField name="GOR " axis="axisPage" showAll="0">
      <items count="10">
        <item x="2"/>
        <item x="0"/>
        <item x="6"/>
        <item x="8"/>
        <item x="4"/>
        <item x="1"/>
        <item x="5"/>
        <item x="3"/>
        <item x="7"/>
        <item t="default"/>
      </items>
    </pivotField>
  </pivotFields>
  <rowFields count="1">
    <field x="0"/>
  </rowFields>
  <rowItems count="18">
    <i>
      <x v="2"/>
    </i>
    <i>
      <x v="82"/>
    </i>
    <i>
      <x v="17"/>
    </i>
    <i>
      <x v="13"/>
    </i>
    <i>
      <x v="94"/>
    </i>
    <i>
      <x v="12"/>
    </i>
    <i>
      <x v="28"/>
    </i>
    <i>
      <x v="15"/>
    </i>
    <i>
      <x v="105"/>
    </i>
    <i>
      <x v="88"/>
    </i>
    <i>
      <x v="50"/>
    </i>
    <i>
      <x v="81"/>
    </i>
    <i>
      <x v="62"/>
    </i>
    <i>
      <x v="78"/>
    </i>
    <i>
      <x/>
    </i>
    <i>
      <x v="75"/>
    </i>
    <i>
      <x v="107"/>
    </i>
    <i>
      <x v="29"/>
    </i>
  </rowItems>
  <colItems count="1">
    <i/>
  </colItems>
  <pageFields count="1">
    <pageField fld="4" item="8" hier="-1"/>
  </pageFields>
  <dataFields count="1">
    <dataField name="% Cump" fld="1" baseField="0" baseItem="0" numFmtId="166"/>
  </dataFields>
  <formats count="24">
    <format dxfId="129">
      <pivotArea outline="0" collapsedLevelsAreSubtotals="1" fieldPosition="0"/>
    </format>
    <format dxfId="130">
      <pivotArea dataOnly="0" labelOnly="1" outline="0" fieldPosition="0">
        <references count="1">
          <reference field="4" count="0"/>
        </references>
      </pivotArea>
    </format>
    <format dxfId="131">
      <pivotArea dataOnly="0" labelOnly="1" outline="0" axis="axisValues" fieldPosition="0"/>
    </format>
    <format dxfId="132">
      <pivotArea dataOnly="0" labelOnly="1" outline="0" axis="axisValues" fieldPosition="0"/>
    </format>
    <format dxfId="133">
      <pivotArea field="0" type="button" dataOnly="0" labelOnly="1" outline="0" axis="axisRow" fieldPosition="0"/>
    </format>
    <format dxfId="134">
      <pivotArea dataOnly="0" labelOnly="1" outline="0" axis="axisValues" fieldPosition="0"/>
    </format>
    <format dxfId="135">
      <pivotArea dataOnly="0" labelOnly="1" outline="0" axis="axisValues" fieldPosition="0"/>
    </format>
    <format dxfId="136">
      <pivotArea field="0" type="button" dataOnly="0" labelOnly="1" outline="0" axis="axisRow" fieldPosition="0"/>
    </format>
    <format dxfId="137">
      <pivotArea dataOnly="0" labelOnly="1" outline="0" axis="axisValues" fieldPosition="0"/>
    </format>
    <format dxfId="138">
      <pivotArea dataOnly="0" labelOnly="1" outline="0" axis="axisValues" fieldPosition="0"/>
    </format>
    <format dxfId="139">
      <pivotArea field="4" type="button" dataOnly="0" labelOnly="1" outline="0" axis="axisPage" fieldPosition="0"/>
    </format>
    <format dxfId="140">
      <pivotArea field="4" type="button" dataOnly="0" labelOnly="1" outline="0" axis="axisPage" fieldPosition="0"/>
    </format>
    <format dxfId="141">
      <pivotArea field="4" type="button" dataOnly="0" labelOnly="1" outline="0" axis="axisPage" fieldPosition="0"/>
    </format>
    <format dxfId="89">
      <pivotArea dataOnly="0" labelOnly="1" outline="0" fieldPosition="0">
        <references count="1">
          <reference field="4" count="1">
            <x v="8"/>
          </reference>
        </references>
      </pivotArea>
    </format>
    <format dxfId="83">
      <pivotArea dataOnly="0" labelOnly="1" outline="0" fieldPosition="0">
        <references count="1">
          <reference field="4" count="1">
            <x v="8"/>
          </reference>
        </references>
      </pivotArea>
    </format>
    <format dxfId="77">
      <pivotArea dataOnly="0" labelOnly="1" outline="0" fieldPosition="0">
        <references count="1">
          <reference field="4" count="1">
            <x v="8"/>
          </reference>
        </references>
      </pivotArea>
    </format>
    <format dxfId="71">
      <pivotArea outline="0" collapsedLevelsAreSubtotals="1" fieldPosition="0"/>
    </format>
    <format dxfId="70">
      <pivotArea dataOnly="0" labelOnly="1" outline="0" fieldPosition="0">
        <references count="1">
          <reference field="4" count="1">
            <x v="8"/>
          </reference>
        </references>
      </pivotArea>
    </format>
    <format dxfId="69">
      <pivotArea dataOnly="0" labelOnly="1" outline="0" axis="axisValues" fieldPosition="0"/>
    </format>
    <format dxfId="68">
      <pivotArea dataOnly="0" labelOnly="1" outline="0" axis="axisValues" fieldPosition="0"/>
    </format>
    <format dxfId="35">
      <pivotArea outline="0" collapsedLevelsAreSubtotals="1" fieldPosition="0"/>
    </format>
    <format dxfId="34">
      <pivotArea dataOnly="0" labelOnly="1" outline="0" fieldPosition="0">
        <references count="1">
          <reference field="4" count="1">
            <x v="8"/>
          </reference>
        </references>
      </pivotArea>
    </format>
    <format dxfId="33">
      <pivotArea dataOnly="0" labelOnly="1" outline="0" axis="axisValues" fieldPosition="0"/>
    </format>
    <format dxfId="3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9.xml><?xml version="1.0" encoding="utf-8"?>
<pivotTableDefinition xmlns="http://schemas.openxmlformats.org/spreadsheetml/2006/main" name="TablaDinámica23" cacheId="26" applyNumberFormats="0" applyBorderFormats="0" applyFontFormats="0" applyPatternFormats="0" applyAlignmentFormats="0" applyWidthHeightFormats="1" dataCaption="Valores" updatedVersion="6" minRefreshableVersion="3" rowGrandTotals="0" colGrandTotals="0" itemPrintTitles="1" createdVersion="6" indent="0" outline="1" outlineData="1" multipleFieldFilters="0" rowHeaderCaption="Tiendas Bottom">
  <location ref="J41:K56" firstHeaderRow="1" firstDataRow="1" firstDataCol="1" rowPageCount="1" colPageCount="1"/>
  <pivotFields count="5">
    <pivotField axis="axisRow" showAll="0" sortType="ascending">
      <items count="112">
        <item x="26"/>
        <item x="36"/>
        <item x="110"/>
        <item x="99"/>
        <item x="77"/>
        <item x="22"/>
        <item x="86"/>
        <item x="27"/>
        <item x="76"/>
        <item x="13"/>
        <item x="80"/>
        <item x="63"/>
        <item x="87"/>
        <item x="98"/>
        <item x="33"/>
        <item x="72"/>
        <item x="52"/>
        <item x="100"/>
        <item x="88"/>
        <item x="75"/>
        <item x="45"/>
        <item x="67"/>
        <item x="54"/>
        <item x="42"/>
        <item x="17"/>
        <item x="79"/>
        <item x="53"/>
        <item x="9"/>
        <item x="82"/>
        <item x="18"/>
        <item x="106"/>
        <item x="105"/>
        <item x="60"/>
        <item x="39"/>
        <item x="58"/>
        <item x="38"/>
        <item x="4"/>
        <item x="12"/>
        <item x="3"/>
        <item x="6"/>
        <item x="47"/>
        <item x="55"/>
        <item x="84"/>
        <item x="95"/>
        <item x="29"/>
        <item x="89"/>
        <item x="41"/>
        <item x="11"/>
        <item x="92"/>
        <item x="56"/>
        <item x="51"/>
        <item x="15"/>
        <item x="81"/>
        <item x="7"/>
        <item x="101"/>
        <item x="69"/>
        <item x="62"/>
        <item x="103"/>
        <item x="64"/>
        <item x="14"/>
        <item x="1"/>
        <item x="5"/>
        <item x="32"/>
        <item x="57"/>
        <item x="78"/>
        <item x="46"/>
        <item x="97"/>
        <item x="25"/>
        <item x="21"/>
        <item x="61"/>
        <item x="2"/>
        <item x="24"/>
        <item x="44"/>
        <item x="31"/>
        <item x="109"/>
        <item x="23"/>
        <item x="40"/>
        <item x="93"/>
        <item x="28"/>
        <item x="74"/>
        <item x="65"/>
        <item x="50"/>
        <item x="104"/>
        <item x="10"/>
        <item x="85"/>
        <item x="71"/>
        <item x="102"/>
        <item x="37"/>
        <item x="66"/>
        <item x="83"/>
        <item x="90"/>
        <item x="59"/>
        <item x="35"/>
        <item x="8"/>
        <item x="94"/>
        <item x="108"/>
        <item x="91"/>
        <item x="30"/>
        <item x="73"/>
        <item x="16"/>
        <item x="96"/>
        <item x="48"/>
        <item x="107"/>
        <item x="49"/>
        <item x="34"/>
        <item x="68"/>
        <item x="70"/>
        <item x="19"/>
        <item x="43"/>
        <item x="20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0" showAll="0"/>
    <pivotField showAll="0"/>
    <pivotField showAll="0"/>
    <pivotField name="GOR " axis="axisPage" showAll="0">
      <items count="10">
        <item x="2"/>
        <item x="0"/>
        <item x="6"/>
        <item x="8"/>
        <item x="4"/>
        <item x="1"/>
        <item x="5"/>
        <item x="3"/>
        <item x="7"/>
        <item t="default"/>
      </items>
    </pivotField>
  </pivotFields>
  <rowFields count="1">
    <field x="0"/>
  </rowFields>
  <rowItems count="15">
    <i>
      <x v="74"/>
    </i>
    <i>
      <x v="6"/>
    </i>
    <i>
      <x v="42"/>
    </i>
    <i>
      <x v="89"/>
    </i>
    <i>
      <x v="10"/>
    </i>
    <i>
      <x v="19"/>
    </i>
    <i>
      <x v="80"/>
    </i>
    <i>
      <x v="56"/>
    </i>
    <i>
      <x v="91"/>
    </i>
    <i>
      <x v="63"/>
    </i>
    <i>
      <x v="41"/>
    </i>
    <i>
      <x v="26"/>
    </i>
    <i>
      <x v="108"/>
    </i>
    <i>
      <x v="93"/>
    </i>
    <i>
      <x v="36"/>
    </i>
  </rowItems>
  <colItems count="1">
    <i/>
  </colItems>
  <pageFields count="1">
    <pageField fld="4" item="7" hier="-1"/>
  </pageFields>
  <dataFields count="1">
    <dataField name="% Cump" fld="1" baseField="0" baseItem="0" numFmtId="166"/>
  </dataFields>
  <formats count="24">
    <format dxfId="142">
      <pivotArea outline="0" collapsedLevelsAreSubtotals="1" fieldPosition="0"/>
    </format>
    <format dxfId="143">
      <pivotArea dataOnly="0" labelOnly="1" outline="0" fieldPosition="0">
        <references count="1">
          <reference field="4" count="0"/>
        </references>
      </pivotArea>
    </format>
    <format dxfId="144">
      <pivotArea dataOnly="0" labelOnly="1" outline="0" axis="axisValues" fieldPosition="0"/>
    </format>
    <format dxfId="145">
      <pivotArea dataOnly="0" labelOnly="1" outline="0" axis="axisValues" fieldPosition="0"/>
    </format>
    <format dxfId="146">
      <pivotArea field="0" type="button" dataOnly="0" labelOnly="1" outline="0" axis="axisRow" fieldPosition="0"/>
    </format>
    <format dxfId="147">
      <pivotArea dataOnly="0" labelOnly="1" outline="0" axis="axisValues" fieldPosition="0"/>
    </format>
    <format dxfId="148">
      <pivotArea dataOnly="0" labelOnly="1" outline="0" axis="axisValues" fieldPosition="0"/>
    </format>
    <format dxfId="149">
      <pivotArea field="0" type="button" dataOnly="0" labelOnly="1" outline="0" axis="axisRow" fieldPosition="0"/>
    </format>
    <format dxfId="150">
      <pivotArea dataOnly="0" labelOnly="1" outline="0" axis="axisValues" fieldPosition="0"/>
    </format>
    <format dxfId="151">
      <pivotArea dataOnly="0" labelOnly="1" outline="0" axis="axisValues" fieldPosition="0"/>
    </format>
    <format dxfId="152">
      <pivotArea field="4" type="button" dataOnly="0" labelOnly="1" outline="0" axis="axisPage" fieldPosition="0"/>
    </format>
    <format dxfId="153">
      <pivotArea field="4" type="button" dataOnly="0" labelOnly="1" outline="0" axis="axisPage" fieldPosition="0"/>
    </format>
    <format dxfId="154">
      <pivotArea field="4" type="button" dataOnly="0" labelOnly="1" outline="0" axis="axisPage" fieldPosition="0"/>
    </format>
    <format dxfId="88">
      <pivotArea dataOnly="0" labelOnly="1" outline="0" fieldPosition="0">
        <references count="1">
          <reference field="4" count="1">
            <x v="7"/>
          </reference>
        </references>
      </pivotArea>
    </format>
    <format dxfId="82">
      <pivotArea dataOnly="0" labelOnly="1" outline="0" fieldPosition="0">
        <references count="1">
          <reference field="4" count="1">
            <x v="7"/>
          </reference>
        </references>
      </pivotArea>
    </format>
    <format dxfId="76">
      <pivotArea dataOnly="0" labelOnly="1" outline="0" fieldPosition="0">
        <references count="1">
          <reference field="4" count="1">
            <x v="7"/>
          </reference>
        </references>
      </pivotArea>
    </format>
    <format dxfId="67">
      <pivotArea outline="0" collapsedLevelsAreSubtotals="1" fieldPosition="0"/>
    </format>
    <format dxfId="66">
      <pivotArea dataOnly="0" labelOnly="1" outline="0" fieldPosition="0">
        <references count="1">
          <reference field="4" count="1">
            <x v="7"/>
          </reference>
        </references>
      </pivotArea>
    </format>
    <format dxfId="65">
      <pivotArea dataOnly="0" labelOnly="1" outline="0" axis="axisValues" fieldPosition="0"/>
    </format>
    <format dxfId="64">
      <pivotArea dataOnly="0" labelOnly="1" outline="0" axis="axisValues" fieldPosition="0"/>
    </format>
    <format dxfId="31">
      <pivotArea outline="0" collapsedLevelsAreSubtotals="1" fieldPosition="0"/>
    </format>
    <format dxfId="30">
      <pivotArea dataOnly="0" labelOnly="1" outline="0" fieldPosition="0">
        <references count="1">
          <reference field="4" count="1">
            <x v="7"/>
          </reference>
        </references>
      </pivotArea>
    </format>
    <format dxfId="29">
      <pivotArea dataOnly="0" labelOnly="1" outline="0" axis="axisValues" fieldPosition="0"/>
    </format>
    <format dxfId="2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0.xml><?xml version="1.0" encoding="utf-8"?>
<pivotTableDefinition xmlns="http://schemas.openxmlformats.org/spreadsheetml/2006/main" name="TablaDinámica22" cacheId="26" applyNumberFormats="0" applyBorderFormats="0" applyFontFormats="0" applyPatternFormats="0" applyAlignmentFormats="0" applyWidthHeightFormats="1" dataCaption="Valores" updatedVersion="6" minRefreshableVersion="3" rowGrandTotals="0" colGrandTotals="0" itemPrintTitles="1" createdVersion="6" indent="0" outline="1" outlineData="1" multipleFieldFilters="0" rowHeaderCaption="Tiendas Bottom">
  <location ref="G41:H52" firstHeaderRow="1" firstDataRow="1" firstDataCol="1" rowPageCount="1" colPageCount="1"/>
  <pivotFields count="5">
    <pivotField axis="axisRow" showAll="0" sortType="ascending">
      <items count="112">
        <item x="26"/>
        <item x="36"/>
        <item x="110"/>
        <item x="99"/>
        <item x="77"/>
        <item x="22"/>
        <item x="86"/>
        <item x="27"/>
        <item x="76"/>
        <item x="13"/>
        <item x="80"/>
        <item x="63"/>
        <item x="87"/>
        <item x="98"/>
        <item x="33"/>
        <item x="72"/>
        <item x="52"/>
        <item x="100"/>
        <item x="88"/>
        <item x="75"/>
        <item x="45"/>
        <item x="67"/>
        <item x="54"/>
        <item x="42"/>
        <item x="17"/>
        <item x="79"/>
        <item x="53"/>
        <item x="9"/>
        <item x="82"/>
        <item x="18"/>
        <item x="106"/>
        <item x="105"/>
        <item x="60"/>
        <item x="39"/>
        <item x="58"/>
        <item x="38"/>
        <item x="4"/>
        <item x="12"/>
        <item x="3"/>
        <item x="6"/>
        <item x="47"/>
        <item x="55"/>
        <item x="84"/>
        <item x="95"/>
        <item x="29"/>
        <item x="89"/>
        <item x="41"/>
        <item x="11"/>
        <item x="92"/>
        <item x="56"/>
        <item x="51"/>
        <item x="15"/>
        <item x="81"/>
        <item x="7"/>
        <item x="101"/>
        <item x="69"/>
        <item x="62"/>
        <item x="103"/>
        <item x="64"/>
        <item x="14"/>
        <item x="1"/>
        <item x="5"/>
        <item x="32"/>
        <item x="57"/>
        <item x="78"/>
        <item x="46"/>
        <item x="97"/>
        <item x="25"/>
        <item x="21"/>
        <item x="61"/>
        <item x="2"/>
        <item x="24"/>
        <item x="44"/>
        <item x="31"/>
        <item x="109"/>
        <item x="23"/>
        <item x="40"/>
        <item x="93"/>
        <item x="28"/>
        <item x="74"/>
        <item x="65"/>
        <item x="50"/>
        <item x="104"/>
        <item x="10"/>
        <item x="85"/>
        <item x="71"/>
        <item x="102"/>
        <item x="37"/>
        <item x="66"/>
        <item x="83"/>
        <item x="90"/>
        <item x="59"/>
        <item x="35"/>
        <item x="8"/>
        <item x="94"/>
        <item x="108"/>
        <item x="91"/>
        <item x="30"/>
        <item x="73"/>
        <item x="16"/>
        <item x="96"/>
        <item x="48"/>
        <item x="107"/>
        <item x="49"/>
        <item x="34"/>
        <item x="68"/>
        <item x="70"/>
        <item x="19"/>
        <item x="43"/>
        <item x="20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0" showAll="0"/>
    <pivotField showAll="0"/>
    <pivotField showAll="0"/>
    <pivotField name="GOR " axis="axisPage" showAll="0">
      <items count="10">
        <item x="2"/>
        <item x="0"/>
        <item x="6"/>
        <item x="8"/>
        <item x="4"/>
        <item x="1"/>
        <item x="5"/>
        <item x="3"/>
        <item x="7"/>
        <item t="default"/>
      </items>
    </pivotField>
  </pivotFields>
  <rowFields count="1">
    <field x="0"/>
  </rowFields>
  <rowItems count="11">
    <i>
      <x v="100"/>
    </i>
    <i>
      <x v="77"/>
    </i>
    <i>
      <x v="45"/>
    </i>
    <i>
      <x v="8"/>
    </i>
    <i>
      <x v="101"/>
    </i>
    <i>
      <x v="46"/>
    </i>
    <i>
      <x v="92"/>
    </i>
    <i>
      <x v="14"/>
    </i>
    <i>
      <x v="44"/>
    </i>
    <i>
      <x v="51"/>
    </i>
    <i>
      <x v="47"/>
    </i>
  </rowItems>
  <colItems count="1">
    <i/>
  </colItems>
  <pageFields count="1">
    <pageField fld="4" item="6" hier="-1"/>
  </pageFields>
  <dataFields count="1">
    <dataField name="% Cump" fld="1" baseField="0" baseItem="0" numFmtId="166"/>
  </dataFields>
  <formats count="24">
    <format dxfId="155">
      <pivotArea outline="0" collapsedLevelsAreSubtotals="1" fieldPosition="0"/>
    </format>
    <format dxfId="156">
      <pivotArea dataOnly="0" labelOnly="1" outline="0" fieldPosition="0">
        <references count="1">
          <reference field="4" count="0"/>
        </references>
      </pivotArea>
    </format>
    <format dxfId="157">
      <pivotArea dataOnly="0" labelOnly="1" outline="0" axis="axisValues" fieldPosition="0"/>
    </format>
    <format dxfId="158">
      <pivotArea dataOnly="0" labelOnly="1" outline="0" axis="axisValues" fieldPosition="0"/>
    </format>
    <format dxfId="159">
      <pivotArea field="0" type="button" dataOnly="0" labelOnly="1" outline="0" axis="axisRow" fieldPosition="0"/>
    </format>
    <format dxfId="160">
      <pivotArea dataOnly="0" labelOnly="1" outline="0" axis="axisValues" fieldPosition="0"/>
    </format>
    <format dxfId="161">
      <pivotArea dataOnly="0" labelOnly="1" outline="0" axis="axisValues" fieldPosition="0"/>
    </format>
    <format dxfId="162">
      <pivotArea field="0" type="button" dataOnly="0" labelOnly="1" outline="0" axis="axisRow" fieldPosition="0"/>
    </format>
    <format dxfId="163">
      <pivotArea dataOnly="0" labelOnly="1" outline="0" axis="axisValues" fieldPosition="0"/>
    </format>
    <format dxfId="164">
      <pivotArea dataOnly="0" labelOnly="1" outline="0" axis="axisValues" fieldPosition="0"/>
    </format>
    <format dxfId="165">
      <pivotArea field="4" type="button" dataOnly="0" labelOnly="1" outline="0" axis="axisPage" fieldPosition="0"/>
    </format>
    <format dxfId="166">
      <pivotArea field="4" type="button" dataOnly="0" labelOnly="1" outline="0" axis="axisPage" fieldPosition="0"/>
    </format>
    <format dxfId="167">
      <pivotArea field="4" type="button" dataOnly="0" labelOnly="1" outline="0" axis="axisPage" fieldPosition="0"/>
    </format>
    <format dxfId="87">
      <pivotArea dataOnly="0" labelOnly="1" outline="0" fieldPosition="0">
        <references count="1">
          <reference field="4" count="1">
            <x v="6"/>
          </reference>
        </references>
      </pivotArea>
    </format>
    <format dxfId="81">
      <pivotArea dataOnly="0" labelOnly="1" outline="0" fieldPosition="0">
        <references count="1">
          <reference field="4" count="1">
            <x v="6"/>
          </reference>
        </references>
      </pivotArea>
    </format>
    <format dxfId="75">
      <pivotArea dataOnly="0" labelOnly="1" outline="0" fieldPosition="0">
        <references count="1">
          <reference field="4" count="1">
            <x v="6"/>
          </reference>
        </references>
      </pivotArea>
    </format>
    <format dxfId="63">
      <pivotArea outline="0" collapsedLevelsAreSubtotals="1" fieldPosition="0"/>
    </format>
    <format dxfId="62">
      <pivotArea dataOnly="0" labelOnly="1" outline="0" fieldPosition="0">
        <references count="1">
          <reference field="4" count="1">
            <x v="6"/>
          </reference>
        </references>
      </pivotArea>
    </format>
    <format dxfId="61">
      <pivotArea dataOnly="0" labelOnly="1" outline="0" axis="axisValues" fieldPosition="0"/>
    </format>
    <format dxfId="60">
      <pivotArea dataOnly="0" labelOnly="1" outline="0" axis="axisValues" fieldPosition="0"/>
    </format>
    <format dxfId="27">
      <pivotArea outline="0" collapsedLevelsAreSubtotals="1" fieldPosition="0"/>
    </format>
    <format dxfId="26">
      <pivotArea dataOnly="0" labelOnly="1" outline="0" fieldPosition="0">
        <references count="1">
          <reference field="4" count="1">
            <x v="6"/>
          </reference>
        </references>
      </pivotArea>
    </format>
    <format dxfId="25">
      <pivotArea dataOnly="0" labelOnly="1" outline="0" axis="axisValues" fieldPosition="0"/>
    </format>
    <format dxfId="2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1.xml><?xml version="1.0" encoding="utf-8"?>
<pivotTableDefinition xmlns="http://schemas.openxmlformats.org/spreadsheetml/2006/main" name="TablaDinámica21" cacheId="26" applyNumberFormats="0" applyBorderFormats="0" applyFontFormats="0" applyPatternFormats="0" applyAlignmentFormats="0" applyWidthHeightFormats="1" dataCaption="Valores" updatedVersion="6" minRefreshableVersion="3" rowGrandTotals="0" colGrandTotals="0" itemPrintTitles="1" createdVersion="6" indent="0" outline="1" outlineData="1" multipleFieldFilters="0" rowHeaderCaption="Tiendas Bottom">
  <location ref="G26:H34" firstHeaderRow="1" firstDataRow="1" firstDataCol="1" rowPageCount="1" colPageCount="1"/>
  <pivotFields count="5">
    <pivotField axis="axisRow" showAll="0" sortType="ascending">
      <items count="112">
        <item x="26"/>
        <item x="36"/>
        <item x="110"/>
        <item x="99"/>
        <item x="77"/>
        <item x="22"/>
        <item x="86"/>
        <item x="27"/>
        <item x="76"/>
        <item x="13"/>
        <item x="80"/>
        <item x="63"/>
        <item x="87"/>
        <item x="98"/>
        <item x="33"/>
        <item x="72"/>
        <item x="52"/>
        <item x="100"/>
        <item x="88"/>
        <item x="75"/>
        <item x="45"/>
        <item x="67"/>
        <item x="54"/>
        <item x="42"/>
        <item x="17"/>
        <item x="79"/>
        <item x="53"/>
        <item x="9"/>
        <item x="82"/>
        <item x="18"/>
        <item x="106"/>
        <item x="105"/>
        <item x="60"/>
        <item x="39"/>
        <item x="58"/>
        <item x="38"/>
        <item x="4"/>
        <item x="12"/>
        <item x="3"/>
        <item x="6"/>
        <item x="47"/>
        <item x="55"/>
        <item x="84"/>
        <item x="95"/>
        <item x="29"/>
        <item x="89"/>
        <item x="41"/>
        <item x="11"/>
        <item x="92"/>
        <item x="56"/>
        <item x="51"/>
        <item x="15"/>
        <item x="81"/>
        <item x="7"/>
        <item x="101"/>
        <item x="69"/>
        <item x="62"/>
        <item x="103"/>
        <item x="64"/>
        <item x="14"/>
        <item x="1"/>
        <item x="5"/>
        <item x="32"/>
        <item x="57"/>
        <item x="78"/>
        <item x="46"/>
        <item x="97"/>
        <item x="25"/>
        <item x="21"/>
        <item x="61"/>
        <item x="2"/>
        <item x="24"/>
        <item x="44"/>
        <item x="31"/>
        <item x="109"/>
        <item x="23"/>
        <item x="40"/>
        <item x="93"/>
        <item x="28"/>
        <item x="74"/>
        <item x="65"/>
        <item x="50"/>
        <item x="104"/>
        <item x="10"/>
        <item x="85"/>
        <item x="71"/>
        <item x="102"/>
        <item x="37"/>
        <item x="66"/>
        <item x="83"/>
        <item x="90"/>
        <item x="59"/>
        <item x="35"/>
        <item x="8"/>
        <item x="94"/>
        <item x="108"/>
        <item x="91"/>
        <item x="30"/>
        <item x="73"/>
        <item x="16"/>
        <item x="96"/>
        <item x="48"/>
        <item x="107"/>
        <item x="49"/>
        <item x="34"/>
        <item x="68"/>
        <item x="70"/>
        <item x="19"/>
        <item x="43"/>
        <item x="20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0" showAll="0"/>
    <pivotField showAll="0"/>
    <pivotField showAll="0"/>
    <pivotField name="GOR " axis="axisPage" showAll="0">
      <items count="10">
        <item x="2"/>
        <item x="0"/>
        <item x="6"/>
        <item x="8"/>
        <item x="4"/>
        <item x="1"/>
        <item x="5"/>
        <item x="3"/>
        <item x="7"/>
        <item t="default"/>
      </items>
    </pivotField>
  </pivotFields>
  <rowFields count="1">
    <field x="0"/>
  </rowFields>
  <rowItems count="8">
    <i>
      <x v="31"/>
    </i>
    <i>
      <x v="57"/>
    </i>
    <i>
      <x v="86"/>
    </i>
    <i>
      <x v="54"/>
    </i>
    <i>
      <x v="66"/>
    </i>
    <i>
      <x v="43"/>
    </i>
    <i>
      <x v="84"/>
    </i>
    <i>
      <x v="85"/>
    </i>
  </rowItems>
  <colItems count="1">
    <i/>
  </colItems>
  <pageFields count="1">
    <pageField fld="4" item="3" hier="-1"/>
  </pageFields>
  <dataFields count="1">
    <dataField name="% Cump" fld="1" baseField="0" baseItem="0" numFmtId="166"/>
  </dataFields>
  <formats count="24">
    <format dxfId="207">
      <pivotArea outline="0" collapsedLevelsAreSubtotals="1" fieldPosition="0"/>
    </format>
    <format dxfId="208">
      <pivotArea dataOnly="0" labelOnly="1" outline="0" fieldPosition="0">
        <references count="1">
          <reference field="4" count="0"/>
        </references>
      </pivotArea>
    </format>
    <format dxfId="209">
      <pivotArea dataOnly="0" labelOnly="1" outline="0" axis="axisValues" fieldPosition="0"/>
    </format>
    <format dxfId="210">
      <pivotArea dataOnly="0" labelOnly="1" outline="0" axis="axisValues" fieldPosition="0"/>
    </format>
    <format dxfId="211">
      <pivotArea field="0" type="button" dataOnly="0" labelOnly="1" outline="0" axis="axisRow" fieldPosition="0"/>
    </format>
    <format dxfId="212">
      <pivotArea dataOnly="0" labelOnly="1" outline="0" axis="axisValues" fieldPosition="0"/>
    </format>
    <format dxfId="213">
      <pivotArea dataOnly="0" labelOnly="1" outline="0" axis="axisValues" fieldPosition="0"/>
    </format>
    <format dxfId="214">
      <pivotArea field="0" type="button" dataOnly="0" labelOnly="1" outline="0" axis="axisRow" fieldPosition="0"/>
    </format>
    <format dxfId="215">
      <pivotArea dataOnly="0" labelOnly="1" outline="0" axis="axisValues" fieldPosition="0"/>
    </format>
    <format dxfId="216">
      <pivotArea dataOnly="0" labelOnly="1" outline="0" axis="axisValues" fieldPosition="0"/>
    </format>
    <format dxfId="217">
      <pivotArea field="4" type="button" dataOnly="0" labelOnly="1" outline="0" axis="axisPage" fieldPosition="0"/>
    </format>
    <format dxfId="218">
      <pivotArea field="4" type="button" dataOnly="0" labelOnly="1" outline="0" axis="axisPage" fieldPosition="0"/>
    </format>
    <format dxfId="219">
      <pivotArea field="4" type="button" dataOnly="0" labelOnly="1" outline="0" axis="axisPage" fieldPosition="0"/>
    </format>
    <format dxfId="86">
      <pivotArea dataOnly="0" labelOnly="1" outline="0" fieldPosition="0">
        <references count="1">
          <reference field="4" count="1">
            <x v="3"/>
          </reference>
        </references>
      </pivotArea>
    </format>
    <format dxfId="80">
      <pivotArea dataOnly="0" labelOnly="1" outline="0" fieldPosition="0">
        <references count="1">
          <reference field="4" count="1">
            <x v="3"/>
          </reference>
        </references>
      </pivotArea>
    </format>
    <format dxfId="74">
      <pivotArea dataOnly="0" labelOnly="1" outline="0" fieldPosition="0">
        <references count="1">
          <reference field="4" count="1">
            <x v="3"/>
          </reference>
        </references>
      </pivotArea>
    </format>
    <format dxfId="59">
      <pivotArea outline="0" collapsedLevelsAreSubtotals="1" fieldPosition="0"/>
    </format>
    <format dxfId="58">
      <pivotArea dataOnly="0" labelOnly="1" outline="0" fieldPosition="0">
        <references count="1">
          <reference field="4" count="1">
            <x v="3"/>
          </reference>
        </references>
      </pivotArea>
    </format>
    <format dxfId="57">
      <pivotArea dataOnly="0" labelOnly="1" outline="0" axis="axisValues" fieldPosition="0"/>
    </format>
    <format dxfId="56">
      <pivotArea dataOnly="0" labelOnly="1" outline="0" axis="axisValues" fieldPosition="0"/>
    </format>
    <format dxfId="23">
      <pivotArea outline="0" collapsedLevelsAreSubtotals="1" fieldPosition="0"/>
    </format>
    <format dxfId="22">
      <pivotArea dataOnly="0" labelOnly="1" outline="0" fieldPosition="0">
        <references count="1">
          <reference field="4" count="1">
            <x v="3"/>
          </reference>
        </references>
      </pivotArea>
    </format>
    <format dxfId="21">
      <pivotArea dataOnly="0" labelOnly="1" outline="0" axis="axisValues" fieldPosition="0"/>
    </format>
    <format dxfId="2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2.xml><?xml version="1.0" encoding="utf-8"?>
<pivotTableDefinition xmlns="http://schemas.openxmlformats.org/spreadsheetml/2006/main" name="TablaDinámica20" cacheId="26" applyNumberFormats="0" applyBorderFormats="0" applyFontFormats="0" applyPatternFormats="0" applyAlignmentFormats="0" applyWidthHeightFormats="1" dataCaption="Valores" updatedVersion="6" minRefreshableVersion="3" rowGrandTotals="0" colGrandTotals="0" itemPrintTitles="1" createdVersion="6" indent="0" outline="1" outlineData="1" multipleFieldFilters="0" rowHeaderCaption="Tiendas Bottom">
  <location ref="J26:K33" firstHeaderRow="1" firstDataRow="1" firstDataCol="1" rowPageCount="1" colPageCount="1"/>
  <pivotFields count="5">
    <pivotField axis="axisRow" showAll="0" sortType="ascending">
      <items count="112">
        <item x="26"/>
        <item x="36"/>
        <item x="110"/>
        <item x="99"/>
        <item x="77"/>
        <item x="22"/>
        <item x="86"/>
        <item x="27"/>
        <item x="76"/>
        <item x="13"/>
        <item x="80"/>
        <item x="63"/>
        <item x="87"/>
        <item x="98"/>
        <item x="33"/>
        <item x="72"/>
        <item x="52"/>
        <item x="100"/>
        <item x="88"/>
        <item x="75"/>
        <item x="45"/>
        <item x="67"/>
        <item x="54"/>
        <item x="42"/>
        <item x="17"/>
        <item x="79"/>
        <item x="53"/>
        <item x="9"/>
        <item x="82"/>
        <item x="18"/>
        <item x="106"/>
        <item x="105"/>
        <item x="60"/>
        <item x="39"/>
        <item x="58"/>
        <item x="38"/>
        <item x="4"/>
        <item x="12"/>
        <item x="3"/>
        <item x="6"/>
        <item x="47"/>
        <item x="55"/>
        <item x="84"/>
        <item x="95"/>
        <item x="29"/>
        <item x="89"/>
        <item x="41"/>
        <item x="11"/>
        <item x="92"/>
        <item x="56"/>
        <item x="51"/>
        <item x="15"/>
        <item x="81"/>
        <item x="7"/>
        <item x="101"/>
        <item x="69"/>
        <item x="62"/>
        <item x="103"/>
        <item x="64"/>
        <item x="14"/>
        <item x="1"/>
        <item x="5"/>
        <item x="32"/>
        <item x="57"/>
        <item x="78"/>
        <item x="46"/>
        <item x="97"/>
        <item x="25"/>
        <item x="21"/>
        <item x="61"/>
        <item x="2"/>
        <item x="24"/>
        <item x="44"/>
        <item x="31"/>
        <item x="109"/>
        <item x="23"/>
        <item x="40"/>
        <item x="93"/>
        <item x="28"/>
        <item x="74"/>
        <item x="65"/>
        <item x="50"/>
        <item x="104"/>
        <item x="10"/>
        <item x="85"/>
        <item x="71"/>
        <item x="102"/>
        <item x="37"/>
        <item x="66"/>
        <item x="83"/>
        <item x="90"/>
        <item x="59"/>
        <item x="35"/>
        <item x="8"/>
        <item x="94"/>
        <item x="108"/>
        <item x="91"/>
        <item x="30"/>
        <item x="73"/>
        <item x="16"/>
        <item x="96"/>
        <item x="48"/>
        <item x="107"/>
        <item x="49"/>
        <item x="34"/>
        <item x="68"/>
        <item x="70"/>
        <item x="19"/>
        <item x="43"/>
        <item x="20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0" showAll="0"/>
    <pivotField showAll="0"/>
    <pivotField showAll="0"/>
    <pivotField name="GOR " axis="axisPage" showAll="0">
      <items count="10">
        <item x="2"/>
        <item x="0"/>
        <item x="6"/>
        <item x="8"/>
        <item x="4"/>
        <item x="1"/>
        <item x="5"/>
        <item x="3"/>
        <item x="7"/>
        <item t="default"/>
      </items>
    </pivotField>
  </pivotFields>
  <rowFields count="1">
    <field x="0"/>
  </rowFields>
  <rowItems count="7">
    <i>
      <x v="52"/>
    </i>
    <i>
      <x v="35"/>
    </i>
    <i>
      <x v="67"/>
    </i>
    <i>
      <x v="71"/>
    </i>
    <i>
      <x v="5"/>
    </i>
    <i>
      <x v="9"/>
    </i>
    <i>
      <x v="61"/>
    </i>
  </rowItems>
  <colItems count="1">
    <i/>
  </colItems>
  <pageFields count="1">
    <pageField fld="4" item="4" hier="-1"/>
  </pageFields>
  <dataFields count="1">
    <dataField name="% Cump" fld="1" baseField="0" baseItem="0" numFmtId="166"/>
  </dataFields>
  <formats count="24">
    <format dxfId="220">
      <pivotArea outline="0" collapsedLevelsAreSubtotals="1" fieldPosition="0"/>
    </format>
    <format dxfId="221">
      <pivotArea dataOnly="0" labelOnly="1" outline="0" fieldPosition="0">
        <references count="1">
          <reference field="4" count="0"/>
        </references>
      </pivotArea>
    </format>
    <format dxfId="222">
      <pivotArea dataOnly="0" labelOnly="1" outline="0" axis="axisValues" fieldPosition="0"/>
    </format>
    <format dxfId="223">
      <pivotArea dataOnly="0" labelOnly="1" outline="0" axis="axisValues" fieldPosition="0"/>
    </format>
    <format dxfId="224">
      <pivotArea field="0" type="button" dataOnly="0" labelOnly="1" outline="0" axis="axisRow" fieldPosition="0"/>
    </format>
    <format dxfId="225">
      <pivotArea dataOnly="0" labelOnly="1" outline="0" axis="axisValues" fieldPosition="0"/>
    </format>
    <format dxfId="226">
      <pivotArea dataOnly="0" labelOnly="1" outline="0" axis="axisValues" fieldPosition="0"/>
    </format>
    <format dxfId="227">
      <pivotArea field="0" type="button" dataOnly="0" labelOnly="1" outline="0" axis="axisRow" fieldPosition="0"/>
    </format>
    <format dxfId="228">
      <pivotArea dataOnly="0" labelOnly="1" outline="0" axis="axisValues" fieldPosition="0"/>
    </format>
    <format dxfId="229">
      <pivotArea dataOnly="0" labelOnly="1" outline="0" axis="axisValues" fieldPosition="0"/>
    </format>
    <format dxfId="230">
      <pivotArea field="4" type="button" dataOnly="0" labelOnly="1" outline="0" axis="axisPage" fieldPosition="0"/>
    </format>
    <format dxfId="231">
      <pivotArea field="4" type="button" dataOnly="0" labelOnly="1" outline="0" axis="axisPage" fieldPosition="0"/>
    </format>
    <format dxfId="232">
      <pivotArea field="4" type="button" dataOnly="0" labelOnly="1" outline="0" axis="axisPage" fieldPosition="0"/>
    </format>
    <format dxfId="85">
      <pivotArea dataOnly="0" labelOnly="1" outline="0" fieldPosition="0">
        <references count="1">
          <reference field="4" count="1">
            <x v="4"/>
          </reference>
        </references>
      </pivotArea>
    </format>
    <format dxfId="79">
      <pivotArea dataOnly="0" labelOnly="1" outline="0" fieldPosition="0">
        <references count="1">
          <reference field="4" count="1">
            <x v="4"/>
          </reference>
        </references>
      </pivotArea>
    </format>
    <format dxfId="73">
      <pivotArea dataOnly="0" labelOnly="1" outline="0" fieldPosition="0">
        <references count="1">
          <reference field="4" count="1">
            <x v="4"/>
          </reference>
        </references>
      </pivotArea>
    </format>
    <format dxfId="55">
      <pivotArea outline="0" collapsedLevelsAreSubtotals="1" fieldPosition="0"/>
    </format>
    <format dxfId="54">
      <pivotArea dataOnly="0" labelOnly="1" outline="0" fieldPosition="0">
        <references count="1">
          <reference field="4" count="1">
            <x v="4"/>
          </reference>
        </references>
      </pivotArea>
    </format>
    <format dxfId="53">
      <pivotArea dataOnly="0" labelOnly="1" outline="0" axis="axisValues" fieldPosition="0"/>
    </format>
    <format dxfId="52">
      <pivotArea dataOnly="0" labelOnly="1" outline="0" axis="axisValues" fieldPosition="0"/>
    </format>
    <format dxfId="19">
      <pivotArea outline="0" collapsedLevelsAreSubtotals="1" fieldPosition="0"/>
    </format>
    <format dxfId="18">
      <pivotArea dataOnly="0" labelOnly="1" outline="0" fieldPosition="0">
        <references count="1">
          <reference field="4" count="1">
            <x v="4"/>
          </reference>
        </references>
      </pivotArea>
    </format>
    <format dxfId="17">
      <pivotArea dataOnly="0" labelOnly="1" outline="0" axis="axisValues" fieldPosition="0"/>
    </format>
    <format dxfId="1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3.xml><?xml version="1.0" encoding="utf-8"?>
<pivotTableDefinition xmlns="http://schemas.openxmlformats.org/spreadsheetml/2006/main" name="TablaDinámica19" cacheId="26" applyNumberFormats="0" applyBorderFormats="0" applyFontFormats="0" applyPatternFormats="0" applyAlignmentFormats="0" applyWidthHeightFormats="1" dataCaption="Valores" updatedVersion="6" minRefreshableVersion="3" rowGrandTotals="0" colGrandTotals="0" itemPrintTitles="1" createdVersion="6" indent="0" outline="1" outlineData="1" multipleFieldFilters="0" rowHeaderCaption="Tiendas Bottom">
  <location ref="M26:N37" firstHeaderRow="1" firstDataRow="1" firstDataCol="1" rowPageCount="1" colPageCount="1"/>
  <pivotFields count="5">
    <pivotField axis="axisRow" showAll="0" sortType="ascending">
      <items count="112">
        <item x="26"/>
        <item x="36"/>
        <item x="110"/>
        <item x="99"/>
        <item x="77"/>
        <item x="22"/>
        <item x="86"/>
        <item x="27"/>
        <item x="76"/>
        <item x="13"/>
        <item x="80"/>
        <item x="63"/>
        <item x="87"/>
        <item x="98"/>
        <item x="33"/>
        <item x="72"/>
        <item x="52"/>
        <item x="100"/>
        <item x="88"/>
        <item x="75"/>
        <item x="45"/>
        <item x="67"/>
        <item x="54"/>
        <item x="42"/>
        <item x="17"/>
        <item x="79"/>
        <item x="53"/>
        <item x="9"/>
        <item x="82"/>
        <item x="18"/>
        <item x="106"/>
        <item x="105"/>
        <item x="60"/>
        <item x="39"/>
        <item x="58"/>
        <item x="38"/>
        <item x="4"/>
        <item x="12"/>
        <item x="3"/>
        <item x="6"/>
        <item x="47"/>
        <item x="55"/>
        <item x="84"/>
        <item x="95"/>
        <item x="29"/>
        <item x="89"/>
        <item x="41"/>
        <item x="11"/>
        <item x="92"/>
        <item x="56"/>
        <item x="51"/>
        <item x="15"/>
        <item x="81"/>
        <item x="7"/>
        <item x="101"/>
        <item x="69"/>
        <item x="62"/>
        <item x="103"/>
        <item x="64"/>
        <item x="14"/>
        <item x="1"/>
        <item x="5"/>
        <item x="32"/>
        <item x="57"/>
        <item x="78"/>
        <item x="46"/>
        <item x="97"/>
        <item x="25"/>
        <item x="21"/>
        <item x="61"/>
        <item x="2"/>
        <item x="24"/>
        <item x="44"/>
        <item x="31"/>
        <item x="109"/>
        <item x="23"/>
        <item x="40"/>
        <item x="93"/>
        <item x="28"/>
        <item x="74"/>
        <item x="65"/>
        <item x="50"/>
        <item x="104"/>
        <item x="10"/>
        <item x="85"/>
        <item x="71"/>
        <item x="102"/>
        <item x="37"/>
        <item x="66"/>
        <item x="83"/>
        <item x="90"/>
        <item x="59"/>
        <item x="35"/>
        <item x="8"/>
        <item x="94"/>
        <item x="108"/>
        <item x="91"/>
        <item x="30"/>
        <item x="73"/>
        <item x="16"/>
        <item x="96"/>
        <item x="48"/>
        <item x="107"/>
        <item x="49"/>
        <item x="34"/>
        <item x="68"/>
        <item x="70"/>
        <item x="19"/>
        <item x="43"/>
        <item x="20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0" showAll="0"/>
    <pivotField showAll="0"/>
    <pivotField showAll="0"/>
    <pivotField name="GOR " axis="axisPage" showAll="0">
      <items count="10">
        <item x="2"/>
        <item x="0"/>
        <item x="6"/>
        <item x="8"/>
        <item x="4"/>
        <item x="1"/>
        <item x="5"/>
        <item x="3"/>
        <item x="7"/>
        <item t="default"/>
      </items>
    </pivotField>
  </pivotFields>
  <rowFields count="1">
    <field x="0"/>
  </rowFields>
  <rowItems count="11">
    <i>
      <x v="95"/>
    </i>
    <i>
      <x v="98"/>
    </i>
    <i>
      <x v="21"/>
    </i>
    <i>
      <x v="69"/>
    </i>
    <i>
      <x v="22"/>
    </i>
    <i>
      <x v="23"/>
    </i>
    <i>
      <x v="104"/>
    </i>
    <i>
      <x v="73"/>
    </i>
    <i>
      <x v="99"/>
    </i>
    <i>
      <x v="37"/>
    </i>
    <i>
      <x v="70"/>
    </i>
  </rowItems>
  <colItems count="1">
    <i/>
  </colItems>
  <pageFields count="1">
    <pageField fld="4" item="5" hier="-1"/>
  </pageFields>
  <dataFields count="1">
    <dataField name="% Cump" fld="1" baseField="0" baseItem="0" numFmtId="166"/>
  </dataFields>
  <formats count="24">
    <format dxfId="233">
      <pivotArea outline="0" collapsedLevelsAreSubtotals="1" fieldPosition="0"/>
    </format>
    <format dxfId="234">
      <pivotArea dataOnly="0" labelOnly="1" outline="0" fieldPosition="0">
        <references count="1">
          <reference field="4" count="0"/>
        </references>
      </pivotArea>
    </format>
    <format dxfId="235">
      <pivotArea dataOnly="0" labelOnly="1" outline="0" axis="axisValues" fieldPosition="0"/>
    </format>
    <format dxfId="236">
      <pivotArea dataOnly="0" labelOnly="1" outline="0" axis="axisValues" fieldPosition="0"/>
    </format>
    <format dxfId="237">
      <pivotArea field="0" type="button" dataOnly="0" labelOnly="1" outline="0" axis="axisRow" fieldPosition="0"/>
    </format>
    <format dxfId="238">
      <pivotArea dataOnly="0" labelOnly="1" outline="0" axis="axisValues" fieldPosition="0"/>
    </format>
    <format dxfId="239">
      <pivotArea dataOnly="0" labelOnly="1" outline="0" axis="axisValues" fieldPosition="0"/>
    </format>
    <format dxfId="240">
      <pivotArea field="0" type="button" dataOnly="0" labelOnly="1" outline="0" axis="axisRow" fieldPosition="0"/>
    </format>
    <format dxfId="241">
      <pivotArea dataOnly="0" labelOnly="1" outline="0" axis="axisValues" fieldPosition="0"/>
    </format>
    <format dxfId="242">
      <pivotArea dataOnly="0" labelOnly="1" outline="0" axis="axisValues" fieldPosition="0"/>
    </format>
    <format dxfId="243">
      <pivotArea field="4" type="button" dataOnly="0" labelOnly="1" outline="0" axis="axisPage" fieldPosition="0"/>
    </format>
    <format dxfId="244">
      <pivotArea field="4" type="button" dataOnly="0" labelOnly="1" outline="0" axis="axisPage" fieldPosition="0"/>
    </format>
    <format dxfId="245">
      <pivotArea field="4" type="button" dataOnly="0" labelOnly="1" outline="0" axis="axisPage" fieldPosition="0"/>
    </format>
    <format dxfId="84">
      <pivotArea dataOnly="0" labelOnly="1" outline="0" fieldPosition="0">
        <references count="1">
          <reference field="4" count="1">
            <x v="5"/>
          </reference>
        </references>
      </pivotArea>
    </format>
    <format dxfId="78">
      <pivotArea dataOnly="0" labelOnly="1" outline="0" fieldPosition="0">
        <references count="1">
          <reference field="4" count="1">
            <x v="5"/>
          </reference>
        </references>
      </pivotArea>
    </format>
    <format dxfId="72">
      <pivotArea dataOnly="0" labelOnly="1" outline="0" fieldPosition="0">
        <references count="1">
          <reference field="4" count="1">
            <x v="5"/>
          </reference>
        </references>
      </pivotArea>
    </format>
    <format dxfId="51">
      <pivotArea outline="0" collapsedLevelsAreSubtotals="1" fieldPosition="0"/>
    </format>
    <format dxfId="50">
      <pivotArea dataOnly="0" labelOnly="1" outline="0" fieldPosition="0">
        <references count="1">
          <reference field="4" count="1">
            <x v="5"/>
          </reference>
        </references>
      </pivotArea>
    </format>
    <format dxfId="49">
      <pivotArea dataOnly="0" labelOnly="1" outline="0" axis="axisValues" fieldPosition="0"/>
    </format>
    <format dxfId="48">
      <pivotArea dataOnly="0" labelOnly="1" outline="0" axis="axisValues" fieldPosition="0"/>
    </format>
    <format dxfId="15">
      <pivotArea outline="0" collapsedLevelsAreSubtotals="1" fieldPosition="0"/>
    </format>
    <format dxfId="14">
      <pivotArea dataOnly="0" labelOnly="1" outline="0" fieldPosition="0">
        <references count="1">
          <reference field="4" count="1">
            <x v="5"/>
          </reference>
        </references>
      </pivotArea>
    </format>
    <format dxfId="13">
      <pivotArea dataOnly="0" labelOnly="1" outline="0" axis="axisValues" fieldPosition="0"/>
    </format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4.xml><?xml version="1.0" encoding="utf-8"?>
<pivotTableDefinition xmlns="http://schemas.openxmlformats.org/spreadsheetml/2006/main" name="TablaDinámica18" cacheId="26" applyNumberFormats="0" applyBorderFormats="0" applyFontFormats="0" applyPatternFormats="0" applyAlignmentFormats="0" applyWidthHeightFormats="1" dataCaption="Valores" updatedVersion="6" minRefreshableVersion="3" rowGrandTotals="0" colGrandTotals="0" itemPrintTitles="1" createdVersion="6" indent="0" outline="1" outlineData="1" multipleFieldFilters="0" rowHeaderCaption="Tiendas Bottom">
  <location ref="M6:N17" firstHeaderRow="1" firstDataRow="1" firstDataCol="1" rowPageCount="1" colPageCount="1"/>
  <pivotFields count="5">
    <pivotField axis="axisRow" showAll="0" sortType="ascending">
      <items count="112">
        <item x="26"/>
        <item x="36"/>
        <item x="110"/>
        <item x="99"/>
        <item x="77"/>
        <item x="22"/>
        <item x="86"/>
        <item x="27"/>
        <item x="76"/>
        <item x="13"/>
        <item x="80"/>
        <item x="63"/>
        <item x="87"/>
        <item x="98"/>
        <item x="33"/>
        <item x="72"/>
        <item x="52"/>
        <item x="100"/>
        <item x="88"/>
        <item x="75"/>
        <item x="45"/>
        <item x="67"/>
        <item x="54"/>
        <item x="42"/>
        <item x="17"/>
        <item x="79"/>
        <item x="53"/>
        <item x="9"/>
        <item x="82"/>
        <item x="18"/>
        <item x="106"/>
        <item x="105"/>
        <item x="60"/>
        <item x="39"/>
        <item x="58"/>
        <item x="38"/>
        <item x="4"/>
        <item x="12"/>
        <item x="3"/>
        <item x="6"/>
        <item x="47"/>
        <item x="55"/>
        <item x="84"/>
        <item x="95"/>
        <item x="29"/>
        <item x="89"/>
        <item x="41"/>
        <item x="11"/>
        <item x="92"/>
        <item x="56"/>
        <item x="51"/>
        <item x="15"/>
        <item x="81"/>
        <item x="7"/>
        <item x="101"/>
        <item x="69"/>
        <item x="62"/>
        <item x="103"/>
        <item x="64"/>
        <item x="14"/>
        <item x="1"/>
        <item x="5"/>
        <item x="32"/>
        <item x="57"/>
        <item x="78"/>
        <item x="46"/>
        <item x="97"/>
        <item x="25"/>
        <item x="21"/>
        <item x="61"/>
        <item x="2"/>
        <item x="24"/>
        <item x="44"/>
        <item x="31"/>
        <item x="109"/>
        <item x="23"/>
        <item x="40"/>
        <item x="93"/>
        <item x="28"/>
        <item x="74"/>
        <item x="65"/>
        <item x="50"/>
        <item x="104"/>
        <item x="10"/>
        <item x="85"/>
        <item x="71"/>
        <item x="102"/>
        <item x="37"/>
        <item x="66"/>
        <item x="83"/>
        <item x="90"/>
        <item x="59"/>
        <item x="35"/>
        <item x="8"/>
        <item x="94"/>
        <item x="108"/>
        <item x="91"/>
        <item x="30"/>
        <item x="73"/>
        <item x="16"/>
        <item x="96"/>
        <item x="48"/>
        <item x="107"/>
        <item x="49"/>
        <item x="34"/>
        <item x="68"/>
        <item x="70"/>
        <item x="19"/>
        <item x="43"/>
        <item x="20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0" showAll="0"/>
    <pivotField showAll="0"/>
    <pivotField showAll="0"/>
    <pivotField name="GOR " axis="axisPage" showAll="0">
      <items count="10">
        <item x="2"/>
        <item x="0"/>
        <item x="6"/>
        <item x="8"/>
        <item x="4"/>
        <item x="1"/>
        <item x="5"/>
        <item x="3"/>
        <item x="7"/>
        <item t="default"/>
      </items>
    </pivotField>
  </pivotFields>
  <rowFields count="1">
    <field x="0"/>
  </rowFields>
  <rowItems count="11">
    <i>
      <x v="3"/>
    </i>
    <i>
      <x v="48"/>
    </i>
    <i>
      <x v="79"/>
    </i>
    <i>
      <x v="55"/>
    </i>
    <i>
      <x v="32"/>
    </i>
    <i>
      <x v="49"/>
    </i>
    <i>
      <x v="72"/>
    </i>
    <i>
      <x v="33"/>
    </i>
    <i>
      <x v="97"/>
    </i>
    <i>
      <x v="68"/>
    </i>
    <i>
      <x v="24"/>
    </i>
  </rowItems>
  <colItems count="1">
    <i/>
  </colItems>
  <pageFields count="1">
    <pageField fld="4" item="2" hier="-1"/>
  </pageFields>
  <dataFields count="1">
    <dataField name="% Cump" fld="1" baseField="0" baseItem="0" numFmtId="166"/>
  </dataFields>
  <formats count="21">
    <format dxfId="335">
      <pivotArea outline="0" collapsedLevelsAreSubtotals="1" fieldPosition="0"/>
    </format>
    <format dxfId="336">
      <pivotArea dataOnly="0" labelOnly="1" outline="0" fieldPosition="0">
        <references count="1">
          <reference field="4" count="0"/>
        </references>
      </pivotArea>
    </format>
    <format dxfId="337">
      <pivotArea dataOnly="0" labelOnly="1" outline="0" axis="axisValues" fieldPosition="0"/>
    </format>
    <format dxfId="338">
      <pivotArea dataOnly="0" labelOnly="1" outline="0" axis="axisValues" fieldPosition="0"/>
    </format>
    <format dxfId="339">
      <pivotArea field="0" type="button" dataOnly="0" labelOnly="1" outline="0" axis="axisRow" fieldPosition="0"/>
    </format>
    <format dxfId="340">
      <pivotArea dataOnly="0" labelOnly="1" outline="0" axis="axisValues" fieldPosition="0"/>
    </format>
    <format dxfId="341">
      <pivotArea dataOnly="0" labelOnly="1" outline="0" axis="axisValues" fieldPosition="0"/>
    </format>
    <format dxfId="342">
      <pivotArea field="0" type="button" dataOnly="0" labelOnly="1" outline="0" axis="axisRow" fieldPosition="0"/>
    </format>
    <format dxfId="343">
      <pivotArea dataOnly="0" labelOnly="1" outline="0" axis="axisValues" fieldPosition="0"/>
    </format>
    <format dxfId="344">
      <pivotArea dataOnly="0" labelOnly="1" outline="0" axis="axisValues" fieldPosition="0"/>
    </format>
    <format dxfId="248">
      <pivotArea field="4" type="button" dataOnly="0" labelOnly="1" outline="0" axis="axisPage" fieldPosition="0"/>
    </format>
    <format dxfId="247">
      <pivotArea field="4" type="button" dataOnly="0" labelOnly="1" outline="0" axis="axisPage" fieldPosition="0"/>
    </format>
    <format dxfId="246">
      <pivotArea field="4" type="button" dataOnly="0" labelOnly="1" outline="0" axis="axisPage" fieldPosition="0"/>
    </format>
    <format dxfId="47">
      <pivotArea outline="0" collapsedLevelsAreSubtotals="1" fieldPosition="0"/>
    </format>
    <format dxfId="46">
      <pivotArea dataOnly="0" labelOnly="1" outline="0" fieldPosition="0">
        <references count="1">
          <reference field="4" count="1">
            <x v="2"/>
          </reference>
        </references>
      </pivotArea>
    </format>
    <format dxfId="45">
      <pivotArea dataOnly="0" labelOnly="1" outline="0" axis="axisValues" fieldPosition="0"/>
    </format>
    <format dxfId="44">
      <pivotArea dataOnly="0" labelOnly="1" outline="0" axis="axisValues" fieldPosition="0"/>
    </format>
    <format dxfId="11">
      <pivotArea outline="0" collapsedLevelsAreSubtotals="1" fieldPosition="0"/>
    </format>
    <format dxfId="10">
      <pivotArea dataOnly="0" labelOnly="1" outline="0" fieldPosition="0">
        <references count="1">
          <reference field="4" count="1">
            <x v="2"/>
          </reference>
        </references>
      </pivotArea>
    </format>
    <format dxfId="9">
      <pivotArea dataOnly="0" labelOnly="1" outline="0" axis="axisValues" fieldPosition="0"/>
    </format>
    <format dxfId="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5.xml><?xml version="1.0" encoding="utf-8"?>
<pivotTableDefinition xmlns="http://schemas.openxmlformats.org/spreadsheetml/2006/main" name="TablaDinámica17" cacheId="26" applyNumberFormats="0" applyBorderFormats="0" applyFontFormats="0" applyPatternFormats="0" applyAlignmentFormats="0" applyWidthHeightFormats="1" dataCaption="Valores" updatedVersion="6" minRefreshableVersion="3" rowGrandTotals="0" colGrandTotals="0" itemPrintTitles="1" createdVersion="6" indent="0" outline="1" outlineData="1" multipleFieldFilters="0" rowHeaderCaption="Tiendas Bottom">
  <location ref="J6:K20" firstHeaderRow="1" firstDataRow="1" firstDataCol="1" rowPageCount="1" colPageCount="1"/>
  <pivotFields count="5">
    <pivotField axis="axisRow" showAll="0" sortType="ascending">
      <items count="112">
        <item x="26"/>
        <item x="36"/>
        <item x="110"/>
        <item x="99"/>
        <item x="77"/>
        <item x="22"/>
        <item x="86"/>
        <item x="27"/>
        <item x="76"/>
        <item x="13"/>
        <item x="80"/>
        <item x="63"/>
        <item x="87"/>
        <item x="98"/>
        <item x="33"/>
        <item x="72"/>
        <item x="52"/>
        <item x="100"/>
        <item x="88"/>
        <item x="75"/>
        <item x="45"/>
        <item x="67"/>
        <item x="54"/>
        <item x="42"/>
        <item x="17"/>
        <item x="79"/>
        <item x="53"/>
        <item x="9"/>
        <item x="82"/>
        <item x="18"/>
        <item x="106"/>
        <item x="105"/>
        <item x="60"/>
        <item x="39"/>
        <item x="58"/>
        <item x="38"/>
        <item x="4"/>
        <item x="12"/>
        <item x="3"/>
        <item x="6"/>
        <item x="47"/>
        <item x="55"/>
        <item x="84"/>
        <item x="95"/>
        <item x="29"/>
        <item x="89"/>
        <item x="41"/>
        <item x="11"/>
        <item x="92"/>
        <item x="56"/>
        <item x="51"/>
        <item x="15"/>
        <item x="81"/>
        <item x="7"/>
        <item x="101"/>
        <item x="69"/>
        <item x="62"/>
        <item x="103"/>
        <item x="64"/>
        <item x="14"/>
        <item x="1"/>
        <item x="5"/>
        <item x="32"/>
        <item x="57"/>
        <item x="78"/>
        <item x="46"/>
        <item x="97"/>
        <item x="25"/>
        <item x="21"/>
        <item x="61"/>
        <item x="2"/>
        <item x="24"/>
        <item x="44"/>
        <item x="31"/>
        <item x="109"/>
        <item x="23"/>
        <item x="40"/>
        <item x="93"/>
        <item x="28"/>
        <item x="74"/>
        <item x="65"/>
        <item x="50"/>
        <item x="104"/>
        <item x="10"/>
        <item x="85"/>
        <item x="71"/>
        <item x="102"/>
        <item x="37"/>
        <item x="66"/>
        <item x="83"/>
        <item x="90"/>
        <item x="59"/>
        <item x="35"/>
        <item x="8"/>
        <item x="94"/>
        <item x="108"/>
        <item x="91"/>
        <item x="30"/>
        <item x="73"/>
        <item x="16"/>
        <item x="96"/>
        <item x="48"/>
        <item x="107"/>
        <item x="49"/>
        <item x="34"/>
        <item x="68"/>
        <item x="70"/>
        <item x="19"/>
        <item x="43"/>
        <item x="20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0" showAll="0"/>
    <pivotField showAll="0"/>
    <pivotField showAll="0"/>
    <pivotField name="GOR " axis="axisPage" showAll="0">
      <items count="10">
        <item x="2"/>
        <item x="0"/>
        <item x="6"/>
        <item x="8"/>
        <item x="4"/>
        <item x="1"/>
        <item x="5"/>
        <item x="3"/>
        <item x="7"/>
        <item t="default"/>
      </items>
    </pivotField>
  </pivotFields>
  <rowFields count="1">
    <field x="0"/>
  </rowFields>
  <rowItems count="14">
    <i>
      <x v="102"/>
    </i>
    <i>
      <x v="96"/>
    </i>
    <i>
      <x v="90"/>
    </i>
    <i>
      <x v="18"/>
    </i>
    <i>
      <x v="25"/>
    </i>
    <i>
      <x v="4"/>
    </i>
    <i>
      <x v="58"/>
    </i>
    <i>
      <x v="11"/>
    </i>
    <i>
      <x v="103"/>
    </i>
    <i>
      <x v="59"/>
    </i>
    <i>
      <x v="27"/>
    </i>
    <i>
      <x v="53"/>
    </i>
    <i>
      <x v="60"/>
    </i>
    <i>
      <x v="110"/>
    </i>
  </rowItems>
  <colItems count="1">
    <i/>
  </colItems>
  <pageFields count="1">
    <pageField fld="4" item="1" hier="-1"/>
  </pageFields>
  <dataFields count="1">
    <dataField name="% Cump" fld="1" baseField="0" baseItem="0" numFmtId="166"/>
  </dataFields>
  <formats count="21">
    <format dxfId="345">
      <pivotArea outline="0" collapsedLevelsAreSubtotals="1" fieldPosition="0"/>
    </format>
    <format dxfId="346">
      <pivotArea dataOnly="0" labelOnly="1" outline="0" fieldPosition="0">
        <references count="1">
          <reference field="4" count="0"/>
        </references>
      </pivotArea>
    </format>
    <format dxfId="347">
      <pivotArea dataOnly="0" labelOnly="1" outline="0" axis="axisValues" fieldPosition="0"/>
    </format>
    <format dxfId="348">
      <pivotArea dataOnly="0" labelOnly="1" outline="0" axis="axisValues" fieldPosition="0"/>
    </format>
    <format dxfId="349">
      <pivotArea field="0" type="button" dataOnly="0" labelOnly="1" outline="0" axis="axisRow" fieldPosition="0"/>
    </format>
    <format dxfId="350">
      <pivotArea dataOnly="0" labelOnly="1" outline="0" axis="axisValues" fieldPosition="0"/>
    </format>
    <format dxfId="351">
      <pivotArea dataOnly="0" labelOnly="1" outline="0" axis="axisValues" fieldPosition="0"/>
    </format>
    <format dxfId="352">
      <pivotArea field="0" type="button" dataOnly="0" labelOnly="1" outline="0" axis="axisRow" fieldPosition="0"/>
    </format>
    <format dxfId="353">
      <pivotArea dataOnly="0" labelOnly="1" outline="0" axis="axisValues" fieldPosition="0"/>
    </format>
    <format dxfId="354">
      <pivotArea dataOnly="0" labelOnly="1" outline="0" axis="axisValues" fieldPosition="0"/>
    </format>
    <format dxfId="251">
      <pivotArea field="4" type="button" dataOnly="0" labelOnly="1" outline="0" axis="axisPage" fieldPosition="0"/>
    </format>
    <format dxfId="250">
      <pivotArea field="4" type="button" dataOnly="0" labelOnly="1" outline="0" axis="axisPage" fieldPosition="0"/>
    </format>
    <format dxfId="249">
      <pivotArea field="4" type="button" dataOnly="0" labelOnly="1" outline="0" axis="axisPage" fieldPosition="0"/>
    </format>
    <format dxfId="43">
      <pivotArea outline="0" collapsedLevelsAreSubtotals="1" fieldPosition="0"/>
    </format>
    <format dxfId="42">
      <pivotArea dataOnly="0" labelOnly="1" outline="0" fieldPosition="0">
        <references count="1">
          <reference field="4" count="1">
            <x v="1"/>
          </reference>
        </references>
      </pivotArea>
    </format>
    <format dxfId="41">
      <pivotArea dataOnly="0" labelOnly="1" outline="0" axis="axisValues" fieldPosition="0"/>
    </format>
    <format dxfId="40">
      <pivotArea dataOnly="0" labelOnly="1" outline="0" axis="axisValues" fieldPosition="0"/>
    </format>
    <format dxfId="7">
      <pivotArea outline="0" collapsedLevelsAreSubtotals="1" fieldPosition="0"/>
    </format>
    <format dxfId="6">
      <pivotArea dataOnly="0" labelOnly="1" outline="0" fieldPosition="0">
        <references count="1">
          <reference field="4" count="1">
            <x v="1"/>
          </reference>
        </references>
      </pivotArea>
    </format>
    <format dxfId="5">
      <pivotArea dataOnly="0" labelOnly="1" outline="0" axis="axisValues" fieldPosition="0"/>
    </format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6.xml><?xml version="1.0" encoding="utf-8"?>
<pivotTableDefinition xmlns="http://schemas.openxmlformats.org/spreadsheetml/2006/main" name="TablaDinámica8" cacheId="26" applyNumberFormats="0" applyBorderFormats="0" applyFontFormats="0" applyPatternFormats="0" applyAlignmentFormats="0" applyWidthHeightFormats="1" dataCaption="Valores" updatedVersion="6" minRefreshableVersion="3" rowGrandTotals="0" colGrandTotals="0" itemPrintTitles="1" createdVersion="6" indent="0" outline="1" outlineData="1" multipleFieldFilters="0" rowHeaderCaption="Tiendas Bottom">
  <location ref="G6:H22" firstHeaderRow="1" firstDataRow="1" firstDataCol="1" rowPageCount="1" colPageCount="1"/>
  <pivotFields count="5">
    <pivotField axis="axisRow" showAll="0" sortType="ascending">
      <items count="112">
        <item x="26"/>
        <item x="36"/>
        <item x="110"/>
        <item x="99"/>
        <item x="77"/>
        <item x="22"/>
        <item x="86"/>
        <item x="27"/>
        <item x="76"/>
        <item x="13"/>
        <item x="80"/>
        <item x="63"/>
        <item x="87"/>
        <item x="98"/>
        <item x="33"/>
        <item x="72"/>
        <item x="52"/>
        <item x="100"/>
        <item x="88"/>
        <item x="75"/>
        <item x="45"/>
        <item x="67"/>
        <item x="54"/>
        <item x="42"/>
        <item x="17"/>
        <item x="79"/>
        <item x="53"/>
        <item x="9"/>
        <item x="82"/>
        <item x="18"/>
        <item x="106"/>
        <item x="105"/>
        <item x="60"/>
        <item x="39"/>
        <item x="58"/>
        <item x="38"/>
        <item x="4"/>
        <item x="12"/>
        <item x="3"/>
        <item x="6"/>
        <item x="47"/>
        <item x="55"/>
        <item x="84"/>
        <item x="95"/>
        <item x="29"/>
        <item x="89"/>
        <item x="41"/>
        <item x="11"/>
        <item x="92"/>
        <item x="56"/>
        <item x="51"/>
        <item x="15"/>
        <item x="81"/>
        <item x="7"/>
        <item x="101"/>
        <item x="69"/>
        <item x="62"/>
        <item x="103"/>
        <item x="64"/>
        <item x="14"/>
        <item x="1"/>
        <item x="5"/>
        <item x="32"/>
        <item x="57"/>
        <item x="78"/>
        <item x="46"/>
        <item x="97"/>
        <item x="25"/>
        <item x="21"/>
        <item x="61"/>
        <item x="2"/>
        <item x="24"/>
        <item x="44"/>
        <item x="31"/>
        <item x="109"/>
        <item x="23"/>
        <item x="40"/>
        <item x="93"/>
        <item x="28"/>
        <item x="74"/>
        <item x="65"/>
        <item x="50"/>
        <item x="104"/>
        <item x="10"/>
        <item x="85"/>
        <item x="71"/>
        <item x="102"/>
        <item x="37"/>
        <item x="66"/>
        <item x="83"/>
        <item x="90"/>
        <item x="59"/>
        <item x="35"/>
        <item x="8"/>
        <item x="94"/>
        <item x="108"/>
        <item x="91"/>
        <item x="30"/>
        <item x="73"/>
        <item x="16"/>
        <item x="96"/>
        <item x="48"/>
        <item x="107"/>
        <item x="49"/>
        <item x="34"/>
        <item x="68"/>
        <item x="70"/>
        <item x="19"/>
        <item x="43"/>
        <item x="20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0" showAll="0"/>
    <pivotField showAll="0"/>
    <pivotField showAll="0"/>
    <pivotField name="GOR " axis="axisPage" showAll="0">
      <items count="10">
        <item x="2"/>
        <item x="0"/>
        <item x="6"/>
        <item x="8"/>
        <item x="4"/>
        <item x="1"/>
        <item x="5"/>
        <item x="3"/>
        <item x="7"/>
        <item t="default"/>
      </items>
    </pivotField>
  </pivotFields>
  <rowFields count="1">
    <field x="0"/>
  </rowFields>
  <rowItems count="16">
    <i>
      <x v="30"/>
    </i>
    <i>
      <x v="64"/>
    </i>
    <i>
      <x v="106"/>
    </i>
    <i>
      <x v="34"/>
    </i>
    <i>
      <x v="16"/>
    </i>
    <i>
      <x v="40"/>
    </i>
    <i>
      <x v="65"/>
    </i>
    <i>
      <x v="20"/>
    </i>
    <i>
      <x v="76"/>
    </i>
    <i>
      <x v="87"/>
    </i>
    <i>
      <x v="1"/>
    </i>
    <i>
      <x v="7"/>
    </i>
    <i>
      <x v="109"/>
    </i>
    <i>
      <x v="83"/>
    </i>
    <i>
      <x v="39"/>
    </i>
    <i>
      <x v="38"/>
    </i>
  </rowItems>
  <colItems count="1">
    <i/>
  </colItems>
  <pageFields count="1">
    <pageField fld="4" item="0" hier="-1"/>
  </pageFields>
  <dataFields count="1">
    <dataField name="% Cump" fld="1" baseField="0" baseItem="0" numFmtId="166"/>
  </dataFields>
  <formats count="21">
    <format dxfId="373">
      <pivotArea outline="0" collapsedLevelsAreSubtotals="1" fieldPosition="0"/>
    </format>
    <format dxfId="374">
      <pivotArea dataOnly="0" labelOnly="1" outline="0" fieldPosition="0">
        <references count="1">
          <reference field="4" count="0"/>
        </references>
      </pivotArea>
    </format>
    <format dxfId="375">
      <pivotArea dataOnly="0" labelOnly="1" outline="0" axis="axisValues" fieldPosition="0"/>
    </format>
    <format dxfId="376">
      <pivotArea dataOnly="0" labelOnly="1" outline="0" axis="axisValues" fieldPosition="0"/>
    </format>
    <format dxfId="360">
      <pivotArea field="0" type="button" dataOnly="0" labelOnly="1" outline="0" axis="axisRow" fieldPosition="0"/>
    </format>
    <format dxfId="359">
      <pivotArea dataOnly="0" labelOnly="1" outline="0" axis="axisValues" fieldPosition="0"/>
    </format>
    <format dxfId="358">
      <pivotArea dataOnly="0" labelOnly="1" outline="0" axis="axisValues" fieldPosition="0"/>
    </format>
    <format dxfId="357">
      <pivotArea field="0" type="button" dataOnly="0" labelOnly="1" outline="0" axis="axisRow" fieldPosition="0"/>
    </format>
    <format dxfId="356">
      <pivotArea dataOnly="0" labelOnly="1" outline="0" axis="axisValues" fieldPosition="0"/>
    </format>
    <format dxfId="355">
      <pivotArea dataOnly="0" labelOnly="1" outline="0" axis="axisValues" fieldPosition="0"/>
    </format>
    <format dxfId="254">
      <pivotArea field="4" type="button" dataOnly="0" labelOnly="1" outline="0" axis="axisPage" fieldPosition="0"/>
    </format>
    <format dxfId="253">
      <pivotArea field="4" type="button" dataOnly="0" labelOnly="1" outline="0" axis="axisPage" fieldPosition="0"/>
    </format>
    <format dxfId="252">
      <pivotArea field="4" type="button" dataOnly="0" labelOnly="1" outline="0" axis="axisPage" fieldPosition="0"/>
    </format>
    <format dxfId="39">
      <pivotArea outline="0" collapsedLevelsAreSubtotals="1" fieldPosition="0"/>
    </format>
    <format dxfId="38">
      <pivotArea dataOnly="0" labelOnly="1" outline="0" fieldPosition="0">
        <references count="1">
          <reference field="4" count="1">
            <x v="0"/>
          </reference>
        </references>
      </pivotArea>
    </format>
    <format dxfId="37">
      <pivotArea dataOnly="0" labelOnly="1" outline="0" axis="axisValues" fieldPosition="0"/>
    </format>
    <format dxfId="36">
      <pivotArea dataOnly="0" labelOnly="1" outline="0" axis="axisValues" fieldPosition="0"/>
    </format>
    <format dxfId="3">
      <pivotArea outline="0" collapsedLevelsAreSubtotals="1" fieldPosition="0"/>
    </format>
    <format dxfId="2">
      <pivotArea dataOnly="0" labelOnly="1" outline="0" fieldPosition="0">
        <references count="1">
          <reference field="4" count="1">
            <x v="0"/>
          </reference>
        </references>
      </pivotArea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DatosExternos_1" connectionId="1" autoFormatId="0" applyNumberFormats="0" applyBorderFormats="0" applyFontFormats="1" applyPatternFormats="1" applyAlignmentFormats="0" applyWidthHeightFormats="0">
  <queryTableRefresh preserveSortFilterLayout="0" nextId="16">
    <queryTableFields count="14">
      <queryTableField id="1" name="Tienda" tableColumnId="38"/>
      <queryTableField id="2" name="Periodo" tableColumnId="39"/>
      <queryTableField id="14" dataBound="0" tableColumnId="51"/>
      <queryTableField id="15" dataBound="0" tableColumnId="52"/>
      <queryTableField id="3" name="GOS" tableColumnId="40"/>
      <queryTableField id="4" name="GOR" tableColumnId="41"/>
      <queryTableField id="5" name="Prod" tableColumnId="42"/>
      <queryTableField id="6" name="VtaNeta" tableColumnId="43"/>
      <queryTableField id="7" name="JEq" tableColumnId="44"/>
      <queryTableField id="8" name="ProdMeta" tableColumnId="45"/>
      <queryTableField id="9" name="CAPO *" tableColumnId="46"/>
      <queryTableField id="10" name="CAPE *" tableColumnId="47"/>
      <queryTableField id="11" name="JEqMeta" tableColumnId="48"/>
      <queryTableField id="12" name="VtaNetaMeta" tableColumnId="49"/>
    </queryTableFields>
  </queryTableRefresh>
</queryTable>
</file>

<file path=xl/queryTables/queryTable2.xml><?xml version="1.0" encoding="utf-8"?>
<queryTable xmlns="http://schemas.openxmlformats.org/spreadsheetml/2006/main" name="DatosExternos_1" connectionId="2" autoFormatId="0" applyNumberFormats="0" applyBorderFormats="0" applyFontFormats="1" applyPatternFormats="1" applyAlignmentFormats="0" applyWidthHeightFormats="0">
  <queryTableRefresh preserveSortFilterLayout="0" nextId="11">
    <queryTableFields count="10">
      <queryTableField id="1" name="JEq" tableColumnId="31"/>
      <queryTableField id="2" name="JEqMeta" tableColumnId="32"/>
      <queryTableField id="3" name="Prod" tableColumnId="33"/>
      <queryTableField id="4" name="ProdMeta" tableColumnId="34"/>
      <queryTableField id="5" name="VtaNeta" tableColumnId="35"/>
      <queryTableField id="6" name="VtaNetaMeta" tableColumnId="36"/>
      <queryTableField id="7" name="supervisor" tableColumnId="37"/>
      <queryTableField id="8" name="JEqAA" tableColumnId="38"/>
      <queryTableField id="9" name="ProdAA" tableColumnId="39"/>
      <queryTableField id="10" name="VtaNetaAA" tableColumnId="40"/>
    </queryTableFields>
  </queryTableRefresh>
</queryTable>
</file>

<file path=xl/queryTables/queryTable3.xml><?xml version="1.0" encoding="utf-8"?>
<queryTable xmlns="http://schemas.openxmlformats.org/spreadsheetml/2006/main" name="DatosExternos_1" connectionId="3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GOR" tableColumnId="9"/>
      <queryTableField id="2" name="Unid x Minuto" tableColumnId="10"/>
      <queryTableField id="3" name="Cumplimiento" tableColumnId="11"/>
      <queryTableField id="4" name="MonthNameShort" tableColumnId="12"/>
    </queryTableFields>
  </queryTableRefresh>
</queryTable>
</file>

<file path=xl/queryTables/queryTable4.xml><?xml version="1.0" encoding="utf-8"?>
<queryTable xmlns="http://schemas.openxmlformats.org/spreadsheetml/2006/main" name="DatosExternos_1" connectionId="4" autoFormatId="0" applyNumberFormats="0" applyBorderFormats="0" applyFontFormats="1" applyPatternFormats="1" applyAlignmentFormats="0" applyWidthHeightFormats="0">
  <queryTableRefresh preserveSortFilterLayout="0" nextId="7">
    <queryTableFields count="6">
      <queryTableField id="1" name="Año" tableColumnId="13"/>
      <queryTableField id="2" name="Mes" tableColumnId="14"/>
      <queryTableField id="3" name="Meta Promedio" tableColumnId="15"/>
      <queryTableField id="4" name="Unid x Minuto" tableColumnId="16"/>
      <queryTableField id="5" name="Unid x Minuto AA" tableColumnId="17"/>
      <queryTableField id="6" name="GOR PPT" tableColumnId="18"/>
    </queryTableFields>
  </queryTableRefresh>
</queryTable>
</file>

<file path=xl/queryTables/queryTable5.xml><?xml version="1.0" encoding="utf-8"?>
<queryTable xmlns="http://schemas.openxmlformats.org/spreadsheetml/2006/main" name="DatosExternos_1" connectionId="5" autoFormatId="0" applyNumberFormats="0" applyBorderFormats="0" applyFontFormats="1" applyPatternFormats="1" applyAlignmentFormats="0" applyWidthHeightFormats="0">
  <queryTableRefresh preserveSortFilterLayout="0" nextId="6" unboundColumnsRight="1">
    <queryTableFields count="5">
      <queryTableField id="1" name="nombre" tableColumnId="9"/>
      <queryTableField id="2" name="Cumplimiento" tableColumnId="10"/>
      <queryTableField id="3" name="Unid x Minuto" tableColumnId="11"/>
      <queryTableField id="4" name="GOR PPT" tableColumnId="12"/>
      <queryTableField id="5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id="4" name="analisis_productividad__4" displayName="analisis_productividad__4" ref="A1:N3302" tableType="queryTable" totalsRowShown="0">
  <autoFilter ref="A1:N3302"/>
  <tableColumns count="14">
    <tableColumn id="38" uniqueName="38" name="Tienda" queryTableFieldId="1" dataDxfId="503"/>
    <tableColumn id="39" uniqueName="39" name="Periodo" queryTableFieldId="2" dataDxfId="502"/>
    <tableColumn id="51" uniqueName="51" name="año" queryTableFieldId="14" dataDxfId="501">
      <calculatedColumnFormula>MID(analisis_productividad__4[[#This Row],[Periodo]],1,4)</calculatedColumnFormula>
    </tableColumn>
    <tableColumn id="52" uniqueName="52" name="mes" queryTableFieldId="15" dataDxfId="500">
      <calculatedColumnFormula>MID(analisis_productividad__4[[#This Row],[Periodo]],5,2)</calculatedColumnFormula>
    </tableColumn>
    <tableColumn id="40" uniqueName="40" name="GOS" queryTableFieldId="3" dataDxfId="499"/>
    <tableColumn id="41" uniqueName="41" name="GOR" queryTableFieldId="4" dataDxfId="498"/>
    <tableColumn id="42" uniqueName="42" name="Prod" queryTableFieldId="5" dataDxfId="497"/>
    <tableColumn id="43" uniqueName="43" name="VtaNeta" queryTableFieldId="6" dataDxfId="496"/>
    <tableColumn id="44" uniqueName="44" name="JEq" queryTableFieldId="7" dataDxfId="495"/>
    <tableColumn id="45" uniqueName="45" name="ProdMeta" queryTableFieldId="8" dataDxfId="494"/>
    <tableColumn id="46" uniqueName="46" name="CAPO *" queryTableFieldId="9" dataDxfId="493"/>
    <tableColumn id="47" uniqueName="47" name="CAPE *" queryTableFieldId="10" dataDxfId="492"/>
    <tableColumn id="48" uniqueName="48" name="JEqMeta" queryTableFieldId="11" dataDxfId="491"/>
    <tableColumn id="49" uniqueName="49" name="VtaNetaMeta" queryTableFieldId="12" dataDxfId="49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5" name="analisis_productividad3" displayName="analisis_productividad3" ref="A1:J9" tableType="queryTable" totalsRowShown="0">
  <autoFilter ref="A1:J9"/>
  <tableColumns count="10">
    <tableColumn id="31" uniqueName="31" name="JEq" queryTableFieldId="1" dataDxfId="489"/>
    <tableColumn id="32" uniqueName="32" name="JEqMeta" queryTableFieldId="2" dataDxfId="488"/>
    <tableColumn id="33" uniqueName="33" name="Prod" queryTableFieldId="3" dataDxfId="487"/>
    <tableColumn id="34" uniqueName="34" name="ProdMeta" queryTableFieldId="4" dataDxfId="486"/>
    <tableColumn id="35" uniqueName="35" name="VtaNeta" queryTableFieldId="5" dataDxfId="485"/>
    <tableColumn id="36" uniqueName="36" name="VtaNetaMeta" queryTableFieldId="6" dataDxfId="484"/>
    <tableColumn id="37" uniqueName="37" name="supervisor" queryTableFieldId="7" dataDxfId="483"/>
    <tableColumn id="38" uniqueName="38" name="JEqAA" queryTableFieldId="8" dataDxfId="482"/>
    <tableColumn id="39" uniqueName="39" name="ProdAA" queryTableFieldId="9" dataDxfId="481"/>
    <tableColumn id="40" uniqueName="40" name="VtaNetaAA" queryTableFieldId="10" dataDxfId="48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1" name="analisis_velocidad1" displayName="analisis_velocidad1" ref="A1:D109" tableType="queryTable" totalsRowShown="0">
  <autoFilter ref="A1:D109"/>
  <tableColumns count="4">
    <tableColumn id="9" uniqueName="9" name="GOR" queryTableFieldId="1"/>
    <tableColumn id="10" uniqueName="10" name="Unid x Minuto" queryTableFieldId="2"/>
    <tableColumn id="11" uniqueName="11" name="Cumplimiento" queryTableFieldId="3"/>
    <tableColumn id="12" uniqueName="12" name="MonthNameShort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2" name="analisis_velocidad1__2" displayName="analisis_velocidad1__2" ref="A1:F55" tableType="queryTable" totalsRowShown="0">
  <autoFilter ref="A1:F55"/>
  <tableColumns count="6">
    <tableColumn id="13" uniqueName="13" name="Año" queryTableFieldId="1" dataDxfId="477"/>
    <tableColumn id="14" uniqueName="14" name="Mes" queryTableFieldId="2" dataDxfId="476"/>
    <tableColumn id="15" uniqueName="15" name="Meta Promedio" queryTableFieldId="3" dataDxfId="475"/>
    <tableColumn id="16" uniqueName="16" name="Unid x Minuto" queryTableFieldId="4" dataDxfId="474"/>
    <tableColumn id="17" uniqueName="17" name="Unid x Minuto AA" queryTableFieldId="5" dataDxfId="473"/>
    <tableColumn id="18" uniqueName="18" name="GOR PPT" queryTableFieldId="6" dataDxfId="47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3" name="analisis_velocidad2" displayName="analisis_velocidad2" ref="A1:E112" tableType="queryTable" totalsRowShown="0">
  <autoFilter ref="A1:E112"/>
  <sortState ref="A2:E112">
    <sortCondition descending="1" ref="B1:B112"/>
  </sortState>
  <tableColumns count="5">
    <tableColumn id="9" uniqueName="9" name="nombre" queryTableFieldId="1"/>
    <tableColumn id="10" uniqueName="10" name="Cumplimiento" queryTableFieldId="2"/>
    <tableColumn id="11" uniqueName="11" name="Unid x Minuto" queryTableFieldId="3"/>
    <tableColumn id="12" uniqueName="12" name="GOR PPT" queryTableFieldId="4"/>
    <tableColumn id="13" uniqueName="13" name="GOR PPT2" queryTableFieldId="5" dataDxfId="449">
      <calculatedColumnFormula>UPPER(analisis_velocidad2[[#This Row],[GOR PPT]])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1.xml"/><Relationship Id="rId3" Type="http://schemas.openxmlformats.org/officeDocument/2006/relationships/pivotTable" Target="../pivotTables/pivotTable6.xml"/><Relationship Id="rId7" Type="http://schemas.openxmlformats.org/officeDocument/2006/relationships/pivotTable" Target="../pivotTables/pivotTable10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10" Type="http://schemas.openxmlformats.org/officeDocument/2006/relationships/pivotTable" Target="../pivotTables/pivotTable13.xml"/><Relationship Id="rId4" Type="http://schemas.openxmlformats.org/officeDocument/2006/relationships/pivotTable" Target="../pivotTables/pivotTable7.xml"/><Relationship Id="rId9" Type="http://schemas.openxmlformats.org/officeDocument/2006/relationships/pivotTable" Target="../pivotTables/pivotTable1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1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7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5" Type="http://schemas.openxmlformats.org/officeDocument/2006/relationships/table" Target="../tables/table4.xml"/><Relationship Id="rId4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5.xml"/><Relationship Id="rId3" Type="http://schemas.openxmlformats.org/officeDocument/2006/relationships/pivotTable" Target="../pivotTables/pivotTable20.xml"/><Relationship Id="rId7" Type="http://schemas.openxmlformats.org/officeDocument/2006/relationships/pivotTable" Target="../pivotTables/pivotTable24.xml"/><Relationship Id="rId2" Type="http://schemas.openxmlformats.org/officeDocument/2006/relationships/pivotTable" Target="../pivotTables/pivotTable19.xml"/><Relationship Id="rId1" Type="http://schemas.openxmlformats.org/officeDocument/2006/relationships/pivotTable" Target="../pivotTables/pivotTable18.xml"/><Relationship Id="rId6" Type="http://schemas.openxmlformats.org/officeDocument/2006/relationships/pivotTable" Target="../pivotTables/pivotTable23.xml"/><Relationship Id="rId5" Type="http://schemas.openxmlformats.org/officeDocument/2006/relationships/pivotTable" Target="../pivotTables/pivotTable22.xml"/><Relationship Id="rId10" Type="http://schemas.openxmlformats.org/officeDocument/2006/relationships/table" Target="../tables/table5.xml"/><Relationship Id="rId4" Type="http://schemas.openxmlformats.org/officeDocument/2006/relationships/pivotTable" Target="../pivotTables/pivotTable21.xml"/><Relationship Id="rId9" Type="http://schemas.openxmlformats.org/officeDocument/2006/relationships/pivotTable" Target="../pivotTables/pivotTable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91"/>
  <sheetViews>
    <sheetView workbookViewId="0">
      <selection activeCell="E16" sqref="E16"/>
    </sheetView>
  </sheetViews>
  <sheetFormatPr baseColWidth="10" defaultRowHeight="14.5" x14ac:dyDescent="0.35"/>
  <cols>
    <col min="1" max="1" width="27.90625" customWidth="1"/>
    <col min="2" max="4" width="10.1796875" style="1" customWidth="1"/>
    <col min="5" max="5" width="13" style="1" customWidth="1"/>
    <col min="6" max="6" width="17.90625" customWidth="1"/>
    <col min="7" max="7" width="16.54296875" customWidth="1"/>
    <col min="8" max="8" width="24" customWidth="1"/>
    <col min="9" max="9" width="22.6328125" customWidth="1"/>
    <col min="10" max="10" width="17.90625" customWidth="1"/>
    <col min="11" max="11" width="21.81640625" customWidth="1"/>
    <col min="12" max="12" width="22.6328125" customWidth="1"/>
    <col min="13" max="13" width="24" customWidth="1"/>
    <col min="14" max="14" width="17.1796875" customWidth="1"/>
    <col min="15" max="15" width="21.81640625" customWidth="1"/>
    <col min="16" max="16" width="22.6328125" customWidth="1"/>
    <col min="17" max="17" width="24" customWidth="1"/>
    <col min="18" max="18" width="17.1796875" customWidth="1"/>
    <col min="19" max="19" width="21.81640625" customWidth="1"/>
    <col min="20" max="20" width="22.6328125" customWidth="1"/>
    <col min="21" max="21" width="24" customWidth="1"/>
    <col min="22" max="22" width="26.08984375" bestFit="1" customWidth="1"/>
    <col min="23" max="23" width="21.81640625" bestFit="1" customWidth="1"/>
    <col min="24" max="24" width="22.6328125" bestFit="1" customWidth="1"/>
    <col min="25" max="25" width="24" bestFit="1" customWidth="1"/>
  </cols>
  <sheetData>
    <row r="1" spans="1:8" x14ac:dyDescent="0.35">
      <c r="A1" s="2" t="s">
        <v>137</v>
      </c>
      <c r="B1" s="7" t="s">
        <v>150</v>
      </c>
      <c r="F1" s="8" t="s">
        <v>139</v>
      </c>
      <c r="G1" s="8" t="s">
        <v>140</v>
      </c>
      <c r="H1" s="8" t="s">
        <v>141</v>
      </c>
    </row>
    <row r="2" spans="1:8" x14ac:dyDescent="0.35">
      <c r="F2" s="7">
        <v>62604.837168197213</v>
      </c>
      <c r="G2" s="7">
        <v>71761.183173200159</v>
      </c>
      <c r="H2" s="7">
        <v>83252.352138750866</v>
      </c>
    </row>
    <row r="3" spans="1:8" x14ac:dyDescent="0.35">
      <c r="A3" s="2" t="s">
        <v>153</v>
      </c>
      <c r="B3" s="11" t="s">
        <v>138</v>
      </c>
      <c r="C3" s="7"/>
      <c r="D3" s="7"/>
      <c r="E3"/>
      <c r="F3" s="7">
        <v>66057.431526864122</v>
      </c>
      <c r="G3" s="7">
        <v>76234.179042688062</v>
      </c>
      <c r="H3" s="7">
        <v>80211.714013971534</v>
      </c>
    </row>
    <row r="4" spans="1:8" x14ac:dyDescent="0.35">
      <c r="A4" s="2" t="s">
        <v>134</v>
      </c>
      <c r="B4" s="7" t="s">
        <v>139</v>
      </c>
      <c r="C4" s="7" t="s">
        <v>140</v>
      </c>
      <c r="D4" s="7" t="s">
        <v>141</v>
      </c>
      <c r="E4"/>
      <c r="F4" s="7">
        <v>71067.065397392129</v>
      </c>
      <c r="G4" s="7">
        <v>108114.14927146753</v>
      </c>
      <c r="H4" s="7">
        <v>117827.9302072752</v>
      </c>
    </row>
    <row r="5" spans="1:8" x14ac:dyDescent="0.35">
      <c r="A5" s="3" t="s">
        <v>71</v>
      </c>
      <c r="B5" s="7">
        <v>62604.837168197213</v>
      </c>
      <c r="C5" s="7">
        <v>71761.183173200159</v>
      </c>
      <c r="D5" s="7">
        <v>83252.352138750866</v>
      </c>
      <c r="E5"/>
      <c r="F5" s="7"/>
      <c r="G5" s="7"/>
      <c r="H5" s="7">
        <v>67482.291520674626</v>
      </c>
    </row>
    <row r="6" spans="1:8" x14ac:dyDescent="0.35">
      <c r="A6" s="3" t="s">
        <v>90</v>
      </c>
      <c r="B6" s="7">
        <v>66057.431526864122</v>
      </c>
      <c r="C6" s="7">
        <v>76234.179042688062</v>
      </c>
      <c r="D6" s="7">
        <v>80211.714013971534</v>
      </c>
      <c r="E6"/>
      <c r="F6" s="7">
        <v>83682.388760350732</v>
      </c>
      <c r="G6" s="7">
        <v>90200.844647446094</v>
      </c>
      <c r="H6" s="7">
        <v>89224.829495988437</v>
      </c>
    </row>
    <row r="7" spans="1:8" x14ac:dyDescent="0.35">
      <c r="A7" s="3" t="s">
        <v>26</v>
      </c>
      <c r="B7" s="7">
        <v>71067.065397392129</v>
      </c>
      <c r="C7" s="7">
        <v>108114.14927146753</v>
      </c>
      <c r="D7" s="7">
        <v>117827.9302072752</v>
      </c>
      <c r="E7"/>
      <c r="F7" s="7">
        <v>95508.881782818818</v>
      </c>
      <c r="G7" s="7">
        <v>101696.11225809679</v>
      </c>
      <c r="H7" s="7">
        <v>108719.10521099063</v>
      </c>
    </row>
    <row r="8" spans="1:8" x14ac:dyDescent="0.35">
      <c r="A8" s="3" t="s">
        <v>96</v>
      </c>
      <c r="B8" s="7"/>
      <c r="C8" s="7"/>
      <c r="D8" s="7">
        <v>67482.291520674626</v>
      </c>
      <c r="E8"/>
      <c r="F8" s="7">
        <v>69537.64679701053</v>
      </c>
      <c r="G8" s="7">
        <v>79087.246795392173</v>
      </c>
      <c r="H8" s="7">
        <v>78570.648916122926</v>
      </c>
    </row>
    <row r="9" spans="1:8" x14ac:dyDescent="0.35">
      <c r="A9" s="3" t="s">
        <v>72</v>
      </c>
      <c r="B9" s="7">
        <v>83682.388760350732</v>
      </c>
      <c r="C9" s="7">
        <v>90200.844647446094</v>
      </c>
      <c r="D9" s="7">
        <v>89224.829495988437</v>
      </c>
      <c r="E9"/>
      <c r="F9" s="7">
        <v>84460.021525929609</v>
      </c>
      <c r="G9" s="7">
        <v>95965.534085101055</v>
      </c>
      <c r="H9" s="7">
        <v>97485.632805647096</v>
      </c>
    </row>
    <row r="10" spans="1:8" x14ac:dyDescent="0.35">
      <c r="A10" s="3" t="s">
        <v>38</v>
      </c>
      <c r="B10" s="7">
        <v>95508.881782818818</v>
      </c>
      <c r="C10" s="7">
        <v>101696.11225809679</v>
      </c>
      <c r="D10" s="7">
        <v>108719.10521099063</v>
      </c>
      <c r="E10"/>
      <c r="F10" s="7">
        <v>66271.324276531261</v>
      </c>
      <c r="G10" s="7">
        <v>73312.891316400783</v>
      </c>
      <c r="H10" s="7">
        <v>75046.598896165757</v>
      </c>
    </row>
    <row r="11" spans="1:8" x14ac:dyDescent="0.35">
      <c r="A11" s="3" t="s">
        <v>94</v>
      </c>
      <c r="B11" s="7">
        <v>69537.64679701053</v>
      </c>
      <c r="C11" s="7">
        <v>79087.246795392173</v>
      </c>
      <c r="D11" s="7">
        <v>78570.648916122926</v>
      </c>
      <c r="E11"/>
      <c r="F11" s="7">
        <v>68168.703616410945</v>
      </c>
      <c r="G11" s="7">
        <v>69693.126694132254</v>
      </c>
      <c r="H11" s="7">
        <v>78638.513976535061</v>
      </c>
    </row>
    <row r="12" spans="1:8" x14ac:dyDescent="0.35">
      <c r="A12" s="3" t="s">
        <v>54</v>
      </c>
      <c r="B12" s="7">
        <v>84460.021525929609</v>
      </c>
      <c r="C12" s="7">
        <v>95965.534085101055</v>
      </c>
      <c r="D12" s="7">
        <v>97485.632805647096</v>
      </c>
      <c r="E12"/>
      <c r="F12" s="7">
        <v>91262.821930473612</v>
      </c>
      <c r="G12" s="7">
        <v>89287.849520218937</v>
      </c>
      <c r="H12" s="7">
        <v>95531.048889393482</v>
      </c>
    </row>
    <row r="13" spans="1:8" x14ac:dyDescent="0.35">
      <c r="A13" s="3" t="s">
        <v>98</v>
      </c>
      <c r="B13" s="7">
        <v>66271.324276531261</v>
      </c>
      <c r="C13" s="7">
        <v>73312.891316400783</v>
      </c>
      <c r="D13" s="7">
        <v>75046.598896165757</v>
      </c>
      <c r="E13"/>
      <c r="F13" s="7">
        <v>99498.726716069505</v>
      </c>
      <c r="G13" s="7">
        <v>94798.744097548202</v>
      </c>
      <c r="H13" s="7">
        <v>95081.421625804782</v>
      </c>
    </row>
    <row r="14" spans="1:8" x14ac:dyDescent="0.35">
      <c r="A14" s="3" t="s">
        <v>85</v>
      </c>
      <c r="B14" s="7">
        <v>68168.703616410945</v>
      </c>
      <c r="C14" s="7">
        <v>69693.126694132254</v>
      </c>
      <c r="D14" s="7">
        <v>78638.513976535061</v>
      </c>
      <c r="E14"/>
      <c r="F14" s="7">
        <v>75017.757908178275</v>
      </c>
      <c r="G14" s="7">
        <v>84959.82303692546</v>
      </c>
      <c r="H14" s="7">
        <v>90838.011194164981</v>
      </c>
    </row>
    <row r="15" spans="1:8" x14ac:dyDescent="0.35">
      <c r="A15" s="3" t="s">
        <v>68</v>
      </c>
      <c r="B15" s="7">
        <v>91262.821930473612</v>
      </c>
      <c r="C15" s="7">
        <v>89287.849520218937</v>
      </c>
      <c r="D15" s="7">
        <v>95531.048889393482</v>
      </c>
      <c r="E15"/>
      <c r="F15" s="7">
        <v>76101.284615063094</v>
      </c>
      <c r="G15" s="7">
        <v>83397.432538314519</v>
      </c>
      <c r="H15" s="7">
        <v>80330.267443015575</v>
      </c>
    </row>
    <row r="16" spans="1:8" x14ac:dyDescent="0.35">
      <c r="A16" s="3" t="s">
        <v>51</v>
      </c>
      <c r="B16" s="7">
        <v>99498.726716069505</v>
      </c>
      <c r="C16" s="7">
        <v>94798.744097548202</v>
      </c>
      <c r="D16" s="7">
        <v>95081.421625804782</v>
      </c>
      <c r="E16"/>
      <c r="F16" s="7">
        <v>105061.20461258307</v>
      </c>
      <c r="G16" s="7">
        <v>93265.453525279998</v>
      </c>
      <c r="H16" s="7"/>
    </row>
    <row r="17" spans="1:11" x14ac:dyDescent="0.35">
      <c r="A17" s="3" t="s">
        <v>79</v>
      </c>
      <c r="B17" s="7">
        <v>75017.757908178275</v>
      </c>
      <c r="C17" s="7">
        <v>84959.82303692546</v>
      </c>
      <c r="D17" s="7">
        <v>90838.011194164981</v>
      </c>
      <c r="E17"/>
      <c r="F17" s="7">
        <v>79328.743868172474</v>
      </c>
      <c r="G17" s="7">
        <v>86464.411966857428</v>
      </c>
      <c r="H17" s="7">
        <v>86919.642654412528</v>
      </c>
    </row>
    <row r="18" spans="1:11" x14ac:dyDescent="0.35">
      <c r="A18" s="3" t="s">
        <v>97</v>
      </c>
      <c r="B18" s="7">
        <v>76101.284615063094</v>
      </c>
      <c r="C18" s="7">
        <v>83397.432538314519</v>
      </c>
      <c r="D18" s="7">
        <v>80330.267443015575</v>
      </c>
      <c r="E18"/>
      <c r="F18" s="7">
        <v>84595.204106218007</v>
      </c>
      <c r="G18" s="7">
        <v>88380.618855761961</v>
      </c>
      <c r="H18" s="7">
        <v>89187.104554425838</v>
      </c>
    </row>
    <row r="19" spans="1:11" x14ac:dyDescent="0.35">
      <c r="A19" s="3" t="s">
        <v>131</v>
      </c>
      <c r="B19" s="7">
        <v>105061.20461258307</v>
      </c>
      <c r="C19" s="7">
        <v>93265.453525279998</v>
      </c>
      <c r="D19" s="7"/>
      <c r="E19"/>
      <c r="F19" s="7">
        <v>86527.827556427219</v>
      </c>
      <c r="G19" s="7">
        <v>88386.910027264676</v>
      </c>
      <c r="H19" s="7">
        <v>94032.031426565401</v>
      </c>
    </row>
    <row r="20" spans="1:11" x14ac:dyDescent="0.35">
      <c r="A20" s="3" t="s">
        <v>66</v>
      </c>
      <c r="B20" s="7">
        <v>79328.743868172474</v>
      </c>
      <c r="C20" s="7">
        <v>86464.411966857428</v>
      </c>
      <c r="D20" s="7">
        <v>86919.642654412528</v>
      </c>
      <c r="E20"/>
      <c r="F20" s="7">
        <v>75562.680483202974</v>
      </c>
      <c r="G20" s="7">
        <v>83544.619835380596</v>
      </c>
      <c r="H20" s="7">
        <v>98984.043689668484</v>
      </c>
      <c r="I20" s="6">
        <v>82.3</v>
      </c>
      <c r="J20" s="6">
        <v>85.9</v>
      </c>
      <c r="K20" s="6">
        <v>92.6</v>
      </c>
    </row>
    <row r="21" spans="1:11" x14ac:dyDescent="0.35">
      <c r="A21" s="3" t="s">
        <v>75</v>
      </c>
      <c r="B21" s="7">
        <v>84595.204106218007</v>
      </c>
      <c r="C21" s="7">
        <v>88380.618855761961</v>
      </c>
      <c r="D21" s="7">
        <v>89187.104554425838</v>
      </c>
      <c r="E21"/>
      <c r="F21" s="7">
        <v>56787.79708793063</v>
      </c>
      <c r="G21" s="7">
        <v>58046.022091930754</v>
      </c>
      <c r="H21" s="7">
        <v>61671.847747524283</v>
      </c>
      <c r="J21" s="10">
        <f>+J20/I20-1</f>
        <v>4.3742405832320808E-2</v>
      </c>
      <c r="K21" s="10">
        <f>+K20/J20-1</f>
        <v>7.7997671711292016E-2</v>
      </c>
    </row>
    <row r="22" spans="1:11" x14ac:dyDescent="0.35">
      <c r="A22" s="3" t="s">
        <v>60</v>
      </c>
      <c r="B22" s="7">
        <v>86527.827556427219</v>
      </c>
      <c r="C22" s="7">
        <v>88386.910027264676</v>
      </c>
      <c r="D22" s="7">
        <v>94032.031426565401</v>
      </c>
      <c r="E22"/>
      <c r="F22" s="7">
        <v>95759.494821320637</v>
      </c>
      <c r="G22" s="7">
        <v>95023.97388036114</v>
      </c>
      <c r="H22" s="7">
        <v>115773.51150913812</v>
      </c>
    </row>
    <row r="23" spans="1:11" x14ac:dyDescent="0.35">
      <c r="A23" s="3" t="s">
        <v>47</v>
      </c>
      <c r="B23" s="7">
        <v>75562.680483202974</v>
      </c>
      <c r="C23" s="7">
        <v>83544.619835380596</v>
      </c>
      <c r="D23" s="7">
        <v>98984.043689668484</v>
      </c>
      <c r="E23"/>
      <c r="F23" s="7">
        <v>87447.057150554087</v>
      </c>
      <c r="G23" s="7">
        <v>90024.752474935929</v>
      </c>
      <c r="H23" s="7">
        <v>108523.8473822065</v>
      </c>
      <c r="I23" t="s">
        <v>155</v>
      </c>
    </row>
    <row r="24" spans="1:11" x14ac:dyDescent="0.35">
      <c r="A24" s="3" t="s">
        <v>115</v>
      </c>
      <c r="B24" s="7">
        <v>56787.79708793063</v>
      </c>
      <c r="C24" s="7">
        <v>58046.022091930754</v>
      </c>
      <c r="D24" s="7">
        <v>61671.847747524283</v>
      </c>
      <c r="E24"/>
      <c r="F24" s="7">
        <v>72135.104448468395</v>
      </c>
      <c r="G24" s="7">
        <v>69811.60493041786</v>
      </c>
      <c r="H24" s="7">
        <v>73429.311626957613</v>
      </c>
    </row>
    <row r="25" spans="1:11" x14ac:dyDescent="0.35">
      <c r="A25" s="3" t="s">
        <v>20</v>
      </c>
      <c r="B25" s="7">
        <v>95759.494821320637</v>
      </c>
      <c r="C25" s="7">
        <v>95023.97388036114</v>
      </c>
      <c r="D25" s="7">
        <v>115773.51150913812</v>
      </c>
      <c r="E25"/>
      <c r="F25" s="7">
        <v>83235.64198645181</v>
      </c>
      <c r="G25" s="7">
        <v>78997.194465096996</v>
      </c>
      <c r="H25" s="7">
        <v>88105.428470081664</v>
      </c>
    </row>
    <row r="26" spans="1:11" x14ac:dyDescent="0.35">
      <c r="A26" s="3" t="s">
        <v>18</v>
      </c>
      <c r="B26" s="7">
        <v>87447.057150554087</v>
      </c>
      <c r="C26" s="7">
        <v>90024.752474935929</v>
      </c>
      <c r="D26" s="7">
        <v>108523.8473822065</v>
      </c>
      <c r="E26"/>
      <c r="F26" s="7">
        <v>56626.448376666718</v>
      </c>
      <c r="G26" s="7">
        <v>61194.396039677435</v>
      </c>
      <c r="H26" s="7">
        <v>67953.593125049156</v>
      </c>
    </row>
    <row r="27" spans="1:11" x14ac:dyDescent="0.35">
      <c r="A27" s="3" t="s">
        <v>100</v>
      </c>
      <c r="B27" s="7">
        <v>72135.104448468395</v>
      </c>
      <c r="C27" s="7">
        <v>69811.60493041786</v>
      </c>
      <c r="D27" s="7">
        <v>73429.311626957613</v>
      </c>
      <c r="E27"/>
      <c r="F27" s="7">
        <v>74111.783100444431</v>
      </c>
      <c r="G27" s="7">
        <v>80229.310423647403</v>
      </c>
      <c r="H27" s="7">
        <v>72146.740719288777</v>
      </c>
    </row>
    <row r="28" spans="1:11" x14ac:dyDescent="0.35">
      <c r="A28" s="3" t="s">
        <v>81</v>
      </c>
      <c r="B28" s="7">
        <v>83235.64198645181</v>
      </c>
      <c r="C28" s="7">
        <v>78997.194465096996</v>
      </c>
      <c r="D28" s="7">
        <v>88105.428470081664</v>
      </c>
      <c r="E28"/>
      <c r="F28" s="7">
        <v>67460.261853440796</v>
      </c>
      <c r="G28" s="7">
        <v>65165.406990175077</v>
      </c>
      <c r="H28" s="7">
        <v>71421.801482209004</v>
      </c>
    </row>
    <row r="29" spans="1:11" x14ac:dyDescent="0.35">
      <c r="A29" s="3" t="s">
        <v>105</v>
      </c>
      <c r="B29" s="7">
        <v>56626.448376666718</v>
      </c>
      <c r="C29" s="7">
        <v>61194.396039677435</v>
      </c>
      <c r="D29" s="7">
        <v>67953.593125049156</v>
      </c>
      <c r="E29"/>
      <c r="F29" s="7">
        <v>59527.596215543366</v>
      </c>
      <c r="G29" s="7">
        <v>57757.864079373248</v>
      </c>
      <c r="H29" s="7">
        <v>60926.986981877126</v>
      </c>
    </row>
    <row r="30" spans="1:11" x14ac:dyDescent="0.35">
      <c r="A30" s="3" t="s">
        <v>106</v>
      </c>
      <c r="B30" s="7">
        <v>74111.783100444431</v>
      </c>
      <c r="C30" s="7">
        <v>80229.310423647403</v>
      </c>
      <c r="D30" s="7">
        <v>72146.740719288777</v>
      </c>
      <c r="E30"/>
      <c r="F30" s="7">
        <v>68532.594613904235</v>
      </c>
      <c r="G30" s="7">
        <v>82707.100218091131</v>
      </c>
      <c r="H30" s="7">
        <v>80285.766359189118</v>
      </c>
    </row>
    <row r="31" spans="1:11" x14ac:dyDescent="0.35">
      <c r="A31" s="3" t="s">
        <v>107</v>
      </c>
      <c r="B31" s="7">
        <v>67460.261853440796</v>
      </c>
      <c r="C31" s="7">
        <v>65165.406990175077</v>
      </c>
      <c r="D31" s="7">
        <v>71421.801482209004</v>
      </c>
      <c r="E31"/>
      <c r="F31" s="7">
        <v>96882.557527602927</v>
      </c>
      <c r="G31" s="7">
        <v>103185.7441840284</v>
      </c>
      <c r="H31" s="7">
        <v>120484.02214609459</v>
      </c>
    </row>
    <row r="32" spans="1:11" x14ac:dyDescent="0.35">
      <c r="A32" s="3" t="s">
        <v>110</v>
      </c>
      <c r="B32" s="7">
        <v>59527.596215543366</v>
      </c>
      <c r="C32" s="7">
        <v>57757.864079373248</v>
      </c>
      <c r="D32" s="7">
        <v>60926.986981877126</v>
      </c>
      <c r="E32"/>
      <c r="F32" s="7">
        <v>91533.213640400107</v>
      </c>
      <c r="G32" s="7">
        <v>88437.649303957471</v>
      </c>
      <c r="H32" s="7">
        <v>111938.42280636491</v>
      </c>
    </row>
    <row r="33" spans="1:8" x14ac:dyDescent="0.35">
      <c r="A33" s="3" t="s">
        <v>82</v>
      </c>
      <c r="B33" s="7">
        <v>68532.594613904235</v>
      </c>
      <c r="C33" s="7">
        <v>82707.100218091131</v>
      </c>
      <c r="D33" s="7">
        <v>80285.766359189118</v>
      </c>
      <c r="E33"/>
      <c r="F33" s="7">
        <v>96987.53380905409</v>
      </c>
      <c r="G33" s="7">
        <v>91820.183632278742</v>
      </c>
      <c r="H33" s="7">
        <v>101448.49005600375</v>
      </c>
    </row>
    <row r="34" spans="1:8" x14ac:dyDescent="0.35">
      <c r="A34" s="3" t="s">
        <v>27</v>
      </c>
      <c r="B34" s="7">
        <v>96882.557527602927</v>
      </c>
      <c r="C34" s="7">
        <v>103185.7441840284</v>
      </c>
      <c r="D34" s="7">
        <v>120484.02214609459</v>
      </c>
      <c r="E34"/>
      <c r="F34" s="7">
        <v>60314.879243085001</v>
      </c>
      <c r="G34" s="7">
        <v>61809.807843822433</v>
      </c>
      <c r="H34" s="7">
        <v>66573.138705997801</v>
      </c>
    </row>
    <row r="35" spans="1:8" x14ac:dyDescent="0.35">
      <c r="A35" s="3" t="s">
        <v>37</v>
      </c>
      <c r="B35" s="7">
        <v>91533.213640400107</v>
      </c>
      <c r="C35" s="7">
        <v>88437.649303957471</v>
      </c>
      <c r="D35" s="7">
        <v>111938.42280636491</v>
      </c>
      <c r="E35"/>
      <c r="F35" s="7">
        <v>105599.57129882398</v>
      </c>
      <c r="G35" s="7">
        <v>113271.74018136799</v>
      </c>
      <c r="H35" s="7">
        <v>126852.57878287336</v>
      </c>
    </row>
    <row r="36" spans="1:8" x14ac:dyDescent="0.35">
      <c r="A36" s="3" t="s">
        <v>40</v>
      </c>
      <c r="B36" s="7">
        <v>96987.53380905409</v>
      </c>
      <c r="C36" s="7">
        <v>91820.183632278742</v>
      </c>
      <c r="D36" s="7">
        <v>101448.49005600375</v>
      </c>
      <c r="E36"/>
      <c r="F36" s="7">
        <v>80606.73959307831</v>
      </c>
      <c r="G36" s="7">
        <v>74838.18958501413</v>
      </c>
      <c r="H36" s="7">
        <v>78763.499267688007</v>
      </c>
    </row>
    <row r="37" spans="1:8" x14ac:dyDescent="0.35">
      <c r="A37" s="3" t="s">
        <v>108</v>
      </c>
      <c r="B37" s="7">
        <v>60314.879243085001</v>
      </c>
      <c r="C37" s="7">
        <v>61809.807843822433</v>
      </c>
      <c r="D37" s="7">
        <v>66573.138705997801</v>
      </c>
      <c r="E37"/>
      <c r="F37" s="7">
        <v>95849.774281893158</v>
      </c>
      <c r="G37" s="7">
        <v>97319.4810279011</v>
      </c>
      <c r="H37" s="7">
        <v>93671.751760447922</v>
      </c>
    </row>
    <row r="38" spans="1:8" x14ac:dyDescent="0.35">
      <c r="A38" s="3" t="s">
        <v>13</v>
      </c>
      <c r="B38" s="7">
        <v>105599.57129882398</v>
      </c>
      <c r="C38" s="7">
        <v>113271.74018136799</v>
      </c>
      <c r="D38" s="7">
        <v>126852.57878287336</v>
      </c>
      <c r="E38"/>
      <c r="F38" s="7">
        <v>80348.938599944056</v>
      </c>
      <c r="G38" s="7">
        <v>75890.334390952776</v>
      </c>
      <c r="H38" s="7">
        <v>94399.560856597498</v>
      </c>
    </row>
    <row r="39" spans="1:8" x14ac:dyDescent="0.35">
      <c r="A39" s="3" t="s">
        <v>86</v>
      </c>
      <c r="B39" s="7">
        <v>80606.73959307831</v>
      </c>
      <c r="C39" s="7">
        <v>74838.18958501413</v>
      </c>
      <c r="D39" s="7">
        <v>78763.499267688007</v>
      </c>
      <c r="E39"/>
      <c r="F39" s="7">
        <v>90371.50701621137</v>
      </c>
      <c r="G39" s="7">
        <v>98157.891762242623</v>
      </c>
      <c r="H39" s="7">
        <v>102981.74591949876</v>
      </c>
    </row>
    <row r="40" spans="1:8" x14ac:dyDescent="0.35">
      <c r="A40" s="3" t="s">
        <v>57</v>
      </c>
      <c r="B40" s="7">
        <v>95849.774281893158</v>
      </c>
      <c r="C40" s="7">
        <v>97319.4810279011</v>
      </c>
      <c r="D40" s="7">
        <v>93671.751760447922</v>
      </c>
      <c r="E40"/>
      <c r="F40" s="7">
        <v>95138.723427333374</v>
      </c>
      <c r="G40" s="7">
        <v>109030.30872426886</v>
      </c>
      <c r="H40" s="7">
        <v>130235.89457526708</v>
      </c>
    </row>
    <row r="41" spans="1:8" x14ac:dyDescent="0.35">
      <c r="A41" s="3" t="s">
        <v>64</v>
      </c>
      <c r="B41" s="7">
        <v>80348.938599944056</v>
      </c>
      <c r="C41" s="7">
        <v>75890.334390952776</v>
      </c>
      <c r="D41" s="7">
        <v>94399.560856597498</v>
      </c>
      <c r="E41"/>
      <c r="F41" s="7">
        <v>84185.94118521316</v>
      </c>
      <c r="G41" s="7">
        <v>93067.716089100111</v>
      </c>
      <c r="H41" s="7">
        <v>97754.000249453791</v>
      </c>
    </row>
    <row r="42" spans="1:8" x14ac:dyDescent="0.35">
      <c r="A42" s="3" t="s">
        <v>32</v>
      </c>
      <c r="B42" s="7">
        <v>90371.50701621137</v>
      </c>
      <c r="C42" s="7">
        <v>98157.891762242623</v>
      </c>
      <c r="D42" s="7">
        <v>102981.74591949876</v>
      </c>
      <c r="E42"/>
      <c r="F42" s="7">
        <v>73104.22441612446</v>
      </c>
      <c r="G42" s="7">
        <v>74054.382624617836</v>
      </c>
      <c r="H42" s="7">
        <v>79599.806650006503</v>
      </c>
    </row>
    <row r="43" spans="1:8" x14ac:dyDescent="0.35">
      <c r="A43" s="3" t="s">
        <v>10</v>
      </c>
      <c r="B43" s="7">
        <v>95138.723427333374</v>
      </c>
      <c r="C43" s="7">
        <v>109030.30872426886</v>
      </c>
      <c r="D43" s="7">
        <v>130235.89457526708</v>
      </c>
      <c r="E43"/>
      <c r="F43" s="7">
        <v>92133.45388545336</v>
      </c>
      <c r="G43" s="7">
        <v>78851.718289600176</v>
      </c>
      <c r="H43" s="7">
        <v>100943.50032630075</v>
      </c>
    </row>
    <row r="44" spans="1:8" x14ac:dyDescent="0.35">
      <c r="A44" s="3" t="s">
        <v>49</v>
      </c>
      <c r="B44" s="7">
        <v>84185.94118521316</v>
      </c>
      <c r="C44" s="7">
        <v>93067.716089100111</v>
      </c>
      <c r="D44" s="7">
        <v>97754.000249453791</v>
      </c>
      <c r="E44"/>
      <c r="F44" s="7">
        <v>71510.906163710155</v>
      </c>
      <c r="G44" s="7">
        <v>75109.531462818806</v>
      </c>
      <c r="H44" s="7">
        <v>90221.833657005292</v>
      </c>
    </row>
    <row r="45" spans="1:8" x14ac:dyDescent="0.35">
      <c r="A45" s="3" t="s">
        <v>58</v>
      </c>
      <c r="B45" s="7">
        <v>73104.22441612446</v>
      </c>
      <c r="C45" s="7">
        <v>74054.382624617836</v>
      </c>
      <c r="D45" s="7">
        <v>79599.806650006503</v>
      </c>
      <c r="E45"/>
      <c r="F45" s="7">
        <v>67225.579204158028</v>
      </c>
      <c r="G45" s="7">
        <v>68100.253960141737</v>
      </c>
      <c r="H45" s="7">
        <v>75867.22907104154</v>
      </c>
    </row>
    <row r="46" spans="1:8" x14ac:dyDescent="0.35">
      <c r="A46" s="3" t="s">
        <v>53</v>
      </c>
      <c r="B46" s="7">
        <v>92133.45388545336</v>
      </c>
      <c r="C46" s="7">
        <v>78851.718289600176</v>
      </c>
      <c r="D46" s="7">
        <v>100943.50032630075</v>
      </c>
      <c r="E46"/>
      <c r="F46" s="7">
        <v>24661.578718365945</v>
      </c>
      <c r="G46" s="7">
        <v>22281.200991403934</v>
      </c>
      <c r="H46" s="7">
        <v>23937.506035654991</v>
      </c>
    </row>
    <row r="47" spans="1:8" x14ac:dyDescent="0.35">
      <c r="A47" s="3" t="s">
        <v>78</v>
      </c>
      <c r="B47" s="7">
        <v>71510.906163710155</v>
      </c>
      <c r="C47" s="7">
        <v>75109.531462818806</v>
      </c>
      <c r="D47" s="7">
        <v>90221.833657005292</v>
      </c>
      <c r="E47"/>
      <c r="F47" s="7">
        <v>90012.949791223538</v>
      </c>
      <c r="G47" s="7">
        <v>96413.565993970624</v>
      </c>
      <c r="H47" s="7">
        <v>101657.25667163699</v>
      </c>
    </row>
    <row r="48" spans="1:8" x14ac:dyDescent="0.35">
      <c r="A48" s="3" t="s">
        <v>92</v>
      </c>
      <c r="B48" s="7">
        <v>67225.579204158028</v>
      </c>
      <c r="C48" s="7">
        <v>68100.253960141737</v>
      </c>
      <c r="D48" s="7">
        <v>75867.22907104154</v>
      </c>
      <c r="E48"/>
      <c r="F48" s="7">
        <v>67037.79393126833</v>
      </c>
      <c r="G48" s="7">
        <v>74082.524609175554</v>
      </c>
      <c r="H48" s="7">
        <v>83302.677156375808</v>
      </c>
    </row>
    <row r="49" spans="1:8" x14ac:dyDescent="0.35">
      <c r="A49" s="3" t="s">
        <v>130</v>
      </c>
      <c r="B49" s="7">
        <v>24661.578718365945</v>
      </c>
      <c r="C49" s="7">
        <v>22281.200991403934</v>
      </c>
      <c r="D49" s="7">
        <v>23937.506035654991</v>
      </c>
      <c r="E49"/>
      <c r="F49" s="7">
        <v>76099.171805406484</v>
      </c>
      <c r="G49" s="7">
        <v>83537.292974435739</v>
      </c>
      <c r="H49" s="7">
        <v>92818.014281948432</v>
      </c>
    </row>
    <row r="50" spans="1:8" x14ac:dyDescent="0.35">
      <c r="A50" s="3" t="s">
        <v>50</v>
      </c>
      <c r="B50" s="7">
        <v>90012.949791223538</v>
      </c>
      <c r="C50" s="7">
        <v>96413.565993970624</v>
      </c>
      <c r="D50" s="7">
        <v>101657.25667163699</v>
      </c>
      <c r="E50"/>
      <c r="F50" s="7">
        <v>92408.189927086321</v>
      </c>
      <c r="G50" s="7">
        <v>94514.764636822423</v>
      </c>
      <c r="H50" s="7">
        <v>104161.89825312924</v>
      </c>
    </row>
    <row r="51" spans="1:8" x14ac:dyDescent="0.35">
      <c r="A51" s="3" t="s">
        <v>91</v>
      </c>
      <c r="B51" s="7">
        <v>67037.79393126833</v>
      </c>
      <c r="C51" s="7">
        <v>74082.524609175554</v>
      </c>
      <c r="D51" s="7">
        <v>83302.677156375808</v>
      </c>
      <c r="E51"/>
      <c r="F51" s="7">
        <v>77408.636586952998</v>
      </c>
      <c r="G51" s="7">
        <v>80592.161843020047</v>
      </c>
      <c r="H51" s="7">
        <v>90094.807135129275</v>
      </c>
    </row>
    <row r="52" spans="1:8" x14ac:dyDescent="0.35">
      <c r="A52" s="3" t="s">
        <v>74</v>
      </c>
      <c r="B52" s="7">
        <v>76099.171805406484</v>
      </c>
      <c r="C52" s="7">
        <v>83537.292974435739</v>
      </c>
      <c r="D52" s="7">
        <v>92818.014281948432</v>
      </c>
      <c r="E52"/>
      <c r="F52" s="7">
        <v>90934.865890882444</v>
      </c>
      <c r="G52" s="7">
        <v>95659.91852668245</v>
      </c>
      <c r="H52" s="7">
        <v>116174.43653925569</v>
      </c>
    </row>
    <row r="53" spans="1:8" x14ac:dyDescent="0.35">
      <c r="A53" s="3" t="s">
        <v>55</v>
      </c>
      <c r="B53" s="7">
        <v>92408.189927086321</v>
      </c>
      <c r="C53" s="7">
        <v>94514.764636822423</v>
      </c>
      <c r="D53" s="7">
        <v>104161.89825312924</v>
      </c>
      <c r="E53"/>
      <c r="F53" s="7">
        <v>101810.23369908567</v>
      </c>
      <c r="G53" s="7">
        <v>107247.08062939149</v>
      </c>
      <c r="H53" s="7">
        <v>121033.79857226416</v>
      </c>
    </row>
    <row r="54" spans="1:8" x14ac:dyDescent="0.35">
      <c r="A54" s="3" t="s">
        <v>80</v>
      </c>
      <c r="B54" s="7">
        <v>77408.636586952998</v>
      </c>
      <c r="C54" s="7">
        <v>80592.161843020047</v>
      </c>
      <c r="D54" s="7">
        <v>90094.807135129275</v>
      </c>
      <c r="E54"/>
      <c r="F54" s="7">
        <v>91463.987526318262</v>
      </c>
      <c r="G54" s="7">
        <v>94897.641984284724</v>
      </c>
      <c r="H54" s="7">
        <v>121106.63074315281</v>
      </c>
    </row>
    <row r="55" spans="1:8" x14ac:dyDescent="0.35">
      <c r="A55" s="3" t="s">
        <v>24</v>
      </c>
      <c r="B55" s="7">
        <v>90934.865890882444</v>
      </c>
      <c r="C55" s="7">
        <v>95659.91852668245</v>
      </c>
      <c r="D55" s="7">
        <v>116174.43653925569</v>
      </c>
      <c r="E55"/>
      <c r="F55" s="7">
        <v>61908.352156006673</v>
      </c>
      <c r="G55" s="7">
        <v>65007.299958748816</v>
      </c>
      <c r="H55" s="7">
        <v>65338.50617325159</v>
      </c>
    </row>
    <row r="56" spans="1:8" x14ac:dyDescent="0.35">
      <c r="A56" s="3" t="s">
        <v>29</v>
      </c>
      <c r="B56" s="7">
        <v>101810.23369908567</v>
      </c>
      <c r="C56" s="7">
        <v>107247.08062939149</v>
      </c>
      <c r="D56" s="7">
        <v>121033.79857226416</v>
      </c>
      <c r="E56"/>
      <c r="F56" s="7">
        <v>55560.571478521888</v>
      </c>
      <c r="G56" s="7">
        <v>59603.867861352941</v>
      </c>
      <c r="H56" s="7">
        <v>66627.47654136215</v>
      </c>
    </row>
    <row r="57" spans="1:8" x14ac:dyDescent="0.35">
      <c r="A57" s="3" t="s">
        <v>25</v>
      </c>
      <c r="B57" s="7">
        <v>91463.987526318262</v>
      </c>
      <c r="C57" s="7">
        <v>94897.641984284724</v>
      </c>
      <c r="D57" s="7">
        <v>121106.63074315281</v>
      </c>
      <c r="E57"/>
      <c r="F57" s="7">
        <v>55712.426959335076</v>
      </c>
      <c r="G57" s="7">
        <v>58034.308533546515</v>
      </c>
      <c r="H57" s="7">
        <v>59618.609211586423</v>
      </c>
    </row>
    <row r="58" spans="1:8" x14ac:dyDescent="0.35">
      <c r="A58" s="3" t="s">
        <v>112</v>
      </c>
      <c r="B58" s="7">
        <v>61908.352156006673</v>
      </c>
      <c r="C58" s="7">
        <v>65007.299958748816</v>
      </c>
      <c r="D58" s="7">
        <v>65338.50617325159</v>
      </c>
      <c r="E58"/>
      <c r="F58" s="7">
        <v>83918.546302483242</v>
      </c>
      <c r="G58" s="7">
        <v>86566.351209632077</v>
      </c>
      <c r="H58" s="7">
        <v>94465.857083882394</v>
      </c>
    </row>
    <row r="59" spans="1:8" x14ac:dyDescent="0.35">
      <c r="A59" s="3" t="s">
        <v>111</v>
      </c>
      <c r="B59" s="7">
        <v>55560.571478521888</v>
      </c>
      <c r="C59" s="7">
        <v>59603.867861352941</v>
      </c>
      <c r="D59" s="7">
        <v>66627.47654136215</v>
      </c>
      <c r="E59"/>
      <c r="F59" s="7">
        <v>59285.019108112327</v>
      </c>
      <c r="G59" s="7">
        <v>68571.823479891769</v>
      </c>
      <c r="H59" s="7">
        <v>63458.430881673827</v>
      </c>
    </row>
    <row r="60" spans="1:8" x14ac:dyDescent="0.35">
      <c r="A60" s="3" t="s">
        <v>121</v>
      </c>
      <c r="B60" s="7">
        <v>55712.426959335076</v>
      </c>
      <c r="C60" s="7">
        <v>58034.308533546515</v>
      </c>
      <c r="D60" s="7">
        <v>59618.609211586423</v>
      </c>
      <c r="E60"/>
      <c r="F60" s="7">
        <v>65440.636532589</v>
      </c>
      <c r="G60" s="7">
        <v>40733.293951283471</v>
      </c>
      <c r="H60" s="7">
        <v>52383.10585662628</v>
      </c>
    </row>
    <row r="61" spans="1:8" x14ac:dyDescent="0.35">
      <c r="A61" s="3" t="s">
        <v>67</v>
      </c>
      <c r="B61" s="7">
        <v>83918.546302483242</v>
      </c>
      <c r="C61" s="7">
        <v>86566.351209632077</v>
      </c>
      <c r="D61" s="7">
        <v>94465.857083882394</v>
      </c>
      <c r="E61"/>
      <c r="F61" s="7">
        <v>71178.617772066078</v>
      </c>
      <c r="G61" s="7">
        <v>68469.843124783583</v>
      </c>
      <c r="H61" s="7">
        <v>63819.031846726037</v>
      </c>
    </row>
    <row r="62" spans="1:8" x14ac:dyDescent="0.35">
      <c r="A62" s="3" t="s">
        <v>119</v>
      </c>
      <c r="B62" s="7">
        <v>59285.019108112327</v>
      </c>
      <c r="C62" s="7">
        <v>68571.823479891769</v>
      </c>
      <c r="D62" s="7">
        <v>63458.430881673827</v>
      </c>
      <c r="E62"/>
      <c r="F62" s="7">
        <v>72678.156340465997</v>
      </c>
      <c r="G62" s="7">
        <v>65036.503428553224</v>
      </c>
      <c r="H62" s="7">
        <v>70398.796786947336</v>
      </c>
    </row>
    <row r="63" spans="1:8" x14ac:dyDescent="0.35">
      <c r="A63" s="3" t="s">
        <v>124</v>
      </c>
      <c r="B63" s="7">
        <v>65440.636532589</v>
      </c>
      <c r="C63" s="7">
        <v>40733.293951283471</v>
      </c>
      <c r="D63" s="7">
        <v>52383.10585662628</v>
      </c>
      <c r="E63"/>
      <c r="F63" s="7">
        <v>68999.123392911119</v>
      </c>
      <c r="G63" s="7">
        <v>78949.069318406138</v>
      </c>
      <c r="H63" s="7">
        <v>84583.000598844563</v>
      </c>
    </row>
    <row r="64" spans="1:8" x14ac:dyDescent="0.35">
      <c r="A64" s="3" t="s">
        <v>120</v>
      </c>
      <c r="B64" s="7">
        <v>71178.617772066078</v>
      </c>
      <c r="C64" s="7">
        <v>68469.843124783583</v>
      </c>
      <c r="D64" s="7">
        <v>63819.031846726037</v>
      </c>
      <c r="E64"/>
      <c r="F64" s="7">
        <v>71965.570606337496</v>
      </c>
      <c r="G64" s="7">
        <v>72735.738163568778</v>
      </c>
      <c r="H64" s="7">
        <v>129096.35894283504</v>
      </c>
    </row>
    <row r="65" spans="1:8" x14ac:dyDescent="0.35">
      <c r="A65" s="3" t="s">
        <v>95</v>
      </c>
      <c r="B65" s="7">
        <v>72678.156340465997</v>
      </c>
      <c r="C65" s="7">
        <v>65036.503428553224</v>
      </c>
      <c r="D65" s="7">
        <v>70398.796786947336</v>
      </c>
      <c r="E65"/>
      <c r="F65" s="7">
        <v>78280.604966103638</v>
      </c>
      <c r="G65" s="7">
        <v>83062.201084089407</v>
      </c>
      <c r="H65" s="7">
        <v>84477.595183967467</v>
      </c>
    </row>
    <row r="66" spans="1:8" x14ac:dyDescent="0.35">
      <c r="A66" s="3" t="s">
        <v>73</v>
      </c>
      <c r="B66" s="7">
        <v>68999.123392911119</v>
      </c>
      <c r="C66" s="7">
        <v>78949.069318406138</v>
      </c>
      <c r="D66" s="7">
        <v>84583.000598844563</v>
      </c>
      <c r="E66"/>
      <c r="F66" s="7">
        <v>61387.859995991799</v>
      </c>
      <c r="G66" s="7">
        <v>58683.921673241632</v>
      </c>
      <c r="H66" s="7">
        <v>63591.255519932332</v>
      </c>
    </row>
    <row r="67" spans="1:8" x14ac:dyDescent="0.35">
      <c r="A67" s="3" t="s">
        <v>8</v>
      </c>
      <c r="B67" s="7">
        <v>71965.570606337496</v>
      </c>
      <c r="C67" s="7">
        <v>72735.738163568778</v>
      </c>
      <c r="D67" s="7">
        <v>129096.35894283504</v>
      </c>
      <c r="E67"/>
      <c r="F67" s="7">
        <v>74880.296781469762</v>
      </c>
      <c r="G67" s="7">
        <v>75254.91203149478</v>
      </c>
      <c r="H67" s="7">
        <v>84244.676275620484</v>
      </c>
    </row>
    <row r="68" spans="1:8" x14ac:dyDescent="0.35">
      <c r="A68" s="3" t="s">
        <v>84</v>
      </c>
      <c r="B68" s="7">
        <v>78280.604966103638</v>
      </c>
      <c r="C68" s="7">
        <v>83062.201084089407</v>
      </c>
      <c r="D68" s="7">
        <v>84477.595183967467</v>
      </c>
      <c r="E68"/>
      <c r="F68" s="7">
        <v>72966.339450979372</v>
      </c>
      <c r="G68" s="7">
        <v>72519.067749739857</v>
      </c>
      <c r="H68" s="7">
        <v>88088.128968160891</v>
      </c>
    </row>
    <row r="69" spans="1:8" x14ac:dyDescent="0.35">
      <c r="A69" s="3" t="s">
        <v>116</v>
      </c>
      <c r="B69" s="7">
        <v>61387.859995991799</v>
      </c>
      <c r="C69" s="7">
        <v>58683.921673241632</v>
      </c>
      <c r="D69" s="7">
        <v>63591.255519932332</v>
      </c>
      <c r="E69"/>
      <c r="F69" s="7">
        <v>92854.384505792841</v>
      </c>
      <c r="G69" s="7">
        <v>86317.832622771137</v>
      </c>
      <c r="H69" s="7">
        <v>101609.99857451759</v>
      </c>
    </row>
    <row r="70" spans="1:8" x14ac:dyDescent="0.35">
      <c r="A70" s="3" t="s">
        <v>45</v>
      </c>
      <c r="B70" s="7">
        <v>74880.296781469762</v>
      </c>
      <c r="C70" s="7">
        <v>75254.91203149478</v>
      </c>
      <c r="D70" s="7">
        <v>84244.676275620484</v>
      </c>
      <c r="E70"/>
      <c r="F70" s="7">
        <v>84665.77145415204</v>
      </c>
      <c r="G70" s="7">
        <v>90245.815460805592</v>
      </c>
      <c r="H70" s="7">
        <v>93320.623240631074</v>
      </c>
    </row>
    <row r="71" spans="1:8" x14ac:dyDescent="0.35">
      <c r="A71" s="3" t="s">
        <v>83</v>
      </c>
      <c r="B71" s="7">
        <v>72966.339450979372</v>
      </c>
      <c r="C71" s="7">
        <v>72519.067749739857</v>
      </c>
      <c r="D71" s="7">
        <v>88088.128968160891</v>
      </c>
      <c r="E71"/>
      <c r="F71" s="7">
        <v>65790.570819543806</v>
      </c>
      <c r="G71" s="7">
        <v>75202.098843208514</v>
      </c>
      <c r="H71" s="7">
        <v>80492.60434130569</v>
      </c>
    </row>
    <row r="72" spans="1:8" x14ac:dyDescent="0.35">
      <c r="A72" s="3" t="s">
        <v>44</v>
      </c>
      <c r="B72" s="7">
        <v>92854.384505792841</v>
      </c>
      <c r="C72" s="7">
        <v>86317.832622771137</v>
      </c>
      <c r="D72" s="7">
        <v>101609.99857451759</v>
      </c>
      <c r="E72"/>
      <c r="F72" s="7">
        <v>63111.831405518707</v>
      </c>
      <c r="G72" s="7">
        <v>64562.243223882564</v>
      </c>
      <c r="H72" s="7">
        <v>63001.269826719436</v>
      </c>
    </row>
    <row r="73" spans="1:8" x14ac:dyDescent="0.35">
      <c r="A73" s="3" t="s">
        <v>70</v>
      </c>
      <c r="B73" s="7">
        <v>84665.77145415204</v>
      </c>
      <c r="C73" s="7">
        <v>90245.815460805592</v>
      </c>
      <c r="D73" s="7">
        <v>93320.623240631074</v>
      </c>
      <c r="E73"/>
      <c r="F73" s="7">
        <v>61063.615891326284</v>
      </c>
      <c r="G73" s="7">
        <v>51268.811410115413</v>
      </c>
      <c r="H73" s="7">
        <v>63290.016670450932</v>
      </c>
    </row>
    <row r="74" spans="1:8" x14ac:dyDescent="0.35">
      <c r="A74" s="3" t="s">
        <v>89</v>
      </c>
      <c r="B74" s="7">
        <v>65790.570819543806</v>
      </c>
      <c r="C74" s="7">
        <v>75202.098843208514</v>
      </c>
      <c r="D74" s="7">
        <v>80492.60434130569</v>
      </c>
      <c r="E74"/>
      <c r="F74" s="7">
        <v>78431.553118931537</v>
      </c>
      <c r="G74" s="7">
        <v>79515.189535590878</v>
      </c>
      <c r="H74" s="7">
        <v>83348.695485116361</v>
      </c>
    </row>
    <row r="75" spans="1:8" x14ac:dyDescent="0.35">
      <c r="A75" s="3" t="s">
        <v>113</v>
      </c>
      <c r="B75" s="7">
        <v>63111.831405518707</v>
      </c>
      <c r="C75" s="7">
        <v>64562.243223882564</v>
      </c>
      <c r="D75" s="7">
        <v>63001.269826719436</v>
      </c>
      <c r="E75"/>
      <c r="F75" s="7">
        <v>80319.816935287585</v>
      </c>
      <c r="G75" s="7">
        <v>75902.953312550017</v>
      </c>
      <c r="H75" s="7">
        <v>92332.64121437422</v>
      </c>
    </row>
    <row r="76" spans="1:8" x14ac:dyDescent="0.35">
      <c r="A76" s="3" t="s">
        <v>109</v>
      </c>
      <c r="B76" s="7">
        <v>61063.615891326284</v>
      </c>
      <c r="C76" s="7">
        <v>51268.811410115413</v>
      </c>
      <c r="D76" s="7">
        <v>63290.016670450932</v>
      </c>
      <c r="E76"/>
      <c r="F76" s="7">
        <v>88617.534483792115</v>
      </c>
      <c r="G76" s="7">
        <v>84035.310208374372</v>
      </c>
      <c r="H76" s="7">
        <v>84496.554526068474</v>
      </c>
    </row>
    <row r="77" spans="1:8" x14ac:dyDescent="0.35">
      <c r="A77" s="3" t="s">
        <v>88</v>
      </c>
      <c r="B77" s="7">
        <v>78431.553118931537</v>
      </c>
      <c r="C77" s="7">
        <v>79515.189535590878</v>
      </c>
      <c r="D77" s="7">
        <v>83348.695485116361</v>
      </c>
      <c r="E77"/>
      <c r="F77" s="7">
        <v>65554.945426078499</v>
      </c>
      <c r="G77" s="7">
        <v>37600.293547868314</v>
      </c>
      <c r="H77" s="7">
        <v>57238.768015564121</v>
      </c>
    </row>
    <row r="78" spans="1:8" x14ac:dyDescent="0.35">
      <c r="A78" s="3" t="s">
        <v>33</v>
      </c>
      <c r="B78" s="7">
        <v>80319.816935287585</v>
      </c>
      <c r="C78" s="7">
        <v>75902.953312550017</v>
      </c>
      <c r="D78" s="7">
        <v>92332.64121437422</v>
      </c>
      <c r="E78"/>
      <c r="F78" s="7">
        <v>81421.57372851207</v>
      </c>
      <c r="G78" s="7">
        <v>88266.501388737539</v>
      </c>
      <c r="H78" s="7">
        <v>95684.870424838256</v>
      </c>
    </row>
    <row r="79" spans="1:8" x14ac:dyDescent="0.35">
      <c r="A79" s="3" t="s">
        <v>87</v>
      </c>
      <c r="B79" s="7">
        <v>88617.534483792115</v>
      </c>
      <c r="C79" s="7">
        <v>84035.310208374372</v>
      </c>
      <c r="D79" s="7">
        <v>84496.554526068474</v>
      </c>
      <c r="E79"/>
      <c r="F79" s="7">
        <v>105469.6550023544</v>
      </c>
      <c r="G79" s="7">
        <v>107013.92470802291</v>
      </c>
      <c r="H79" s="7">
        <v>111282.84524859808</v>
      </c>
    </row>
    <row r="80" spans="1:8" x14ac:dyDescent="0.35">
      <c r="A80" s="3" t="s">
        <v>114</v>
      </c>
      <c r="B80" s="7">
        <v>65554.945426078499</v>
      </c>
      <c r="C80" s="7">
        <v>37600.293547868314</v>
      </c>
      <c r="D80" s="7">
        <v>57238.768015564121</v>
      </c>
      <c r="E80"/>
      <c r="F80" s="7">
        <v>80491.663127004183</v>
      </c>
      <c r="G80" s="7">
        <v>93180.131391852745</v>
      </c>
      <c r="H80" s="7">
        <v>95209.393837712269</v>
      </c>
    </row>
    <row r="81" spans="1:8" x14ac:dyDescent="0.35">
      <c r="A81" s="3" t="s">
        <v>62</v>
      </c>
      <c r="B81" s="7">
        <v>81421.57372851207</v>
      </c>
      <c r="C81" s="7">
        <v>88266.501388737539</v>
      </c>
      <c r="D81" s="7">
        <v>95684.870424838256</v>
      </c>
      <c r="E81"/>
      <c r="F81" s="7">
        <v>104299.00459899935</v>
      </c>
      <c r="G81" s="7">
        <v>104263.61677553617</v>
      </c>
      <c r="H81" s="7">
        <v>109556.19345754675</v>
      </c>
    </row>
    <row r="82" spans="1:8" x14ac:dyDescent="0.35">
      <c r="A82" s="3" t="s">
        <v>30</v>
      </c>
      <c r="B82" s="7">
        <v>105469.6550023544</v>
      </c>
      <c r="C82" s="7">
        <v>107013.92470802291</v>
      </c>
      <c r="D82" s="7">
        <v>111282.84524859808</v>
      </c>
      <c r="E82"/>
      <c r="F82" s="7">
        <v>71408.130811406561</v>
      </c>
      <c r="G82" s="7">
        <v>87394.70668384165</v>
      </c>
      <c r="H82" s="7">
        <v>98181.504117383403</v>
      </c>
    </row>
    <row r="83" spans="1:8" x14ac:dyDescent="0.35">
      <c r="A83" s="3" t="s">
        <v>76</v>
      </c>
      <c r="B83" s="7">
        <v>80491.663127004183</v>
      </c>
      <c r="C83" s="7">
        <v>93180.131391852745</v>
      </c>
      <c r="D83" s="7">
        <v>95209.393837712269</v>
      </c>
      <c r="E83"/>
      <c r="F83" s="7">
        <v>76324.278513970959</v>
      </c>
      <c r="G83" s="7">
        <v>76501.074496365603</v>
      </c>
      <c r="H83" s="7">
        <v>97292.158546562743</v>
      </c>
    </row>
    <row r="84" spans="1:8" x14ac:dyDescent="0.35">
      <c r="A84" s="3" t="s">
        <v>28</v>
      </c>
      <c r="B84" s="7">
        <v>104299.00459899935</v>
      </c>
      <c r="C84" s="7">
        <v>104263.61677553617</v>
      </c>
      <c r="D84" s="7">
        <v>109556.19345754675</v>
      </c>
      <c r="E84"/>
      <c r="F84" s="7">
        <v>89262.681351455452</v>
      </c>
      <c r="G84" s="7">
        <v>98518.336655667648</v>
      </c>
      <c r="H84" s="7">
        <v>101884.45897044711</v>
      </c>
    </row>
    <row r="85" spans="1:8" x14ac:dyDescent="0.35">
      <c r="A85" s="3" t="s">
        <v>48</v>
      </c>
      <c r="B85" s="7">
        <v>71408.130811406561</v>
      </c>
      <c r="C85" s="7">
        <v>87394.70668384165</v>
      </c>
      <c r="D85" s="7">
        <v>98181.504117383403</v>
      </c>
      <c r="E85"/>
      <c r="F85" s="7">
        <v>94820.912331964006</v>
      </c>
      <c r="G85" s="7">
        <v>97463.67066807214</v>
      </c>
      <c r="H85" s="7">
        <v>106997.32969215015</v>
      </c>
    </row>
    <row r="86" spans="1:8" x14ac:dyDescent="0.35">
      <c r="A86" s="3" t="s">
        <v>69</v>
      </c>
      <c r="B86" s="7">
        <v>76324.278513970959</v>
      </c>
      <c r="C86" s="7">
        <v>76501.074496365603</v>
      </c>
      <c r="D86" s="7">
        <v>97292.158546562743</v>
      </c>
      <c r="E86"/>
      <c r="F86" s="7">
        <v>88101.526670275663</v>
      </c>
      <c r="G86" s="7">
        <v>93390.908855043352</v>
      </c>
      <c r="H86" s="7">
        <v>103302.01044616129</v>
      </c>
    </row>
    <row r="87" spans="1:8" x14ac:dyDescent="0.35">
      <c r="A87" s="3" t="s">
        <v>61</v>
      </c>
      <c r="B87" s="7">
        <v>89262.681351455452</v>
      </c>
      <c r="C87" s="7">
        <v>98518.336655667648</v>
      </c>
      <c r="D87" s="7">
        <v>101884.45897044711</v>
      </c>
      <c r="E87"/>
      <c r="F87" s="7">
        <v>55733.287791822811</v>
      </c>
      <c r="G87" s="7">
        <v>55670.304375567779</v>
      </c>
      <c r="H87" s="7">
        <v>69335.717775350888</v>
      </c>
    </row>
    <row r="88" spans="1:8" x14ac:dyDescent="0.35">
      <c r="A88" s="3" t="s">
        <v>46</v>
      </c>
      <c r="B88" s="7">
        <v>94820.912331964006</v>
      </c>
      <c r="C88" s="7">
        <v>97463.67066807214</v>
      </c>
      <c r="D88" s="7">
        <v>106997.32969215015</v>
      </c>
      <c r="E88"/>
      <c r="F88" s="7">
        <v>58340.206904257131</v>
      </c>
      <c r="G88" s="7">
        <v>60914.521449423701</v>
      </c>
      <c r="H88" s="7">
        <v>64048.676841330758</v>
      </c>
    </row>
    <row r="89" spans="1:8" x14ac:dyDescent="0.35">
      <c r="A89" s="3" t="s">
        <v>41</v>
      </c>
      <c r="B89" s="7">
        <v>88101.526670275663</v>
      </c>
      <c r="C89" s="7">
        <v>93390.908855043352</v>
      </c>
      <c r="D89" s="7">
        <v>103302.01044616129</v>
      </c>
      <c r="E89"/>
      <c r="F89" s="7">
        <v>80925.928008524541</v>
      </c>
      <c r="G89" s="7">
        <v>82686.599999578291</v>
      </c>
      <c r="H89" s="7">
        <v>94587.934598431602</v>
      </c>
    </row>
    <row r="90" spans="1:8" x14ac:dyDescent="0.35">
      <c r="A90" s="3" t="s">
        <v>99</v>
      </c>
      <c r="B90" s="7">
        <v>55733.287791822811</v>
      </c>
      <c r="C90" s="7">
        <v>55670.304375567779</v>
      </c>
      <c r="D90" s="7">
        <v>69335.717775350888</v>
      </c>
      <c r="E90"/>
      <c r="F90" s="7">
        <v>56450.574094853437</v>
      </c>
      <c r="G90" s="7">
        <v>58136.967397785083</v>
      </c>
      <c r="H90" s="7">
        <v>65247.179663565519</v>
      </c>
    </row>
    <row r="91" spans="1:8" x14ac:dyDescent="0.35">
      <c r="A91" s="3" t="s">
        <v>118</v>
      </c>
      <c r="B91" s="7">
        <v>58340.206904257131</v>
      </c>
      <c r="C91" s="7">
        <v>60914.521449423701</v>
      </c>
      <c r="D91" s="7">
        <v>64048.676841330758</v>
      </c>
      <c r="E91"/>
      <c r="F91" s="7">
        <v>74572.320114356859</v>
      </c>
      <c r="G91" s="7">
        <v>78985.841663934989</v>
      </c>
      <c r="H91" s="7">
        <v>92535.333870276212</v>
      </c>
    </row>
    <row r="92" spans="1:8" x14ac:dyDescent="0.35">
      <c r="A92" s="3" t="s">
        <v>65</v>
      </c>
      <c r="B92" s="7">
        <v>80925.928008524541</v>
      </c>
      <c r="C92" s="7">
        <v>82686.599999578291</v>
      </c>
      <c r="D92" s="7">
        <v>94587.934598431602</v>
      </c>
      <c r="E92"/>
      <c r="F92" s="7">
        <v>88110.749396221072</v>
      </c>
      <c r="G92" s="7">
        <v>92757.713194386364</v>
      </c>
      <c r="H92" s="7">
        <v>106890.02412821361</v>
      </c>
    </row>
    <row r="93" spans="1:8" x14ac:dyDescent="0.35">
      <c r="A93" s="3" t="s">
        <v>102</v>
      </c>
      <c r="B93" s="7">
        <v>56450.574094853437</v>
      </c>
      <c r="C93" s="7">
        <v>58136.967397785083</v>
      </c>
      <c r="D93" s="7">
        <v>65247.179663565519</v>
      </c>
      <c r="E93"/>
      <c r="F93" s="7">
        <v>93747.996113463989</v>
      </c>
      <c r="G93" s="7">
        <v>109669.79752772138</v>
      </c>
      <c r="H93" s="7">
        <v>118676.96768282347</v>
      </c>
    </row>
    <row r="94" spans="1:8" x14ac:dyDescent="0.35">
      <c r="A94" s="3" t="s">
        <v>77</v>
      </c>
      <c r="B94" s="7">
        <v>74572.320114356859</v>
      </c>
      <c r="C94" s="7">
        <v>78985.841663934989</v>
      </c>
      <c r="D94" s="7">
        <v>92535.333870276212</v>
      </c>
      <c r="E94"/>
      <c r="F94" s="7">
        <v>33652.761625579835</v>
      </c>
      <c r="G94" s="7">
        <v>34031.018324517565</v>
      </c>
      <c r="H94" s="7">
        <v>40958.737729768349</v>
      </c>
    </row>
    <row r="95" spans="1:8" x14ac:dyDescent="0.35">
      <c r="A95" s="3" t="s">
        <v>43</v>
      </c>
      <c r="B95" s="7">
        <v>88110.749396221072</v>
      </c>
      <c r="C95" s="7">
        <v>92757.713194386364</v>
      </c>
      <c r="D95" s="7">
        <v>106890.02412821361</v>
      </c>
      <c r="E95"/>
      <c r="F95" s="7">
        <v>102380.17658608418</v>
      </c>
      <c r="G95" s="7">
        <v>114603.76404018288</v>
      </c>
      <c r="H95" s="7">
        <v>109550.42643488859</v>
      </c>
    </row>
    <row r="96" spans="1:8" x14ac:dyDescent="0.35">
      <c r="A96" s="3" t="s">
        <v>23</v>
      </c>
      <c r="B96" s="7">
        <v>93747.996113463989</v>
      </c>
      <c r="C96" s="7">
        <v>109669.79752772138</v>
      </c>
      <c r="D96" s="7">
        <v>118676.96768282347</v>
      </c>
      <c r="E96"/>
      <c r="F96" s="7">
        <v>81118.99672348726</v>
      </c>
      <c r="G96" s="7">
        <v>90778.94169311873</v>
      </c>
      <c r="H96" s="7">
        <v>109938.82608814504</v>
      </c>
    </row>
    <row r="97" spans="1:8" x14ac:dyDescent="0.35">
      <c r="A97" s="3" t="s">
        <v>129</v>
      </c>
      <c r="B97" s="7">
        <v>33652.761625579835</v>
      </c>
      <c r="C97" s="7">
        <v>34031.018324517565</v>
      </c>
      <c r="D97" s="7">
        <v>40958.737729768349</v>
      </c>
      <c r="E97"/>
      <c r="F97" s="7">
        <v>81439.077958168084</v>
      </c>
      <c r="G97" s="7">
        <v>81254.700845081257</v>
      </c>
      <c r="H97" s="7">
        <v>99600.621625454733</v>
      </c>
    </row>
    <row r="98" spans="1:8" x14ac:dyDescent="0.35">
      <c r="A98" s="3" t="s">
        <v>31</v>
      </c>
      <c r="B98" s="7">
        <v>102380.17658608418</v>
      </c>
      <c r="C98" s="7">
        <v>114603.76404018288</v>
      </c>
      <c r="D98" s="7">
        <v>109550.42643488859</v>
      </c>
      <c r="E98"/>
      <c r="F98" s="7">
        <v>87926.830765934428</v>
      </c>
      <c r="G98" s="7">
        <v>102933.00411636471</v>
      </c>
      <c r="H98" s="7">
        <v>97231.056283298632</v>
      </c>
    </row>
    <row r="99" spans="1:8" x14ac:dyDescent="0.35">
      <c r="A99" s="3" t="s">
        <v>42</v>
      </c>
      <c r="B99" s="7">
        <v>81118.99672348726</v>
      </c>
      <c r="C99" s="7">
        <v>90778.94169311873</v>
      </c>
      <c r="D99" s="7">
        <v>109938.82608814504</v>
      </c>
      <c r="E99"/>
      <c r="F99" s="7">
        <v>88563.651044193539</v>
      </c>
      <c r="G99" s="7">
        <v>90969.146810565318</v>
      </c>
      <c r="H99" s="7">
        <v>117840.74386366793</v>
      </c>
    </row>
    <row r="100" spans="1:8" x14ac:dyDescent="0.35">
      <c r="A100" s="3" t="s">
        <v>59</v>
      </c>
      <c r="B100" s="7">
        <v>81439.077958168084</v>
      </c>
      <c r="C100" s="7">
        <v>81254.700845081257</v>
      </c>
      <c r="D100" s="7">
        <v>99600.621625454733</v>
      </c>
      <c r="E100"/>
      <c r="F100" s="7">
        <v>93315.026644208978</v>
      </c>
      <c r="G100" s="7">
        <v>93476.163852658108</v>
      </c>
      <c r="H100" s="7">
        <v>106232.43182756676</v>
      </c>
    </row>
    <row r="101" spans="1:8" x14ac:dyDescent="0.35">
      <c r="A101" s="3" t="s">
        <v>56</v>
      </c>
      <c r="B101" s="7">
        <v>87926.830765934428</v>
      </c>
      <c r="C101" s="7">
        <v>102933.00411636471</v>
      </c>
      <c r="D101" s="7">
        <v>97231.056283298632</v>
      </c>
      <c r="E101"/>
      <c r="F101" s="7">
        <v>106508.73595211063</v>
      </c>
      <c r="G101" s="7">
        <v>107415.72795229318</v>
      </c>
      <c r="H101" s="7">
        <v>115367.75203510442</v>
      </c>
    </row>
    <row r="102" spans="1:8" x14ac:dyDescent="0.35">
      <c r="A102" s="3" t="s">
        <v>22</v>
      </c>
      <c r="B102" s="7">
        <v>88563.651044193539</v>
      </c>
      <c r="C102" s="7">
        <v>90969.146810565318</v>
      </c>
      <c r="D102" s="7">
        <v>117840.74386366793</v>
      </c>
      <c r="E102"/>
      <c r="F102" s="7">
        <v>118416.02014533799</v>
      </c>
      <c r="G102" s="7">
        <v>120882.20498635567</v>
      </c>
      <c r="H102" s="7">
        <v>133568.33509138747</v>
      </c>
    </row>
    <row r="103" spans="1:8" x14ac:dyDescent="0.35">
      <c r="A103" s="3" t="s">
        <v>39</v>
      </c>
      <c r="B103" s="7">
        <v>93315.026644208978</v>
      </c>
      <c r="C103" s="7">
        <v>93476.163852658108</v>
      </c>
      <c r="D103" s="7">
        <v>106232.43182756676</v>
      </c>
      <c r="E103"/>
      <c r="F103" s="7">
        <v>103502.78265520566</v>
      </c>
      <c r="G103" s="7">
        <v>117017.79581045923</v>
      </c>
      <c r="H103" s="7">
        <v>93732.628876248287</v>
      </c>
    </row>
    <row r="104" spans="1:8" x14ac:dyDescent="0.35">
      <c r="A104" s="3" t="s">
        <v>36</v>
      </c>
      <c r="B104" s="7">
        <v>106508.73595211063</v>
      </c>
      <c r="C104" s="7">
        <v>107415.72795229318</v>
      </c>
      <c r="D104" s="7">
        <v>115367.75203510442</v>
      </c>
      <c r="E104"/>
      <c r="F104" s="7"/>
      <c r="G104" s="7"/>
      <c r="H104" s="7">
        <v>77140.134794389058</v>
      </c>
    </row>
    <row r="105" spans="1:8" x14ac:dyDescent="0.35">
      <c r="A105" s="3" t="s">
        <v>15</v>
      </c>
      <c r="B105" s="7">
        <v>118416.02014533799</v>
      </c>
      <c r="C105" s="7">
        <v>120882.20498635567</v>
      </c>
      <c r="D105" s="7">
        <v>133568.33509138747</v>
      </c>
      <c r="E105"/>
      <c r="F105" s="7">
        <v>55163.276427969817</v>
      </c>
      <c r="G105" s="7">
        <v>56451.666845017149</v>
      </c>
      <c r="H105" s="7">
        <v>62821.5829358474</v>
      </c>
    </row>
    <row r="106" spans="1:8" x14ac:dyDescent="0.35">
      <c r="A106" s="3" t="s">
        <v>63</v>
      </c>
      <c r="B106" s="7">
        <v>103502.78265520566</v>
      </c>
      <c r="C106" s="7">
        <v>117017.79581045923</v>
      </c>
      <c r="D106" s="7">
        <v>93732.628876248287</v>
      </c>
      <c r="E106"/>
      <c r="F106" s="7">
        <v>48407.518367857323</v>
      </c>
      <c r="G106" s="7">
        <v>46881.403948219231</v>
      </c>
      <c r="H106" s="7">
        <v>53352.780594953692</v>
      </c>
    </row>
    <row r="107" spans="1:8" x14ac:dyDescent="0.35">
      <c r="A107" s="3" t="s">
        <v>93</v>
      </c>
      <c r="B107" s="7"/>
      <c r="C107" s="7"/>
      <c r="D107" s="7">
        <v>77140.134794389058</v>
      </c>
      <c r="E107"/>
      <c r="F107" s="7">
        <v>50068.520075017041</v>
      </c>
      <c r="G107" s="7">
        <v>58082.232905122182</v>
      </c>
      <c r="H107" s="7">
        <v>49169.24626614451</v>
      </c>
    </row>
    <row r="108" spans="1:8" x14ac:dyDescent="0.35">
      <c r="A108" s="3" t="s">
        <v>117</v>
      </c>
      <c r="B108" s="7">
        <v>55163.276427969817</v>
      </c>
      <c r="C108" s="7">
        <v>56451.666845017149</v>
      </c>
      <c r="D108" s="7">
        <v>62821.5829358474</v>
      </c>
      <c r="E108"/>
      <c r="F108" s="7">
        <v>65631.462978179508</v>
      </c>
      <c r="G108" s="7">
        <v>70240.184013574093</v>
      </c>
      <c r="H108" s="7">
        <v>69568.089703697653</v>
      </c>
    </row>
    <row r="109" spans="1:8" x14ac:dyDescent="0.35">
      <c r="A109" s="3" t="s">
        <v>128</v>
      </c>
      <c r="B109" s="7">
        <v>48407.518367857323</v>
      </c>
      <c r="C109" s="7">
        <v>46881.403948219231</v>
      </c>
      <c r="D109" s="7">
        <v>53352.780594953692</v>
      </c>
      <c r="E109"/>
      <c r="F109" s="7">
        <v>55533.107283698802</v>
      </c>
      <c r="G109" s="7">
        <v>63312.443007105416</v>
      </c>
      <c r="H109" s="7">
        <v>37461.957817109884</v>
      </c>
    </row>
    <row r="110" spans="1:8" x14ac:dyDescent="0.35">
      <c r="A110" s="3" t="s">
        <v>126</v>
      </c>
      <c r="B110" s="7">
        <v>50068.520075017041</v>
      </c>
      <c r="C110" s="7">
        <v>58082.232905122182</v>
      </c>
      <c r="D110" s="7">
        <v>49169.24626614451</v>
      </c>
      <c r="E110"/>
      <c r="F110" s="7">
        <v>53158.226141083716</v>
      </c>
      <c r="G110" s="7">
        <v>49907.902759273318</v>
      </c>
      <c r="H110" s="7">
        <v>55265.545451394704</v>
      </c>
    </row>
    <row r="111" spans="1:8" x14ac:dyDescent="0.35">
      <c r="A111" s="3" t="s">
        <v>103</v>
      </c>
      <c r="B111" s="7">
        <v>65631.462978179508</v>
      </c>
      <c r="C111" s="7">
        <v>70240.184013574093</v>
      </c>
      <c r="D111" s="7">
        <v>69568.089703697653</v>
      </c>
      <c r="E111"/>
      <c r="F111" s="7">
        <v>46737.049766401738</v>
      </c>
      <c r="G111" s="7">
        <v>44456.223174384511</v>
      </c>
      <c r="H111" s="7">
        <v>45317.042694391981</v>
      </c>
    </row>
    <row r="112" spans="1:8" x14ac:dyDescent="0.35">
      <c r="A112" s="3" t="s">
        <v>127</v>
      </c>
      <c r="B112" s="7">
        <v>55533.107283698802</v>
      </c>
      <c r="C112" s="7">
        <v>63312.443007105416</v>
      </c>
      <c r="D112" s="7">
        <v>37461.957817109884</v>
      </c>
      <c r="E112"/>
      <c r="F112" s="7">
        <v>54002.866683269509</v>
      </c>
      <c r="G112" s="7">
        <v>51602.222586710588</v>
      </c>
      <c r="H112" s="7">
        <v>54340.133101089486</v>
      </c>
    </row>
    <row r="113" spans="1:8" x14ac:dyDescent="0.35">
      <c r="A113" s="3" t="s">
        <v>125</v>
      </c>
      <c r="B113" s="7">
        <v>53158.226141083716</v>
      </c>
      <c r="C113" s="7">
        <v>49907.902759273318</v>
      </c>
      <c r="D113" s="7">
        <v>55265.545451394704</v>
      </c>
      <c r="E113"/>
      <c r="F113" s="7">
        <v>46693.299903709776</v>
      </c>
      <c r="G113" s="7">
        <v>51273.991311388796</v>
      </c>
      <c r="H113" s="7">
        <v>60434.753180617932</v>
      </c>
    </row>
    <row r="114" spans="1:8" x14ac:dyDescent="0.35">
      <c r="A114" s="3" t="s">
        <v>122</v>
      </c>
      <c r="B114" s="7">
        <v>46737.049766401738</v>
      </c>
      <c r="C114" s="7">
        <v>44456.223174384511</v>
      </c>
      <c r="D114" s="7">
        <v>45317.042694391981</v>
      </c>
      <c r="E114"/>
    </row>
    <row r="115" spans="1:8" x14ac:dyDescent="0.35">
      <c r="A115" s="3" t="s">
        <v>123</v>
      </c>
      <c r="B115" s="7">
        <v>54002.866683269509</v>
      </c>
      <c r="C115" s="7">
        <v>51602.222586710588</v>
      </c>
      <c r="D115" s="7">
        <v>54340.133101089486</v>
      </c>
      <c r="E115"/>
    </row>
    <row r="116" spans="1:8" x14ac:dyDescent="0.35">
      <c r="A116" s="3" t="s">
        <v>101</v>
      </c>
      <c r="B116" s="7">
        <v>46693.299903709776</v>
      </c>
      <c r="C116" s="7">
        <v>51273.991311388796</v>
      </c>
      <c r="D116" s="7">
        <v>60434.753180617932</v>
      </c>
      <c r="E116"/>
    </row>
    <row r="117" spans="1:8" x14ac:dyDescent="0.35">
      <c r="A117" s="3" t="s">
        <v>135</v>
      </c>
      <c r="B117" s="7">
        <v>81752.446100889967</v>
      </c>
      <c r="C117" s="7">
        <v>85320.903143794567</v>
      </c>
      <c r="D117" s="7">
        <v>92803.938002964176</v>
      </c>
      <c r="E117"/>
    </row>
    <row r="118" spans="1:8" x14ac:dyDescent="0.35">
      <c r="B118"/>
      <c r="C118"/>
      <c r="D118"/>
      <c r="E118"/>
    </row>
    <row r="119" spans="1:8" x14ac:dyDescent="0.35">
      <c r="B119"/>
      <c r="C119"/>
      <c r="D119"/>
      <c r="E119"/>
    </row>
    <row r="120" spans="1:8" x14ac:dyDescent="0.35">
      <c r="B120"/>
      <c r="C120"/>
      <c r="D120"/>
      <c r="E120"/>
    </row>
    <row r="121" spans="1:8" x14ac:dyDescent="0.35">
      <c r="B121"/>
      <c r="C121"/>
      <c r="D121"/>
      <c r="E121"/>
    </row>
    <row r="122" spans="1:8" x14ac:dyDescent="0.35">
      <c r="B122"/>
      <c r="C122"/>
      <c r="D122"/>
      <c r="E122"/>
    </row>
    <row r="123" spans="1:8" x14ac:dyDescent="0.35">
      <c r="B123"/>
      <c r="C123"/>
      <c r="D123"/>
      <c r="E123"/>
    </row>
    <row r="124" spans="1:8" x14ac:dyDescent="0.35">
      <c r="B124"/>
      <c r="C124"/>
      <c r="D124"/>
      <c r="E124"/>
    </row>
    <row r="125" spans="1:8" x14ac:dyDescent="0.35">
      <c r="B125"/>
      <c r="C125"/>
      <c r="D125"/>
      <c r="E125"/>
    </row>
    <row r="126" spans="1:8" x14ac:dyDescent="0.35">
      <c r="B126"/>
      <c r="C126"/>
      <c r="D126"/>
      <c r="E126"/>
    </row>
    <row r="127" spans="1:8" x14ac:dyDescent="0.35">
      <c r="B127"/>
      <c r="C127"/>
      <c r="D127"/>
      <c r="E127"/>
    </row>
    <row r="128" spans="1:8" x14ac:dyDescent="0.35">
      <c r="B128"/>
      <c r="C128"/>
      <c r="D128"/>
      <c r="E128"/>
    </row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  <row r="135" customFormat="1" x14ac:dyDescent="0.35"/>
    <row r="136" customFormat="1" x14ac:dyDescent="0.35"/>
    <row r="137" customFormat="1" x14ac:dyDescent="0.35"/>
    <row r="138" customFormat="1" x14ac:dyDescent="0.35"/>
    <row r="139" customFormat="1" x14ac:dyDescent="0.35"/>
    <row r="140" customFormat="1" x14ac:dyDescent="0.35"/>
    <row r="141" customFormat="1" x14ac:dyDescent="0.35"/>
    <row r="142" customFormat="1" x14ac:dyDescent="0.35"/>
    <row r="143" customFormat="1" x14ac:dyDescent="0.35"/>
    <row r="144" customFormat="1" x14ac:dyDescent="0.35"/>
    <row r="145" customFormat="1" x14ac:dyDescent="0.35"/>
    <row r="146" customFormat="1" x14ac:dyDescent="0.35"/>
    <row r="147" customFormat="1" x14ac:dyDescent="0.35"/>
    <row r="148" customFormat="1" x14ac:dyDescent="0.35"/>
    <row r="149" customFormat="1" x14ac:dyDescent="0.35"/>
    <row r="150" customFormat="1" x14ac:dyDescent="0.35"/>
    <row r="151" customFormat="1" x14ac:dyDescent="0.35"/>
    <row r="152" customFormat="1" x14ac:dyDescent="0.35"/>
    <row r="153" customFormat="1" x14ac:dyDescent="0.35"/>
    <row r="154" customFormat="1" x14ac:dyDescent="0.35"/>
    <row r="155" customFormat="1" x14ac:dyDescent="0.35"/>
    <row r="156" customFormat="1" x14ac:dyDescent="0.35"/>
    <row r="157" customFormat="1" x14ac:dyDescent="0.35"/>
    <row r="158" customFormat="1" x14ac:dyDescent="0.35"/>
    <row r="159" customFormat="1" x14ac:dyDescent="0.35"/>
    <row r="160" customFormat="1" x14ac:dyDescent="0.35"/>
    <row r="161" customFormat="1" x14ac:dyDescent="0.35"/>
    <row r="162" customFormat="1" x14ac:dyDescent="0.35"/>
    <row r="163" customFormat="1" x14ac:dyDescent="0.35"/>
    <row r="164" customFormat="1" x14ac:dyDescent="0.35"/>
    <row r="165" customFormat="1" x14ac:dyDescent="0.35"/>
    <row r="166" customFormat="1" x14ac:dyDescent="0.35"/>
    <row r="167" customFormat="1" x14ac:dyDescent="0.35"/>
    <row r="168" customFormat="1" x14ac:dyDescent="0.35"/>
    <row r="169" customFormat="1" x14ac:dyDescent="0.35"/>
    <row r="170" customFormat="1" x14ac:dyDescent="0.35"/>
    <row r="171" customFormat="1" x14ac:dyDescent="0.35"/>
    <row r="172" customFormat="1" x14ac:dyDescent="0.35"/>
    <row r="173" customFormat="1" x14ac:dyDescent="0.35"/>
    <row r="174" customFormat="1" x14ac:dyDescent="0.35"/>
    <row r="175" customFormat="1" x14ac:dyDescent="0.35"/>
    <row r="176" customFormat="1" x14ac:dyDescent="0.35"/>
    <row r="177" customFormat="1" x14ac:dyDescent="0.35"/>
    <row r="178" customFormat="1" x14ac:dyDescent="0.35"/>
    <row r="179" customFormat="1" x14ac:dyDescent="0.35"/>
    <row r="180" customFormat="1" x14ac:dyDescent="0.35"/>
    <row r="181" customFormat="1" x14ac:dyDescent="0.35"/>
    <row r="182" customFormat="1" x14ac:dyDescent="0.35"/>
    <row r="183" customFormat="1" x14ac:dyDescent="0.35"/>
    <row r="184" customFormat="1" x14ac:dyDescent="0.35"/>
    <row r="185" customFormat="1" x14ac:dyDescent="0.35"/>
    <row r="186" customFormat="1" x14ac:dyDescent="0.35"/>
    <row r="187" customFormat="1" x14ac:dyDescent="0.35"/>
    <row r="188" customFormat="1" x14ac:dyDescent="0.35"/>
    <row r="189" customFormat="1" x14ac:dyDescent="0.35"/>
    <row r="190" customFormat="1" x14ac:dyDescent="0.35"/>
    <row r="191" customFormat="1" x14ac:dyDescent="0.35"/>
    <row r="192" customFormat="1" x14ac:dyDescent="0.35"/>
    <row r="193" customFormat="1" x14ac:dyDescent="0.35"/>
    <row r="194" customFormat="1" x14ac:dyDescent="0.35"/>
    <row r="195" customFormat="1" x14ac:dyDescent="0.35"/>
    <row r="196" customFormat="1" x14ac:dyDescent="0.35"/>
    <row r="197" customFormat="1" x14ac:dyDescent="0.35"/>
    <row r="198" customFormat="1" x14ac:dyDescent="0.35"/>
    <row r="199" customFormat="1" x14ac:dyDescent="0.35"/>
    <row r="200" customFormat="1" x14ac:dyDescent="0.35"/>
    <row r="201" customFormat="1" x14ac:dyDescent="0.35"/>
    <row r="202" customFormat="1" x14ac:dyDescent="0.35"/>
    <row r="203" customFormat="1" x14ac:dyDescent="0.35"/>
    <row r="204" customFormat="1" x14ac:dyDescent="0.35"/>
    <row r="205" customFormat="1" x14ac:dyDescent="0.35"/>
    <row r="206" customFormat="1" x14ac:dyDescent="0.35"/>
    <row r="207" customFormat="1" x14ac:dyDescent="0.35"/>
    <row r="208" customFormat="1" x14ac:dyDescent="0.35"/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  <row r="219" customFormat="1" x14ac:dyDescent="0.35"/>
    <row r="220" customFormat="1" x14ac:dyDescent="0.35"/>
    <row r="221" customFormat="1" x14ac:dyDescent="0.35"/>
    <row r="222" customFormat="1" x14ac:dyDescent="0.35"/>
    <row r="223" customFormat="1" x14ac:dyDescent="0.35"/>
    <row r="224" customFormat="1" x14ac:dyDescent="0.35"/>
    <row r="225" customFormat="1" x14ac:dyDescent="0.35"/>
    <row r="226" customFormat="1" x14ac:dyDescent="0.35"/>
    <row r="227" customFormat="1" x14ac:dyDescent="0.35"/>
    <row r="228" customFormat="1" x14ac:dyDescent="0.35"/>
    <row r="229" customFormat="1" x14ac:dyDescent="0.35"/>
    <row r="230" customFormat="1" x14ac:dyDescent="0.35"/>
    <row r="231" customFormat="1" x14ac:dyDescent="0.35"/>
    <row r="232" customFormat="1" x14ac:dyDescent="0.35"/>
    <row r="233" customFormat="1" x14ac:dyDescent="0.35"/>
    <row r="234" customFormat="1" x14ac:dyDescent="0.35"/>
    <row r="235" customFormat="1" x14ac:dyDescent="0.35"/>
    <row r="236" customFormat="1" x14ac:dyDescent="0.35"/>
    <row r="237" customFormat="1" x14ac:dyDescent="0.35"/>
    <row r="238" customFormat="1" x14ac:dyDescent="0.35"/>
    <row r="239" customFormat="1" x14ac:dyDescent="0.35"/>
    <row r="240" customFormat="1" x14ac:dyDescent="0.35"/>
    <row r="241" customFormat="1" x14ac:dyDescent="0.35"/>
    <row r="242" customFormat="1" x14ac:dyDescent="0.35"/>
    <row r="243" customFormat="1" x14ac:dyDescent="0.35"/>
    <row r="244" customFormat="1" x14ac:dyDescent="0.35"/>
    <row r="245" customFormat="1" x14ac:dyDescent="0.35"/>
    <row r="246" customFormat="1" x14ac:dyDescent="0.35"/>
    <row r="247" customFormat="1" x14ac:dyDescent="0.35"/>
    <row r="248" customFormat="1" x14ac:dyDescent="0.35"/>
    <row r="249" customFormat="1" x14ac:dyDescent="0.35"/>
    <row r="250" customFormat="1" x14ac:dyDescent="0.35"/>
    <row r="251" customFormat="1" x14ac:dyDescent="0.35"/>
    <row r="252" customFormat="1" x14ac:dyDescent="0.35"/>
    <row r="253" customFormat="1" x14ac:dyDescent="0.35"/>
    <row r="254" customFormat="1" x14ac:dyDescent="0.35"/>
    <row r="255" customFormat="1" x14ac:dyDescent="0.35"/>
    <row r="256" customFormat="1" x14ac:dyDescent="0.35"/>
    <row r="257" customFormat="1" x14ac:dyDescent="0.35"/>
    <row r="258" customFormat="1" x14ac:dyDescent="0.35"/>
    <row r="259" customFormat="1" x14ac:dyDescent="0.35"/>
    <row r="260" customFormat="1" x14ac:dyDescent="0.35"/>
    <row r="261" customFormat="1" x14ac:dyDescent="0.35"/>
    <row r="262" customFormat="1" x14ac:dyDescent="0.35"/>
    <row r="263" customFormat="1" x14ac:dyDescent="0.35"/>
    <row r="264" customFormat="1" x14ac:dyDescent="0.35"/>
    <row r="265" customFormat="1" x14ac:dyDescent="0.35"/>
    <row r="266" customFormat="1" x14ac:dyDescent="0.35"/>
    <row r="267" customFormat="1" x14ac:dyDescent="0.35"/>
    <row r="268" customFormat="1" x14ac:dyDescent="0.35"/>
    <row r="269" customFormat="1" x14ac:dyDescent="0.35"/>
    <row r="270" customFormat="1" x14ac:dyDescent="0.35"/>
    <row r="271" customFormat="1" x14ac:dyDescent="0.35"/>
    <row r="272" customFormat="1" x14ac:dyDescent="0.35"/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  <row r="282" customFormat="1" x14ac:dyDescent="0.35"/>
    <row r="283" customFormat="1" x14ac:dyDescent="0.35"/>
    <row r="284" customFormat="1" x14ac:dyDescent="0.35"/>
    <row r="285" customFormat="1" x14ac:dyDescent="0.35"/>
    <row r="286" customFormat="1" x14ac:dyDescent="0.35"/>
    <row r="287" customFormat="1" x14ac:dyDescent="0.35"/>
    <row r="288" customFormat="1" x14ac:dyDescent="0.35"/>
    <row r="289" customFormat="1" x14ac:dyDescent="0.35"/>
    <row r="290" customFormat="1" x14ac:dyDescent="0.35"/>
    <row r="291" customFormat="1" x14ac:dyDescent="0.35"/>
    <row r="292" customFormat="1" x14ac:dyDescent="0.35"/>
    <row r="293" customFormat="1" x14ac:dyDescent="0.35"/>
    <row r="294" customFormat="1" x14ac:dyDescent="0.35"/>
    <row r="295" customFormat="1" x14ac:dyDescent="0.35"/>
    <row r="296" customFormat="1" x14ac:dyDescent="0.35"/>
    <row r="297" customFormat="1" x14ac:dyDescent="0.35"/>
    <row r="298" customFormat="1" x14ac:dyDescent="0.35"/>
    <row r="299" customFormat="1" x14ac:dyDescent="0.35"/>
    <row r="300" customFormat="1" x14ac:dyDescent="0.35"/>
    <row r="301" customFormat="1" x14ac:dyDescent="0.35"/>
    <row r="302" customFormat="1" x14ac:dyDescent="0.35"/>
    <row r="303" customFormat="1" x14ac:dyDescent="0.35"/>
    <row r="304" customFormat="1" x14ac:dyDescent="0.35"/>
    <row r="305" customFormat="1" x14ac:dyDescent="0.35"/>
    <row r="306" customFormat="1" x14ac:dyDescent="0.35"/>
    <row r="307" customFormat="1" x14ac:dyDescent="0.35"/>
    <row r="308" customFormat="1" x14ac:dyDescent="0.35"/>
    <row r="309" customFormat="1" x14ac:dyDescent="0.35"/>
    <row r="310" customFormat="1" x14ac:dyDescent="0.35"/>
    <row r="311" customFormat="1" x14ac:dyDescent="0.35"/>
    <row r="312" customFormat="1" x14ac:dyDescent="0.35"/>
    <row r="313" customFormat="1" x14ac:dyDescent="0.35"/>
    <row r="314" customFormat="1" x14ac:dyDescent="0.35"/>
    <row r="315" customFormat="1" x14ac:dyDescent="0.35"/>
    <row r="316" customFormat="1" x14ac:dyDescent="0.35"/>
    <row r="317" customFormat="1" x14ac:dyDescent="0.35"/>
    <row r="318" customFormat="1" x14ac:dyDescent="0.35"/>
    <row r="319" customFormat="1" x14ac:dyDescent="0.35"/>
    <row r="320" customFormat="1" x14ac:dyDescent="0.35"/>
    <row r="321" customFormat="1" x14ac:dyDescent="0.35"/>
    <row r="322" customFormat="1" x14ac:dyDescent="0.35"/>
    <row r="323" customFormat="1" x14ac:dyDescent="0.35"/>
    <row r="324" customFormat="1" x14ac:dyDescent="0.35"/>
    <row r="325" customFormat="1" x14ac:dyDescent="0.35"/>
    <row r="326" customFormat="1" x14ac:dyDescent="0.35"/>
    <row r="327" customFormat="1" x14ac:dyDescent="0.35"/>
    <row r="328" customFormat="1" x14ac:dyDescent="0.35"/>
    <row r="329" customFormat="1" x14ac:dyDescent="0.35"/>
    <row r="330" customFormat="1" x14ac:dyDescent="0.35"/>
    <row r="331" customFormat="1" x14ac:dyDescent="0.35"/>
    <row r="332" customFormat="1" x14ac:dyDescent="0.35"/>
    <row r="333" customFormat="1" x14ac:dyDescent="0.35"/>
    <row r="334" customFormat="1" x14ac:dyDescent="0.35"/>
    <row r="335" customFormat="1" x14ac:dyDescent="0.35"/>
    <row r="336" customFormat="1" x14ac:dyDescent="0.35"/>
    <row r="337" customFormat="1" x14ac:dyDescent="0.35"/>
    <row r="338" customFormat="1" x14ac:dyDescent="0.35"/>
    <row r="339" customFormat="1" x14ac:dyDescent="0.35"/>
    <row r="340" customFormat="1" x14ac:dyDescent="0.35"/>
    <row r="341" customFormat="1" x14ac:dyDescent="0.35"/>
    <row r="342" customFormat="1" x14ac:dyDescent="0.35"/>
    <row r="343" customFormat="1" x14ac:dyDescent="0.35"/>
    <row r="344" customFormat="1" x14ac:dyDescent="0.35"/>
    <row r="345" customFormat="1" x14ac:dyDescent="0.35"/>
    <row r="346" customFormat="1" x14ac:dyDescent="0.35"/>
    <row r="347" customFormat="1" x14ac:dyDescent="0.35"/>
    <row r="348" customFormat="1" x14ac:dyDescent="0.35"/>
    <row r="349" customFormat="1" x14ac:dyDescent="0.35"/>
    <row r="350" customFormat="1" x14ac:dyDescent="0.35"/>
    <row r="351" customFormat="1" x14ac:dyDescent="0.35"/>
    <row r="352" customFormat="1" x14ac:dyDescent="0.35"/>
    <row r="353" customFormat="1" x14ac:dyDescent="0.35"/>
    <row r="354" customFormat="1" x14ac:dyDescent="0.35"/>
    <row r="355" customFormat="1" x14ac:dyDescent="0.35"/>
    <row r="356" customFormat="1" x14ac:dyDescent="0.35"/>
    <row r="357" customFormat="1" x14ac:dyDescent="0.35"/>
    <row r="358" customFormat="1" x14ac:dyDescent="0.35"/>
    <row r="359" customFormat="1" x14ac:dyDescent="0.35"/>
    <row r="360" customFormat="1" x14ac:dyDescent="0.35"/>
    <row r="361" customFormat="1" x14ac:dyDescent="0.35"/>
    <row r="362" customFormat="1" x14ac:dyDescent="0.35"/>
    <row r="363" customFormat="1" x14ac:dyDescent="0.35"/>
    <row r="364" customFormat="1" x14ac:dyDescent="0.35"/>
    <row r="365" customFormat="1" x14ac:dyDescent="0.35"/>
    <row r="366" customFormat="1" x14ac:dyDescent="0.35"/>
    <row r="367" customFormat="1" x14ac:dyDescent="0.35"/>
    <row r="368" customFormat="1" x14ac:dyDescent="0.35"/>
    <row r="369" customFormat="1" x14ac:dyDescent="0.35"/>
    <row r="370" customFormat="1" x14ac:dyDescent="0.35"/>
    <row r="371" customFormat="1" x14ac:dyDescent="0.35"/>
    <row r="372" customFormat="1" x14ac:dyDescent="0.35"/>
    <row r="373" customFormat="1" x14ac:dyDescent="0.35"/>
    <row r="374" customFormat="1" x14ac:dyDescent="0.35"/>
    <row r="375" customFormat="1" x14ac:dyDescent="0.35"/>
    <row r="376" customFormat="1" x14ac:dyDescent="0.35"/>
    <row r="377" customFormat="1" x14ac:dyDescent="0.35"/>
    <row r="378" customFormat="1" x14ac:dyDescent="0.35"/>
    <row r="379" customFormat="1" x14ac:dyDescent="0.35"/>
    <row r="380" customFormat="1" x14ac:dyDescent="0.35"/>
    <row r="381" customFormat="1" x14ac:dyDescent="0.35"/>
    <row r="382" customFormat="1" x14ac:dyDescent="0.35"/>
    <row r="383" customFormat="1" x14ac:dyDescent="0.35"/>
    <row r="384" customFormat="1" x14ac:dyDescent="0.35"/>
    <row r="385" customFormat="1" x14ac:dyDescent="0.35"/>
    <row r="386" customFormat="1" x14ac:dyDescent="0.35"/>
    <row r="387" customFormat="1" x14ac:dyDescent="0.35"/>
    <row r="388" customFormat="1" x14ac:dyDescent="0.35"/>
    <row r="389" customFormat="1" x14ac:dyDescent="0.35"/>
    <row r="390" customFormat="1" x14ac:dyDescent="0.35"/>
    <row r="391" customFormat="1" x14ac:dyDescent="0.35"/>
    <row r="392" customFormat="1" x14ac:dyDescent="0.35"/>
    <row r="393" customFormat="1" x14ac:dyDescent="0.35"/>
    <row r="394" customFormat="1" x14ac:dyDescent="0.35"/>
    <row r="395" customFormat="1" x14ac:dyDescent="0.35"/>
    <row r="396" customFormat="1" x14ac:dyDescent="0.35"/>
    <row r="397" customFormat="1" x14ac:dyDescent="0.35"/>
    <row r="398" customFormat="1" x14ac:dyDescent="0.35"/>
    <row r="399" customFormat="1" x14ac:dyDescent="0.35"/>
    <row r="400" customFormat="1" x14ac:dyDescent="0.35"/>
    <row r="401" customFormat="1" x14ac:dyDescent="0.35"/>
    <row r="402" customFormat="1" x14ac:dyDescent="0.35"/>
    <row r="403" customFormat="1" x14ac:dyDescent="0.35"/>
    <row r="404" customFormat="1" x14ac:dyDescent="0.35"/>
    <row r="405" customFormat="1" x14ac:dyDescent="0.35"/>
    <row r="406" customFormat="1" x14ac:dyDescent="0.35"/>
    <row r="407" customFormat="1" x14ac:dyDescent="0.35"/>
    <row r="408" customFormat="1" x14ac:dyDescent="0.35"/>
    <row r="409" customFormat="1" x14ac:dyDescent="0.35"/>
    <row r="410" customFormat="1" x14ac:dyDescent="0.35"/>
    <row r="411" customFormat="1" x14ac:dyDescent="0.35"/>
    <row r="412" customFormat="1" x14ac:dyDescent="0.35"/>
    <row r="413" customFormat="1" x14ac:dyDescent="0.35"/>
    <row r="414" customFormat="1" x14ac:dyDescent="0.35"/>
    <row r="415" customFormat="1" x14ac:dyDescent="0.35"/>
    <row r="416" customFormat="1" x14ac:dyDescent="0.35"/>
    <row r="417" customFormat="1" x14ac:dyDescent="0.35"/>
    <row r="418" customFormat="1" x14ac:dyDescent="0.35"/>
    <row r="419" customFormat="1" x14ac:dyDescent="0.35"/>
    <row r="420" customFormat="1" x14ac:dyDescent="0.35"/>
    <row r="421" customFormat="1" x14ac:dyDescent="0.35"/>
    <row r="422" customFormat="1" x14ac:dyDescent="0.35"/>
    <row r="423" customFormat="1" x14ac:dyDescent="0.35"/>
    <row r="424" customFormat="1" x14ac:dyDescent="0.35"/>
    <row r="425" customFormat="1" x14ac:dyDescent="0.35"/>
    <row r="426" customFormat="1" x14ac:dyDescent="0.35"/>
    <row r="427" customFormat="1" x14ac:dyDescent="0.35"/>
    <row r="428" customFormat="1" x14ac:dyDescent="0.35"/>
    <row r="429" customFormat="1" x14ac:dyDescent="0.35"/>
    <row r="430" customFormat="1" x14ac:dyDescent="0.35"/>
    <row r="431" customFormat="1" x14ac:dyDescent="0.35"/>
    <row r="432" customFormat="1" x14ac:dyDescent="0.35"/>
    <row r="433" customFormat="1" x14ac:dyDescent="0.35"/>
    <row r="434" customFormat="1" x14ac:dyDescent="0.35"/>
    <row r="435" customFormat="1" x14ac:dyDescent="0.35"/>
    <row r="436" customFormat="1" x14ac:dyDescent="0.35"/>
    <row r="437" customFormat="1" x14ac:dyDescent="0.35"/>
    <row r="438" customFormat="1" x14ac:dyDescent="0.35"/>
    <row r="439" customFormat="1" x14ac:dyDescent="0.35"/>
    <row r="440" customFormat="1" x14ac:dyDescent="0.35"/>
    <row r="441" customFormat="1" x14ac:dyDescent="0.35"/>
    <row r="442" customFormat="1" x14ac:dyDescent="0.35"/>
    <row r="443" customFormat="1" x14ac:dyDescent="0.35"/>
    <row r="444" customFormat="1" x14ac:dyDescent="0.35"/>
    <row r="445" customFormat="1" x14ac:dyDescent="0.35"/>
    <row r="446" customFormat="1" x14ac:dyDescent="0.35"/>
    <row r="447" customFormat="1" x14ac:dyDescent="0.35"/>
    <row r="448" customFormat="1" x14ac:dyDescent="0.35"/>
    <row r="449" customFormat="1" x14ac:dyDescent="0.35"/>
    <row r="450" customFormat="1" x14ac:dyDescent="0.35"/>
    <row r="451" customFormat="1" x14ac:dyDescent="0.35"/>
    <row r="452" customFormat="1" x14ac:dyDescent="0.35"/>
    <row r="453" customFormat="1" x14ac:dyDescent="0.35"/>
    <row r="454" customFormat="1" x14ac:dyDescent="0.35"/>
    <row r="455" customFormat="1" x14ac:dyDescent="0.35"/>
    <row r="456" customFormat="1" x14ac:dyDescent="0.35"/>
    <row r="457" customFormat="1" x14ac:dyDescent="0.35"/>
    <row r="458" customFormat="1" x14ac:dyDescent="0.35"/>
    <row r="459" customFormat="1" x14ac:dyDescent="0.35"/>
    <row r="460" customFormat="1" x14ac:dyDescent="0.35"/>
    <row r="461" customFormat="1" x14ac:dyDescent="0.35"/>
    <row r="462" customFormat="1" x14ac:dyDescent="0.35"/>
    <row r="463" customFormat="1" x14ac:dyDescent="0.35"/>
    <row r="464" customFormat="1" x14ac:dyDescent="0.35"/>
    <row r="465" customFormat="1" x14ac:dyDescent="0.35"/>
    <row r="466" customFormat="1" x14ac:dyDescent="0.35"/>
    <row r="467" customFormat="1" x14ac:dyDescent="0.35"/>
    <row r="468" customFormat="1" x14ac:dyDescent="0.35"/>
    <row r="469" customFormat="1" x14ac:dyDescent="0.35"/>
    <row r="470" customFormat="1" x14ac:dyDescent="0.35"/>
    <row r="471" customFormat="1" x14ac:dyDescent="0.35"/>
    <row r="472" customFormat="1" x14ac:dyDescent="0.35"/>
    <row r="473" customFormat="1" x14ac:dyDescent="0.35"/>
    <row r="474" customFormat="1" x14ac:dyDescent="0.35"/>
    <row r="475" customFormat="1" x14ac:dyDescent="0.35"/>
    <row r="476" customFormat="1" x14ac:dyDescent="0.35"/>
    <row r="477" customFormat="1" x14ac:dyDescent="0.35"/>
    <row r="478" customFormat="1" x14ac:dyDescent="0.35"/>
    <row r="479" customFormat="1" x14ac:dyDescent="0.35"/>
    <row r="480" customFormat="1" x14ac:dyDescent="0.35"/>
    <row r="481" customFormat="1" x14ac:dyDescent="0.35"/>
    <row r="482" customFormat="1" x14ac:dyDescent="0.35"/>
    <row r="483" customFormat="1" x14ac:dyDescent="0.35"/>
    <row r="484" customFormat="1" x14ac:dyDescent="0.35"/>
    <row r="485" customFormat="1" x14ac:dyDescent="0.35"/>
    <row r="486" customFormat="1" x14ac:dyDescent="0.35"/>
    <row r="487" customFormat="1" x14ac:dyDescent="0.35"/>
    <row r="488" customFormat="1" x14ac:dyDescent="0.35"/>
    <row r="489" customFormat="1" x14ac:dyDescent="0.35"/>
    <row r="490" customFormat="1" x14ac:dyDescent="0.35"/>
    <row r="491" customFormat="1" x14ac:dyDescent="0.35"/>
    <row r="492" customFormat="1" x14ac:dyDescent="0.35"/>
    <row r="493" customFormat="1" x14ac:dyDescent="0.35"/>
    <row r="494" customFormat="1" x14ac:dyDescent="0.35"/>
    <row r="495" customFormat="1" x14ac:dyDescent="0.35"/>
    <row r="496" customFormat="1" x14ac:dyDescent="0.35"/>
    <row r="497" customFormat="1" x14ac:dyDescent="0.35"/>
    <row r="498" customFormat="1" x14ac:dyDescent="0.35"/>
    <row r="499" customFormat="1" x14ac:dyDescent="0.35"/>
    <row r="500" customFormat="1" x14ac:dyDescent="0.35"/>
    <row r="501" customFormat="1" x14ac:dyDescent="0.35"/>
    <row r="502" customFormat="1" x14ac:dyDescent="0.35"/>
    <row r="503" customFormat="1" x14ac:dyDescent="0.35"/>
    <row r="504" customFormat="1" x14ac:dyDescent="0.35"/>
    <row r="505" customFormat="1" x14ac:dyDescent="0.35"/>
    <row r="506" customFormat="1" x14ac:dyDescent="0.35"/>
    <row r="507" customFormat="1" x14ac:dyDescent="0.35"/>
    <row r="508" customFormat="1" x14ac:dyDescent="0.35"/>
    <row r="509" customFormat="1" x14ac:dyDescent="0.35"/>
    <row r="510" customFormat="1" x14ac:dyDescent="0.35"/>
    <row r="511" customFormat="1" x14ac:dyDescent="0.35"/>
    <row r="512" customFormat="1" x14ac:dyDescent="0.35"/>
    <row r="513" customFormat="1" x14ac:dyDescent="0.35"/>
    <row r="514" customFormat="1" x14ac:dyDescent="0.35"/>
    <row r="515" customFormat="1" x14ac:dyDescent="0.35"/>
    <row r="516" customFormat="1" x14ac:dyDescent="0.35"/>
    <row r="517" customFormat="1" x14ac:dyDescent="0.35"/>
    <row r="518" customFormat="1" x14ac:dyDescent="0.35"/>
    <row r="519" customFormat="1" x14ac:dyDescent="0.35"/>
    <row r="520" customFormat="1" x14ac:dyDescent="0.35"/>
    <row r="521" customFormat="1" x14ac:dyDescent="0.35"/>
    <row r="522" customFormat="1" x14ac:dyDescent="0.35"/>
    <row r="523" customFormat="1" x14ac:dyDescent="0.35"/>
    <row r="524" customFormat="1" x14ac:dyDescent="0.35"/>
    <row r="525" customFormat="1" x14ac:dyDescent="0.35"/>
    <row r="526" customFormat="1" x14ac:dyDescent="0.35"/>
    <row r="527" customFormat="1" x14ac:dyDescent="0.35"/>
    <row r="528" customFormat="1" x14ac:dyDescent="0.35"/>
    <row r="529" customFormat="1" x14ac:dyDescent="0.35"/>
    <row r="530" customFormat="1" x14ac:dyDescent="0.35"/>
    <row r="531" customFormat="1" x14ac:dyDescent="0.35"/>
    <row r="532" customFormat="1" x14ac:dyDescent="0.35"/>
    <row r="533" customFormat="1" x14ac:dyDescent="0.35"/>
    <row r="534" customFormat="1" x14ac:dyDescent="0.35"/>
    <row r="535" customFormat="1" x14ac:dyDescent="0.35"/>
    <row r="536" customFormat="1" x14ac:dyDescent="0.35"/>
    <row r="537" customFormat="1" x14ac:dyDescent="0.35"/>
    <row r="538" customFormat="1" x14ac:dyDescent="0.35"/>
    <row r="539" customFormat="1" x14ac:dyDescent="0.35"/>
    <row r="540" customFormat="1" x14ac:dyDescent="0.35"/>
    <row r="541" customFormat="1" x14ac:dyDescent="0.35"/>
    <row r="542" customFormat="1" x14ac:dyDescent="0.35"/>
    <row r="543" customFormat="1" x14ac:dyDescent="0.35"/>
    <row r="544" customFormat="1" x14ac:dyDescent="0.35"/>
    <row r="545" customFormat="1" x14ac:dyDescent="0.35"/>
    <row r="546" customFormat="1" x14ac:dyDescent="0.35"/>
    <row r="547" customFormat="1" x14ac:dyDescent="0.35"/>
    <row r="548" customFormat="1" x14ac:dyDescent="0.35"/>
    <row r="549" customFormat="1" x14ac:dyDescent="0.35"/>
    <row r="550" customFormat="1" x14ac:dyDescent="0.35"/>
    <row r="551" customFormat="1" x14ac:dyDescent="0.35"/>
    <row r="552" customFormat="1" x14ac:dyDescent="0.35"/>
    <row r="553" customFormat="1" x14ac:dyDescent="0.35"/>
    <row r="554" customFormat="1" x14ac:dyDescent="0.35"/>
    <row r="555" customFormat="1" x14ac:dyDescent="0.35"/>
    <row r="556" customFormat="1" x14ac:dyDescent="0.35"/>
    <row r="557" customFormat="1" x14ac:dyDescent="0.35"/>
    <row r="558" customFormat="1" x14ac:dyDescent="0.35"/>
    <row r="559" customFormat="1" x14ac:dyDescent="0.35"/>
    <row r="560" customFormat="1" x14ac:dyDescent="0.35"/>
    <row r="561" customFormat="1" x14ac:dyDescent="0.35"/>
    <row r="562" customFormat="1" x14ac:dyDescent="0.35"/>
    <row r="563" customFormat="1" x14ac:dyDescent="0.35"/>
    <row r="564" customFormat="1" x14ac:dyDescent="0.35"/>
    <row r="565" customFormat="1" x14ac:dyDescent="0.35"/>
    <row r="566" customFormat="1" x14ac:dyDescent="0.35"/>
    <row r="567" customFormat="1" x14ac:dyDescent="0.35"/>
    <row r="568" customFormat="1" x14ac:dyDescent="0.35"/>
    <row r="569" customFormat="1" x14ac:dyDescent="0.35"/>
    <row r="570" customFormat="1" x14ac:dyDescent="0.35"/>
    <row r="571" customFormat="1" x14ac:dyDescent="0.35"/>
    <row r="572" customFormat="1" x14ac:dyDescent="0.35"/>
    <row r="573" customFormat="1" x14ac:dyDescent="0.35"/>
    <row r="574" customFormat="1" x14ac:dyDescent="0.35"/>
    <row r="575" customFormat="1" x14ac:dyDescent="0.35"/>
    <row r="576" customFormat="1" x14ac:dyDescent="0.35"/>
    <row r="577" customFormat="1" x14ac:dyDescent="0.35"/>
    <row r="578" customFormat="1" x14ac:dyDescent="0.35"/>
    <row r="579" customFormat="1" x14ac:dyDescent="0.35"/>
    <row r="580" customFormat="1" x14ac:dyDescent="0.35"/>
    <row r="581" customFormat="1" x14ac:dyDescent="0.35"/>
    <row r="582" customFormat="1" x14ac:dyDescent="0.35"/>
    <row r="583" customFormat="1" x14ac:dyDescent="0.35"/>
    <row r="584" customFormat="1" x14ac:dyDescent="0.35"/>
    <row r="585" customFormat="1" x14ac:dyDescent="0.35"/>
    <row r="586" customFormat="1" x14ac:dyDescent="0.35"/>
    <row r="587" customFormat="1" x14ac:dyDescent="0.35"/>
    <row r="588" customFormat="1" x14ac:dyDescent="0.35"/>
    <row r="589" customFormat="1" x14ac:dyDescent="0.35"/>
    <row r="590" customFormat="1" x14ac:dyDescent="0.35"/>
    <row r="591" customFormat="1" x14ac:dyDescent="0.35"/>
    <row r="592" customFormat="1" x14ac:dyDescent="0.35"/>
    <row r="593" customFormat="1" x14ac:dyDescent="0.35"/>
    <row r="594" customFormat="1" x14ac:dyDescent="0.35"/>
    <row r="595" customFormat="1" x14ac:dyDescent="0.35"/>
    <row r="596" customFormat="1" x14ac:dyDescent="0.35"/>
    <row r="597" customFormat="1" x14ac:dyDescent="0.35"/>
    <row r="598" customFormat="1" x14ac:dyDescent="0.35"/>
    <row r="599" customFormat="1" x14ac:dyDescent="0.35"/>
    <row r="600" customFormat="1" x14ac:dyDescent="0.35"/>
    <row r="601" customFormat="1" x14ac:dyDescent="0.35"/>
    <row r="602" customFormat="1" x14ac:dyDescent="0.35"/>
    <row r="603" customFormat="1" x14ac:dyDescent="0.35"/>
    <row r="604" customFormat="1" x14ac:dyDescent="0.35"/>
    <row r="605" customFormat="1" x14ac:dyDescent="0.35"/>
    <row r="606" customFormat="1" x14ac:dyDescent="0.35"/>
    <row r="607" customFormat="1" x14ac:dyDescent="0.35"/>
    <row r="608" customFormat="1" x14ac:dyDescent="0.35"/>
    <row r="609" customFormat="1" x14ac:dyDescent="0.35"/>
    <row r="610" customFormat="1" x14ac:dyDescent="0.35"/>
    <row r="611" customFormat="1" x14ac:dyDescent="0.35"/>
    <row r="612" customFormat="1" x14ac:dyDescent="0.35"/>
    <row r="613" customFormat="1" x14ac:dyDescent="0.35"/>
    <row r="614" customFormat="1" x14ac:dyDescent="0.35"/>
    <row r="615" customFormat="1" x14ac:dyDescent="0.35"/>
    <row r="616" customFormat="1" x14ac:dyDescent="0.35"/>
    <row r="617" customFormat="1" x14ac:dyDescent="0.35"/>
    <row r="618" customFormat="1" x14ac:dyDescent="0.35"/>
    <row r="619" customFormat="1" x14ac:dyDescent="0.35"/>
    <row r="620" customFormat="1" x14ac:dyDescent="0.35"/>
    <row r="621" customFormat="1" x14ac:dyDescent="0.35"/>
    <row r="622" customFormat="1" x14ac:dyDescent="0.35"/>
    <row r="623" customFormat="1" x14ac:dyDescent="0.35"/>
    <row r="624" customFormat="1" x14ac:dyDescent="0.35"/>
    <row r="625" customFormat="1" x14ac:dyDescent="0.35"/>
    <row r="626" customFormat="1" x14ac:dyDescent="0.35"/>
    <row r="627" customFormat="1" x14ac:dyDescent="0.35"/>
    <row r="628" customFormat="1" x14ac:dyDescent="0.35"/>
    <row r="629" customFormat="1" x14ac:dyDescent="0.35"/>
    <row r="630" customFormat="1" x14ac:dyDescent="0.35"/>
    <row r="631" customFormat="1" x14ac:dyDescent="0.35"/>
    <row r="632" customFormat="1" x14ac:dyDescent="0.35"/>
    <row r="633" customFormat="1" x14ac:dyDescent="0.35"/>
    <row r="634" customFormat="1" x14ac:dyDescent="0.35"/>
    <row r="635" customFormat="1" x14ac:dyDescent="0.35"/>
    <row r="636" customFormat="1" x14ac:dyDescent="0.35"/>
    <row r="637" customFormat="1" x14ac:dyDescent="0.35"/>
    <row r="638" customFormat="1" x14ac:dyDescent="0.35"/>
    <row r="639" customFormat="1" x14ac:dyDescent="0.35"/>
    <row r="640" customFormat="1" x14ac:dyDescent="0.35"/>
    <row r="641" customFormat="1" x14ac:dyDescent="0.35"/>
    <row r="642" customFormat="1" x14ac:dyDescent="0.35"/>
    <row r="643" customFormat="1" x14ac:dyDescent="0.35"/>
    <row r="644" customFormat="1" x14ac:dyDescent="0.35"/>
    <row r="645" customFormat="1" x14ac:dyDescent="0.35"/>
    <row r="646" customFormat="1" x14ac:dyDescent="0.35"/>
    <row r="647" customFormat="1" x14ac:dyDescent="0.35"/>
    <row r="648" customFormat="1" x14ac:dyDescent="0.35"/>
    <row r="649" customFormat="1" x14ac:dyDescent="0.35"/>
    <row r="650" customFormat="1" x14ac:dyDescent="0.35"/>
    <row r="651" customFormat="1" x14ac:dyDescent="0.35"/>
    <row r="652" customFormat="1" x14ac:dyDescent="0.35"/>
    <row r="653" customFormat="1" x14ac:dyDescent="0.35"/>
    <row r="654" customFormat="1" x14ac:dyDescent="0.35"/>
    <row r="655" customFormat="1" x14ac:dyDescent="0.35"/>
    <row r="656" customFormat="1" x14ac:dyDescent="0.35"/>
    <row r="657" customFormat="1" x14ac:dyDescent="0.35"/>
    <row r="658" customFormat="1" x14ac:dyDescent="0.35"/>
    <row r="659" customFormat="1" x14ac:dyDescent="0.35"/>
    <row r="660" customFormat="1" x14ac:dyDescent="0.35"/>
    <row r="661" customFormat="1" x14ac:dyDescent="0.35"/>
    <row r="662" customFormat="1" x14ac:dyDescent="0.35"/>
    <row r="663" customFormat="1" x14ac:dyDescent="0.35"/>
    <row r="664" customFormat="1" x14ac:dyDescent="0.35"/>
    <row r="665" customFormat="1" x14ac:dyDescent="0.35"/>
    <row r="666" customFormat="1" x14ac:dyDescent="0.35"/>
    <row r="667" customFormat="1" x14ac:dyDescent="0.35"/>
    <row r="668" customFormat="1" x14ac:dyDescent="0.35"/>
    <row r="669" customFormat="1" x14ac:dyDescent="0.35"/>
    <row r="670" customFormat="1" x14ac:dyDescent="0.35"/>
    <row r="671" customFormat="1" x14ac:dyDescent="0.35"/>
    <row r="672" customFormat="1" x14ac:dyDescent="0.35"/>
    <row r="673" customFormat="1" x14ac:dyDescent="0.35"/>
    <row r="674" customFormat="1" x14ac:dyDescent="0.35"/>
    <row r="675" customFormat="1" x14ac:dyDescent="0.35"/>
    <row r="676" customFormat="1" x14ac:dyDescent="0.35"/>
    <row r="677" customFormat="1" x14ac:dyDescent="0.35"/>
    <row r="678" customFormat="1" x14ac:dyDescent="0.35"/>
    <row r="679" customFormat="1" x14ac:dyDescent="0.35"/>
    <row r="680" customFormat="1" x14ac:dyDescent="0.35"/>
    <row r="681" customFormat="1" x14ac:dyDescent="0.35"/>
    <row r="682" customFormat="1" x14ac:dyDescent="0.35"/>
    <row r="683" customFormat="1" x14ac:dyDescent="0.35"/>
    <row r="684" customFormat="1" x14ac:dyDescent="0.35"/>
    <row r="685" customFormat="1" x14ac:dyDescent="0.35"/>
    <row r="686" customFormat="1" x14ac:dyDescent="0.35"/>
    <row r="687" customFormat="1" x14ac:dyDescent="0.35"/>
    <row r="688" customFormat="1" x14ac:dyDescent="0.35"/>
    <row r="689" customFormat="1" x14ac:dyDescent="0.35"/>
    <row r="690" customFormat="1" x14ac:dyDescent="0.35"/>
    <row r="691" customFormat="1" x14ac:dyDescent="0.35"/>
    <row r="692" customFormat="1" x14ac:dyDescent="0.35"/>
    <row r="693" customFormat="1" x14ac:dyDescent="0.35"/>
    <row r="694" customFormat="1" x14ac:dyDescent="0.35"/>
    <row r="695" customFormat="1" x14ac:dyDescent="0.35"/>
    <row r="696" customFormat="1" x14ac:dyDescent="0.35"/>
    <row r="697" customFormat="1" x14ac:dyDescent="0.35"/>
    <row r="698" customFormat="1" x14ac:dyDescent="0.35"/>
    <row r="699" customFormat="1" x14ac:dyDescent="0.35"/>
    <row r="700" customFormat="1" x14ac:dyDescent="0.35"/>
    <row r="701" customFormat="1" x14ac:dyDescent="0.35"/>
    <row r="702" customFormat="1" x14ac:dyDescent="0.35"/>
    <row r="703" customFormat="1" x14ac:dyDescent="0.35"/>
    <row r="704" customFormat="1" x14ac:dyDescent="0.35"/>
    <row r="705" customFormat="1" x14ac:dyDescent="0.35"/>
    <row r="706" customFormat="1" x14ac:dyDescent="0.35"/>
    <row r="707" customFormat="1" x14ac:dyDescent="0.35"/>
    <row r="708" customFormat="1" x14ac:dyDescent="0.35"/>
    <row r="709" customFormat="1" x14ac:dyDescent="0.35"/>
    <row r="710" customFormat="1" x14ac:dyDescent="0.35"/>
    <row r="711" customFormat="1" x14ac:dyDescent="0.35"/>
    <row r="712" customFormat="1" x14ac:dyDescent="0.35"/>
    <row r="713" customFormat="1" x14ac:dyDescent="0.35"/>
    <row r="714" customFormat="1" x14ac:dyDescent="0.35"/>
    <row r="715" customFormat="1" x14ac:dyDescent="0.35"/>
    <row r="716" customFormat="1" x14ac:dyDescent="0.35"/>
    <row r="717" customFormat="1" x14ac:dyDescent="0.35"/>
    <row r="718" customFormat="1" x14ac:dyDescent="0.35"/>
    <row r="719" customFormat="1" x14ac:dyDescent="0.35"/>
    <row r="720" customFormat="1" x14ac:dyDescent="0.35"/>
    <row r="721" customFormat="1" x14ac:dyDescent="0.35"/>
    <row r="722" customFormat="1" x14ac:dyDescent="0.35"/>
    <row r="723" customFormat="1" x14ac:dyDescent="0.35"/>
    <row r="724" customFormat="1" x14ac:dyDescent="0.35"/>
    <row r="725" customFormat="1" x14ac:dyDescent="0.35"/>
    <row r="726" customFormat="1" x14ac:dyDescent="0.35"/>
    <row r="727" customFormat="1" x14ac:dyDescent="0.35"/>
    <row r="728" customFormat="1" x14ac:dyDescent="0.35"/>
    <row r="729" customFormat="1" x14ac:dyDescent="0.35"/>
    <row r="730" customFormat="1" x14ac:dyDescent="0.35"/>
    <row r="731" customFormat="1" x14ac:dyDescent="0.35"/>
    <row r="732" customFormat="1" x14ac:dyDescent="0.35"/>
    <row r="733" customFormat="1" x14ac:dyDescent="0.35"/>
    <row r="734" customFormat="1" x14ac:dyDescent="0.35"/>
    <row r="735" customFormat="1" x14ac:dyDescent="0.35"/>
    <row r="736" customFormat="1" x14ac:dyDescent="0.35"/>
    <row r="737" customFormat="1" x14ac:dyDescent="0.35"/>
    <row r="738" customFormat="1" x14ac:dyDescent="0.35"/>
    <row r="739" customFormat="1" x14ac:dyDescent="0.35"/>
    <row r="740" customFormat="1" x14ac:dyDescent="0.35"/>
    <row r="741" customFormat="1" x14ac:dyDescent="0.35"/>
    <row r="742" customFormat="1" x14ac:dyDescent="0.35"/>
    <row r="743" customFormat="1" x14ac:dyDescent="0.35"/>
    <row r="744" customFormat="1" x14ac:dyDescent="0.35"/>
    <row r="745" customFormat="1" x14ac:dyDescent="0.35"/>
    <row r="746" customFormat="1" x14ac:dyDescent="0.35"/>
    <row r="747" customFormat="1" x14ac:dyDescent="0.35"/>
    <row r="748" customFormat="1" x14ac:dyDescent="0.35"/>
    <row r="749" customFormat="1" x14ac:dyDescent="0.35"/>
    <row r="750" customFormat="1" x14ac:dyDescent="0.35"/>
    <row r="751" customFormat="1" x14ac:dyDescent="0.35"/>
    <row r="752" customFormat="1" x14ac:dyDescent="0.35"/>
    <row r="753" customFormat="1" x14ac:dyDescent="0.35"/>
    <row r="754" customFormat="1" x14ac:dyDescent="0.35"/>
    <row r="755" customFormat="1" x14ac:dyDescent="0.35"/>
    <row r="756" customFormat="1" x14ac:dyDescent="0.35"/>
    <row r="757" customFormat="1" x14ac:dyDescent="0.35"/>
    <row r="758" customFormat="1" x14ac:dyDescent="0.35"/>
    <row r="759" customFormat="1" x14ac:dyDescent="0.35"/>
    <row r="760" customFormat="1" x14ac:dyDescent="0.35"/>
    <row r="761" customFormat="1" x14ac:dyDescent="0.35"/>
    <row r="762" customFormat="1" x14ac:dyDescent="0.35"/>
    <row r="763" customFormat="1" x14ac:dyDescent="0.35"/>
    <row r="764" customFormat="1" x14ac:dyDescent="0.35"/>
    <row r="765" customFormat="1" x14ac:dyDescent="0.35"/>
    <row r="766" customFormat="1" x14ac:dyDescent="0.35"/>
    <row r="767" customFormat="1" x14ac:dyDescent="0.35"/>
    <row r="768" customFormat="1" x14ac:dyDescent="0.35"/>
    <row r="769" customFormat="1" x14ac:dyDescent="0.35"/>
    <row r="770" customFormat="1" x14ac:dyDescent="0.35"/>
    <row r="771" customFormat="1" x14ac:dyDescent="0.35"/>
    <row r="772" customFormat="1" x14ac:dyDescent="0.35"/>
    <row r="773" customFormat="1" x14ac:dyDescent="0.35"/>
    <row r="774" customFormat="1" x14ac:dyDescent="0.35"/>
    <row r="775" customFormat="1" x14ac:dyDescent="0.35"/>
    <row r="776" customFormat="1" x14ac:dyDescent="0.35"/>
    <row r="777" customFormat="1" x14ac:dyDescent="0.35"/>
    <row r="778" customFormat="1" x14ac:dyDescent="0.35"/>
    <row r="779" customFormat="1" x14ac:dyDescent="0.35"/>
    <row r="780" customFormat="1" x14ac:dyDescent="0.35"/>
    <row r="781" customFormat="1" x14ac:dyDescent="0.35"/>
    <row r="782" customFormat="1" x14ac:dyDescent="0.35"/>
    <row r="783" customFormat="1" x14ac:dyDescent="0.35"/>
    <row r="784" customFormat="1" x14ac:dyDescent="0.35"/>
    <row r="785" customFormat="1" x14ac:dyDescent="0.35"/>
    <row r="786" customFormat="1" x14ac:dyDescent="0.35"/>
    <row r="787" customFormat="1" x14ac:dyDescent="0.35"/>
    <row r="788" customFormat="1" x14ac:dyDescent="0.35"/>
    <row r="789" customFormat="1" x14ac:dyDescent="0.35"/>
    <row r="790" customFormat="1" x14ac:dyDescent="0.35"/>
    <row r="791" customFormat="1" x14ac:dyDescent="0.35"/>
    <row r="792" customFormat="1" x14ac:dyDescent="0.35"/>
    <row r="793" customFormat="1" x14ac:dyDescent="0.35"/>
    <row r="794" customFormat="1" x14ac:dyDescent="0.35"/>
    <row r="795" customFormat="1" x14ac:dyDescent="0.35"/>
    <row r="796" customFormat="1" x14ac:dyDescent="0.35"/>
    <row r="797" customFormat="1" x14ac:dyDescent="0.35"/>
    <row r="798" customFormat="1" x14ac:dyDescent="0.35"/>
    <row r="799" customFormat="1" x14ac:dyDescent="0.35"/>
    <row r="800" customFormat="1" x14ac:dyDescent="0.35"/>
    <row r="801" customFormat="1" x14ac:dyDescent="0.35"/>
    <row r="802" customFormat="1" x14ac:dyDescent="0.35"/>
    <row r="803" customFormat="1" x14ac:dyDescent="0.35"/>
    <row r="804" customFormat="1" x14ac:dyDescent="0.35"/>
    <row r="805" customFormat="1" x14ac:dyDescent="0.35"/>
    <row r="806" customFormat="1" x14ac:dyDescent="0.35"/>
    <row r="807" customFormat="1" x14ac:dyDescent="0.35"/>
    <row r="808" customFormat="1" x14ac:dyDescent="0.35"/>
    <row r="809" customFormat="1" x14ac:dyDescent="0.35"/>
    <row r="810" customFormat="1" x14ac:dyDescent="0.35"/>
    <row r="811" customFormat="1" x14ac:dyDescent="0.35"/>
    <row r="812" customFormat="1" x14ac:dyDescent="0.35"/>
    <row r="813" customFormat="1" x14ac:dyDescent="0.35"/>
    <row r="814" customFormat="1" x14ac:dyDescent="0.35"/>
    <row r="815" customFormat="1" x14ac:dyDescent="0.35"/>
    <row r="816" customFormat="1" x14ac:dyDescent="0.35"/>
    <row r="817" customFormat="1" x14ac:dyDescent="0.35"/>
    <row r="818" customFormat="1" x14ac:dyDescent="0.35"/>
    <row r="819" customFormat="1" x14ac:dyDescent="0.35"/>
    <row r="820" customFormat="1" x14ac:dyDescent="0.35"/>
    <row r="821" customFormat="1" x14ac:dyDescent="0.35"/>
    <row r="822" customFormat="1" x14ac:dyDescent="0.35"/>
    <row r="823" customFormat="1" x14ac:dyDescent="0.35"/>
    <row r="824" customFormat="1" x14ac:dyDescent="0.35"/>
    <row r="825" customFormat="1" x14ac:dyDescent="0.35"/>
    <row r="826" customFormat="1" x14ac:dyDescent="0.35"/>
    <row r="827" customFormat="1" x14ac:dyDescent="0.35"/>
    <row r="828" customFormat="1" x14ac:dyDescent="0.35"/>
    <row r="829" customFormat="1" x14ac:dyDescent="0.35"/>
    <row r="830" customFormat="1" x14ac:dyDescent="0.35"/>
    <row r="831" customFormat="1" x14ac:dyDescent="0.35"/>
    <row r="832" customFormat="1" x14ac:dyDescent="0.35"/>
    <row r="833" customFormat="1" x14ac:dyDescent="0.35"/>
    <row r="834" customFormat="1" x14ac:dyDescent="0.35"/>
    <row r="835" customFormat="1" x14ac:dyDescent="0.35"/>
    <row r="836" customFormat="1" x14ac:dyDescent="0.35"/>
    <row r="837" customFormat="1" x14ac:dyDescent="0.35"/>
    <row r="838" customFormat="1" x14ac:dyDescent="0.35"/>
    <row r="839" customFormat="1" x14ac:dyDescent="0.35"/>
    <row r="840" customFormat="1" x14ac:dyDescent="0.35"/>
    <row r="841" customFormat="1" x14ac:dyDescent="0.35"/>
    <row r="842" customFormat="1" x14ac:dyDescent="0.35"/>
    <row r="843" customFormat="1" x14ac:dyDescent="0.35"/>
    <row r="844" customFormat="1" x14ac:dyDescent="0.35"/>
    <row r="845" customFormat="1" x14ac:dyDescent="0.35"/>
    <row r="846" customFormat="1" x14ac:dyDescent="0.35"/>
    <row r="847" customFormat="1" x14ac:dyDescent="0.35"/>
    <row r="848" customFormat="1" x14ac:dyDescent="0.35"/>
    <row r="849" customFormat="1" x14ac:dyDescent="0.35"/>
    <row r="850" customFormat="1" x14ac:dyDescent="0.35"/>
    <row r="851" customFormat="1" x14ac:dyDescent="0.35"/>
    <row r="852" customFormat="1" x14ac:dyDescent="0.35"/>
    <row r="853" customFormat="1" x14ac:dyDescent="0.35"/>
    <row r="854" customFormat="1" x14ac:dyDescent="0.35"/>
    <row r="855" customFormat="1" x14ac:dyDescent="0.35"/>
    <row r="856" customFormat="1" x14ac:dyDescent="0.35"/>
    <row r="857" customFormat="1" x14ac:dyDescent="0.35"/>
    <row r="858" customFormat="1" x14ac:dyDescent="0.35"/>
    <row r="859" customFormat="1" x14ac:dyDescent="0.35"/>
    <row r="860" customFormat="1" x14ac:dyDescent="0.35"/>
    <row r="861" customFormat="1" x14ac:dyDescent="0.35"/>
    <row r="862" customFormat="1" x14ac:dyDescent="0.35"/>
    <row r="863" customFormat="1" x14ac:dyDescent="0.35"/>
    <row r="864" customFormat="1" x14ac:dyDescent="0.35"/>
    <row r="865" customFormat="1" x14ac:dyDescent="0.35"/>
    <row r="866" customFormat="1" x14ac:dyDescent="0.35"/>
    <row r="867" customFormat="1" x14ac:dyDescent="0.35"/>
    <row r="868" customFormat="1" x14ac:dyDescent="0.35"/>
    <row r="869" customFormat="1" x14ac:dyDescent="0.35"/>
    <row r="870" customFormat="1" x14ac:dyDescent="0.35"/>
    <row r="871" customFormat="1" x14ac:dyDescent="0.35"/>
    <row r="872" customFormat="1" x14ac:dyDescent="0.35"/>
    <row r="873" customFormat="1" x14ac:dyDescent="0.35"/>
    <row r="874" customFormat="1" x14ac:dyDescent="0.35"/>
    <row r="875" customFormat="1" x14ac:dyDescent="0.35"/>
    <row r="876" customFormat="1" x14ac:dyDescent="0.35"/>
    <row r="877" customFormat="1" x14ac:dyDescent="0.35"/>
    <row r="878" customFormat="1" x14ac:dyDescent="0.35"/>
    <row r="879" customFormat="1" x14ac:dyDescent="0.35"/>
    <row r="880" customFormat="1" x14ac:dyDescent="0.35"/>
    <row r="881" customFormat="1" x14ac:dyDescent="0.35"/>
    <row r="882" customFormat="1" x14ac:dyDescent="0.35"/>
    <row r="883" customFormat="1" x14ac:dyDescent="0.35"/>
    <row r="884" customFormat="1" x14ac:dyDescent="0.35"/>
    <row r="885" customFormat="1" x14ac:dyDescent="0.35"/>
    <row r="886" customFormat="1" x14ac:dyDescent="0.35"/>
    <row r="887" customFormat="1" x14ac:dyDescent="0.35"/>
    <row r="888" customFormat="1" x14ac:dyDescent="0.35"/>
    <row r="889" customFormat="1" x14ac:dyDescent="0.35"/>
    <row r="890" customFormat="1" x14ac:dyDescent="0.35"/>
    <row r="891" customFormat="1" x14ac:dyDescent="0.35"/>
    <row r="892" customFormat="1" x14ac:dyDescent="0.35"/>
    <row r="893" customFormat="1" x14ac:dyDescent="0.35"/>
    <row r="894" customFormat="1" x14ac:dyDescent="0.35"/>
    <row r="895" customFormat="1" x14ac:dyDescent="0.35"/>
    <row r="896" customFormat="1" x14ac:dyDescent="0.35"/>
    <row r="897" customFormat="1" x14ac:dyDescent="0.35"/>
    <row r="898" customFormat="1" x14ac:dyDescent="0.35"/>
    <row r="899" customFormat="1" x14ac:dyDescent="0.35"/>
    <row r="900" customFormat="1" x14ac:dyDescent="0.35"/>
    <row r="901" customFormat="1" x14ac:dyDescent="0.35"/>
    <row r="902" customFormat="1" x14ac:dyDescent="0.35"/>
    <row r="903" customFormat="1" x14ac:dyDescent="0.35"/>
    <row r="904" customFormat="1" x14ac:dyDescent="0.35"/>
    <row r="905" customFormat="1" x14ac:dyDescent="0.35"/>
    <row r="906" customFormat="1" x14ac:dyDescent="0.35"/>
    <row r="907" customFormat="1" x14ac:dyDescent="0.35"/>
    <row r="908" customFormat="1" x14ac:dyDescent="0.35"/>
    <row r="909" customFormat="1" x14ac:dyDescent="0.35"/>
    <row r="910" customFormat="1" x14ac:dyDescent="0.35"/>
    <row r="911" customFormat="1" x14ac:dyDescent="0.35"/>
    <row r="912" customFormat="1" x14ac:dyDescent="0.35"/>
    <row r="913" customFormat="1" x14ac:dyDescent="0.35"/>
    <row r="914" customFormat="1" x14ac:dyDescent="0.35"/>
    <row r="915" customFormat="1" x14ac:dyDescent="0.35"/>
    <row r="916" customFormat="1" x14ac:dyDescent="0.35"/>
    <row r="917" customFormat="1" x14ac:dyDescent="0.35"/>
    <row r="918" customFormat="1" x14ac:dyDescent="0.35"/>
    <row r="919" customFormat="1" x14ac:dyDescent="0.35"/>
    <row r="920" customFormat="1" x14ac:dyDescent="0.35"/>
    <row r="921" customFormat="1" x14ac:dyDescent="0.35"/>
    <row r="922" customFormat="1" x14ac:dyDescent="0.35"/>
    <row r="923" customFormat="1" x14ac:dyDescent="0.35"/>
    <row r="924" customFormat="1" x14ac:dyDescent="0.35"/>
    <row r="925" customFormat="1" x14ac:dyDescent="0.35"/>
    <row r="926" customFormat="1" x14ac:dyDescent="0.35"/>
    <row r="927" customFormat="1" x14ac:dyDescent="0.35"/>
    <row r="928" customFormat="1" x14ac:dyDescent="0.35"/>
    <row r="929" customFormat="1" x14ac:dyDescent="0.35"/>
    <row r="930" customFormat="1" x14ac:dyDescent="0.35"/>
    <row r="931" customFormat="1" x14ac:dyDescent="0.35"/>
    <row r="932" customFormat="1" x14ac:dyDescent="0.35"/>
    <row r="933" customFormat="1" x14ac:dyDescent="0.35"/>
    <row r="934" customFormat="1" x14ac:dyDescent="0.35"/>
    <row r="935" customFormat="1" x14ac:dyDescent="0.35"/>
    <row r="936" customFormat="1" x14ac:dyDescent="0.35"/>
    <row r="937" customFormat="1" x14ac:dyDescent="0.35"/>
    <row r="938" customFormat="1" x14ac:dyDescent="0.35"/>
    <row r="939" customFormat="1" x14ac:dyDescent="0.35"/>
    <row r="940" customFormat="1" x14ac:dyDescent="0.35"/>
    <row r="941" customFormat="1" x14ac:dyDescent="0.35"/>
    <row r="942" customFormat="1" x14ac:dyDescent="0.35"/>
    <row r="943" customFormat="1" x14ac:dyDescent="0.35"/>
    <row r="944" customFormat="1" x14ac:dyDescent="0.35"/>
    <row r="945" customFormat="1" x14ac:dyDescent="0.35"/>
    <row r="946" customFormat="1" x14ac:dyDescent="0.35"/>
    <row r="947" customFormat="1" x14ac:dyDescent="0.35"/>
    <row r="948" customFormat="1" x14ac:dyDescent="0.35"/>
    <row r="949" customFormat="1" x14ac:dyDescent="0.35"/>
    <row r="950" customFormat="1" x14ac:dyDescent="0.35"/>
    <row r="951" customFormat="1" x14ac:dyDescent="0.35"/>
    <row r="952" customFormat="1" x14ac:dyDescent="0.35"/>
    <row r="953" customFormat="1" x14ac:dyDescent="0.35"/>
    <row r="954" customFormat="1" x14ac:dyDescent="0.35"/>
    <row r="955" customFormat="1" x14ac:dyDescent="0.35"/>
    <row r="956" customFormat="1" x14ac:dyDescent="0.35"/>
    <row r="957" customFormat="1" x14ac:dyDescent="0.35"/>
    <row r="958" customFormat="1" x14ac:dyDescent="0.35"/>
    <row r="959" customFormat="1" x14ac:dyDescent="0.35"/>
    <row r="960" customFormat="1" x14ac:dyDescent="0.35"/>
    <row r="961" customFormat="1" x14ac:dyDescent="0.35"/>
    <row r="962" customFormat="1" x14ac:dyDescent="0.35"/>
    <row r="963" customFormat="1" x14ac:dyDescent="0.35"/>
    <row r="964" customFormat="1" x14ac:dyDescent="0.35"/>
    <row r="965" customFormat="1" x14ac:dyDescent="0.35"/>
    <row r="966" customFormat="1" x14ac:dyDescent="0.35"/>
    <row r="967" customFormat="1" x14ac:dyDescent="0.35"/>
    <row r="968" customFormat="1" x14ac:dyDescent="0.35"/>
    <row r="969" customFormat="1" x14ac:dyDescent="0.35"/>
    <row r="970" customFormat="1" x14ac:dyDescent="0.35"/>
    <row r="971" customFormat="1" x14ac:dyDescent="0.35"/>
    <row r="972" customFormat="1" x14ac:dyDescent="0.35"/>
    <row r="973" customFormat="1" x14ac:dyDescent="0.35"/>
    <row r="974" customFormat="1" x14ac:dyDescent="0.35"/>
    <row r="975" customFormat="1" x14ac:dyDescent="0.35"/>
    <row r="976" customFormat="1" x14ac:dyDescent="0.35"/>
    <row r="977" customFormat="1" x14ac:dyDescent="0.35"/>
    <row r="978" customFormat="1" x14ac:dyDescent="0.35"/>
    <row r="979" customFormat="1" x14ac:dyDescent="0.35"/>
    <row r="980" customFormat="1" x14ac:dyDescent="0.35"/>
    <row r="981" customFormat="1" x14ac:dyDescent="0.35"/>
    <row r="982" customFormat="1" x14ac:dyDescent="0.35"/>
    <row r="983" customFormat="1" x14ac:dyDescent="0.35"/>
    <row r="984" customFormat="1" x14ac:dyDescent="0.35"/>
    <row r="985" customFormat="1" x14ac:dyDescent="0.35"/>
    <row r="986" customFormat="1" x14ac:dyDescent="0.35"/>
    <row r="987" customFormat="1" x14ac:dyDescent="0.35"/>
    <row r="988" customFormat="1" x14ac:dyDescent="0.35"/>
    <row r="989" customFormat="1" x14ac:dyDescent="0.35"/>
    <row r="990" customFormat="1" x14ac:dyDescent="0.35"/>
    <row r="991" customFormat="1" x14ac:dyDescent="0.35"/>
    <row r="992" customFormat="1" x14ac:dyDescent="0.35"/>
    <row r="993" customFormat="1" x14ac:dyDescent="0.35"/>
    <row r="994" customFormat="1" x14ac:dyDescent="0.35"/>
    <row r="995" customFormat="1" x14ac:dyDescent="0.35"/>
    <row r="996" customFormat="1" x14ac:dyDescent="0.35"/>
    <row r="997" customFormat="1" x14ac:dyDescent="0.35"/>
    <row r="998" customFormat="1" x14ac:dyDescent="0.35"/>
    <row r="999" customFormat="1" x14ac:dyDescent="0.35"/>
    <row r="1000" customFormat="1" x14ac:dyDescent="0.35"/>
    <row r="1001" customFormat="1" x14ac:dyDescent="0.35"/>
    <row r="1002" customFormat="1" x14ac:dyDescent="0.35"/>
    <row r="1003" customFormat="1" x14ac:dyDescent="0.35"/>
    <row r="1004" customFormat="1" x14ac:dyDescent="0.35"/>
    <row r="1005" customFormat="1" x14ac:dyDescent="0.35"/>
    <row r="1006" customFormat="1" x14ac:dyDescent="0.35"/>
    <row r="1007" customFormat="1" x14ac:dyDescent="0.35"/>
    <row r="1008" customFormat="1" x14ac:dyDescent="0.35"/>
    <row r="1009" customFormat="1" x14ac:dyDescent="0.35"/>
    <row r="1010" customFormat="1" x14ac:dyDescent="0.35"/>
    <row r="1011" customFormat="1" x14ac:dyDescent="0.35"/>
    <row r="1012" customFormat="1" x14ac:dyDescent="0.35"/>
    <row r="1013" customFormat="1" x14ac:dyDescent="0.35"/>
    <row r="1014" customFormat="1" x14ac:dyDescent="0.35"/>
    <row r="1015" customFormat="1" x14ac:dyDescent="0.35"/>
    <row r="1016" customFormat="1" x14ac:dyDescent="0.35"/>
    <row r="1017" customFormat="1" x14ac:dyDescent="0.35"/>
    <row r="1018" customFormat="1" x14ac:dyDescent="0.35"/>
    <row r="1019" customFormat="1" x14ac:dyDescent="0.35"/>
    <row r="1020" customFormat="1" x14ac:dyDescent="0.35"/>
    <row r="1021" customFormat="1" x14ac:dyDescent="0.35"/>
    <row r="1022" customFormat="1" x14ac:dyDescent="0.35"/>
    <row r="1023" customFormat="1" x14ac:dyDescent="0.35"/>
    <row r="1024" customFormat="1" x14ac:dyDescent="0.35"/>
    <row r="1025" customFormat="1" x14ac:dyDescent="0.35"/>
    <row r="1026" customFormat="1" x14ac:dyDescent="0.35"/>
    <row r="1027" customFormat="1" x14ac:dyDescent="0.35"/>
    <row r="1028" customFormat="1" x14ac:dyDescent="0.35"/>
    <row r="1029" customFormat="1" x14ac:dyDescent="0.35"/>
    <row r="1030" customFormat="1" x14ac:dyDescent="0.35"/>
    <row r="1031" customFormat="1" x14ac:dyDescent="0.35"/>
    <row r="1032" customFormat="1" x14ac:dyDescent="0.35"/>
    <row r="1033" customFormat="1" x14ac:dyDescent="0.35"/>
    <row r="1034" customFormat="1" x14ac:dyDescent="0.35"/>
    <row r="1035" customFormat="1" x14ac:dyDescent="0.35"/>
    <row r="1036" customFormat="1" x14ac:dyDescent="0.35"/>
    <row r="1037" customFormat="1" x14ac:dyDescent="0.35"/>
    <row r="1038" customFormat="1" x14ac:dyDescent="0.35"/>
    <row r="1039" customFormat="1" x14ac:dyDescent="0.35"/>
    <row r="1040" customFormat="1" x14ac:dyDescent="0.35"/>
    <row r="1041" customFormat="1" x14ac:dyDescent="0.35"/>
    <row r="1042" customFormat="1" x14ac:dyDescent="0.35"/>
    <row r="1043" customFormat="1" x14ac:dyDescent="0.35"/>
    <row r="1044" customFormat="1" x14ac:dyDescent="0.35"/>
    <row r="1045" customFormat="1" x14ac:dyDescent="0.35"/>
    <row r="1046" customFormat="1" x14ac:dyDescent="0.35"/>
    <row r="1047" customFormat="1" x14ac:dyDescent="0.35"/>
    <row r="1048" customFormat="1" x14ac:dyDescent="0.35"/>
    <row r="1049" customFormat="1" x14ac:dyDescent="0.35"/>
    <row r="1050" customFormat="1" x14ac:dyDescent="0.35"/>
    <row r="1051" customFormat="1" x14ac:dyDescent="0.35"/>
    <row r="1052" customFormat="1" x14ac:dyDescent="0.35"/>
    <row r="1053" customFormat="1" x14ac:dyDescent="0.35"/>
    <row r="1054" customFormat="1" x14ac:dyDescent="0.35"/>
    <row r="1055" customFormat="1" x14ac:dyDescent="0.35"/>
    <row r="1056" customFormat="1" x14ac:dyDescent="0.35"/>
    <row r="1057" customFormat="1" x14ac:dyDescent="0.35"/>
    <row r="1058" customFormat="1" x14ac:dyDescent="0.35"/>
    <row r="1059" customFormat="1" x14ac:dyDescent="0.35"/>
    <row r="1060" customFormat="1" x14ac:dyDescent="0.35"/>
    <row r="1061" customFormat="1" x14ac:dyDescent="0.35"/>
    <row r="1062" customFormat="1" x14ac:dyDescent="0.35"/>
    <row r="1063" customFormat="1" x14ac:dyDescent="0.35"/>
    <row r="1064" customFormat="1" x14ac:dyDescent="0.35"/>
    <row r="1065" customFormat="1" x14ac:dyDescent="0.35"/>
    <row r="1066" customFormat="1" x14ac:dyDescent="0.35"/>
    <row r="1067" customFormat="1" x14ac:dyDescent="0.35"/>
    <row r="1068" customFormat="1" x14ac:dyDescent="0.35"/>
    <row r="1069" customFormat="1" x14ac:dyDescent="0.35"/>
    <row r="1070" customFormat="1" x14ac:dyDescent="0.35"/>
    <row r="1071" customFormat="1" x14ac:dyDescent="0.35"/>
    <row r="1072" customFormat="1" x14ac:dyDescent="0.35"/>
    <row r="1073" customFormat="1" x14ac:dyDescent="0.35"/>
    <row r="1074" customFormat="1" x14ac:dyDescent="0.35"/>
    <row r="1075" customFormat="1" x14ac:dyDescent="0.35"/>
    <row r="1076" customFormat="1" x14ac:dyDescent="0.35"/>
    <row r="1077" customFormat="1" x14ac:dyDescent="0.35"/>
    <row r="1078" customFormat="1" x14ac:dyDescent="0.35"/>
    <row r="1079" customFormat="1" x14ac:dyDescent="0.35"/>
    <row r="1080" customFormat="1" x14ac:dyDescent="0.35"/>
    <row r="1081" customFormat="1" x14ac:dyDescent="0.35"/>
    <row r="1082" customFormat="1" x14ac:dyDescent="0.35"/>
    <row r="1083" customFormat="1" x14ac:dyDescent="0.35"/>
    <row r="1084" customFormat="1" x14ac:dyDescent="0.35"/>
    <row r="1085" customFormat="1" x14ac:dyDescent="0.35"/>
    <row r="1086" customFormat="1" x14ac:dyDescent="0.35"/>
    <row r="1087" customFormat="1" x14ac:dyDescent="0.35"/>
    <row r="1088" customFormat="1" x14ac:dyDescent="0.35"/>
    <row r="1089" customFormat="1" x14ac:dyDescent="0.35"/>
    <row r="1090" customFormat="1" x14ac:dyDescent="0.35"/>
    <row r="1091" customFormat="1" x14ac:dyDescent="0.35"/>
    <row r="1092" customFormat="1" x14ac:dyDescent="0.35"/>
    <row r="1093" customFormat="1" x14ac:dyDescent="0.35"/>
    <row r="1094" customFormat="1" x14ac:dyDescent="0.35"/>
    <row r="1095" customFormat="1" x14ac:dyDescent="0.35"/>
    <row r="1096" customFormat="1" x14ac:dyDescent="0.35"/>
    <row r="1097" customFormat="1" x14ac:dyDescent="0.35"/>
    <row r="1098" customFormat="1" x14ac:dyDescent="0.35"/>
    <row r="1099" customFormat="1" x14ac:dyDescent="0.35"/>
    <row r="1100" customFormat="1" x14ac:dyDescent="0.35"/>
    <row r="1101" customFormat="1" x14ac:dyDescent="0.35"/>
    <row r="1102" customFormat="1" x14ac:dyDescent="0.35"/>
    <row r="1103" customFormat="1" x14ac:dyDescent="0.35"/>
    <row r="1104" customFormat="1" x14ac:dyDescent="0.35"/>
    <row r="1105" customFormat="1" x14ac:dyDescent="0.35"/>
    <row r="1106" customFormat="1" x14ac:dyDescent="0.35"/>
    <row r="1107" customFormat="1" x14ac:dyDescent="0.35"/>
    <row r="1108" customFormat="1" x14ac:dyDescent="0.35"/>
    <row r="1109" customFormat="1" x14ac:dyDescent="0.35"/>
    <row r="1110" customFormat="1" x14ac:dyDescent="0.35"/>
    <row r="1111" customFormat="1" x14ac:dyDescent="0.35"/>
    <row r="1112" customFormat="1" x14ac:dyDescent="0.35"/>
    <row r="1113" customFormat="1" x14ac:dyDescent="0.35"/>
    <row r="1114" customFormat="1" x14ac:dyDescent="0.35"/>
    <row r="1115" customFormat="1" x14ac:dyDescent="0.35"/>
    <row r="1116" customFormat="1" x14ac:dyDescent="0.35"/>
    <row r="1117" customFormat="1" x14ac:dyDescent="0.35"/>
    <row r="1118" customFormat="1" x14ac:dyDescent="0.35"/>
    <row r="1119" customFormat="1" x14ac:dyDescent="0.35"/>
    <row r="1120" customFormat="1" x14ac:dyDescent="0.35"/>
    <row r="1121" customFormat="1" x14ac:dyDescent="0.35"/>
    <row r="1122" customFormat="1" x14ac:dyDescent="0.35"/>
    <row r="1123" customFormat="1" x14ac:dyDescent="0.35"/>
    <row r="1124" customFormat="1" x14ac:dyDescent="0.35"/>
    <row r="1125" customFormat="1" x14ac:dyDescent="0.35"/>
    <row r="1126" customFormat="1" x14ac:dyDescent="0.35"/>
    <row r="1127" customFormat="1" x14ac:dyDescent="0.35"/>
    <row r="1128" customFormat="1" x14ac:dyDescent="0.35"/>
    <row r="1129" customFormat="1" x14ac:dyDescent="0.35"/>
    <row r="1130" customFormat="1" x14ac:dyDescent="0.35"/>
    <row r="1131" customFormat="1" x14ac:dyDescent="0.35"/>
    <row r="1132" customFormat="1" x14ac:dyDescent="0.35"/>
    <row r="1133" customFormat="1" x14ac:dyDescent="0.35"/>
    <row r="1134" customFormat="1" x14ac:dyDescent="0.35"/>
    <row r="1135" customFormat="1" x14ac:dyDescent="0.35"/>
    <row r="1136" customFormat="1" x14ac:dyDescent="0.35"/>
    <row r="1137" customFormat="1" x14ac:dyDescent="0.35"/>
    <row r="1138" customFormat="1" x14ac:dyDescent="0.35"/>
    <row r="1139" customFormat="1" x14ac:dyDescent="0.35"/>
    <row r="1140" customFormat="1" x14ac:dyDescent="0.35"/>
    <row r="1141" customFormat="1" x14ac:dyDescent="0.35"/>
    <row r="1142" customFormat="1" x14ac:dyDescent="0.35"/>
    <row r="1143" customFormat="1" x14ac:dyDescent="0.35"/>
    <row r="1144" customFormat="1" x14ac:dyDescent="0.35"/>
    <row r="1145" customFormat="1" x14ac:dyDescent="0.35"/>
    <row r="1146" customFormat="1" x14ac:dyDescent="0.35"/>
    <row r="1147" customFormat="1" x14ac:dyDescent="0.35"/>
    <row r="1148" customFormat="1" x14ac:dyDescent="0.35"/>
    <row r="1149" customFormat="1" x14ac:dyDescent="0.35"/>
    <row r="1150" customFormat="1" x14ac:dyDescent="0.35"/>
    <row r="1151" customFormat="1" x14ac:dyDescent="0.35"/>
    <row r="1152" customFormat="1" x14ac:dyDescent="0.35"/>
    <row r="1153" customFormat="1" x14ac:dyDescent="0.35"/>
    <row r="1154" customFormat="1" x14ac:dyDescent="0.35"/>
    <row r="1155" customFormat="1" x14ac:dyDescent="0.35"/>
    <row r="1156" customFormat="1" x14ac:dyDescent="0.35"/>
    <row r="1157" customFormat="1" x14ac:dyDescent="0.35"/>
    <row r="1158" customFormat="1" x14ac:dyDescent="0.35"/>
    <row r="1159" customFormat="1" x14ac:dyDescent="0.35"/>
    <row r="1160" customFormat="1" x14ac:dyDescent="0.35"/>
    <row r="1161" customFormat="1" x14ac:dyDescent="0.35"/>
    <row r="1162" customFormat="1" x14ac:dyDescent="0.35"/>
    <row r="1163" customFormat="1" x14ac:dyDescent="0.35"/>
    <row r="1164" customFormat="1" x14ac:dyDescent="0.35"/>
    <row r="1165" customFormat="1" x14ac:dyDescent="0.35"/>
    <row r="1166" customFormat="1" x14ac:dyDescent="0.35"/>
    <row r="1167" customFormat="1" x14ac:dyDescent="0.35"/>
    <row r="1168" customFormat="1" x14ac:dyDescent="0.35"/>
    <row r="1169" customFormat="1" x14ac:dyDescent="0.35"/>
    <row r="1170" customFormat="1" x14ac:dyDescent="0.35"/>
    <row r="1171" customFormat="1" x14ac:dyDescent="0.35"/>
    <row r="1172" customFormat="1" x14ac:dyDescent="0.35"/>
    <row r="1173" customFormat="1" x14ac:dyDescent="0.35"/>
    <row r="1174" customFormat="1" x14ac:dyDescent="0.35"/>
    <row r="1175" customFormat="1" x14ac:dyDescent="0.35"/>
    <row r="1176" customFormat="1" x14ac:dyDescent="0.35"/>
    <row r="1177" customFormat="1" x14ac:dyDescent="0.35"/>
    <row r="1178" customFormat="1" x14ac:dyDescent="0.35"/>
    <row r="1179" customFormat="1" x14ac:dyDescent="0.35"/>
    <row r="1180" customFormat="1" x14ac:dyDescent="0.35"/>
    <row r="1181" customFormat="1" x14ac:dyDescent="0.35"/>
    <row r="1182" customFormat="1" x14ac:dyDescent="0.35"/>
    <row r="1183" customFormat="1" x14ac:dyDescent="0.35"/>
    <row r="1184" customFormat="1" x14ac:dyDescent="0.35"/>
    <row r="1185" customFormat="1" x14ac:dyDescent="0.35"/>
    <row r="1186" customFormat="1" x14ac:dyDescent="0.35"/>
    <row r="1187" customFormat="1" x14ac:dyDescent="0.35"/>
    <row r="1188" customFormat="1" x14ac:dyDescent="0.35"/>
    <row r="1189" customFormat="1" x14ac:dyDescent="0.35"/>
    <row r="1190" customFormat="1" x14ac:dyDescent="0.35"/>
    <row r="1191" customFormat="1" x14ac:dyDescent="0.35"/>
    <row r="1192" customFormat="1" x14ac:dyDescent="0.35"/>
    <row r="1193" customFormat="1" x14ac:dyDescent="0.35"/>
    <row r="1194" customFormat="1" x14ac:dyDescent="0.35"/>
    <row r="1195" customFormat="1" x14ac:dyDescent="0.35"/>
    <row r="1196" customFormat="1" x14ac:dyDescent="0.35"/>
    <row r="1197" customFormat="1" x14ac:dyDescent="0.35"/>
    <row r="1198" customFormat="1" x14ac:dyDescent="0.35"/>
    <row r="1199" customFormat="1" x14ac:dyDescent="0.35"/>
    <row r="1200" customFormat="1" x14ac:dyDescent="0.35"/>
    <row r="1201" customFormat="1" x14ac:dyDescent="0.35"/>
    <row r="1202" customFormat="1" x14ac:dyDescent="0.35"/>
    <row r="1203" customFormat="1" x14ac:dyDescent="0.35"/>
    <row r="1204" customFormat="1" x14ac:dyDescent="0.35"/>
    <row r="1205" customFormat="1" x14ac:dyDescent="0.35"/>
    <row r="1206" customFormat="1" x14ac:dyDescent="0.35"/>
    <row r="1207" customFormat="1" x14ac:dyDescent="0.35"/>
    <row r="1208" customFormat="1" x14ac:dyDescent="0.35"/>
    <row r="1209" customFormat="1" x14ac:dyDescent="0.35"/>
    <row r="1210" customFormat="1" x14ac:dyDescent="0.35"/>
    <row r="1211" customFormat="1" x14ac:dyDescent="0.35"/>
    <row r="1212" customFormat="1" x14ac:dyDescent="0.35"/>
    <row r="1213" customFormat="1" x14ac:dyDescent="0.35"/>
    <row r="1214" customFormat="1" x14ac:dyDescent="0.35"/>
    <row r="1215" customFormat="1" x14ac:dyDescent="0.35"/>
    <row r="1216" customFormat="1" x14ac:dyDescent="0.35"/>
    <row r="1217" customFormat="1" x14ac:dyDescent="0.35"/>
    <row r="1218" customFormat="1" x14ac:dyDescent="0.35"/>
    <row r="1219" customFormat="1" x14ac:dyDescent="0.35"/>
    <row r="1220" customFormat="1" x14ac:dyDescent="0.35"/>
    <row r="1221" customFormat="1" x14ac:dyDescent="0.35"/>
    <row r="1222" customFormat="1" x14ac:dyDescent="0.35"/>
    <row r="1223" customFormat="1" x14ac:dyDescent="0.35"/>
    <row r="1224" customFormat="1" x14ac:dyDescent="0.35"/>
    <row r="1225" customFormat="1" x14ac:dyDescent="0.35"/>
    <row r="1226" customFormat="1" x14ac:dyDescent="0.35"/>
    <row r="1227" customFormat="1" x14ac:dyDescent="0.35"/>
    <row r="1228" customFormat="1" x14ac:dyDescent="0.35"/>
    <row r="1229" customFormat="1" x14ac:dyDescent="0.35"/>
    <row r="1230" customFormat="1" x14ac:dyDescent="0.35"/>
    <row r="1231" customFormat="1" x14ac:dyDescent="0.35"/>
    <row r="1232" customFormat="1" x14ac:dyDescent="0.35"/>
    <row r="1233" customFormat="1" x14ac:dyDescent="0.35"/>
    <row r="1234" customFormat="1" x14ac:dyDescent="0.35"/>
    <row r="1235" customFormat="1" x14ac:dyDescent="0.35"/>
    <row r="1236" customFormat="1" x14ac:dyDescent="0.35"/>
    <row r="1237" customFormat="1" x14ac:dyDescent="0.35"/>
    <row r="1238" customFormat="1" x14ac:dyDescent="0.35"/>
    <row r="1239" customFormat="1" x14ac:dyDescent="0.35"/>
    <row r="1240" customFormat="1" x14ac:dyDescent="0.35"/>
    <row r="1241" customFormat="1" x14ac:dyDescent="0.35"/>
    <row r="1242" customFormat="1" x14ac:dyDescent="0.35"/>
    <row r="1243" customFormat="1" x14ac:dyDescent="0.35"/>
    <row r="1244" customFormat="1" x14ac:dyDescent="0.35"/>
    <row r="1245" customFormat="1" x14ac:dyDescent="0.35"/>
    <row r="1246" customFormat="1" x14ac:dyDescent="0.35"/>
    <row r="1247" customFormat="1" x14ac:dyDescent="0.35"/>
    <row r="1248" customFormat="1" x14ac:dyDescent="0.35"/>
    <row r="1249" customFormat="1" x14ac:dyDescent="0.35"/>
    <row r="1250" customFormat="1" x14ac:dyDescent="0.35"/>
    <row r="1251" customFormat="1" x14ac:dyDescent="0.35"/>
    <row r="1252" customFormat="1" x14ac:dyDescent="0.35"/>
    <row r="1253" customFormat="1" x14ac:dyDescent="0.35"/>
    <row r="1254" customFormat="1" x14ac:dyDescent="0.35"/>
    <row r="1255" customFormat="1" x14ac:dyDescent="0.35"/>
    <row r="1256" customFormat="1" x14ac:dyDescent="0.35"/>
    <row r="1257" customFormat="1" x14ac:dyDescent="0.35"/>
    <row r="1258" customFormat="1" x14ac:dyDescent="0.35"/>
    <row r="1259" customFormat="1" x14ac:dyDescent="0.35"/>
    <row r="1260" customFormat="1" x14ac:dyDescent="0.35"/>
    <row r="1261" customFormat="1" x14ac:dyDescent="0.35"/>
    <row r="1262" customFormat="1" x14ac:dyDescent="0.35"/>
    <row r="1263" customFormat="1" x14ac:dyDescent="0.35"/>
    <row r="1264" customFormat="1" x14ac:dyDescent="0.35"/>
    <row r="1265" customFormat="1" x14ac:dyDescent="0.35"/>
    <row r="1266" customFormat="1" x14ac:dyDescent="0.35"/>
    <row r="1267" customFormat="1" x14ac:dyDescent="0.35"/>
    <row r="1268" customFormat="1" x14ac:dyDescent="0.35"/>
    <row r="1269" customFormat="1" x14ac:dyDescent="0.35"/>
    <row r="1270" customFormat="1" x14ac:dyDescent="0.35"/>
    <row r="1271" customFormat="1" x14ac:dyDescent="0.35"/>
    <row r="1272" customFormat="1" x14ac:dyDescent="0.35"/>
    <row r="1273" customFormat="1" x14ac:dyDescent="0.35"/>
    <row r="1274" customFormat="1" x14ac:dyDescent="0.35"/>
    <row r="1275" customFormat="1" x14ac:dyDescent="0.35"/>
    <row r="1276" customFormat="1" x14ac:dyDescent="0.35"/>
    <row r="1277" customFormat="1" x14ac:dyDescent="0.35"/>
    <row r="1278" customFormat="1" x14ac:dyDescent="0.35"/>
    <row r="1279" customFormat="1" x14ac:dyDescent="0.35"/>
    <row r="1280" customFormat="1" x14ac:dyDescent="0.35"/>
    <row r="1281" customFormat="1" x14ac:dyDescent="0.35"/>
    <row r="1282" customFormat="1" x14ac:dyDescent="0.35"/>
    <row r="1283" customFormat="1" x14ac:dyDescent="0.35"/>
    <row r="1284" customFormat="1" x14ac:dyDescent="0.35"/>
    <row r="1285" customFormat="1" x14ac:dyDescent="0.35"/>
    <row r="1286" customFormat="1" x14ac:dyDescent="0.35"/>
    <row r="1287" customFormat="1" x14ac:dyDescent="0.35"/>
    <row r="1288" customFormat="1" x14ac:dyDescent="0.35"/>
    <row r="1289" customFormat="1" x14ac:dyDescent="0.35"/>
    <row r="1290" customFormat="1" x14ac:dyDescent="0.35"/>
    <row r="1291" customFormat="1" x14ac:dyDescent="0.35"/>
    <row r="1292" customFormat="1" x14ac:dyDescent="0.35"/>
    <row r="1293" customFormat="1" x14ac:dyDescent="0.35"/>
    <row r="1294" customFormat="1" x14ac:dyDescent="0.35"/>
    <row r="1295" customFormat="1" x14ac:dyDescent="0.35"/>
    <row r="1296" customFormat="1" x14ac:dyDescent="0.35"/>
    <row r="1297" customFormat="1" x14ac:dyDescent="0.35"/>
    <row r="1298" customFormat="1" x14ac:dyDescent="0.35"/>
    <row r="1299" customFormat="1" x14ac:dyDescent="0.35"/>
    <row r="1300" customFormat="1" x14ac:dyDescent="0.35"/>
    <row r="1301" customFormat="1" x14ac:dyDescent="0.35"/>
    <row r="1302" customFormat="1" x14ac:dyDescent="0.35"/>
    <row r="1303" customFormat="1" x14ac:dyDescent="0.35"/>
    <row r="1304" customFormat="1" x14ac:dyDescent="0.35"/>
    <row r="1305" customFormat="1" x14ac:dyDescent="0.35"/>
    <row r="1306" customFormat="1" x14ac:dyDescent="0.35"/>
    <row r="1307" customFormat="1" x14ac:dyDescent="0.35"/>
    <row r="1308" customFormat="1" x14ac:dyDescent="0.35"/>
    <row r="1309" customFormat="1" x14ac:dyDescent="0.35"/>
    <row r="1310" customFormat="1" x14ac:dyDescent="0.35"/>
    <row r="1311" customFormat="1" x14ac:dyDescent="0.35"/>
    <row r="1312" customFormat="1" x14ac:dyDescent="0.35"/>
    <row r="1313" customFormat="1" x14ac:dyDescent="0.35"/>
    <row r="1314" customFormat="1" x14ac:dyDescent="0.35"/>
    <row r="1315" customFormat="1" x14ac:dyDescent="0.35"/>
    <row r="1316" customFormat="1" x14ac:dyDescent="0.35"/>
    <row r="1317" customFormat="1" x14ac:dyDescent="0.35"/>
    <row r="1318" customFormat="1" x14ac:dyDescent="0.35"/>
    <row r="1319" customFormat="1" x14ac:dyDescent="0.35"/>
    <row r="1320" customFormat="1" x14ac:dyDescent="0.35"/>
    <row r="1321" customFormat="1" x14ac:dyDescent="0.35"/>
    <row r="1322" customFormat="1" x14ac:dyDescent="0.35"/>
    <row r="1323" customFormat="1" x14ac:dyDescent="0.35"/>
    <row r="1324" customFormat="1" x14ac:dyDescent="0.35"/>
    <row r="1325" customFormat="1" x14ac:dyDescent="0.35"/>
    <row r="1326" customFormat="1" x14ac:dyDescent="0.35"/>
    <row r="1327" customFormat="1" x14ac:dyDescent="0.35"/>
    <row r="1328" customFormat="1" x14ac:dyDescent="0.35"/>
    <row r="1329" customFormat="1" x14ac:dyDescent="0.35"/>
    <row r="1330" customFormat="1" x14ac:dyDescent="0.35"/>
    <row r="1331" customFormat="1" x14ac:dyDescent="0.35"/>
    <row r="1332" customFormat="1" x14ac:dyDescent="0.35"/>
    <row r="1333" customFormat="1" x14ac:dyDescent="0.35"/>
    <row r="1334" customFormat="1" x14ac:dyDescent="0.35"/>
    <row r="1335" customFormat="1" x14ac:dyDescent="0.35"/>
    <row r="1336" customFormat="1" x14ac:dyDescent="0.35"/>
    <row r="1337" customFormat="1" x14ac:dyDescent="0.35"/>
    <row r="1338" customFormat="1" x14ac:dyDescent="0.35"/>
    <row r="1339" customFormat="1" x14ac:dyDescent="0.35"/>
    <row r="1340" customFormat="1" x14ac:dyDescent="0.35"/>
    <row r="1341" customFormat="1" x14ac:dyDescent="0.35"/>
    <row r="1342" customFormat="1" x14ac:dyDescent="0.35"/>
    <row r="1343" customFormat="1" x14ac:dyDescent="0.35"/>
    <row r="1344" customFormat="1" x14ac:dyDescent="0.35"/>
    <row r="1345" customFormat="1" x14ac:dyDescent="0.35"/>
    <row r="1346" customFormat="1" x14ac:dyDescent="0.35"/>
    <row r="1347" customFormat="1" x14ac:dyDescent="0.35"/>
    <row r="1348" customFormat="1" x14ac:dyDescent="0.35"/>
    <row r="1349" customFormat="1" x14ac:dyDescent="0.35"/>
    <row r="1350" customFormat="1" x14ac:dyDescent="0.35"/>
    <row r="1351" customFormat="1" x14ac:dyDescent="0.35"/>
    <row r="1352" customFormat="1" x14ac:dyDescent="0.35"/>
    <row r="1353" customFormat="1" x14ac:dyDescent="0.35"/>
    <row r="1354" customFormat="1" x14ac:dyDescent="0.35"/>
    <row r="1355" customFormat="1" x14ac:dyDescent="0.35"/>
    <row r="1356" customFormat="1" x14ac:dyDescent="0.35"/>
    <row r="1357" customFormat="1" x14ac:dyDescent="0.35"/>
    <row r="1358" customFormat="1" x14ac:dyDescent="0.35"/>
    <row r="1359" customFormat="1" x14ac:dyDescent="0.35"/>
    <row r="1360" customFormat="1" x14ac:dyDescent="0.35"/>
    <row r="1361" customFormat="1" x14ac:dyDescent="0.35"/>
    <row r="1362" customFormat="1" x14ac:dyDescent="0.35"/>
    <row r="1363" customFormat="1" x14ac:dyDescent="0.35"/>
    <row r="1364" customFormat="1" x14ac:dyDescent="0.35"/>
    <row r="1365" customFormat="1" x14ac:dyDescent="0.35"/>
    <row r="1366" customFormat="1" x14ac:dyDescent="0.35"/>
    <row r="1367" customFormat="1" x14ac:dyDescent="0.35"/>
    <row r="1368" customFormat="1" x14ac:dyDescent="0.35"/>
    <row r="1369" customFormat="1" x14ac:dyDescent="0.35"/>
    <row r="1370" customFormat="1" x14ac:dyDescent="0.35"/>
    <row r="1371" customFormat="1" x14ac:dyDescent="0.35"/>
    <row r="1372" customFormat="1" x14ac:dyDescent="0.35"/>
    <row r="1373" customFormat="1" x14ac:dyDescent="0.35"/>
    <row r="1374" customFormat="1" x14ac:dyDescent="0.35"/>
    <row r="1375" customFormat="1" x14ac:dyDescent="0.35"/>
    <row r="1376" customFormat="1" x14ac:dyDescent="0.35"/>
    <row r="1377" customFormat="1" x14ac:dyDescent="0.35"/>
    <row r="1378" customFormat="1" x14ac:dyDescent="0.35"/>
    <row r="1379" customFormat="1" x14ac:dyDescent="0.35"/>
    <row r="1380" customFormat="1" x14ac:dyDescent="0.35"/>
    <row r="1381" customFormat="1" x14ac:dyDescent="0.35"/>
    <row r="1382" customFormat="1" x14ac:dyDescent="0.35"/>
    <row r="1383" customFormat="1" x14ac:dyDescent="0.35"/>
    <row r="1384" customFormat="1" x14ac:dyDescent="0.35"/>
    <row r="1385" customFormat="1" x14ac:dyDescent="0.35"/>
    <row r="1386" customFormat="1" x14ac:dyDescent="0.35"/>
    <row r="1387" customFormat="1" x14ac:dyDescent="0.35"/>
    <row r="1388" customFormat="1" x14ac:dyDescent="0.35"/>
    <row r="1389" customFormat="1" x14ac:dyDescent="0.35"/>
    <row r="1390" customFormat="1" x14ac:dyDescent="0.35"/>
    <row r="1391" customFormat="1" x14ac:dyDescent="0.35"/>
    <row r="1392" customFormat="1" x14ac:dyDescent="0.35"/>
    <row r="1393" customFormat="1" x14ac:dyDescent="0.35"/>
    <row r="1394" customFormat="1" x14ac:dyDescent="0.35"/>
    <row r="1395" customFormat="1" x14ac:dyDescent="0.35"/>
    <row r="1396" customFormat="1" x14ac:dyDescent="0.35"/>
    <row r="1397" customFormat="1" x14ac:dyDescent="0.35"/>
    <row r="1398" customFormat="1" x14ac:dyDescent="0.35"/>
    <row r="1399" customFormat="1" x14ac:dyDescent="0.35"/>
    <row r="1400" customFormat="1" x14ac:dyDescent="0.35"/>
    <row r="1401" customFormat="1" x14ac:dyDescent="0.35"/>
    <row r="1402" customFormat="1" x14ac:dyDescent="0.35"/>
    <row r="1403" customFormat="1" x14ac:dyDescent="0.35"/>
    <row r="1404" customFormat="1" x14ac:dyDescent="0.35"/>
    <row r="1405" customFormat="1" x14ac:dyDescent="0.35"/>
    <row r="1406" customFormat="1" x14ac:dyDescent="0.35"/>
    <row r="1407" customFormat="1" x14ac:dyDescent="0.35"/>
    <row r="1408" customFormat="1" x14ac:dyDescent="0.35"/>
    <row r="1409" customFormat="1" x14ac:dyDescent="0.35"/>
    <row r="1410" customFormat="1" x14ac:dyDescent="0.35"/>
    <row r="1411" customFormat="1" x14ac:dyDescent="0.35"/>
    <row r="1412" customFormat="1" x14ac:dyDescent="0.35"/>
    <row r="1413" customFormat="1" x14ac:dyDescent="0.35"/>
    <row r="1414" customFormat="1" x14ac:dyDescent="0.35"/>
    <row r="1415" customFormat="1" x14ac:dyDescent="0.35"/>
    <row r="1416" customFormat="1" x14ac:dyDescent="0.35"/>
    <row r="1417" customFormat="1" x14ac:dyDescent="0.35"/>
    <row r="1418" customFormat="1" x14ac:dyDescent="0.35"/>
    <row r="1419" customFormat="1" x14ac:dyDescent="0.35"/>
    <row r="1420" customFormat="1" x14ac:dyDescent="0.35"/>
    <row r="1421" customFormat="1" x14ac:dyDescent="0.35"/>
    <row r="1422" customFormat="1" x14ac:dyDescent="0.35"/>
    <row r="1423" customFormat="1" x14ac:dyDescent="0.35"/>
    <row r="1424" customFormat="1" x14ac:dyDescent="0.35"/>
    <row r="1425" customFormat="1" x14ac:dyDescent="0.35"/>
    <row r="1426" customFormat="1" x14ac:dyDescent="0.35"/>
    <row r="1427" customFormat="1" x14ac:dyDescent="0.35"/>
    <row r="1428" customFormat="1" x14ac:dyDescent="0.35"/>
    <row r="1429" customFormat="1" x14ac:dyDescent="0.35"/>
    <row r="1430" customFormat="1" x14ac:dyDescent="0.35"/>
    <row r="1431" customFormat="1" x14ac:dyDescent="0.35"/>
    <row r="1432" customFormat="1" x14ac:dyDescent="0.35"/>
    <row r="1433" customFormat="1" x14ac:dyDescent="0.35"/>
    <row r="1434" customFormat="1" x14ac:dyDescent="0.35"/>
    <row r="1435" customFormat="1" x14ac:dyDescent="0.35"/>
    <row r="1436" customFormat="1" x14ac:dyDescent="0.35"/>
    <row r="1437" customFormat="1" x14ac:dyDescent="0.35"/>
    <row r="1438" customFormat="1" x14ac:dyDescent="0.35"/>
    <row r="1439" customFormat="1" x14ac:dyDescent="0.35"/>
    <row r="1440" customFormat="1" x14ac:dyDescent="0.35"/>
    <row r="1441" customFormat="1" x14ac:dyDescent="0.35"/>
    <row r="1442" customFormat="1" x14ac:dyDescent="0.35"/>
    <row r="1443" customFormat="1" x14ac:dyDescent="0.35"/>
    <row r="1444" customFormat="1" x14ac:dyDescent="0.35"/>
    <row r="1445" customFormat="1" x14ac:dyDescent="0.35"/>
    <row r="1446" customFormat="1" x14ac:dyDescent="0.35"/>
    <row r="1447" customFormat="1" x14ac:dyDescent="0.35"/>
    <row r="1448" customFormat="1" x14ac:dyDescent="0.35"/>
    <row r="1449" customFormat="1" x14ac:dyDescent="0.35"/>
    <row r="1450" customFormat="1" x14ac:dyDescent="0.35"/>
    <row r="1451" customFormat="1" x14ac:dyDescent="0.35"/>
    <row r="1452" customFormat="1" x14ac:dyDescent="0.35"/>
    <row r="1453" customFormat="1" x14ac:dyDescent="0.35"/>
    <row r="1454" customFormat="1" x14ac:dyDescent="0.35"/>
    <row r="1455" customFormat="1" x14ac:dyDescent="0.35"/>
    <row r="1456" customFormat="1" x14ac:dyDescent="0.35"/>
    <row r="1457" customFormat="1" x14ac:dyDescent="0.35"/>
    <row r="1458" customFormat="1" x14ac:dyDescent="0.35"/>
    <row r="1459" customFormat="1" x14ac:dyDescent="0.35"/>
    <row r="1460" customFormat="1" x14ac:dyDescent="0.35"/>
    <row r="1461" customFormat="1" x14ac:dyDescent="0.35"/>
    <row r="1462" customFormat="1" x14ac:dyDescent="0.35"/>
    <row r="1463" customFormat="1" x14ac:dyDescent="0.35"/>
    <row r="1464" customFormat="1" x14ac:dyDescent="0.35"/>
    <row r="1465" customFormat="1" x14ac:dyDescent="0.35"/>
    <row r="1466" customFormat="1" x14ac:dyDescent="0.35"/>
    <row r="1467" customFormat="1" x14ac:dyDescent="0.35"/>
    <row r="1468" customFormat="1" x14ac:dyDescent="0.35"/>
    <row r="1469" customFormat="1" x14ac:dyDescent="0.35"/>
    <row r="1470" customFormat="1" x14ac:dyDescent="0.35"/>
    <row r="1471" customFormat="1" x14ac:dyDescent="0.35"/>
    <row r="1472" customFormat="1" x14ac:dyDescent="0.35"/>
    <row r="1473" customFormat="1" x14ac:dyDescent="0.35"/>
    <row r="1474" customFormat="1" x14ac:dyDescent="0.35"/>
    <row r="1475" customFormat="1" x14ac:dyDescent="0.35"/>
    <row r="1476" customFormat="1" x14ac:dyDescent="0.35"/>
    <row r="1477" customFormat="1" x14ac:dyDescent="0.35"/>
    <row r="1478" customFormat="1" x14ac:dyDescent="0.35"/>
    <row r="1479" customFormat="1" x14ac:dyDescent="0.35"/>
    <row r="1480" customFormat="1" x14ac:dyDescent="0.35"/>
    <row r="1481" customFormat="1" x14ac:dyDescent="0.35"/>
    <row r="1482" customFormat="1" x14ac:dyDescent="0.35"/>
    <row r="1483" customFormat="1" x14ac:dyDescent="0.35"/>
    <row r="1484" customFormat="1" x14ac:dyDescent="0.35"/>
    <row r="1485" customFormat="1" x14ac:dyDescent="0.35"/>
    <row r="1486" customFormat="1" x14ac:dyDescent="0.35"/>
    <row r="1487" customFormat="1" x14ac:dyDescent="0.35"/>
    <row r="1488" customFormat="1" x14ac:dyDescent="0.35"/>
    <row r="1489" customFormat="1" x14ac:dyDescent="0.35"/>
    <row r="1490" customFormat="1" x14ac:dyDescent="0.35"/>
    <row r="1491" customFormat="1" x14ac:dyDescent="0.35"/>
    <row r="1492" customFormat="1" x14ac:dyDescent="0.35"/>
    <row r="1493" customFormat="1" x14ac:dyDescent="0.35"/>
    <row r="1494" customFormat="1" x14ac:dyDescent="0.35"/>
    <row r="1495" customFormat="1" x14ac:dyDescent="0.35"/>
    <row r="1496" customFormat="1" x14ac:dyDescent="0.35"/>
    <row r="1497" customFormat="1" x14ac:dyDescent="0.35"/>
    <row r="1498" customFormat="1" x14ac:dyDescent="0.35"/>
    <row r="1499" customFormat="1" x14ac:dyDescent="0.35"/>
    <row r="1500" customFormat="1" x14ac:dyDescent="0.35"/>
    <row r="1501" customFormat="1" x14ac:dyDescent="0.35"/>
    <row r="1502" customFormat="1" x14ac:dyDescent="0.35"/>
    <row r="1503" customFormat="1" x14ac:dyDescent="0.35"/>
    <row r="1504" customFormat="1" x14ac:dyDescent="0.35"/>
    <row r="1505" customFormat="1" x14ac:dyDescent="0.35"/>
    <row r="1506" customFormat="1" x14ac:dyDescent="0.35"/>
    <row r="1507" customFormat="1" x14ac:dyDescent="0.35"/>
    <row r="1508" customFormat="1" x14ac:dyDescent="0.35"/>
    <row r="1509" customFormat="1" x14ac:dyDescent="0.35"/>
    <row r="1510" customFormat="1" x14ac:dyDescent="0.35"/>
    <row r="1511" customFormat="1" x14ac:dyDescent="0.35"/>
    <row r="1512" customFormat="1" x14ac:dyDescent="0.35"/>
    <row r="1513" customFormat="1" x14ac:dyDescent="0.35"/>
    <row r="1514" customFormat="1" x14ac:dyDescent="0.35"/>
    <row r="1515" customFormat="1" x14ac:dyDescent="0.35"/>
    <row r="1516" customFormat="1" x14ac:dyDescent="0.35"/>
    <row r="1517" customFormat="1" x14ac:dyDescent="0.35"/>
    <row r="1518" customFormat="1" x14ac:dyDescent="0.35"/>
    <row r="1519" customFormat="1" x14ac:dyDescent="0.35"/>
    <row r="1520" customFormat="1" x14ac:dyDescent="0.35"/>
    <row r="1521" customFormat="1" x14ac:dyDescent="0.35"/>
    <row r="1522" customFormat="1" x14ac:dyDescent="0.35"/>
    <row r="1523" customFormat="1" x14ac:dyDescent="0.35"/>
    <row r="1524" customFormat="1" x14ac:dyDescent="0.35"/>
    <row r="1525" customFormat="1" x14ac:dyDescent="0.35"/>
    <row r="1526" customFormat="1" x14ac:dyDescent="0.35"/>
    <row r="1527" customFormat="1" x14ac:dyDescent="0.35"/>
    <row r="1528" customFormat="1" x14ac:dyDescent="0.35"/>
    <row r="1529" customFormat="1" x14ac:dyDescent="0.35"/>
    <row r="1530" customFormat="1" x14ac:dyDescent="0.35"/>
    <row r="1531" customFormat="1" x14ac:dyDescent="0.35"/>
    <row r="1532" customFormat="1" x14ac:dyDescent="0.35"/>
    <row r="1533" customFormat="1" x14ac:dyDescent="0.35"/>
    <row r="1534" customFormat="1" x14ac:dyDescent="0.35"/>
    <row r="1535" customFormat="1" x14ac:dyDescent="0.35"/>
    <row r="1536" customFormat="1" x14ac:dyDescent="0.35"/>
    <row r="1537" customFormat="1" x14ac:dyDescent="0.35"/>
    <row r="1538" customFormat="1" x14ac:dyDescent="0.35"/>
    <row r="1539" customFormat="1" x14ac:dyDescent="0.35"/>
    <row r="1540" customFormat="1" x14ac:dyDescent="0.35"/>
    <row r="1541" customFormat="1" x14ac:dyDescent="0.35"/>
    <row r="1542" customFormat="1" x14ac:dyDescent="0.35"/>
    <row r="1543" customFormat="1" x14ac:dyDescent="0.35"/>
    <row r="1544" customFormat="1" x14ac:dyDescent="0.35"/>
    <row r="1545" customFormat="1" x14ac:dyDescent="0.35"/>
    <row r="1546" customFormat="1" x14ac:dyDescent="0.35"/>
    <row r="1547" customFormat="1" x14ac:dyDescent="0.35"/>
    <row r="1548" customFormat="1" x14ac:dyDescent="0.35"/>
    <row r="1549" customFormat="1" x14ac:dyDescent="0.35"/>
    <row r="1550" customFormat="1" x14ac:dyDescent="0.35"/>
    <row r="1551" customFormat="1" x14ac:dyDescent="0.35"/>
    <row r="1552" customFormat="1" x14ac:dyDescent="0.35"/>
    <row r="1553" customFormat="1" x14ac:dyDescent="0.35"/>
    <row r="1554" customFormat="1" x14ac:dyDescent="0.35"/>
    <row r="1555" customFormat="1" x14ac:dyDescent="0.35"/>
    <row r="1556" customFormat="1" x14ac:dyDescent="0.35"/>
    <row r="1557" customFormat="1" x14ac:dyDescent="0.35"/>
    <row r="1558" customFormat="1" x14ac:dyDescent="0.35"/>
    <row r="1559" customFormat="1" x14ac:dyDescent="0.35"/>
    <row r="1560" customFormat="1" x14ac:dyDescent="0.35"/>
    <row r="1561" customFormat="1" x14ac:dyDescent="0.35"/>
    <row r="1562" customFormat="1" x14ac:dyDescent="0.35"/>
    <row r="1563" customFormat="1" x14ac:dyDescent="0.35"/>
    <row r="1564" customFormat="1" x14ac:dyDescent="0.35"/>
    <row r="1565" customFormat="1" x14ac:dyDescent="0.35"/>
    <row r="1566" customFormat="1" x14ac:dyDescent="0.35"/>
    <row r="1567" customFormat="1" x14ac:dyDescent="0.35"/>
    <row r="1568" customFormat="1" x14ac:dyDescent="0.35"/>
    <row r="1569" customFormat="1" x14ac:dyDescent="0.35"/>
    <row r="1570" customFormat="1" x14ac:dyDescent="0.35"/>
    <row r="1571" customFormat="1" x14ac:dyDescent="0.35"/>
    <row r="1572" customFormat="1" x14ac:dyDescent="0.35"/>
    <row r="1573" customFormat="1" x14ac:dyDescent="0.35"/>
    <row r="1574" customFormat="1" x14ac:dyDescent="0.35"/>
    <row r="1575" customFormat="1" x14ac:dyDescent="0.35"/>
    <row r="1576" customFormat="1" x14ac:dyDescent="0.35"/>
    <row r="1577" customFormat="1" x14ac:dyDescent="0.35"/>
    <row r="1578" customFormat="1" x14ac:dyDescent="0.35"/>
    <row r="1579" customFormat="1" x14ac:dyDescent="0.35"/>
    <row r="1580" customFormat="1" x14ac:dyDescent="0.35"/>
    <row r="1581" customFormat="1" x14ac:dyDescent="0.35"/>
    <row r="1582" customFormat="1" x14ac:dyDescent="0.35"/>
    <row r="1583" customFormat="1" x14ac:dyDescent="0.35"/>
    <row r="1584" customFormat="1" x14ac:dyDescent="0.35"/>
    <row r="1585" customFormat="1" x14ac:dyDescent="0.35"/>
    <row r="1586" customFormat="1" x14ac:dyDescent="0.35"/>
    <row r="1587" customFormat="1" x14ac:dyDescent="0.35"/>
    <row r="1588" customFormat="1" x14ac:dyDescent="0.35"/>
    <row r="1589" customFormat="1" x14ac:dyDescent="0.35"/>
    <row r="1590" customFormat="1" x14ac:dyDescent="0.35"/>
    <row r="1591" customFormat="1" x14ac:dyDescent="0.35"/>
    <row r="1592" customFormat="1" x14ac:dyDescent="0.35"/>
    <row r="1593" customFormat="1" x14ac:dyDescent="0.35"/>
    <row r="1594" customFormat="1" x14ac:dyDescent="0.35"/>
    <row r="1595" customFormat="1" x14ac:dyDescent="0.35"/>
    <row r="1596" customFormat="1" x14ac:dyDescent="0.35"/>
    <row r="1597" customFormat="1" x14ac:dyDescent="0.35"/>
    <row r="1598" customFormat="1" x14ac:dyDescent="0.35"/>
    <row r="1599" customFormat="1" x14ac:dyDescent="0.35"/>
    <row r="1600" customFormat="1" x14ac:dyDescent="0.35"/>
    <row r="1601" customFormat="1" x14ac:dyDescent="0.35"/>
    <row r="1602" customFormat="1" x14ac:dyDescent="0.35"/>
    <row r="1603" customFormat="1" x14ac:dyDescent="0.35"/>
    <row r="1604" customFormat="1" x14ac:dyDescent="0.35"/>
    <row r="1605" customFormat="1" x14ac:dyDescent="0.35"/>
    <row r="1606" customFormat="1" x14ac:dyDescent="0.35"/>
    <row r="1607" customFormat="1" x14ac:dyDescent="0.35"/>
    <row r="1608" customFormat="1" x14ac:dyDescent="0.35"/>
    <row r="1609" customFormat="1" x14ac:dyDescent="0.35"/>
    <row r="1610" customFormat="1" x14ac:dyDescent="0.35"/>
    <row r="1611" customFormat="1" x14ac:dyDescent="0.35"/>
    <row r="1612" customFormat="1" x14ac:dyDescent="0.35"/>
    <row r="1613" customFormat="1" x14ac:dyDescent="0.35"/>
    <row r="1614" customFormat="1" x14ac:dyDescent="0.35"/>
    <row r="1615" customFormat="1" x14ac:dyDescent="0.35"/>
    <row r="1616" customFormat="1" x14ac:dyDescent="0.35"/>
    <row r="1617" customFormat="1" x14ac:dyDescent="0.35"/>
    <row r="1618" customFormat="1" x14ac:dyDescent="0.35"/>
    <row r="1619" customFormat="1" x14ac:dyDescent="0.35"/>
    <row r="1620" customFormat="1" x14ac:dyDescent="0.35"/>
    <row r="1621" customFormat="1" x14ac:dyDescent="0.35"/>
    <row r="1622" customFormat="1" x14ac:dyDescent="0.35"/>
    <row r="1623" customFormat="1" x14ac:dyDescent="0.35"/>
    <row r="1624" customFormat="1" x14ac:dyDescent="0.35"/>
    <row r="1625" customFormat="1" x14ac:dyDescent="0.35"/>
    <row r="1626" customFormat="1" x14ac:dyDescent="0.35"/>
    <row r="1627" customFormat="1" x14ac:dyDescent="0.35"/>
    <row r="1628" customFormat="1" x14ac:dyDescent="0.35"/>
    <row r="1629" customFormat="1" x14ac:dyDescent="0.35"/>
    <row r="1630" customFormat="1" x14ac:dyDescent="0.35"/>
    <row r="1631" customFormat="1" x14ac:dyDescent="0.35"/>
    <row r="1632" customFormat="1" x14ac:dyDescent="0.35"/>
    <row r="1633" customFormat="1" x14ac:dyDescent="0.35"/>
    <row r="1634" customFormat="1" x14ac:dyDescent="0.35"/>
    <row r="1635" customFormat="1" x14ac:dyDescent="0.35"/>
    <row r="1636" customFormat="1" x14ac:dyDescent="0.35"/>
    <row r="1637" customFormat="1" x14ac:dyDescent="0.35"/>
    <row r="1638" customFormat="1" x14ac:dyDescent="0.35"/>
    <row r="1639" customFormat="1" x14ac:dyDescent="0.35"/>
    <row r="1640" customFormat="1" x14ac:dyDescent="0.35"/>
    <row r="1641" customFormat="1" x14ac:dyDescent="0.35"/>
    <row r="1642" customFormat="1" x14ac:dyDescent="0.35"/>
    <row r="1643" customFormat="1" x14ac:dyDescent="0.35"/>
    <row r="1644" customFormat="1" x14ac:dyDescent="0.35"/>
    <row r="1645" customFormat="1" x14ac:dyDescent="0.35"/>
    <row r="1646" customFormat="1" x14ac:dyDescent="0.35"/>
    <row r="1647" customFormat="1" x14ac:dyDescent="0.35"/>
    <row r="1648" customFormat="1" x14ac:dyDescent="0.35"/>
    <row r="1649" customFormat="1" x14ac:dyDescent="0.35"/>
    <row r="1650" customFormat="1" x14ac:dyDescent="0.35"/>
    <row r="1651" customFormat="1" x14ac:dyDescent="0.35"/>
    <row r="1652" customFormat="1" x14ac:dyDescent="0.35"/>
    <row r="1653" customFormat="1" x14ac:dyDescent="0.35"/>
    <row r="1654" customFormat="1" x14ac:dyDescent="0.35"/>
    <row r="1655" customFormat="1" x14ac:dyDescent="0.35"/>
    <row r="1656" customFormat="1" x14ac:dyDescent="0.35"/>
    <row r="1657" customFormat="1" x14ac:dyDescent="0.35"/>
    <row r="1658" customFormat="1" x14ac:dyDescent="0.35"/>
    <row r="1659" customFormat="1" x14ac:dyDescent="0.35"/>
    <row r="1660" customFormat="1" x14ac:dyDescent="0.35"/>
    <row r="1661" customFormat="1" x14ac:dyDescent="0.35"/>
    <row r="1662" customFormat="1" x14ac:dyDescent="0.35"/>
    <row r="1663" customFormat="1" x14ac:dyDescent="0.35"/>
    <row r="1664" customFormat="1" x14ac:dyDescent="0.35"/>
    <row r="1665" customFormat="1" x14ac:dyDescent="0.35"/>
    <row r="1666" customFormat="1" x14ac:dyDescent="0.35"/>
    <row r="1667" customFormat="1" x14ac:dyDescent="0.35"/>
    <row r="1668" customFormat="1" x14ac:dyDescent="0.35"/>
    <row r="1669" customFormat="1" x14ac:dyDescent="0.35"/>
    <row r="1670" customFormat="1" x14ac:dyDescent="0.35"/>
    <row r="1671" customFormat="1" x14ac:dyDescent="0.35"/>
    <row r="1672" customFormat="1" x14ac:dyDescent="0.35"/>
    <row r="1673" customFormat="1" x14ac:dyDescent="0.35"/>
    <row r="1674" customFormat="1" x14ac:dyDescent="0.35"/>
    <row r="1675" customFormat="1" x14ac:dyDescent="0.35"/>
    <row r="1676" customFormat="1" x14ac:dyDescent="0.35"/>
    <row r="1677" customFormat="1" x14ac:dyDescent="0.35"/>
    <row r="1678" customFormat="1" x14ac:dyDescent="0.35"/>
    <row r="1679" customFormat="1" x14ac:dyDescent="0.35"/>
    <row r="1680" customFormat="1" x14ac:dyDescent="0.35"/>
    <row r="1681" customFormat="1" x14ac:dyDescent="0.35"/>
    <row r="1682" customFormat="1" x14ac:dyDescent="0.35"/>
    <row r="1683" customFormat="1" x14ac:dyDescent="0.35"/>
    <row r="1684" customFormat="1" x14ac:dyDescent="0.35"/>
    <row r="1685" customFormat="1" x14ac:dyDescent="0.35"/>
    <row r="1686" customFormat="1" x14ac:dyDescent="0.35"/>
    <row r="1687" customFormat="1" x14ac:dyDescent="0.35"/>
    <row r="1688" customFormat="1" x14ac:dyDescent="0.35"/>
    <row r="1689" customFormat="1" x14ac:dyDescent="0.35"/>
    <row r="1690" customFormat="1" x14ac:dyDescent="0.35"/>
    <row r="1691" customFormat="1" x14ac:dyDescent="0.35"/>
    <row r="1692" customFormat="1" x14ac:dyDescent="0.35"/>
    <row r="1693" customFormat="1" x14ac:dyDescent="0.35"/>
    <row r="1694" customFormat="1" x14ac:dyDescent="0.35"/>
    <row r="1695" customFormat="1" x14ac:dyDescent="0.35"/>
    <row r="1696" customFormat="1" x14ac:dyDescent="0.35"/>
    <row r="1697" customFormat="1" x14ac:dyDescent="0.35"/>
    <row r="1698" customFormat="1" x14ac:dyDescent="0.35"/>
    <row r="1699" customFormat="1" x14ac:dyDescent="0.35"/>
    <row r="1700" customFormat="1" x14ac:dyDescent="0.35"/>
    <row r="1701" customFormat="1" x14ac:dyDescent="0.35"/>
    <row r="1702" customFormat="1" x14ac:dyDescent="0.35"/>
    <row r="1703" customFormat="1" x14ac:dyDescent="0.35"/>
    <row r="1704" customFormat="1" x14ac:dyDescent="0.35"/>
    <row r="1705" customFormat="1" x14ac:dyDescent="0.35"/>
    <row r="1706" customFormat="1" x14ac:dyDescent="0.35"/>
    <row r="1707" customFormat="1" x14ac:dyDescent="0.35"/>
    <row r="1708" customFormat="1" x14ac:dyDescent="0.35"/>
    <row r="1709" customFormat="1" x14ac:dyDescent="0.35"/>
    <row r="1710" customFormat="1" x14ac:dyDescent="0.35"/>
    <row r="1711" customFormat="1" x14ac:dyDescent="0.35"/>
    <row r="1712" customFormat="1" x14ac:dyDescent="0.35"/>
    <row r="1713" customFormat="1" x14ac:dyDescent="0.35"/>
    <row r="1714" customFormat="1" x14ac:dyDescent="0.35"/>
    <row r="1715" customFormat="1" x14ac:dyDescent="0.35"/>
    <row r="1716" customFormat="1" x14ac:dyDescent="0.35"/>
    <row r="1717" customFormat="1" x14ac:dyDescent="0.35"/>
    <row r="1718" customFormat="1" x14ac:dyDescent="0.35"/>
    <row r="1719" customFormat="1" x14ac:dyDescent="0.35"/>
    <row r="1720" customFormat="1" x14ac:dyDescent="0.35"/>
    <row r="1721" customFormat="1" x14ac:dyDescent="0.35"/>
    <row r="1722" customFormat="1" x14ac:dyDescent="0.35"/>
    <row r="1723" customFormat="1" x14ac:dyDescent="0.35"/>
    <row r="1724" customFormat="1" x14ac:dyDescent="0.35"/>
    <row r="1725" customFormat="1" x14ac:dyDescent="0.35"/>
    <row r="1726" customFormat="1" x14ac:dyDescent="0.35"/>
    <row r="1727" customFormat="1" x14ac:dyDescent="0.35"/>
    <row r="1728" customFormat="1" x14ac:dyDescent="0.35"/>
    <row r="1729" customFormat="1" x14ac:dyDescent="0.35"/>
    <row r="1730" customFormat="1" x14ac:dyDescent="0.35"/>
    <row r="1731" customFormat="1" x14ac:dyDescent="0.35"/>
    <row r="1732" customFormat="1" x14ac:dyDescent="0.35"/>
    <row r="1733" customFormat="1" x14ac:dyDescent="0.35"/>
    <row r="1734" customFormat="1" x14ac:dyDescent="0.35"/>
    <row r="1735" customFormat="1" x14ac:dyDescent="0.35"/>
    <row r="1736" customFormat="1" x14ac:dyDescent="0.35"/>
    <row r="1737" customFormat="1" x14ac:dyDescent="0.35"/>
    <row r="1738" customFormat="1" x14ac:dyDescent="0.35"/>
    <row r="1739" customFormat="1" x14ac:dyDescent="0.35"/>
    <row r="1740" customFormat="1" x14ac:dyDescent="0.35"/>
    <row r="1741" customFormat="1" x14ac:dyDescent="0.35"/>
    <row r="1742" customFormat="1" x14ac:dyDescent="0.35"/>
    <row r="1743" customFormat="1" x14ac:dyDescent="0.35"/>
    <row r="1744" customFormat="1" x14ac:dyDescent="0.35"/>
    <row r="1745" customFormat="1" x14ac:dyDescent="0.35"/>
    <row r="1746" customFormat="1" x14ac:dyDescent="0.35"/>
    <row r="1747" customFormat="1" x14ac:dyDescent="0.35"/>
    <row r="1748" customFormat="1" x14ac:dyDescent="0.35"/>
    <row r="1749" customFormat="1" x14ac:dyDescent="0.35"/>
    <row r="1750" customFormat="1" x14ac:dyDescent="0.35"/>
    <row r="1751" customFormat="1" x14ac:dyDescent="0.35"/>
    <row r="1752" customFormat="1" x14ac:dyDescent="0.35"/>
    <row r="1753" customFormat="1" x14ac:dyDescent="0.35"/>
    <row r="1754" customFormat="1" x14ac:dyDescent="0.35"/>
    <row r="1755" customFormat="1" x14ac:dyDescent="0.35"/>
    <row r="1756" customFormat="1" x14ac:dyDescent="0.35"/>
    <row r="1757" customFormat="1" x14ac:dyDescent="0.35"/>
    <row r="1758" customFormat="1" x14ac:dyDescent="0.35"/>
    <row r="1759" customFormat="1" x14ac:dyDescent="0.35"/>
    <row r="1760" customFormat="1" x14ac:dyDescent="0.35"/>
    <row r="1761" customFormat="1" x14ac:dyDescent="0.35"/>
    <row r="1762" customFormat="1" x14ac:dyDescent="0.35"/>
    <row r="1763" customFormat="1" x14ac:dyDescent="0.35"/>
    <row r="1764" customFormat="1" x14ac:dyDescent="0.35"/>
    <row r="1765" customFormat="1" x14ac:dyDescent="0.35"/>
    <row r="1766" customFormat="1" x14ac:dyDescent="0.35"/>
    <row r="1767" customFormat="1" x14ac:dyDescent="0.35"/>
    <row r="1768" customFormat="1" x14ac:dyDescent="0.35"/>
    <row r="1769" customFormat="1" x14ac:dyDescent="0.35"/>
    <row r="1770" customFormat="1" x14ac:dyDescent="0.35"/>
    <row r="1771" customFormat="1" x14ac:dyDescent="0.35"/>
    <row r="1772" customFormat="1" x14ac:dyDescent="0.35"/>
    <row r="1773" customFormat="1" x14ac:dyDescent="0.35"/>
    <row r="1774" customFormat="1" x14ac:dyDescent="0.35"/>
    <row r="1775" customFormat="1" x14ac:dyDescent="0.35"/>
    <row r="1776" customFormat="1" x14ac:dyDescent="0.35"/>
    <row r="1777" customFormat="1" x14ac:dyDescent="0.35"/>
    <row r="1778" customFormat="1" x14ac:dyDescent="0.35"/>
    <row r="1779" customFormat="1" x14ac:dyDescent="0.35"/>
    <row r="1780" customFormat="1" x14ac:dyDescent="0.35"/>
    <row r="1781" customFormat="1" x14ac:dyDescent="0.35"/>
    <row r="1782" customFormat="1" x14ac:dyDescent="0.35"/>
    <row r="1783" customFormat="1" x14ac:dyDescent="0.35"/>
    <row r="1784" customFormat="1" x14ac:dyDescent="0.35"/>
    <row r="1785" customFormat="1" x14ac:dyDescent="0.35"/>
    <row r="1786" customFormat="1" x14ac:dyDescent="0.35"/>
    <row r="1787" customFormat="1" x14ac:dyDescent="0.35"/>
    <row r="1788" customFormat="1" x14ac:dyDescent="0.35"/>
    <row r="1789" customFormat="1" x14ac:dyDescent="0.35"/>
    <row r="1790" customFormat="1" x14ac:dyDescent="0.35"/>
    <row r="1791" customFormat="1" x14ac:dyDescent="0.35"/>
    <row r="1792" customFormat="1" x14ac:dyDescent="0.35"/>
    <row r="1793" customFormat="1" x14ac:dyDescent="0.35"/>
    <row r="1794" customFormat="1" x14ac:dyDescent="0.35"/>
    <row r="1795" customFormat="1" x14ac:dyDescent="0.35"/>
    <row r="1796" customFormat="1" x14ac:dyDescent="0.35"/>
    <row r="1797" customFormat="1" x14ac:dyDescent="0.35"/>
    <row r="1798" customFormat="1" x14ac:dyDescent="0.35"/>
    <row r="1799" customFormat="1" x14ac:dyDescent="0.35"/>
    <row r="1800" customFormat="1" x14ac:dyDescent="0.35"/>
    <row r="1801" customFormat="1" x14ac:dyDescent="0.35"/>
    <row r="1802" customFormat="1" x14ac:dyDescent="0.35"/>
    <row r="1803" customFormat="1" x14ac:dyDescent="0.35"/>
    <row r="1804" customFormat="1" x14ac:dyDescent="0.35"/>
    <row r="1805" customFormat="1" x14ac:dyDescent="0.35"/>
    <row r="1806" customFormat="1" x14ac:dyDescent="0.35"/>
    <row r="1807" customFormat="1" x14ac:dyDescent="0.35"/>
    <row r="1808" customFormat="1" x14ac:dyDescent="0.35"/>
    <row r="1809" customFormat="1" x14ac:dyDescent="0.35"/>
    <row r="1810" customFormat="1" x14ac:dyDescent="0.35"/>
    <row r="1811" customFormat="1" x14ac:dyDescent="0.35"/>
    <row r="1812" customFormat="1" x14ac:dyDescent="0.35"/>
    <row r="1813" customFormat="1" x14ac:dyDescent="0.35"/>
    <row r="1814" customFormat="1" x14ac:dyDescent="0.35"/>
    <row r="1815" customFormat="1" x14ac:dyDescent="0.35"/>
    <row r="1816" customFormat="1" x14ac:dyDescent="0.35"/>
    <row r="1817" customFormat="1" x14ac:dyDescent="0.35"/>
    <row r="1818" customFormat="1" x14ac:dyDescent="0.35"/>
    <row r="1819" customFormat="1" x14ac:dyDescent="0.35"/>
    <row r="1820" customFormat="1" x14ac:dyDescent="0.35"/>
    <row r="1821" customFormat="1" x14ac:dyDescent="0.35"/>
    <row r="1822" customFormat="1" x14ac:dyDescent="0.35"/>
    <row r="1823" customFormat="1" x14ac:dyDescent="0.35"/>
    <row r="1824" customFormat="1" x14ac:dyDescent="0.35"/>
    <row r="1825" customFormat="1" x14ac:dyDescent="0.35"/>
    <row r="1826" customFormat="1" x14ac:dyDescent="0.35"/>
    <row r="1827" customFormat="1" x14ac:dyDescent="0.35"/>
    <row r="1828" customFormat="1" x14ac:dyDescent="0.35"/>
    <row r="1829" customFormat="1" x14ac:dyDescent="0.35"/>
    <row r="1830" customFormat="1" x14ac:dyDescent="0.35"/>
    <row r="1831" customFormat="1" x14ac:dyDescent="0.35"/>
    <row r="1832" customFormat="1" x14ac:dyDescent="0.35"/>
    <row r="1833" customFormat="1" x14ac:dyDescent="0.35"/>
    <row r="1834" customFormat="1" x14ac:dyDescent="0.35"/>
    <row r="1835" customFormat="1" x14ac:dyDescent="0.35"/>
    <row r="1836" customFormat="1" x14ac:dyDescent="0.35"/>
    <row r="1837" customFormat="1" x14ac:dyDescent="0.35"/>
    <row r="1838" customFormat="1" x14ac:dyDescent="0.35"/>
    <row r="1839" customFormat="1" x14ac:dyDescent="0.35"/>
    <row r="1840" customFormat="1" x14ac:dyDescent="0.35"/>
    <row r="1841" customFormat="1" x14ac:dyDescent="0.35"/>
    <row r="1842" customFormat="1" x14ac:dyDescent="0.35"/>
    <row r="1843" customFormat="1" x14ac:dyDescent="0.35"/>
    <row r="1844" customFormat="1" x14ac:dyDescent="0.35"/>
    <row r="1845" customFormat="1" x14ac:dyDescent="0.35"/>
    <row r="1846" customFormat="1" x14ac:dyDescent="0.35"/>
    <row r="1847" customFormat="1" x14ac:dyDescent="0.35"/>
    <row r="1848" customFormat="1" x14ac:dyDescent="0.35"/>
    <row r="1849" customFormat="1" x14ac:dyDescent="0.35"/>
    <row r="1850" customFormat="1" x14ac:dyDescent="0.35"/>
    <row r="1851" customFormat="1" x14ac:dyDescent="0.35"/>
    <row r="1852" customFormat="1" x14ac:dyDescent="0.35"/>
    <row r="1853" customFormat="1" x14ac:dyDescent="0.35"/>
    <row r="1854" customFormat="1" x14ac:dyDescent="0.35"/>
    <row r="1855" customFormat="1" x14ac:dyDescent="0.35"/>
    <row r="1856" customFormat="1" x14ac:dyDescent="0.35"/>
    <row r="1857" customFormat="1" x14ac:dyDescent="0.35"/>
    <row r="1858" customFormat="1" x14ac:dyDescent="0.35"/>
    <row r="1859" customFormat="1" x14ac:dyDescent="0.35"/>
    <row r="1860" customFormat="1" x14ac:dyDescent="0.35"/>
    <row r="1861" customFormat="1" x14ac:dyDescent="0.35"/>
    <row r="1862" customFormat="1" x14ac:dyDescent="0.35"/>
    <row r="1863" customFormat="1" x14ac:dyDescent="0.35"/>
    <row r="1864" customFormat="1" x14ac:dyDescent="0.35"/>
    <row r="1865" customFormat="1" x14ac:dyDescent="0.35"/>
    <row r="1866" customFormat="1" x14ac:dyDescent="0.35"/>
    <row r="1867" customFormat="1" x14ac:dyDescent="0.35"/>
    <row r="1868" customFormat="1" x14ac:dyDescent="0.35"/>
    <row r="1869" customFormat="1" x14ac:dyDescent="0.35"/>
    <row r="1870" customFormat="1" x14ac:dyDescent="0.35"/>
    <row r="1871" customFormat="1" x14ac:dyDescent="0.35"/>
    <row r="1872" customFormat="1" x14ac:dyDescent="0.35"/>
    <row r="1873" customFormat="1" x14ac:dyDescent="0.35"/>
    <row r="1874" customFormat="1" x14ac:dyDescent="0.35"/>
    <row r="1875" customFormat="1" x14ac:dyDescent="0.35"/>
    <row r="1876" customFormat="1" x14ac:dyDescent="0.35"/>
    <row r="1877" customFormat="1" x14ac:dyDescent="0.35"/>
    <row r="1878" customFormat="1" x14ac:dyDescent="0.35"/>
    <row r="1879" customFormat="1" x14ac:dyDescent="0.35"/>
    <row r="1880" customFormat="1" x14ac:dyDescent="0.35"/>
    <row r="1881" customFormat="1" x14ac:dyDescent="0.35"/>
    <row r="1882" customFormat="1" x14ac:dyDescent="0.35"/>
    <row r="1883" customFormat="1" x14ac:dyDescent="0.35"/>
    <row r="1884" customFormat="1" x14ac:dyDescent="0.35"/>
    <row r="1885" customFormat="1" x14ac:dyDescent="0.35"/>
    <row r="1886" customFormat="1" x14ac:dyDescent="0.35"/>
    <row r="1887" customFormat="1" x14ac:dyDescent="0.35"/>
    <row r="1888" customFormat="1" x14ac:dyDescent="0.35"/>
    <row r="1889" customFormat="1" x14ac:dyDescent="0.35"/>
    <row r="1890" customFormat="1" x14ac:dyDescent="0.35"/>
    <row r="1891" customFormat="1" x14ac:dyDescent="0.35"/>
    <row r="1892" customFormat="1" x14ac:dyDescent="0.35"/>
    <row r="1893" customFormat="1" x14ac:dyDescent="0.35"/>
    <row r="1894" customFormat="1" x14ac:dyDescent="0.35"/>
    <row r="1895" customFormat="1" x14ac:dyDescent="0.35"/>
    <row r="1896" customFormat="1" x14ac:dyDescent="0.35"/>
    <row r="1897" customFormat="1" x14ac:dyDescent="0.35"/>
    <row r="1898" customFormat="1" x14ac:dyDescent="0.35"/>
    <row r="1899" customFormat="1" x14ac:dyDescent="0.35"/>
    <row r="1900" customFormat="1" x14ac:dyDescent="0.35"/>
    <row r="1901" customFormat="1" x14ac:dyDescent="0.35"/>
    <row r="1902" customFormat="1" x14ac:dyDescent="0.35"/>
    <row r="1903" customFormat="1" x14ac:dyDescent="0.35"/>
    <row r="1904" customFormat="1" x14ac:dyDescent="0.35"/>
    <row r="1905" customFormat="1" x14ac:dyDescent="0.35"/>
    <row r="1906" customFormat="1" x14ac:dyDescent="0.35"/>
    <row r="1907" customFormat="1" x14ac:dyDescent="0.35"/>
    <row r="1908" customFormat="1" x14ac:dyDescent="0.35"/>
    <row r="1909" customFormat="1" x14ac:dyDescent="0.35"/>
    <row r="1910" customFormat="1" x14ac:dyDescent="0.35"/>
    <row r="1911" customFormat="1" x14ac:dyDescent="0.35"/>
    <row r="1912" customFormat="1" x14ac:dyDescent="0.35"/>
    <row r="1913" customFormat="1" x14ac:dyDescent="0.35"/>
    <row r="1914" customFormat="1" x14ac:dyDescent="0.35"/>
    <row r="1915" customFormat="1" x14ac:dyDescent="0.35"/>
    <row r="1916" customFormat="1" x14ac:dyDescent="0.35"/>
    <row r="1917" customFormat="1" x14ac:dyDescent="0.35"/>
    <row r="1918" customFormat="1" x14ac:dyDescent="0.35"/>
    <row r="1919" customFormat="1" x14ac:dyDescent="0.35"/>
    <row r="1920" customFormat="1" x14ac:dyDescent="0.35"/>
    <row r="1921" customFormat="1" x14ac:dyDescent="0.35"/>
    <row r="1922" customFormat="1" x14ac:dyDescent="0.35"/>
    <row r="1923" customFormat="1" x14ac:dyDescent="0.35"/>
    <row r="1924" customFormat="1" x14ac:dyDescent="0.35"/>
    <row r="1925" customFormat="1" x14ac:dyDescent="0.35"/>
    <row r="1926" customFormat="1" x14ac:dyDescent="0.35"/>
    <row r="1927" customFormat="1" x14ac:dyDescent="0.35"/>
    <row r="1928" customFormat="1" x14ac:dyDescent="0.35"/>
    <row r="1929" customFormat="1" x14ac:dyDescent="0.35"/>
    <row r="1930" customFormat="1" x14ac:dyDescent="0.35"/>
    <row r="1931" customFormat="1" x14ac:dyDescent="0.35"/>
    <row r="1932" customFormat="1" x14ac:dyDescent="0.35"/>
    <row r="1933" customFormat="1" x14ac:dyDescent="0.35"/>
    <row r="1934" customFormat="1" x14ac:dyDescent="0.35"/>
    <row r="1935" customFormat="1" x14ac:dyDescent="0.35"/>
    <row r="1936" customFormat="1" x14ac:dyDescent="0.35"/>
    <row r="1937" customFormat="1" x14ac:dyDescent="0.35"/>
    <row r="1938" customFormat="1" x14ac:dyDescent="0.35"/>
    <row r="1939" customFormat="1" x14ac:dyDescent="0.35"/>
    <row r="1940" customFormat="1" x14ac:dyDescent="0.35"/>
    <row r="1941" customFormat="1" x14ac:dyDescent="0.35"/>
    <row r="1942" customFormat="1" x14ac:dyDescent="0.35"/>
    <row r="1943" customFormat="1" x14ac:dyDescent="0.35"/>
    <row r="1944" customFormat="1" x14ac:dyDescent="0.35"/>
    <row r="1945" customFormat="1" x14ac:dyDescent="0.35"/>
    <row r="1946" customFormat="1" x14ac:dyDescent="0.35"/>
    <row r="1947" customFormat="1" x14ac:dyDescent="0.35"/>
    <row r="1948" customFormat="1" x14ac:dyDescent="0.35"/>
    <row r="1949" customFormat="1" x14ac:dyDescent="0.35"/>
    <row r="1950" customFormat="1" x14ac:dyDescent="0.35"/>
    <row r="1951" customFormat="1" x14ac:dyDescent="0.35"/>
    <row r="1952" customFormat="1" x14ac:dyDescent="0.35"/>
    <row r="1953" customFormat="1" x14ac:dyDescent="0.35"/>
    <row r="1954" customFormat="1" x14ac:dyDescent="0.35"/>
    <row r="1955" customFormat="1" x14ac:dyDescent="0.35"/>
    <row r="1956" customFormat="1" x14ac:dyDescent="0.35"/>
    <row r="1957" customFormat="1" x14ac:dyDescent="0.35"/>
    <row r="1958" customFormat="1" x14ac:dyDescent="0.35"/>
    <row r="1959" customFormat="1" x14ac:dyDescent="0.35"/>
    <row r="1960" customFormat="1" x14ac:dyDescent="0.35"/>
    <row r="1961" customFormat="1" x14ac:dyDescent="0.35"/>
    <row r="1962" customFormat="1" x14ac:dyDescent="0.35"/>
    <row r="1963" customFormat="1" x14ac:dyDescent="0.35"/>
    <row r="1964" customFormat="1" x14ac:dyDescent="0.35"/>
    <row r="1965" customFormat="1" x14ac:dyDescent="0.35"/>
    <row r="1966" customFormat="1" x14ac:dyDescent="0.35"/>
    <row r="1967" customFormat="1" x14ac:dyDescent="0.35"/>
    <row r="1968" customFormat="1" x14ac:dyDescent="0.35"/>
    <row r="1969" customFormat="1" x14ac:dyDescent="0.35"/>
    <row r="1970" customFormat="1" x14ac:dyDescent="0.35"/>
    <row r="1971" customFormat="1" x14ac:dyDescent="0.35"/>
    <row r="1972" customFormat="1" x14ac:dyDescent="0.35"/>
    <row r="1973" customFormat="1" x14ac:dyDescent="0.35"/>
    <row r="1974" customFormat="1" x14ac:dyDescent="0.35"/>
    <row r="1975" customFormat="1" x14ac:dyDescent="0.35"/>
    <row r="1976" customFormat="1" x14ac:dyDescent="0.35"/>
    <row r="1977" customFormat="1" x14ac:dyDescent="0.35"/>
    <row r="1978" customFormat="1" x14ac:dyDescent="0.35"/>
    <row r="1979" customFormat="1" x14ac:dyDescent="0.35"/>
    <row r="1980" customFormat="1" x14ac:dyDescent="0.35"/>
    <row r="1981" customFormat="1" x14ac:dyDescent="0.35"/>
    <row r="1982" customFormat="1" x14ac:dyDescent="0.35"/>
    <row r="1983" customFormat="1" x14ac:dyDescent="0.35"/>
    <row r="1984" customFormat="1" x14ac:dyDescent="0.35"/>
    <row r="1985" customFormat="1" x14ac:dyDescent="0.35"/>
    <row r="1986" customFormat="1" x14ac:dyDescent="0.35"/>
    <row r="1987" customFormat="1" x14ac:dyDescent="0.35"/>
    <row r="1988" customFormat="1" x14ac:dyDescent="0.35"/>
    <row r="1989" customFormat="1" x14ac:dyDescent="0.35"/>
    <row r="1990" customFormat="1" x14ac:dyDescent="0.35"/>
    <row r="1991" customFormat="1" x14ac:dyDescent="0.35"/>
    <row r="1992" customFormat="1" x14ac:dyDescent="0.35"/>
    <row r="1993" customFormat="1" x14ac:dyDescent="0.35"/>
    <row r="1994" customFormat="1" x14ac:dyDescent="0.35"/>
    <row r="1995" customFormat="1" x14ac:dyDescent="0.35"/>
    <row r="1996" customFormat="1" x14ac:dyDescent="0.35"/>
    <row r="1997" customFormat="1" x14ac:dyDescent="0.35"/>
    <row r="1998" customFormat="1" x14ac:dyDescent="0.35"/>
    <row r="1999" customFormat="1" x14ac:dyDescent="0.35"/>
    <row r="2000" customFormat="1" x14ac:dyDescent="0.35"/>
    <row r="2001" customFormat="1" x14ac:dyDescent="0.35"/>
    <row r="2002" customFormat="1" x14ac:dyDescent="0.35"/>
    <row r="2003" customFormat="1" x14ac:dyDescent="0.35"/>
    <row r="2004" customFormat="1" x14ac:dyDescent="0.35"/>
    <row r="2005" customFormat="1" x14ac:dyDescent="0.35"/>
    <row r="2006" customFormat="1" x14ac:dyDescent="0.35"/>
    <row r="2007" customFormat="1" x14ac:dyDescent="0.35"/>
    <row r="2008" customFormat="1" x14ac:dyDescent="0.35"/>
    <row r="2009" customFormat="1" x14ac:dyDescent="0.35"/>
    <row r="2010" customFormat="1" x14ac:dyDescent="0.35"/>
    <row r="2011" customFormat="1" x14ac:dyDescent="0.35"/>
    <row r="2012" customFormat="1" x14ac:dyDescent="0.35"/>
    <row r="2013" customFormat="1" x14ac:dyDescent="0.35"/>
    <row r="2014" customFormat="1" x14ac:dyDescent="0.35"/>
    <row r="2015" customFormat="1" x14ac:dyDescent="0.35"/>
    <row r="2016" customFormat="1" x14ac:dyDescent="0.35"/>
    <row r="2017" customFormat="1" x14ac:dyDescent="0.35"/>
    <row r="2018" customFormat="1" x14ac:dyDescent="0.35"/>
    <row r="2019" customFormat="1" x14ac:dyDescent="0.35"/>
    <row r="2020" customFormat="1" x14ac:dyDescent="0.35"/>
    <row r="2021" customFormat="1" x14ac:dyDescent="0.35"/>
    <row r="2022" customFormat="1" x14ac:dyDescent="0.35"/>
    <row r="2023" customFormat="1" x14ac:dyDescent="0.35"/>
    <row r="2024" customFormat="1" x14ac:dyDescent="0.35"/>
    <row r="2025" customFormat="1" x14ac:dyDescent="0.35"/>
    <row r="2026" customFormat="1" x14ac:dyDescent="0.35"/>
    <row r="2027" customFormat="1" x14ac:dyDescent="0.35"/>
    <row r="2028" customFormat="1" x14ac:dyDescent="0.35"/>
    <row r="2029" customFormat="1" x14ac:dyDescent="0.35"/>
    <row r="2030" customFormat="1" x14ac:dyDescent="0.35"/>
    <row r="2031" customFormat="1" x14ac:dyDescent="0.35"/>
    <row r="2032" customFormat="1" x14ac:dyDescent="0.35"/>
    <row r="2033" customFormat="1" x14ac:dyDescent="0.35"/>
    <row r="2034" customFormat="1" x14ac:dyDescent="0.35"/>
    <row r="2035" customFormat="1" x14ac:dyDescent="0.35"/>
    <row r="2036" customFormat="1" x14ac:dyDescent="0.35"/>
    <row r="2037" customFormat="1" x14ac:dyDescent="0.35"/>
    <row r="2038" customFormat="1" x14ac:dyDescent="0.35"/>
    <row r="2039" customFormat="1" x14ac:dyDescent="0.35"/>
    <row r="2040" customFormat="1" x14ac:dyDescent="0.35"/>
    <row r="2041" customFormat="1" x14ac:dyDescent="0.35"/>
    <row r="2042" customFormat="1" x14ac:dyDescent="0.35"/>
    <row r="2043" customFormat="1" x14ac:dyDescent="0.35"/>
    <row r="2044" customFormat="1" x14ac:dyDescent="0.35"/>
    <row r="2045" customFormat="1" x14ac:dyDescent="0.35"/>
    <row r="2046" customFormat="1" x14ac:dyDescent="0.35"/>
    <row r="2047" customFormat="1" x14ac:dyDescent="0.35"/>
    <row r="2048" customFormat="1" x14ac:dyDescent="0.35"/>
    <row r="2049" customFormat="1" x14ac:dyDescent="0.35"/>
    <row r="2050" customFormat="1" x14ac:dyDescent="0.35"/>
    <row r="2051" customFormat="1" x14ac:dyDescent="0.35"/>
    <row r="2052" customFormat="1" x14ac:dyDescent="0.35"/>
    <row r="2053" customFormat="1" x14ac:dyDescent="0.35"/>
    <row r="2054" customFormat="1" x14ac:dyDescent="0.35"/>
    <row r="2055" customFormat="1" x14ac:dyDescent="0.35"/>
    <row r="2056" customFormat="1" x14ac:dyDescent="0.35"/>
    <row r="2057" customFormat="1" x14ac:dyDescent="0.35"/>
    <row r="2058" customFormat="1" x14ac:dyDescent="0.35"/>
    <row r="2059" customFormat="1" x14ac:dyDescent="0.35"/>
    <row r="2060" customFormat="1" x14ac:dyDescent="0.35"/>
    <row r="2061" customFormat="1" x14ac:dyDescent="0.35"/>
    <row r="2062" customFormat="1" x14ac:dyDescent="0.35"/>
    <row r="2063" customFormat="1" x14ac:dyDescent="0.35"/>
    <row r="2064" customFormat="1" x14ac:dyDescent="0.35"/>
    <row r="2065" customFormat="1" x14ac:dyDescent="0.35"/>
    <row r="2066" customFormat="1" x14ac:dyDescent="0.35"/>
    <row r="2067" customFormat="1" x14ac:dyDescent="0.35"/>
    <row r="2068" customFormat="1" x14ac:dyDescent="0.35"/>
    <row r="2069" customFormat="1" x14ac:dyDescent="0.35"/>
    <row r="2070" customFormat="1" x14ac:dyDescent="0.35"/>
    <row r="2071" customFormat="1" x14ac:dyDescent="0.35"/>
    <row r="2072" customFormat="1" x14ac:dyDescent="0.35"/>
    <row r="2073" customFormat="1" x14ac:dyDescent="0.35"/>
    <row r="2074" customFormat="1" x14ac:dyDescent="0.35"/>
    <row r="2075" customFormat="1" x14ac:dyDescent="0.35"/>
    <row r="2076" customFormat="1" x14ac:dyDescent="0.35"/>
    <row r="2077" customFormat="1" x14ac:dyDescent="0.35"/>
    <row r="2078" customFormat="1" x14ac:dyDescent="0.35"/>
    <row r="2079" customFormat="1" x14ac:dyDescent="0.35"/>
    <row r="2080" customFormat="1" x14ac:dyDescent="0.35"/>
    <row r="2081" customFormat="1" x14ac:dyDescent="0.35"/>
    <row r="2082" customFormat="1" x14ac:dyDescent="0.35"/>
    <row r="2083" customFormat="1" x14ac:dyDescent="0.35"/>
    <row r="2084" customFormat="1" x14ac:dyDescent="0.35"/>
    <row r="2085" customFormat="1" x14ac:dyDescent="0.35"/>
    <row r="2086" customFormat="1" x14ac:dyDescent="0.35"/>
    <row r="2087" customFormat="1" x14ac:dyDescent="0.35"/>
    <row r="2088" customFormat="1" x14ac:dyDescent="0.35"/>
    <row r="2089" customFormat="1" x14ac:dyDescent="0.35"/>
    <row r="2090" customFormat="1" x14ac:dyDescent="0.35"/>
    <row r="2091" customFormat="1" x14ac:dyDescent="0.35"/>
    <row r="2092" customFormat="1" x14ac:dyDescent="0.35"/>
    <row r="2093" customFormat="1" x14ac:dyDescent="0.35"/>
    <row r="2094" customFormat="1" x14ac:dyDescent="0.35"/>
    <row r="2095" customFormat="1" x14ac:dyDescent="0.35"/>
    <row r="2096" customFormat="1" x14ac:dyDescent="0.35"/>
    <row r="2097" customFormat="1" x14ac:dyDescent="0.35"/>
    <row r="2098" customFormat="1" x14ac:dyDescent="0.35"/>
    <row r="2099" customFormat="1" x14ac:dyDescent="0.35"/>
    <row r="2100" customFormat="1" x14ac:dyDescent="0.35"/>
    <row r="2101" customFormat="1" x14ac:dyDescent="0.35"/>
    <row r="2102" customFormat="1" x14ac:dyDescent="0.35"/>
    <row r="2103" customFormat="1" x14ac:dyDescent="0.35"/>
    <row r="2104" customFormat="1" x14ac:dyDescent="0.35"/>
    <row r="2105" customFormat="1" x14ac:dyDescent="0.35"/>
    <row r="2106" customFormat="1" x14ac:dyDescent="0.35"/>
    <row r="2107" customFormat="1" x14ac:dyDescent="0.35"/>
    <row r="2108" customFormat="1" x14ac:dyDescent="0.35"/>
    <row r="2109" customFormat="1" x14ac:dyDescent="0.35"/>
    <row r="2110" customFormat="1" x14ac:dyDescent="0.35"/>
    <row r="2111" customFormat="1" x14ac:dyDescent="0.35"/>
    <row r="2112" customFormat="1" x14ac:dyDescent="0.35"/>
    <row r="2113" customFormat="1" x14ac:dyDescent="0.35"/>
    <row r="2114" customFormat="1" x14ac:dyDescent="0.35"/>
    <row r="2115" customFormat="1" x14ac:dyDescent="0.35"/>
    <row r="2116" customFormat="1" x14ac:dyDescent="0.35"/>
    <row r="2117" customFormat="1" x14ac:dyDescent="0.35"/>
    <row r="2118" customFormat="1" x14ac:dyDescent="0.35"/>
    <row r="2119" customFormat="1" x14ac:dyDescent="0.35"/>
    <row r="2120" customFormat="1" x14ac:dyDescent="0.35"/>
    <row r="2121" customFormat="1" x14ac:dyDescent="0.35"/>
    <row r="2122" customFormat="1" x14ac:dyDescent="0.35"/>
    <row r="2123" customFormat="1" x14ac:dyDescent="0.35"/>
    <row r="2124" customFormat="1" x14ac:dyDescent="0.35"/>
    <row r="2125" customFormat="1" x14ac:dyDescent="0.35"/>
    <row r="2126" customFormat="1" x14ac:dyDescent="0.35"/>
    <row r="2127" customFormat="1" x14ac:dyDescent="0.35"/>
    <row r="2128" customFormat="1" x14ac:dyDescent="0.35"/>
    <row r="2129" customFormat="1" x14ac:dyDescent="0.35"/>
    <row r="2130" customFormat="1" x14ac:dyDescent="0.35"/>
    <row r="2131" customFormat="1" x14ac:dyDescent="0.35"/>
    <row r="2132" customFormat="1" x14ac:dyDescent="0.35"/>
    <row r="2133" customFormat="1" x14ac:dyDescent="0.35"/>
    <row r="2134" customFormat="1" x14ac:dyDescent="0.35"/>
    <row r="2135" customFormat="1" x14ac:dyDescent="0.35"/>
    <row r="2136" customFormat="1" x14ac:dyDescent="0.35"/>
    <row r="2137" customFormat="1" x14ac:dyDescent="0.35"/>
    <row r="2138" customFormat="1" x14ac:dyDescent="0.35"/>
    <row r="2139" customFormat="1" x14ac:dyDescent="0.35"/>
    <row r="2140" customFormat="1" x14ac:dyDescent="0.35"/>
    <row r="2141" customFormat="1" x14ac:dyDescent="0.35"/>
    <row r="2142" customFormat="1" x14ac:dyDescent="0.35"/>
    <row r="2143" customFormat="1" x14ac:dyDescent="0.35"/>
    <row r="2144" customFormat="1" x14ac:dyDescent="0.35"/>
    <row r="2145" customFormat="1" x14ac:dyDescent="0.35"/>
    <row r="2146" customFormat="1" x14ac:dyDescent="0.35"/>
    <row r="2147" customFormat="1" x14ac:dyDescent="0.35"/>
    <row r="2148" customFormat="1" x14ac:dyDescent="0.35"/>
    <row r="2149" customFormat="1" x14ac:dyDescent="0.35"/>
    <row r="2150" customFormat="1" x14ac:dyDescent="0.35"/>
    <row r="2151" customFormat="1" x14ac:dyDescent="0.35"/>
    <row r="2152" customFormat="1" x14ac:dyDescent="0.35"/>
    <row r="2153" customFormat="1" x14ac:dyDescent="0.35"/>
    <row r="2154" customFormat="1" x14ac:dyDescent="0.35"/>
    <row r="2155" customFormat="1" x14ac:dyDescent="0.35"/>
    <row r="2156" customFormat="1" x14ac:dyDescent="0.35"/>
    <row r="2157" customFormat="1" x14ac:dyDescent="0.35"/>
    <row r="2158" customFormat="1" x14ac:dyDescent="0.35"/>
    <row r="2159" customFormat="1" x14ac:dyDescent="0.35"/>
    <row r="2160" customFormat="1" x14ac:dyDescent="0.35"/>
    <row r="2161" customFormat="1" x14ac:dyDescent="0.35"/>
    <row r="2162" customFormat="1" x14ac:dyDescent="0.35"/>
    <row r="2163" customFormat="1" x14ac:dyDescent="0.35"/>
    <row r="2164" customFormat="1" x14ac:dyDescent="0.35"/>
    <row r="2165" customFormat="1" x14ac:dyDescent="0.35"/>
    <row r="2166" customFormat="1" x14ac:dyDescent="0.35"/>
    <row r="2167" customFormat="1" x14ac:dyDescent="0.35"/>
    <row r="2168" customFormat="1" x14ac:dyDescent="0.35"/>
    <row r="2169" customFormat="1" x14ac:dyDescent="0.35"/>
    <row r="2170" customFormat="1" x14ac:dyDescent="0.35"/>
    <row r="2171" customFormat="1" x14ac:dyDescent="0.35"/>
    <row r="2172" customFormat="1" x14ac:dyDescent="0.35"/>
    <row r="2173" customFormat="1" x14ac:dyDescent="0.35"/>
    <row r="2174" customFormat="1" x14ac:dyDescent="0.35"/>
    <row r="2175" customFormat="1" x14ac:dyDescent="0.35"/>
    <row r="2176" customFormat="1" x14ac:dyDescent="0.35"/>
    <row r="2177" customFormat="1" x14ac:dyDescent="0.35"/>
    <row r="2178" customFormat="1" x14ac:dyDescent="0.35"/>
    <row r="2179" customFormat="1" x14ac:dyDescent="0.35"/>
    <row r="2180" customFormat="1" x14ac:dyDescent="0.35"/>
    <row r="2181" customFormat="1" x14ac:dyDescent="0.35"/>
    <row r="2182" customFormat="1" x14ac:dyDescent="0.35"/>
    <row r="2183" customFormat="1" x14ac:dyDescent="0.35"/>
    <row r="2184" customFormat="1" x14ac:dyDescent="0.35"/>
    <row r="2185" customFormat="1" x14ac:dyDescent="0.35"/>
    <row r="2186" customFormat="1" x14ac:dyDescent="0.35"/>
    <row r="2187" customFormat="1" x14ac:dyDescent="0.35"/>
    <row r="2188" customFormat="1" x14ac:dyDescent="0.35"/>
    <row r="2189" customFormat="1" x14ac:dyDescent="0.35"/>
    <row r="2190" customFormat="1" x14ac:dyDescent="0.35"/>
    <row r="2191" customFormat="1" x14ac:dyDescent="0.35"/>
    <row r="2192" customFormat="1" x14ac:dyDescent="0.35"/>
    <row r="2193" customFormat="1" x14ac:dyDescent="0.35"/>
    <row r="2194" customFormat="1" x14ac:dyDescent="0.35"/>
    <row r="2195" customFormat="1" x14ac:dyDescent="0.35"/>
    <row r="2196" customFormat="1" x14ac:dyDescent="0.35"/>
    <row r="2197" customFormat="1" x14ac:dyDescent="0.35"/>
    <row r="2198" customFormat="1" x14ac:dyDescent="0.35"/>
    <row r="2199" customFormat="1" x14ac:dyDescent="0.35"/>
    <row r="2200" customFormat="1" x14ac:dyDescent="0.35"/>
    <row r="2201" customFormat="1" x14ac:dyDescent="0.35"/>
    <row r="2202" customFormat="1" x14ac:dyDescent="0.35"/>
    <row r="2203" customFormat="1" x14ac:dyDescent="0.35"/>
    <row r="2204" customFormat="1" x14ac:dyDescent="0.35"/>
    <row r="2205" customFormat="1" x14ac:dyDescent="0.35"/>
    <row r="2206" customFormat="1" x14ac:dyDescent="0.35"/>
    <row r="2207" customFormat="1" x14ac:dyDescent="0.35"/>
    <row r="2208" customFormat="1" x14ac:dyDescent="0.35"/>
    <row r="2209" customFormat="1" x14ac:dyDescent="0.35"/>
    <row r="2210" customFormat="1" x14ac:dyDescent="0.35"/>
    <row r="2211" customFormat="1" x14ac:dyDescent="0.35"/>
    <row r="2212" customFormat="1" x14ac:dyDescent="0.35"/>
    <row r="2213" customFormat="1" x14ac:dyDescent="0.35"/>
    <row r="2214" customFormat="1" x14ac:dyDescent="0.35"/>
    <row r="2215" customFormat="1" x14ac:dyDescent="0.35"/>
    <row r="2216" customFormat="1" x14ac:dyDescent="0.35"/>
    <row r="2217" customFormat="1" x14ac:dyDescent="0.35"/>
    <row r="2218" customFormat="1" x14ac:dyDescent="0.35"/>
    <row r="2219" customFormat="1" x14ac:dyDescent="0.35"/>
    <row r="2220" customFormat="1" x14ac:dyDescent="0.35"/>
    <row r="2221" customFormat="1" x14ac:dyDescent="0.35"/>
    <row r="2222" customFormat="1" x14ac:dyDescent="0.35"/>
    <row r="2223" customFormat="1" x14ac:dyDescent="0.35"/>
    <row r="2224" customFormat="1" x14ac:dyDescent="0.35"/>
    <row r="2225" customFormat="1" x14ac:dyDescent="0.35"/>
    <row r="2226" customFormat="1" x14ac:dyDescent="0.35"/>
    <row r="2227" customFormat="1" x14ac:dyDescent="0.35"/>
    <row r="2228" customFormat="1" x14ac:dyDescent="0.35"/>
    <row r="2229" customFormat="1" x14ac:dyDescent="0.35"/>
    <row r="2230" customFormat="1" x14ac:dyDescent="0.35"/>
    <row r="2231" customFormat="1" x14ac:dyDescent="0.35"/>
    <row r="2232" customFormat="1" x14ac:dyDescent="0.35"/>
    <row r="2233" customFormat="1" x14ac:dyDescent="0.35"/>
    <row r="2234" customFormat="1" x14ac:dyDescent="0.35"/>
    <row r="2235" customFormat="1" x14ac:dyDescent="0.35"/>
    <row r="2236" customFormat="1" x14ac:dyDescent="0.35"/>
    <row r="2237" customFormat="1" x14ac:dyDescent="0.35"/>
    <row r="2238" customFormat="1" x14ac:dyDescent="0.35"/>
    <row r="2239" customFormat="1" x14ac:dyDescent="0.35"/>
    <row r="2240" customFormat="1" x14ac:dyDescent="0.35"/>
    <row r="2241" customFormat="1" x14ac:dyDescent="0.35"/>
    <row r="2242" customFormat="1" x14ac:dyDescent="0.35"/>
    <row r="2243" customFormat="1" x14ac:dyDescent="0.35"/>
    <row r="2244" customFormat="1" x14ac:dyDescent="0.35"/>
    <row r="2245" customFormat="1" x14ac:dyDescent="0.35"/>
    <row r="2246" customFormat="1" x14ac:dyDescent="0.35"/>
    <row r="2247" customFormat="1" x14ac:dyDescent="0.35"/>
    <row r="2248" customFormat="1" x14ac:dyDescent="0.35"/>
    <row r="2249" customFormat="1" x14ac:dyDescent="0.35"/>
    <row r="2250" customFormat="1" x14ac:dyDescent="0.35"/>
    <row r="2251" customFormat="1" x14ac:dyDescent="0.35"/>
    <row r="2252" customFormat="1" x14ac:dyDescent="0.35"/>
    <row r="2253" customFormat="1" x14ac:dyDescent="0.35"/>
    <row r="2254" customFormat="1" x14ac:dyDescent="0.35"/>
    <row r="2255" customFormat="1" x14ac:dyDescent="0.35"/>
    <row r="2256" customFormat="1" x14ac:dyDescent="0.35"/>
    <row r="2257" customFormat="1" x14ac:dyDescent="0.35"/>
    <row r="2258" customFormat="1" x14ac:dyDescent="0.35"/>
    <row r="2259" customFormat="1" x14ac:dyDescent="0.35"/>
    <row r="2260" customFormat="1" x14ac:dyDescent="0.35"/>
    <row r="2261" customFormat="1" x14ac:dyDescent="0.35"/>
    <row r="2262" customFormat="1" x14ac:dyDescent="0.35"/>
    <row r="2263" customFormat="1" x14ac:dyDescent="0.35"/>
    <row r="2264" customFormat="1" x14ac:dyDescent="0.35"/>
    <row r="2265" customFormat="1" x14ac:dyDescent="0.35"/>
    <row r="2266" customFormat="1" x14ac:dyDescent="0.35"/>
    <row r="2267" customFormat="1" x14ac:dyDescent="0.35"/>
    <row r="2268" customFormat="1" x14ac:dyDescent="0.35"/>
    <row r="2269" customFormat="1" x14ac:dyDescent="0.35"/>
    <row r="2270" customFormat="1" x14ac:dyDescent="0.35"/>
    <row r="2271" customFormat="1" x14ac:dyDescent="0.35"/>
    <row r="2272" customFormat="1" x14ac:dyDescent="0.35"/>
    <row r="2273" customFormat="1" x14ac:dyDescent="0.35"/>
    <row r="2274" customFormat="1" x14ac:dyDescent="0.35"/>
    <row r="2275" customFormat="1" x14ac:dyDescent="0.35"/>
    <row r="2276" customFormat="1" x14ac:dyDescent="0.35"/>
    <row r="2277" customFormat="1" x14ac:dyDescent="0.35"/>
    <row r="2278" customFormat="1" x14ac:dyDescent="0.35"/>
    <row r="2279" customFormat="1" x14ac:dyDescent="0.35"/>
    <row r="2280" customFormat="1" x14ac:dyDescent="0.35"/>
    <row r="2281" customFormat="1" x14ac:dyDescent="0.35"/>
    <row r="2282" customFormat="1" x14ac:dyDescent="0.35"/>
    <row r="2283" customFormat="1" x14ac:dyDescent="0.35"/>
    <row r="2284" customFormat="1" x14ac:dyDescent="0.35"/>
    <row r="2285" customFormat="1" x14ac:dyDescent="0.35"/>
    <row r="2286" customFormat="1" x14ac:dyDescent="0.35"/>
    <row r="2287" customFormat="1" x14ac:dyDescent="0.35"/>
    <row r="2288" customFormat="1" x14ac:dyDescent="0.35"/>
    <row r="2289" customFormat="1" x14ac:dyDescent="0.35"/>
    <row r="2290" customFormat="1" x14ac:dyDescent="0.35"/>
    <row r="2291" customFormat="1" x14ac:dyDescent="0.35"/>
    <row r="2292" customFormat="1" x14ac:dyDescent="0.35"/>
    <row r="2293" customFormat="1" x14ac:dyDescent="0.35"/>
    <row r="2294" customFormat="1" x14ac:dyDescent="0.35"/>
    <row r="2295" customFormat="1" x14ac:dyDescent="0.35"/>
    <row r="2296" customFormat="1" x14ac:dyDescent="0.35"/>
    <row r="2297" customFormat="1" x14ac:dyDescent="0.35"/>
    <row r="2298" customFormat="1" x14ac:dyDescent="0.35"/>
    <row r="2299" customFormat="1" x14ac:dyDescent="0.35"/>
    <row r="2300" customFormat="1" x14ac:dyDescent="0.35"/>
    <row r="2301" customFormat="1" x14ac:dyDescent="0.35"/>
    <row r="2302" customFormat="1" x14ac:dyDescent="0.35"/>
    <row r="2303" customFormat="1" x14ac:dyDescent="0.35"/>
    <row r="2304" customFormat="1" x14ac:dyDescent="0.35"/>
    <row r="2305" customFormat="1" x14ac:dyDescent="0.35"/>
    <row r="2306" customFormat="1" x14ac:dyDescent="0.35"/>
    <row r="2307" customFormat="1" x14ac:dyDescent="0.35"/>
    <row r="2308" customFormat="1" x14ac:dyDescent="0.35"/>
    <row r="2309" customFormat="1" x14ac:dyDescent="0.35"/>
    <row r="2310" customFormat="1" x14ac:dyDescent="0.35"/>
    <row r="2311" customFormat="1" x14ac:dyDescent="0.35"/>
    <row r="2312" customFormat="1" x14ac:dyDescent="0.35"/>
    <row r="2313" customFormat="1" x14ac:dyDescent="0.35"/>
    <row r="2314" customFormat="1" x14ac:dyDescent="0.35"/>
    <row r="2315" customFormat="1" x14ac:dyDescent="0.35"/>
    <row r="2316" customFormat="1" x14ac:dyDescent="0.35"/>
    <row r="2317" customFormat="1" x14ac:dyDescent="0.35"/>
    <row r="2318" customFormat="1" x14ac:dyDescent="0.35"/>
    <row r="2319" customFormat="1" x14ac:dyDescent="0.35"/>
    <row r="2320" customFormat="1" x14ac:dyDescent="0.35"/>
    <row r="2321" customFormat="1" x14ac:dyDescent="0.35"/>
    <row r="2322" customFormat="1" x14ac:dyDescent="0.35"/>
    <row r="2323" customFormat="1" x14ac:dyDescent="0.35"/>
    <row r="2324" customFormat="1" x14ac:dyDescent="0.35"/>
    <row r="2325" customFormat="1" x14ac:dyDescent="0.35"/>
    <row r="2326" customFormat="1" x14ac:dyDescent="0.35"/>
    <row r="2327" customFormat="1" x14ac:dyDescent="0.35"/>
    <row r="2328" customFormat="1" x14ac:dyDescent="0.35"/>
    <row r="2329" customFormat="1" x14ac:dyDescent="0.35"/>
    <row r="2330" customFormat="1" x14ac:dyDescent="0.35"/>
    <row r="2331" customFormat="1" x14ac:dyDescent="0.35"/>
    <row r="2332" customFormat="1" x14ac:dyDescent="0.35"/>
    <row r="2333" customFormat="1" x14ac:dyDescent="0.35"/>
    <row r="2334" customFormat="1" x14ac:dyDescent="0.35"/>
    <row r="2335" customFormat="1" x14ac:dyDescent="0.35"/>
    <row r="2336" customFormat="1" x14ac:dyDescent="0.35"/>
    <row r="2337" customFormat="1" x14ac:dyDescent="0.35"/>
    <row r="2338" customFormat="1" x14ac:dyDescent="0.35"/>
    <row r="2339" customFormat="1" x14ac:dyDescent="0.35"/>
    <row r="2340" customFormat="1" x14ac:dyDescent="0.35"/>
    <row r="2341" customFormat="1" x14ac:dyDescent="0.35"/>
    <row r="2342" customFormat="1" x14ac:dyDescent="0.35"/>
    <row r="2343" customFormat="1" x14ac:dyDescent="0.35"/>
    <row r="2344" customFormat="1" x14ac:dyDescent="0.35"/>
    <row r="2345" customFormat="1" x14ac:dyDescent="0.35"/>
    <row r="2346" customFormat="1" x14ac:dyDescent="0.35"/>
    <row r="2347" customFormat="1" x14ac:dyDescent="0.35"/>
    <row r="2348" customFormat="1" x14ac:dyDescent="0.35"/>
    <row r="2349" customFormat="1" x14ac:dyDescent="0.35"/>
    <row r="2350" customFormat="1" x14ac:dyDescent="0.35"/>
    <row r="2351" customFormat="1" x14ac:dyDescent="0.35"/>
    <row r="2352" customFormat="1" x14ac:dyDescent="0.35"/>
    <row r="2353" customFormat="1" x14ac:dyDescent="0.35"/>
    <row r="2354" customFormat="1" x14ac:dyDescent="0.35"/>
    <row r="2355" customFormat="1" x14ac:dyDescent="0.35"/>
    <row r="2356" customFormat="1" x14ac:dyDescent="0.35"/>
    <row r="2357" customFormat="1" x14ac:dyDescent="0.35"/>
    <row r="2358" customFormat="1" x14ac:dyDescent="0.35"/>
    <row r="2359" customFormat="1" x14ac:dyDescent="0.35"/>
    <row r="2360" customFormat="1" x14ac:dyDescent="0.35"/>
    <row r="2361" customFormat="1" x14ac:dyDescent="0.35"/>
    <row r="2362" customFormat="1" x14ac:dyDescent="0.35"/>
    <row r="2363" customFormat="1" x14ac:dyDescent="0.35"/>
    <row r="2364" customFormat="1" x14ac:dyDescent="0.35"/>
    <row r="2365" customFormat="1" x14ac:dyDescent="0.35"/>
    <row r="2366" customFormat="1" x14ac:dyDescent="0.35"/>
    <row r="2367" customFormat="1" x14ac:dyDescent="0.35"/>
    <row r="2368" customFormat="1" x14ac:dyDescent="0.35"/>
    <row r="2369" customFormat="1" x14ac:dyDescent="0.35"/>
    <row r="2370" customFormat="1" x14ac:dyDescent="0.35"/>
    <row r="2371" customFormat="1" x14ac:dyDescent="0.35"/>
    <row r="2372" customFormat="1" x14ac:dyDescent="0.35"/>
    <row r="2373" customFormat="1" x14ac:dyDescent="0.35"/>
    <row r="2374" customFormat="1" x14ac:dyDescent="0.35"/>
    <row r="2375" customFormat="1" x14ac:dyDescent="0.35"/>
    <row r="2376" customFormat="1" x14ac:dyDescent="0.35"/>
    <row r="2377" customFormat="1" x14ac:dyDescent="0.35"/>
    <row r="2378" customFormat="1" x14ac:dyDescent="0.35"/>
    <row r="2379" customFormat="1" x14ac:dyDescent="0.35"/>
    <row r="2380" customFormat="1" x14ac:dyDescent="0.35"/>
    <row r="2381" customFormat="1" x14ac:dyDescent="0.35"/>
    <row r="2382" customFormat="1" x14ac:dyDescent="0.35"/>
    <row r="2383" customFormat="1" x14ac:dyDescent="0.35"/>
    <row r="2384" customFormat="1" x14ac:dyDescent="0.35"/>
    <row r="2385" customFormat="1" x14ac:dyDescent="0.35"/>
    <row r="2386" customFormat="1" x14ac:dyDescent="0.35"/>
    <row r="2387" customFormat="1" x14ac:dyDescent="0.35"/>
    <row r="2388" customFormat="1" x14ac:dyDescent="0.35"/>
    <row r="2389" customFormat="1" x14ac:dyDescent="0.35"/>
    <row r="2390" customFormat="1" x14ac:dyDescent="0.35"/>
    <row r="2391" customFormat="1" x14ac:dyDescent="0.35"/>
    <row r="2392" customFormat="1" x14ac:dyDescent="0.35"/>
    <row r="2393" customFormat="1" x14ac:dyDescent="0.35"/>
    <row r="2394" customFormat="1" x14ac:dyDescent="0.35"/>
    <row r="2395" customFormat="1" x14ac:dyDescent="0.35"/>
    <row r="2396" customFormat="1" x14ac:dyDescent="0.35"/>
    <row r="2397" customFormat="1" x14ac:dyDescent="0.35"/>
    <row r="2398" customFormat="1" x14ac:dyDescent="0.35"/>
    <row r="2399" customFormat="1" x14ac:dyDescent="0.35"/>
    <row r="2400" customFormat="1" x14ac:dyDescent="0.35"/>
    <row r="2401" customFormat="1" x14ac:dyDescent="0.35"/>
    <row r="2402" customFormat="1" x14ac:dyDescent="0.35"/>
    <row r="2403" customFormat="1" x14ac:dyDescent="0.35"/>
    <row r="2404" customFormat="1" x14ac:dyDescent="0.35"/>
    <row r="2405" customFormat="1" x14ac:dyDescent="0.35"/>
    <row r="2406" customFormat="1" x14ac:dyDescent="0.35"/>
    <row r="2407" customFormat="1" x14ac:dyDescent="0.35"/>
    <row r="2408" customFormat="1" x14ac:dyDescent="0.35"/>
    <row r="2409" customFormat="1" x14ac:dyDescent="0.35"/>
    <row r="2410" customFormat="1" x14ac:dyDescent="0.35"/>
    <row r="2411" customFormat="1" x14ac:dyDescent="0.35"/>
    <row r="2412" customFormat="1" x14ac:dyDescent="0.35"/>
    <row r="2413" customFormat="1" x14ac:dyDescent="0.35"/>
    <row r="2414" customFormat="1" x14ac:dyDescent="0.35"/>
    <row r="2415" customFormat="1" x14ac:dyDescent="0.35"/>
    <row r="2416" customFormat="1" x14ac:dyDescent="0.35"/>
    <row r="2417" customFormat="1" x14ac:dyDescent="0.35"/>
    <row r="2418" customFormat="1" x14ac:dyDescent="0.35"/>
    <row r="2419" customFormat="1" x14ac:dyDescent="0.35"/>
    <row r="2420" customFormat="1" x14ac:dyDescent="0.35"/>
    <row r="2421" customFormat="1" x14ac:dyDescent="0.35"/>
    <row r="2422" customFormat="1" x14ac:dyDescent="0.35"/>
    <row r="2423" customFormat="1" x14ac:dyDescent="0.35"/>
    <row r="2424" customFormat="1" x14ac:dyDescent="0.35"/>
    <row r="2425" customFormat="1" x14ac:dyDescent="0.35"/>
    <row r="2426" customFormat="1" x14ac:dyDescent="0.35"/>
    <row r="2427" customFormat="1" x14ac:dyDescent="0.35"/>
    <row r="2428" customFormat="1" x14ac:dyDescent="0.35"/>
    <row r="2429" customFormat="1" x14ac:dyDescent="0.35"/>
    <row r="2430" customFormat="1" x14ac:dyDescent="0.35"/>
    <row r="2431" customFormat="1" x14ac:dyDescent="0.35"/>
    <row r="2432" customFormat="1" x14ac:dyDescent="0.35"/>
    <row r="2433" customFormat="1" x14ac:dyDescent="0.35"/>
    <row r="2434" customFormat="1" x14ac:dyDescent="0.35"/>
    <row r="2435" customFormat="1" x14ac:dyDescent="0.35"/>
    <row r="2436" customFormat="1" x14ac:dyDescent="0.35"/>
    <row r="2437" customFormat="1" x14ac:dyDescent="0.35"/>
    <row r="2438" customFormat="1" x14ac:dyDescent="0.35"/>
    <row r="2439" customFormat="1" x14ac:dyDescent="0.35"/>
    <row r="2440" customFormat="1" x14ac:dyDescent="0.35"/>
    <row r="2441" customFormat="1" x14ac:dyDescent="0.35"/>
    <row r="2442" customFormat="1" x14ac:dyDescent="0.35"/>
    <row r="2443" customFormat="1" x14ac:dyDescent="0.35"/>
    <row r="2444" customFormat="1" x14ac:dyDescent="0.35"/>
    <row r="2445" customFormat="1" x14ac:dyDescent="0.35"/>
    <row r="2446" customFormat="1" x14ac:dyDescent="0.35"/>
    <row r="2447" customFormat="1" x14ac:dyDescent="0.35"/>
    <row r="2448" customFormat="1" x14ac:dyDescent="0.35"/>
    <row r="2449" customFormat="1" x14ac:dyDescent="0.35"/>
    <row r="2450" customFormat="1" x14ac:dyDescent="0.35"/>
    <row r="2451" customFormat="1" x14ac:dyDescent="0.35"/>
    <row r="2452" customFormat="1" x14ac:dyDescent="0.35"/>
    <row r="2453" customFormat="1" x14ac:dyDescent="0.35"/>
    <row r="2454" customFormat="1" x14ac:dyDescent="0.35"/>
    <row r="2455" customFormat="1" x14ac:dyDescent="0.35"/>
    <row r="2456" customFormat="1" x14ac:dyDescent="0.35"/>
    <row r="2457" customFormat="1" x14ac:dyDescent="0.35"/>
    <row r="2458" customFormat="1" x14ac:dyDescent="0.35"/>
    <row r="2459" customFormat="1" x14ac:dyDescent="0.35"/>
    <row r="2460" customFormat="1" x14ac:dyDescent="0.35"/>
    <row r="2461" customFormat="1" x14ac:dyDescent="0.35"/>
    <row r="2462" customFormat="1" x14ac:dyDescent="0.35"/>
    <row r="2463" customFormat="1" x14ac:dyDescent="0.35"/>
    <row r="2464" customFormat="1" x14ac:dyDescent="0.35"/>
    <row r="2465" customFormat="1" x14ac:dyDescent="0.35"/>
    <row r="2466" customFormat="1" x14ac:dyDescent="0.35"/>
    <row r="2467" customFormat="1" x14ac:dyDescent="0.35"/>
    <row r="2468" customFormat="1" x14ac:dyDescent="0.35"/>
    <row r="2469" customFormat="1" x14ac:dyDescent="0.35"/>
    <row r="2470" customFormat="1" x14ac:dyDescent="0.35"/>
    <row r="2471" customFormat="1" x14ac:dyDescent="0.35"/>
    <row r="2472" customFormat="1" x14ac:dyDescent="0.35"/>
    <row r="2473" customFormat="1" x14ac:dyDescent="0.35"/>
    <row r="2474" customFormat="1" x14ac:dyDescent="0.35"/>
    <row r="2475" customFormat="1" x14ac:dyDescent="0.35"/>
    <row r="2476" customFormat="1" x14ac:dyDescent="0.35"/>
    <row r="2477" customFormat="1" x14ac:dyDescent="0.35"/>
    <row r="2478" customFormat="1" x14ac:dyDescent="0.35"/>
    <row r="2479" customFormat="1" x14ac:dyDescent="0.35"/>
    <row r="2480" customFormat="1" x14ac:dyDescent="0.35"/>
    <row r="2481" customFormat="1" x14ac:dyDescent="0.35"/>
    <row r="2482" customFormat="1" x14ac:dyDescent="0.35"/>
    <row r="2483" customFormat="1" x14ac:dyDescent="0.35"/>
    <row r="2484" customFormat="1" x14ac:dyDescent="0.35"/>
    <row r="2485" customFormat="1" x14ac:dyDescent="0.35"/>
    <row r="2486" customFormat="1" x14ac:dyDescent="0.35"/>
    <row r="2487" customFormat="1" x14ac:dyDescent="0.35"/>
    <row r="2488" customFormat="1" x14ac:dyDescent="0.35"/>
    <row r="2489" customFormat="1" x14ac:dyDescent="0.35"/>
    <row r="2490" customFormat="1" x14ac:dyDescent="0.35"/>
    <row r="2491" customFormat="1" x14ac:dyDescent="0.35"/>
    <row r="2492" customFormat="1" x14ac:dyDescent="0.35"/>
    <row r="2493" customFormat="1" x14ac:dyDescent="0.35"/>
    <row r="2494" customFormat="1" x14ac:dyDescent="0.35"/>
    <row r="2495" customFormat="1" x14ac:dyDescent="0.35"/>
    <row r="2496" customFormat="1" x14ac:dyDescent="0.35"/>
    <row r="2497" customFormat="1" x14ac:dyDescent="0.35"/>
    <row r="2498" customFormat="1" x14ac:dyDescent="0.35"/>
    <row r="2499" customFormat="1" x14ac:dyDescent="0.35"/>
    <row r="2500" customFormat="1" x14ac:dyDescent="0.35"/>
    <row r="2501" customFormat="1" x14ac:dyDescent="0.35"/>
    <row r="2502" customFormat="1" x14ac:dyDescent="0.35"/>
    <row r="2503" customFormat="1" x14ac:dyDescent="0.35"/>
    <row r="2504" customFormat="1" x14ac:dyDescent="0.35"/>
    <row r="2505" customFormat="1" x14ac:dyDescent="0.35"/>
    <row r="2506" customFormat="1" x14ac:dyDescent="0.35"/>
    <row r="2507" customFormat="1" x14ac:dyDescent="0.35"/>
    <row r="2508" customFormat="1" x14ac:dyDescent="0.35"/>
    <row r="2509" customFormat="1" x14ac:dyDescent="0.35"/>
    <row r="2510" customFormat="1" x14ac:dyDescent="0.35"/>
    <row r="2511" customFormat="1" x14ac:dyDescent="0.35"/>
    <row r="2512" customFormat="1" x14ac:dyDescent="0.35"/>
    <row r="2513" customFormat="1" x14ac:dyDescent="0.35"/>
    <row r="2514" customFormat="1" x14ac:dyDescent="0.35"/>
    <row r="2515" customFormat="1" x14ac:dyDescent="0.35"/>
    <row r="2516" customFormat="1" x14ac:dyDescent="0.35"/>
    <row r="2517" customFormat="1" x14ac:dyDescent="0.35"/>
    <row r="2518" customFormat="1" x14ac:dyDescent="0.35"/>
    <row r="2519" customFormat="1" x14ac:dyDescent="0.35"/>
    <row r="2520" customFormat="1" x14ac:dyDescent="0.35"/>
    <row r="2521" customFormat="1" x14ac:dyDescent="0.35"/>
    <row r="2522" customFormat="1" x14ac:dyDescent="0.35"/>
    <row r="2523" customFormat="1" x14ac:dyDescent="0.35"/>
    <row r="2524" customFormat="1" x14ac:dyDescent="0.35"/>
    <row r="2525" customFormat="1" x14ac:dyDescent="0.35"/>
    <row r="2526" customFormat="1" x14ac:dyDescent="0.35"/>
    <row r="2527" customFormat="1" x14ac:dyDescent="0.35"/>
    <row r="2528" customFormat="1" x14ac:dyDescent="0.35"/>
    <row r="2529" customFormat="1" x14ac:dyDescent="0.35"/>
    <row r="2530" customFormat="1" x14ac:dyDescent="0.35"/>
    <row r="2531" customFormat="1" x14ac:dyDescent="0.35"/>
    <row r="2532" customFormat="1" x14ac:dyDescent="0.35"/>
    <row r="2533" customFormat="1" x14ac:dyDescent="0.35"/>
    <row r="2534" customFormat="1" x14ac:dyDescent="0.35"/>
    <row r="2535" customFormat="1" x14ac:dyDescent="0.35"/>
    <row r="2536" customFormat="1" x14ac:dyDescent="0.35"/>
    <row r="2537" customFormat="1" x14ac:dyDescent="0.35"/>
    <row r="2538" customFormat="1" x14ac:dyDescent="0.35"/>
    <row r="2539" customFormat="1" x14ac:dyDescent="0.35"/>
    <row r="2540" customFormat="1" x14ac:dyDescent="0.35"/>
    <row r="2541" customFormat="1" x14ac:dyDescent="0.35"/>
    <row r="2542" customFormat="1" x14ac:dyDescent="0.35"/>
    <row r="2543" customFormat="1" x14ac:dyDescent="0.35"/>
    <row r="2544" customFormat="1" x14ac:dyDescent="0.35"/>
    <row r="2545" customFormat="1" x14ac:dyDescent="0.35"/>
    <row r="2546" customFormat="1" x14ac:dyDescent="0.35"/>
    <row r="2547" customFormat="1" x14ac:dyDescent="0.35"/>
    <row r="2548" customFormat="1" x14ac:dyDescent="0.35"/>
    <row r="2549" customFormat="1" x14ac:dyDescent="0.35"/>
    <row r="2550" customFormat="1" x14ac:dyDescent="0.35"/>
    <row r="2551" customFormat="1" x14ac:dyDescent="0.35"/>
    <row r="2552" customFormat="1" x14ac:dyDescent="0.35"/>
    <row r="2553" customFormat="1" x14ac:dyDescent="0.35"/>
    <row r="2554" customFormat="1" x14ac:dyDescent="0.35"/>
    <row r="2555" customFormat="1" x14ac:dyDescent="0.35"/>
    <row r="2556" customFormat="1" x14ac:dyDescent="0.35"/>
    <row r="2557" customFormat="1" x14ac:dyDescent="0.35"/>
    <row r="2558" customFormat="1" x14ac:dyDescent="0.35"/>
    <row r="2559" customFormat="1" x14ac:dyDescent="0.35"/>
    <row r="2560" customFormat="1" x14ac:dyDescent="0.35"/>
    <row r="2561" customFormat="1" x14ac:dyDescent="0.35"/>
    <row r="2562" customFormat="1" x14ac:dyDescent="0.35"/>
    <row r="2563" customFormat="1" x14ac:dyDescent="0.35"/>
    <row r="2564" customFormat="1" x14ac:dyDescent="0.35"/>
    <row r="2565" customFormat="1" x14ac:dyDescent="0.35"/>
    <row r="2566" customFormat="1" x14ac:dyDescent="0.35"/>
    <row r="2567" customFormat="1" x14ac:dyDescent="0.35"/>
    <row r="2568" customFormat="1" x14ac:dyDescent="0.35"/>
    <row r="2569" customFormat="1" x14ac:dyDescent="0.35"/>
    <row r="2570" customFormat="1" x14ac:dyDescent="0.35"/>
    <row r="2571" customFormat="1" x14ac:dyDescent="0.35"/>
    <row r="2572" customFormat="1" x14ac:dyDescent="0.35"/>
    <row r="2573" customFormat="1" x14ac:dyDescent="0.35"/>
    <row r="2574" customFormat="1" x14ac:dyDescent="0.35"/>
    <row r="2575" customFormat="1" x14ac:dyDescent="0.35"/>
    <row r="2576" customFormat="1" x14ac:dyDescent="0.35"/>
    <row r="2577" customFormat="1" x14ac:dyDescent="0.35"/>
    <row r="2578" customFormat="1" x14ac:dyDescent="0.35"/>
    <row r="2579" customFormat="1" x14ac:dyDescent="0.35"/>
    <row r="2580" customFormat="1" x14ac:dyDescent="0.35"/>
    <row r="2581" customFormat="1" x14ac:dyDescent="0.35"/>
    <row r="2582" customFormat="1" x14ac:dyDescent="0.35"/>
    <row r="2583" customFormat="1" x14ac:dyDescent="0.35"/>
    <row r="2584" customFormat="1" x14ac:dyDescent="0.35"/>
    <row r="2585" customFormat="1" x14ac:dyDescent="0.35"/>
    <row r="2586" customFormat="1" x14ac:dyDescent="0.35"/>
    <row r="2587" customFormat="1" x14ac:dyDescent="0.35"/>
    <row r="2588" customFormat="1" x14ac:dyDescent="0.35"/>
    <row r="2589" customFormat="1" x14ac:dyDescent="0.35"/>
    <row r="2590" customFormat="1" x14ac:dyDescent="0.35"/>
    <row r="2591" customFormat="1" x14ac:dyDescent="0.35"/>
    <row r="2592" customFormat="1" x14ac:dyDescent="0.35"/>
    <row r="2593" customFormat="1" x14ac:dyDescent="0.35"/>
    <row r="2594" customFormat="1" x14ac:dyDescent="0.35"/>
    <row r="2595" customFormat="1" x14ac:dyDescent="0.35"/>
    <row r="2596" customFormat="1" x14ac:dyDescent="0.35"/>
    <row r="2597" customFormat="1" x14ac:dyDescent="0.35"/>
    <row r="2598" customFormat="1" x14ac:dyDescent="0.35"/>
    <row r="2599" customFormat="1" x14ac:dyDescent="0.35"/>
    <row r="2600" customFormat="1" x14ac:dyDescent="0.35"/>
    <row r="2601" customFormat="1" x14ac:dyDescent="0.35"/>
    <row r="2602" customFormat="1" x14ac:dyDescent="0.35"/>
    <row r="2603" customFormat="1" x14ac:dyDescent="0.35"/>
    <row r="2604" customFormat="1" x14ac:dyDescent="0.35"/>
    <row r="2605" customFormat="1" x14ac:dyDescent="0.35"/>
    <row r="2606" customFormat="1" x14ac:dyDescent="0.35"/>
    <row r="2607" customFormat="1" x14ac:dyDescent="0.35"/>
    <row r="2608" customFormat="1" x14ac:dyDescent="0.35"/>
    <row r="2609" customFormat="1" x14ac:dyDescent="0.35"/>
    <row r="2610" customFormat="1" x14ac:dyDescent="0.35"/>
    <row r="2611" customFormat="1" x14ac:dyDescent="0.35"/>
    <row r="2612" customFormat="1" x14ac:dyDescent="0.35"/>
    <row r="2613" customFormat="1" x14ac:dyDescent="0.35"/>
    <row r="2614" customFormat="1" x14ac:dyDescent="0.35"/>
    <row r="2615" customFormat="1" x14ac:dyDescent="0.35"/>
    <row r="2616" customFormat="1" x14ac:dyDescent="0.35"/>
    <row r="2617" customFormat="1" x14ac:dyDescent="0.35"/>
    <row r="2618" customFormat="1" x14ac:dyDescent="0.35"/>
    <row r="2619" customFormat="1" x14ac:dyDescent="0.35"/>
    <row r="2620" customFormat="1" x14ac:dyDescent="0.35"/>
    <row r="2621" customFormat="1" x14ac:dyDescent="0.35"/>
    <row r="2622" customFormat="1" x14ac:dyDescent="0.35"/>
    <row r="2623" customFormat="1" x14ac:dyDescent="0.35"/>
    <row r="2624" customFormat="1" x14ac:dyDescent="0.35"/>
    <row r="2625" customFormat="1" x14ac:dyDescent="0.35"/>
    <row r="2626" customFormat="1" x14ac:dyDescent="0.35"/>
    <row r="2627" customFormat="1" x14ac:dyDescent="0.35"/>
    <row r="2628" customFormat="1" x14ac:dyDescent="0.35"/>
    <row r="2629" customFormat="1" x14ac:dyDescent="0.35"/>
    <row r="2630" customFormat="1" x14ac:dyDescent="0.35"/>
    <row r="2631" customFormat="1" x14ac:dyDescent="0.35"/>
    <row r="2632" customFormat="1" x14ac:dyDescent="0.35"/>
    <row r="2633" customFormat="1" x14ac:dyDescent="0.35"/>
    <row r="2634" customFormat="1" x14ac:dyDescent="0.35"/>
    <row r="2635" customFormat="1" x14ac:dyDescent="0.35"/>
    <row r="2636" customFormat="1" x14ac:dyDescent="0.35"/>
    <row r="2637" customFormat="1" x14ac:dyDescent="0.35"/>
    <row r="2638" customFormat="1" x14ac:dyDescent="0.35"/>
    <row r="2639" customFormat="1" x14ac:dyDescent="0.35"/>
    <row r="2640" customFormat="1" x14ac:dyDescent="0.35"/>
    <row r="2641" customFormat="1" x14ac:dyDescent="0.35"/>
    <row r="2642" customFormat="1" x14ac:dyDescent="0.35"/>
    <row r="2643" customFormat="1" x14ac:dyDescent="0.35"/>
    <row r="2644" customFormat="1" x14ac:dyDescent="0.35"/>
    <row r="2645" customFormat="1" x14ac:dyDescent="0.35"/>
    <row r="2646" customFormat="1" x14ac:dyDescent="0.35"/>
    <row r="2647" customFormat="1" x14ac:dyDescent="0.35"/>
    <row r="2648" customFormat="1" x14ac:dyDescent="0.35"/>
    <row r="2649" customFormat="1" x14ac:dyDescent="0.35"/>
    <row r="2650" customFormat="1" x14ac:dyDescent="0.35"/>
    <row r="2651" customFormat="1" x14ac:dyDescent="0.35"/>
    <row r="2652" customFormat="1" x14ac:dyDescent="0.35"/>
    <row r="2653" customFormat="1" x14ac:dyDescent="0.35"/>
    <row r="2654" customFormat="1" x14ac:dyDescent="0.35"/>
    <row r="2655" customFormat="1" x14ac:dyDescent="0.35"/>
    <row r="2656" customFormat="1" x14ac:dyDescent="0.35"/>
    <row r="2657" customFormat="1" x14ac:dyDescent="0.35"/>
    <row r="2658" customFormat="1" x14ac:dyDescent="0.35"/>
    <row r="2659" customFormat="1" x14ac:dyDescent="0.35"/>
    <row r="2660" customFormat="1" x14ac:dyDescent="0.35"/>
    <row r="2661" customFormat="1" x14ac:dyDescent="0.35"/>
    <row r="2662" customFormat="1" x14ac:dyDescent="0.35"/>
    <row r="2663" customFormat="1" x14ac:dyDescent="0.35"/>
    <row r="2664" customFormat="1" x14ac:dyDescent="0.35"/>
    <row r="2665" customFormat="1" x14ac:dyDescent="0.35"/>
    <row r="2666" customFormat="1" x14ac:dyDescent="0.35"/>
    <row r="2667" customFormat="1" x14ac:dyDescent="0.35"/>
    <row r="2668" customFormat="1" x14ac:dyDescent="0.35"/>
    <row r="2669" customFormat="1" x14ac:dyDescent="0.35"/>
    <row r="2670" customFormat="1" x14ac:dyDescent="0.35"/>
    <row r="2671" customFormat="1" x14ac:dyDescent="0.35"/>
    <row r="2672" customFormat="1" x14ac:dyDescent="0.35"/>
    <row r="2673" customFormat="1" x14ac:dyDescent="0.35"/>
    <row r="2674" customFormat="1" x14ac:dyDescent="0.35"/>
    <row r="2675" customFormat="1" x14ac:dyDescent="0.35"/>
    <row r="2676" customFormat="1" x14ac:dyDescent="0.35"/>
    <row r="2677" customFormat="1" x14ac:dyDescent="0.35"/>
    <row r="2678" customFormat="1" x14ac:dyDescent="0.35"/>
    <row r="2679" customFormat="1" x14ac:dyDescent="0.35"/>
    <row r="2680" customFormat="1" x14ac:dyDescent="0.35"/>
    <row r="2681" customFormat="1" x14ac:dyDescent="0.35"/>
    <row r="2682" customFormat="1" x14ac:dyDescent="0.35"/>
    <row r="2683" customFormat="1" x14ac:dyDescent="0.35"/>
    <row r="2684" customFormat="1" x14ac:dyDescent="0.35"/>
    <row r="2685" customFormat="1" x14ac:dyDescent="0.35"/>
    <row r="2686" customFormat="1" x14ac:dyDescent="0.35"/>
    <row r="2687" customFormat="1" x14ac:dyDescent="0.35"/>
    <row r="2688" customFormat="1" x14ac:dyDescent="0.35"/>
    <row r="2689" customFormat="1" x14ac:dyDescent="0.35"/>
    <row r="2690" customFormat="1" x14ac:dyDescent="0.35"/>
    <row r="2691" customFormat="1" x14ac:dyDescent="0.35"/>
    <row r="2692" customFormat="1" x14ac:dyDescent="0.35"/>
    <row r="2693" customFormat="1" x14ac:dyDescent="0.35"/>
    <row r="2694" customFormat="1" x14ac:dyDescent="0.35"/>
    <row r="2695" customFormat="1" x14ac:dyDescent="0.35"/>
    <row r="2696" customFormat="1" x14ac:dyDescent="0.35"/>
    <row r="2697" customFormat="1" x14ac:dyDescent="0.35"/>
    <row r="2698" customFormat="1" x14ac:dyDescent="0.35"/>
    <row r="2699" customFormat="1" x14ac:dyDescent="0.35"/>
    <row r="2700" customFormat="1" x14ac:dyDescent="0.35"/>
    <row r="2701" customFormat="1" x14ac:dyDescent="0.35"/>
    <row r="2702" customFormat="1" x14ac:dyDescent="0.35"/>
    <row r="2703" customFormat="1" x14ac:dyDescent="0.35"/>
    <row r="2704" customFormat="1" x14ac:dyDescent="0.35"/>
    <row r="2705" customFormat="1" x14ac:dyDescent="0.35"/>
    <row r="2706" customFormat="1" x14ac:dyDescent="0.35"/>
    <row r="2707" customFormat="1" x14ac:dyDescent="0.35"/>
    <row r="2708" customFormat="1" x14ac:dyDescent="0.35"/>
    <row r="2709" customFormat="1" x14ac:dyDescent="0.35"/>
    <row r="2710" customFormat="1" x14ac:dyDescent="0.35"/>
    <row r="2711" customFormat="1" x14ac:dyDescent="0.35"/>
    <row r="2712" customFormat="1" x14ac:dyDescent="0.35"/>
    <row r="2713" customFormat="1" x14ac:dyDescent="0.35"/>
    <row r="2714" customFormat="1" x14ac:dyDescent="0.35"/>
    <row r="2715" customFormat="1" x14ac:dyDescent="0.35"/>
    <row r="2716" customFormat="1" x14ac:dyDescent="0.35"/>
    <row r="2717" customFormat="1" x14ac:dyDescent="0.35"/>
    <row r="2718" customFormat="1" x14ac:dyDescent="0.35"/>
    <row r="2719" customFormat="1" x14ac:dyDescent="0.35"/>
    <row r="2720" customFormat="1" x14ac:dyDescent="0.35"/>
    <row r="2721" customFormat="1" x14ac:dyDescent="0.35"/>
    <row r="2722" customFormat="1" x14ac:dyDescent="0.35"/>
    <row r="2723" customFormat="1" x14ac:dyDescent="0.35"/>
    <row r="2724" customFormat="1" x14ac:dyDescent="0.35"/>
    <row r="2725" customFormat="1" x14ac:dyDescent="0.35"/>
    <row r="2726" customFormat="1" x14ac:dyDescent="0.35"/>
    <row r="2727" customFormat="1" x14ac:dyDescent="0.35"/>
    <row r="2728" customFormat="1" x14ac:dyDescent="0.35"/>
    <row r="2729" customFormat="1" x14ac:dyDescent="0.35"/>
    <row r="2730" customFormat="1" x14ac:dyDescent="0.35"/>
    <row r="2731" customFormat="1" x14ac:dyDescent="0.35"/>
    <row r="2732" customFormat="1" x14ac:dyDescent="0.35"/>
    <row r="2733" customFormat="1" x14ac:dyDescent="0.35"/>
    <row r="2734" customFormat="1" x14ac:dyDescent="0.35"/>
    <row r="2735" customFormat="1" x14ac:dyDescent="0.35"/>
    <row r="2736" customFormat="1" x14ac:dyDescent="0.35"/>
    <row r="2737" customFormat="1" x14ac:dyDescent="0.35"/>
    <row r="2738" customFormat="1" x14ac:dyDescent="0.35"/>
    <row r="2739" customFormat="1" x14ac:dyDescent="0.35"/>
    <row r="2740" customFormat="1" x14ac:dyDescent="0.35"/>
    <row r="2741" customFormat="1" x14ac:dyDescent="0.35"/>
    <row r="2742" customFormat="1" x14ac:dyDescent="0.35"/>
    <row r="2743" customFormat="1" x14ac:dyDescent="0.35"/>
    <row r="2744" customFormat="1" x14ac:dyDescent="0.35"/>
    <row r="2745" customFormat="1" x14ac:dyDescent="0.35"/>
    <row r="2746" customFormat="1" x14ac:dyDescent="0.35"/>
    <row r="2747" customFormat="1" x14ac:dyDescent="0.35"/>
    <row r="2748" customFormat="1" x14ac:dyDescent="0.35"/>
    <row r="2749" customFormat="1" x14ac:dyDescent="0.35"/>
    <row r="2750" customFormat="1" x14ac:dyDescent="0.35"/>
    <row r="2751" customFormat="1" x14ac:dyDescent="0.35"/>
    <row r="2752" customFormat="1" x14ac:dyDescent="0.35"/>
    <row r="2753" customFormat="1" x14ac:dyDescent="0.35"/>
    <row r="2754" customFormat="1" x14ac:dyDescent="0.35"/>
    <row r="2755" customFormat="1" x14ac:dyDescent="0.35"/>
    <row r="2756" customFormat="1" x14ac:dyDescent="0.35"/>
    <row r="2757" customFormat="1" x14ac:dyDescent="0.35"/>
    <row r="2758" customFormat="1" x14ac:dyDescent="0.35"/>
    <row r="2759" customFormat="1" x14ac:dyDescent="0.35"/>
    <row r="2760" customFormat="1" x14ac:dyDescent="0.35"/>
    <row r="2761" customFormat="1" x14ac:dyDescent="0.35"/>
    <row r="2762" customFormat="1" x14ac:dyDescent="0.35"/>
    <row r="2763" customFormat="1" x14ac:dyDescent="0.35"/>
    <row r="2764" customFormat="1" x14ac:dyDescent="0.35"/>
    <row r="2765" customFormat="1" x14ac:dyDescent="0.35"/>
    <row r="2766" customFormat="1" x14ac:dyDescent="0.35"/>
    <row r="2767" customFormat="1" x14ac:dyDescent="0.35"/>
    <row r="2768" customFormat="1" x14ac:dyDescent="0.35"/>
    <row r="2769" customFormat="1" x14ac:dyDescent="0.35"/>
    <row r="2770" customFormat="1" x14ac:dyDescent="0.35"/>
    <row r="2771" customFormat="1" x14ac:dyDescent="0.35"/>
    <row r="2772" customFormat="1" x14ac:dyDescent="0.35"/>
    <row r="2773" customFormat="1" x14ac:dyDescent="0.35"/>
    <row r="2774" customFormat="1" x14ac:dyDescent="0.35"/>
    <row r="2775" customFormat="1" x14ac:dyDescent="0.35"/>
    <row r="2776" customFormat="1" x14ac:dyDescent="0.35"/>
    <row r="2777" customFormat="1" x14ac:dyDescent="0.35"/>
    <row r="2778" customFormat="1" x14ac:dyDescent="0.35"/>
    <row r="2779" customFormat="1" x14ac:dyDescent="0.35"/>
    <row r="2780" customFormat="1" x14ac:dyDescent="0.35"/>
    <row r="2781" customFormat="1" x14ac:dyDescent="0.35"/>
    <row r="2782" customFormat="1" x14ac:dyDescent="0.35"/>
    <row r="2783" customFormat="1" x14ac:dyDescent="0.35"/>
    <row r="2784" customFormat="1" x14ac:dyDescent="0.35"/>
    <row r="2785" customFormat="1" x14ac:dyDescent="0.35"/>
    <row r="2786" customFormat="1" x14ac:dyDescent="0.35"/>
    <row r="2787" customFormat="1" x14ac:dyDescent="0.35"/>
    <row r="2788" customFormat="1" x14ac:dyDescent="0.35"/>
    <row r="2789" customFormat="1" x14ac:dyDescent="0.35"/>
    <row r="2790" customFormat="1" x14ac:dyDescent="0.35"/>
    <row r="2791" customFormat="1" x14ac:dyDescent="0.35"/>
    <row r="2792" customFormat="1" x14ac:dyDescent="0.35"/>
    <row r="2793" customFormat="1" x14ac:dyDescent="0.35"/>
    <row r="2794" customFormat="1" x14ac:dyDescent="0.35"/>
    <row r="2795" customFormat="1" x14ac:dyDescent="0.35"/>
    <row r="2796" customFormat="1" x14ac:dyDescent="0.35"/>
    <row r="2797" customFormat="1" x14ac:dyDescent="0.35"/>
    <row r="2798" customFormat="1" x14ac:dyDescent="0.35"/>
    <row r="2799" customFormat="1" x14ac:dyDescent="0.35"/>
    <row r="2800" customFormat="1" x14ac:dyDescent="0.35"/>
    <row r="2801" customFormat="1" x14ac:dyDescent="0.35"/>
    <row r="2802" customFormat="1" x14ac:dyDescent="0.35"/>
    <row r="2803" customFormat="1" x14ac:dyDescent="0.35"/>
    <row r="2804" customFormat="1" x14ac:dyDescent="0.35"/>
    <row r="2805" customFormat="1" x14ac:dyDescent="0.35"/>
    <row r="2806" customFormat="1" x14ac:dyDescent="0.35"/>
    <row r="2807" customFormat="1" x14ac:dyDescent="0.35"/>
    <row r="2808" customFormat="1" x14ac:dyDescent="0.35"/>
    <row r="2809" customFormat="1" x14ac:dyDescent="0.35"/>
    <row r="2810" customFormat="1" x14ac:dyDescent="0.35"/>
    <row r="2811" customFormat="1" x14ac:dyDescent="0.35"/>
    <row r="2812" customFormat="1" x14ac:dyDescent="0.35"/>
    <row r="2813" customFormat="1" x14ac:dyDescent="0.35"/>
    <row r="2814" customFormat="1" x14ac:dyDescent="0.35"/>
    <row r="2815" customFormat="1" x14ac:dyDescent="0.35"/>
    <row r="2816" customFormat="1" x14ac:dyDescent="0.35"/>
    <row r="2817" customFormat="1" x14ac:dyDescent="0.35"/>
    <row r="2818" customFormat="1" x14ac:dyDescent="0.35"/>
    <row r="2819" customFormat="1" x14ac:dyDescent="0.35"/>
    <row r="2820" customFormat="1" x14ac:dyDescent="0.35"/>
    <row r="2821" customFormat="1" x14ac:dyDescent="0.35"/>
    <row r="2822" customFormat="1" x14ac:dyDescent="0.35"/>
    <row r="2823" customFormat="1" x14ac:dyDescent="0.35"/>
    <row r="2824" customFormat="1" x14ac:dyDescent="0.35"/>
    <row r="2825" customFormat="1" x14ac:dyDescent="0.35"/>
    <row r="2826" customFormat="1" x14ac:dyDescent="0.35"/>
    <row r="2827" customFormat="1" x14ac:dyDescent="0.35"/>
    <row r="2828" customFormat="1" x14ac:dyDescent="0.35"/>
    <row r="2829" customFormat="1" x14ac:dyDescent="0.35"/>
    <row r="2830" customFormat="1" x14ac:dyDescent="0.35"/>
    <row r="2831" customFormat="1" x14ac:dyDescent="0.35"/>
    <row r="2832" customFormat="1" x14ac:dyDescent="0.35"/>
    <row r="2833" customFormat="1" x14ac:dyDescent="0.35"/>
    <row r="2834" customFormat="1" x14ac:dyDescent="0.35"/>
    <row r="2835" customFormat="1" x14ac:dyDescent="0.35"/>
    <row r="2836" customFormat="1" x14ac:dyDescent="0.35"/>
    <row r="2837" customFormat="1" x14ac:dyDescent="0.35"/>
    <row r="2838" customFormat="1" x14ac:dyDescent="0.35"/>
    <row r="2839" customFormat="1" x14ac:dyDescent="0.35"/>
    <row r="2840" customFormat="1" x14ac:dyDescent="0.35"/>
    <row r="2841" customFormat="1" x14ac:dyDescent="0.35"/>
    <row r="2842" customFormat="1" x14ac:dyDescent="0.35"/>
    <row r="2843" customFormat="1" x14ac:dyDescent="0.35"/>
    <row r="2844" customFormat="1" x14ac:dyDescent="0.35"/>
    <row r="2845" customFormat="1" x14ac:dyDescent="0.35"/>
    <row r="2846" customFormat="1" x14ac:dyDescent="0.35"/>
    <row r="2847" customFormat="1" x14ac:dyDescent="0.35"/>
    <row r="2848" customFormat="1" x14ac:dyDescent="0.35"/>
    <row r="2849" customFormat="1" x14ac:dyDescent="0.35"/>
    <row r="2850" customFormat="1" x14ac:dyDescent="0.35"/>
    <row r="2851" customFormat="1" x14ac:dyDescent="0.35"/>
    <row r="2852" customFormat="1" x14ac:dyDescent="0.35"/>
    <row r="2853" customFormat="1" x14ac:dyDescent="0.35"/>
    <row r="2854" customFormat="1" x14ac:dyDescent="0.35"/>
    <row r="2855" customFormat="1" x14ac:dyDescent="0.35"/>
    <row r="2856" customFormat="1" x14ac:dyDescent="0.35"/>
    <row r="2857" customFormat="1" x14ac:dyDescent="0.35"/>
    <row r="2858" customFormat="1" x14ac:dyDescent="0.35"/>
    <row r="2859" customFormat="1" x14ac:dyDescent="0.35"/>
    <row r="2860" customFormat="1" x14ac:dyDescent="0.35"/>
    <row r="2861" customFormat="1" x14ac:dyDescent="0.35"/>
    <row r="2862" customFormat="1" x14ac:dyDescent="0.35"/>
    <row r="2863" customFormat="1" x14ac:dyDescent="0.35"/>
    <row r="2864" customFormat="1" x14ac:dyDescent="0.35"/>
    <row r="2865" customFormat="1" x14ac:dyDescent="0.35"/>
    <row r="2866" customFormat="1" x14ac:dyDescent="0.35"/>
    <row r="2867" customFormat="1" x14ac:dyDescent="0.35"/>
    <row r="2868" customFormat="1" x14ac:dyDescent="0.35"/>
    <row r="2869" customFormat="1" x14ac:dyDescent="0.35"/>
    <row r="2870" customFormat="1" x14ac:dyDescent="0.35"/>
    <row r="2871" customFormat="1" x14ac:dyDescent="0.35"/>
    <row r="2872" customFormat="1" x14ac:dyDescent="0.35"/>
    <row r="2873" customFormat="1" x14ac:dyDescent="0.35"/>
    <row r="2874" customFormat="1" x14ac:dyDescent="0.35"/>
    <row r="2875" customFormat="1" x14ac:dyDescent="0.35"/>
    <row r="2876" customFormat="1" x14ac:dyDescent="0.35"/>
    <row r="2877" customFormat="1" x14ac:dyDescent="0.35"/>
    <row r="2878" customFormat="1" x14ac:dyDescent="0.35"/>
    <row r="2879" customFormat="1" x14ac:dyDescent="0.35"/>
    <row r="2880" customFormat="1" x14ac:dyDescent="0.35"/>
    <row r="2881" customFormat="1" x14ac:dyDescent="0.35"/>
    <row r="2882" customFormat="1" x14ac:dyDescent="0.35"/>
    <row r="2883" customFormat="1" x14ac:dyDescent="0.35"/>
    <row r="2884" customFormat="1" x14ac:dyDescent="0.35"/>
    <row r="2885" customFormat="1" x14ac:dyDescent="0.35"/>
    <row r="2886" customFormat="1" x14ac:dyDescent="0.35"/>
    <row r="2887" customFormat="1" x14ac:dyDescent="0.35"/>
    <row r="2888" customFormat="1" x14ac:dyDescent="0.35"/>
    <row r="2889" customFormat="1" x14ac:dyDescent="0.35"/>
    <row r="2890" customFormat="1" x14ac:dyDescent="0.35"/>
    <row r="2891" customFormat="1" x14ac:dyDescent="0.35"/>
    <row r="2892" customFormat="1" x14ac:dyDescent="0.35"/>
    <row r="2893" customFormat="1" x14ac:dyDescent="0.35"/>
    <row r="2894" customFormat="1" x14ac:dyDescent="0.35"/>
    <row r="2895" customFormat="1" x14ac:dyDescent="0.35"/>
    <row r="2896" customFormat="1" x14ac:dyDescent="0.35"/>
    <row r="2897" customFormat="1" x14ac:dyDescent="0.35"/>
    <row r="2898" customFormat="1" x14ac:dyDescent="0.35"/>
    <row r="2899" customFormat="1" x14ac:dyDescent="0.35"/>
    <row r="2900" customFormat="1" x14ac:dyDescent="0.35"/>
    <row r="2901" customFormat="1" x14ac:dyDescent="0.35"/>
    <row r="2902" customFormat="1" x14ac:dyDescent="0.35"/>
    <row r="2903" customFormat="1" x14ac:dyDescent="0.35"/>
    <row r="2904" customFormat="1" x14ac:dyDescent="0.35"/>
    <row r="2905" customFormat="1" x14ac:dyDescent="0.35"/>
    <row r="2906" customFormat="1" x14ac:dyDescent="0.35"/>
    <row r="2907" customFormat="1" x14ac:dyDescent="0.35"/>
    <row r="2908" customFormat="1" x14ac:dyDescent="0.35"/>
    <row r="2909" customFormat="1" x14ac:dyDescent="0.35"/>
    <row r="2910" customFormat="1" x14ac:dyDescent="0.35"/>
    <row r="2911" customFormat="1" x14ac:dyDescent="0.35"/>
    <row r="2912" customFormat="1" x14ac:dyDescent="0.35"/>
    <row r="2913" customFormat="1" x14ac:dyDescent="0.35"/>
    <row r="2914" customFormat="1" x14ac:dyDescent="0.35"/>
    <row r="2915" customFormat="1" x14ac:dyDescent="0.35"/>
    <row r="2916" customFormat="1" x14ac:dyDescent="0.35"/>
    <row r="2917" customFormat="1" x14ac:dyDescent="0.35"/>
    <row r="2918" customFormat="1" x14ac:dyDescent="0.35"/>
    <row r="2919" customFormat="1" x14ac:dyDescent="0.35"/>
    <row r="2920" customFormat="1" x14ac:dyDescent="0.35"/>
    <row r="2921" customFormat="1" x14ac:dyDescent="0.35"/>
    <row r="2922" customFormat="1" x14ac:dyDescent="0.35"/>
    <row r="2923" customFormat="1" x14ac:dyDescent="0.35"/>
    <row r="2924" customFormat="1" x14ac:dyDescent="0.35"/>
    <row r="2925" customFormat="1" x14ac:dyDescent="0.35"/>
    <row r="2926" customFormat="1" x14ac:dyDescent="0.35"/>
    <row r="2927" customFormat="1" x14ac:dyDescent="0.35"/>
    <row r="2928" customFormat="1" x14ac:dyDescent="0.35"/>
    <row r="2929" customFormat="1" x14ac:dyDescent="0.35"/>
    <row r="2930" customFormat="1" x14ac:dyDescent="0.35"/>
    <row r="2931" customFormat="1" x14ac:dyDescent="0.35"/>
    <row r="2932" customFormat="1" x14ac:dyDescent="0.35"/>
    <row r="2933" customFormat="1" x14ac:dyDescent="0.35"/>
    <row r="2934" customFormat="1" x14ac:dyDescent="0.35"/>
    <row r="2935" customFormat="1" x14ac:dyDescent="0.35"/>
    <row r="2936" customFormat="1" x14ac:dyDescent="0.35"/>
    <row r="2937" customFormat="1" x14ac:dyDescent="0.35"/>
    <row r="2938" customFormat="1" x14ac:dyDescent="0.35"/>
    <row r="2939" customFormat="1" x14ac:dyDescent="0.35"/>
    <row r="2940" customFormat="1" x14ac:dyDescent="0.35"/>
    <row r="2941" customFormat="1" x14ac:dyDescent="0.35"/>
    <row r="2942" customFormat="1" x14ac:dyDescent="0.35"/>
    <row r="2943" customFormat="1" x14ac:dyDescent="0.35"/>
    <row r="2944" customFormat="1" x14ac:dyDescent="0.35"/>
    <row r="2945" customFormat="1" x14ac:dyDescent="0.35"/>
    <row r="2946" customFormat="1" x14ac:dyDescent="0.35"/>
    <row r="2947" customFormat="1" x14ac:dyDescent="0.35"/>
    <row r="2948" customFormat="1" x14ac:dyDescent="0.35"/>
    <row r="2949" customFormat="1" x14ac:dyDescent="0.35"/>
    <row r="2950" customFormat="1" x14ac:dyDescent="0.35"/>
    <row r="2951" customFormat="1" x14ac:dyDescent="0.35"/>
    <row r="2952" customFormat="1" x14ac:dyDescent="0.35"/>
    <row r="2953" customFormat="1" x14ac:dyDescent="0.35"/>
    <row r="2954" customFormat="1" x14ac:dyDescent="0.35"/>
    <row r="2955" customFormat="1" x14ac:dyDescent="0.35"/>
    <row r="2956" customFormat="1" x14ac:dyDescent="0.35"/>
    <row r="2957" customFormat="1" x14ac:dyDescent="0.35"/>
    <row r="2958" customFormat="1" x14ac:dyDescent="0.35"/>
    <row r="2959" customFormat="1" x14ac:dyDescent="0.35"/>
    <row r="2960" customFormat="1" x14ac:dyDescent="0.35"/>
    <row r="2961" customFormat="1" x14ac:dyDescent="0.35"/>
    <row r="2962" customFormat="1" x14ac:dyDescent="0.35"/>
    <row r="2963" customFormat="1" x14ac:dyDescent="0.35"/>
    <row r="2964" customFormat="1" x14ac:dyDescent="0.35"/>
    <row r="2965" customFormat="1" x14ac:dyDescent="0.35"/>
    <row r="2966" customFormat="1" x14ac:dyDescent="0.35"/>
    <row r="2967" customFormat="1" x14ac:dyDescent="0.35"/>
    <row r="2968" customFormat="1" x14ac:dyDescent="0.35"/>
    <row r="2969" customFormat="1" x14ac:dyDescent="0.35"/>
    <row r="2970" customFormat="1" x14ac:dyDescent="0.35"/>
    <row r="2971" customFormat="1" x14ac:dyDescent="0.35"/>
    <row r="2972" customFormat="1" x14ac:dyDescent="0.35"/>
    <row r="2973" customFormat="1" x14ac:dyDescent="0.35"/>
    <row r="2974" customFormat="1" x14ac:dyDescent="0.35"/>
    <row r="2975" customFormat="1" x14ac:dyDescent="0.35"/>
    <row r="2976" customFormat="1" x14ac:dyDescent="0.35"/>
    <row r="2977" customFormat="1" x14ac:dyDescent="0.35"/>
    <row r="2978" customFormat="1" x14ac:dyDescent="0.35"/>
    <row r="2979" customFormat="1" x14ac:dyDescent="0.35"/>
    <row r="2980" customFormat="1" x14ac:dyDescent="0.35"/>
    <row r="2981" customFormat="1" x14ac:dyDescent="0.35"/>
    <row r="2982" customFormat="1" x14ac:dyDescent="0.35"/>
    <row r="2983" customFormat="1" x14ac:dyDescent="0.35"/>
    <row r="2984" customFormat="1" x14ac:dyDescent="0.35"/>
    <row r="2985" customFormat="1" x14ac:dyDescent="0.35"/>
    <row r="2986" customFormat="1" x14ac:dyDescent="0.35"/>
    <row r="2987" customFormat="1" x14ac:dyDescent="0.35"/>
    <row r="2988" customFormat="1" x14ac:dyDescent="0.35"/>
    <row r="2989" customFormat="1" x14ac:dyDescent="0.35"/>
    <row r="2990" customFormat="1" x14ac:dyDescent="0.35"/>
    <row r="2991" customFormat="1" x14ac:dyDescent="0.35"/>
    <row r="2992" customFormat="1" x14ac:dyDescent="0.35"/>
    <row r="2993" customFormat="1" x14ac:dyDescent="0.35"/>
    <row r="2994" customFormat="1" x14ac:dyDescent="0.35"/>
    <row r="2995" customFormat="1" x14ac:dyDescent="0.35"/>
    <row r="2996" customFormat="1" x14ac:dyDescent="0.35"/>
    <row r="2997" customFormat="1" x14ac:dyDescent="0.35"/>
    <row r="2998" customFormat="1" x14ac:dyDescent="0.35"/>
    <row r="2999" customFormat="1" x14ac:dyDescent="0.35"/>
    <row r="3000" customFormat="1" x14ac:dyDescent="0.35"/>
    <row r="3001" customFormat="1" x14ac:dyDescent="0.35"/>
    <row r="3002" customFormat="1" x14ac:dyDescent="0.35"/>
    <row r="3003" customFormat="1" x14ac:dyDescent="0.35"/>
    <row r="3004" customFormat="1" x14ac:dyDescent="0.35"/>
    <row r="3005" customFormat="1" x14ac:dyDescent="0.35"/>
    <row r="3006" customFormat="1" x14ac:dyDescent="0.35"/>
    <row r="3007" customFormat="1" x14ac:dyDescent="0.35"/>
    <row r="3008" customFormat="1" x14ac:dyDescent="0.35"/>
    <row r="3009" customFormat="1" x14ac:dyDescent="0.35"/>
    <row r="3010" customFormat="1" x14ac:dyDescent="0.35"/>
    <row r="3011" customFormat="1" x14ac:dyDescent="0.35"/>
    <row r="3012" customFormat="1" x14ac:dyDescent="0.35"/>
    <row r="3013" customFormat="1" x14ac:dyDescent="0.35"/>
    <row r="3014" customFormat="1" x14ac:dyDescent="0.35"/>
    <row r="3015" customFormat="1" x14ac:dyDescent="0.35"/>
    <row r="3016" customFormat="1" x14ac:dyDescent="0.35"/>
    <row r="3017" customFormat="1" x14ac:dyDescent="0.35"/>
    <row r="3018" customFormat="1" x14ac:dyDescent="0.35"/>
    <row r="3019" customFormat="1" x14ac:dyDescent="0.35"/>
    <row r="3020" customFormat="1" x14ac:dyDescent="0.35"/>
    <row r="3021" customFormat="1" x14ac:dyDescent="0.35"/>
    <row r="3022" customFormat="1" x14ac:dyDescent="0.35"/>
    <row r="3023" customFormat="1" x14ac:dyDescent="0.35"/>
    <row r="3024" customFormat="1" x14ac:dyDescent="0.35"/>
    <row r="3025" customFormat="1" x14ac:dyDescent="0.35"/>
    <row r="3026" customFormat="1" x14ac:dyDescent="0.35"/>
    <row r="3027" customFormat="1" x14ac:dyDescent="0.35"/>
    <row r="3028" customFormat="1" x14ac:dyDescent="0.35"/>
    <row r="3029" customFormat="1" x14ac:dyDescent="0.35"/>
    <row r="3030" customFormat="1" x14ac:dyDescent="0.35"/>
    <row r="3031" customFormat="1" x14ac:dyDescent="0.35"/>
    <row r="3032" customFormat="1" x14ac:dyDescent="0.35"/>
    <row r="3033" customFormat="1" x14ac:dyDescent="0.35"/>
    <row r="3034" customFormat="1" x14ac:dyDescent="0.35"/>
    <row r="3035" customFormat="1" x14ac:dyDescent="0.35"/>
    <row r="3036" customFormat="1" x14ac:dyDescent="0.35"/>
    <row r="3037" customFormat="1" x14ac:dyDescent="0.35"/>
    <row r="3038" customFormat="1" x14ac:dyDescent="0.35"/>
    <row r="3039" customFormat="1" x14ac:dyDescent="0.35"/>
    <row r="3040" customFormat="1" x14ac:dyDescent="0.35"/>
    <row r="3041" customFormat="1" x14ac:dyDescent="0.35"/>
    <row r="3042" customFormat="1" x14ac:dyDescent="0.35"/>
    <row r="3043" customFormat="1" x14ac:dyDescent="0.35"/>
    <row r="3044" customFormat="1" x14ac:dyDescent="0.35"/>
    <row r="3045" customFormat="1" x14ac:dyDescent="0.35"/>
    <row r="3046" customFormat="1" x14ac:dyDescent="0.35"/>
    <row r="3047" customFormat="1" x14ac:dyDescent="0.35"/>
    <row r="3048" customFormat="1" x14ac:dyDescent="0.35"/>
    <row r="3049" customFormat="1" x14ac:dyDescent="0.35"/>
    <row r="3050" customFormat="1" x14ac:dyDescent="0.35"/>
    <row r="3051" customFormat="1" x14ac:dyDescent="0.35"/>
    <row r="3052" customFormat="1" x14ac:dyDescent="0.35"/>
    <row r="3053" customFormat="1" x14ac:dyDescent="0.35"/>
    <row r="3054" customFormat="1" x14ac:dyDescent="0.35"/>
    <row r="3055" customFormat="1" x14ac:dyDescent="0.35"/>
    <row r="3056" customFormat="1" x14ac:dyDescent="0.35"/>
    <row r="3057" customFormat="1" x14ac:dyDescent="0.35"/>
    <row r="3058" customFormat="1" x14ac:dyDescent="0.35"/>
    <row r="3059" customFormat="1" x14ac:dyDescent="0.35"/>
    <row r="3060" customFormat="1" x14ac:dyDescent="0.35"/>
    <row r="3061" customFormat="1" x14ac:dyDescent="0.35"/>
    <row r="3062" customFormat="1" x14ac:dyDescent="0.35"/>
    <row r="3063" customFormat="1" x14ac:dyDescent="0.35"/>
    <row r="3064" customFormat="1" x14ac:dyDescent="0.35"/>
    <row r="3065" customFormat="1" x14ac:dyDescent="0.35"/>
    <row r="3066" customFormat="1" x14ac:dyDescent="0.35"/>
    <row r="3067" customFormat="1" x14ac:dyDescent="0.35"/>
    <row r="3068" customFormat="1" x14ac:dyDescent="0.35"/>
    <row r="3069" customFormat="1" x14ac:dyDescent="0.35"/>
    <row r="3070" customFormat="1" x14ac:dyDescent="0.35"/>
    <row r="3071" customFormat="1" x14ac:dyDescent="0.35"/>
    <row r="3072" customFormat="1" x14ac:dyDescent="0.35"/>
    <row r="3073" customFormat="1" x14ac:dyDescent="0.35"/>
    <row r="3074" customFormat="1" x14ac:dyDescent="0.35"/>
    <row r="3075" customFormat="1" x14ac:dyDescent="0.35"/>
    <row r="3076" customFormat="1" x14ac:dyDescent="0.35"/>
    <row r="3077" customFormat="1" x14ac:dyDescent="0.35"/>
    <row r="3078" customFormat="1" x14ac:dyDescent="0.35"/>
    <row r="3079" customFormat="1" x14ac:dyDescent="0.35"/>
    <row r="3080" customFormat="1" x14ac:dyDescent="0.35"/>
    <row r="3081" customFormat="1" x14ac:dyDescent="0.35"/>
    <row r="3082" customFormat="1" x14ac:dyDescent="0.35"/>
    <row r="3083" customFormat="1" x14ac:dyDescent="0.35"/>
    <row r="3084" customFormat="1" x14ac:dyDescent="0.35"/>
    <row r="3085" customFormat="1" x14ac:dyDescent="0.35"/>
    <row r="3086" customFormat="1" x14ac:dyDescent="0.35"/>
    <row r="3087" customFormat="1" x14ac:dyDescent="0.35"/>
    <row r="3088" customFormat="1" x14ac:dyDescent="0.35"/>
    <row r="3089" customFormat="1" x14ac:dyDescent="0.35"/>
    <row r="3090" customFormat="1" x14ac:dyDescent="0.35"/>
    <row r="3091" customFormat="1" x14ac:dyDescent="0.35"/>
    <row r="3092" customFormat="1" x14ac:dyDescent="0.35"/>
    <row r="3093" customFormat="1" x14ac:dyDescent="0.35"/>
    <row r="3094" customFormat="1" x14ac:dyDescent="0.35"/>
    <row r="3095" customFormat="1" x14ac:dyDescent="0.35"/>
    <row r="3096" customFormat="1" x14ac:dyDescent="0.35"/>
    <row r="3097" customFormat="1" x14ac:dyDescent="0.35"/>
    <row r="3098" customFormat="1" x14ac:dyDescent="0.35"/>
    <row r="3099" customFormat="1" x14ac:dyDescent="0.35"/>
    <row r="3100" customFormat="1" x14ac:dyDescent="0.35"/>
    <row r="3101" customFormat="1" x14ac:dyDescent="0.35"/>
    <row r="3102" customFormat="1" x14ac:dyDescent="0.35"/>
    <row r="3103" customFormat="1" x14ac:dyDescent="0.35"/>
    <row r="3104" customFormat="1" x14ac:dyDescent="0.35"/>
    <row r="3105" customFormat="1" x14ac:dyDescent="0.35"/>
    <row r="3106" customFormat="1" x14ac:dyDescent="0.35"/>
    <row r="3107" customFormat="1" x14ac:dyDescent="0.35"/>
    <row r="3108" customFormat="1" x14ac:dyDescent="0.35"/>
    <row r="3109" customFormat="1" x14ac:dyDescent="0.35"/>
    <row r="3110" customFormat="1" x14ac:dyDescent="0.35"/>
    <row r="3111" customFormat="1" x14ac:dyDescent="0.35"/>
    <row r="3112" customFormat="1" x14ac:dyDescent="0.35"/>
    <row r="3113" customFormat="1" x14ac:dyDescent="0.35"/>
    <row r="3114" customFormat="1" x14ac:dyDescent="0.35"/>
    <row r="3115" customFormat="1" x14ac:dyDescent="0.35"/>
    <row r="3116" customFormat="1" x14ac:dyDescent="0.35"/>
    <row r="3117" customFormat="1" x14ac:dyDescent="0.35"/>
    <row r="3118" customFormat="1" x14ac:dyDescent="0.35"/>
    <row r="3119" customFormat="1" x14ac:dyDescent="0.35"/>
    <row r="3120" customFormat="1" x14ac:dyDescent="0.35"/>
    <row r="3121" customFormat="1" x14ac:dyDescent="0.35"/>
    <row r="3122" customFormat="1" x14ac:dyDescent="0.35"/>
    <row r="3123" customFormat="1" x14ac:dyDescent="0.35"/>
    <row r="3124" customFormat="1" x14ac:dyDescent="0.35"/>
    <row r="3125" customFormat="1" x14ac:dyDescent="0.35"/>
    <row r="3126" customFormat="1" x14ac:dyDescent="0.35"/>
    <row r="3127" customFormat="1" x14ac:dyDescent="0.35"/>
    <row r="3128" customFormat="1" x14ac:dyDescent="0.35"/>
    <row r="3129" customFormat="1" x14ac:dyDescent="0.35"/>
    <row r="3130" customFormat="1" x14ac:dyDescent="0.35"/>
    <row r="3131" customFormat="1" x14ac:dyDescent="0.35"/>
    <row r="3132" customFormat="1" x14ac:dyDescent="0.35"/>
    <row r="3133" customFormat="1" x14ac:dyDescent="0.35"/>
    <row r="3134" customFormat="1" x14ac:dyDescent="0.35"/>
    <row r="3135" customFormat="1" x14ac:dyDescent="0.35"/>
    <row r="3136" customFormat="1" x14ac:dyDescent="0.35"/>
    <row r="3137" customFormat="1" x14ac:dyDescent="0.35"/>
    <row r="3138" customFormat="1" x14ac:dyDescent="0.35"/>
    <row r="3139" customFormat="1" x14ac:dyDescent="0.35"/>
    <row r="3140" customFormat="1" x14ac:dyDescent="0.35"/>
    <row r="3141" customFormat="1" x14ac:dyDescent="0.35"/>
    <row r="3142" customFormat="1" x14ac:dyDescent="0.35"/>
    <row r="3143" customFormat="1" x14ac:dyDescent="0.35"/>
    <row r="3144" customFormat="1" x14ac:dyDescent="0.35"/>
    <row r="3145" customFormat="1" x14ac:dyDescent="0.35"/>
    <row r="3146" customFormat="1" x14ac:dyDescent="0.35"/>
    <row r="3147" customFormat="1" x14ac:dyDescent="0.35"/>
    <row r="3148" customFormat="1" x14ac:dyDescent="0.35"/>
    <row r="3149" customFormat="1" x14ac:dyDescent="0.35"/>
    <row r="3150" customFormat="1" x14ac:dyDescent="0.35"/>
    <row r="3151" customFormat="1" x14ac:dyDescent="0.35"/>
    <row r="3152" customFormat="1" x14ac:dyDescent="0.35"/>
    <row r="3153" customFormat="1" x14ac:dyDescent="0.35"/>
    <row r="3154" customFormat="1" x14ac:dyDescent="0.35"/>
    <row r="3155" customFormat="1" x14ac:dyDescent="0.35"/>
    <row r="3156" customFormat="1" x14ac:dyDescent="0.35"/>
    <row r="3157" customFormat="1" x14ac:dyDescent="0.35"/>
    <row r="3158" customFormat="1" x14ac:dyDescent="0.35"/>
    <row r="3159" customFormat="1" x14ac:dyDescent="0.35"/>
    <row r="3160" customFormat="1" x14ac:dyDescent="0.35"/>
    <row r="3161" customFormat="1" x14ac:dyDescent="0.35"/>
    <row r="3162" customFormat="1" x14ac:dyDescent="0.35"/>
    <row r="3163" customFormat="1" x14ac:dyDescent="0.35"/>
    <row r="3164" customFormat="1" x14ac:dyDescent="0.35"/>
    <row r="3165" customFormat="1" x14ac:dyDescent="0.35"/>
    <row r="3166" customFormat="1" x14ac:dyDescent="0.35"/>
    <row r="3167" customFormat="1" x14ac:dyDescent="0.35"/>
    <row r="3168" customFormat="1" x14ac:dyDescent="0.35"/>
    <row r="3169" customFormat="1" x14ac:dyDescent="0.35"/>
    <row r="3170" customFormat="1" x14ac:dyDescent="0.35"/>
    <row r="3171" customFormat="1" x14ac:dyDescent="0.35"/>
    <row r="3172" customFormat="1" x14ac:dyDescent="0.35"/>
    <row r="3173" customFormat="1" x14ac:dyDescent="0.35"/>
    <row r="3174" customFormat="1" x14ac:dyDescent="0.35"/>
    <row r="3175" customFormat="1" x14ac:dyDescent="0.35"/>
    <row r="3176" customFormat="1" x14ac:dyDescent="0.35"/>
    <row r="3177" customFormat="1" x14ac:dyDescent="0.35"/>
    <row r="3178" customFormat="1" x14ac:dyDescent="0.35"/>
    <row r="3179" customFormat="1" x14ac:dyDescent="0.35"/>
    <row r="3180" customFormat="1" x14ac:dyDescent="0.35"/>
    <row r="3181" customFormat="1" x14ac:dyDescent="0.35"/>
    <row r="3182" customFormat="1" x14ac:dyDescent="0.35"/>
    <row r="3183" customFormat="1" x14ac:dyDescent="0.35"/>
    <row r="3184" customFormat="1" x14ac:dyDescent="0.35"/>
    <row r="3185" customFormat="1" x14ac:dyDescent="0.35"/>
    <row r="3186" customFormat="1" x14ac:dyDescent="0.35"/>
    <row r="3187" customFormat="1" x14ac:dyDescent="0.35"/>
    <row r="3188" customFormat="1" x14ac:dyDescent="0.35"/>
    <row r="3189" customFormat="1" x14ac:dyDescent="0.35"/>
    <row r="3190" customFormat="1" x14ac:dyDescent="0.35"/>
    <row r="3191" customFormat="1" x14ac:dyDescent="0.35"/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91"/>
  <sheetViews>
    <sheetView topLeftCell="G1" workbookViewId="0">
      <selection activeCell="L35" sqref="L35"/>
    </sheetView>
  </sheetViews>
  <sheetFormatPr baseColWidth="10" defaultRowHeight="14.5" x14ac:dyDescent="0.35"/>
  <cols>
    <col min="1" max="1" width="27.90625" customWidth="1"/>
    <col min="2" max="4" width="10.1796875" style="1" customWidth="1"/>
    <col min="5" max="5" width="16.81640625" style="1" bestFit="1" customWidth="1"/>
    <col min="6" max="6" width="22.6328125" customWidth="1"/>
    <col min="7" max="7" width="24" customWidth="1"/>
    <col min="8" max="8" width="26.08984375" bestFit="1" customWidth="1"/>
    <col min="9" max="9" width="21.81640625" bestFit="1" customWidth="1"/>
    <col min="10" max="10" width="22.6328125" bestFit="1" customWidth="1"/>
    <col min="11" max="11" width="24" bestFit="1" customWidth="1"/>
  </cols>
  <sheetData>
    <row r="1" spans="1:9" x14ac:dyDescent="0.35">
      <c r="A1" s="2" t="s">
        <v>137</v>
      </c>
      <c r="B1" s="7" t="s">
        <v>150</v>
      </c>
      <c r="G1" s="4" t="s">
        <v>134</v>
      </c>
      <c r="H1" s="4" t="s">
        <v>156</v>
      </c>
      <c r="I1" s="8" t="s">
        <v>157</v>
      </c>
    </row>
    <row r="2" spans="1:9" x14ac:dyDescent="0.35">
      <c r="A2" s="11" t="s">
        <v>136</v>
      </c>
      <c r="B2" s="7" t="s">
        <v>141</v>
      </c>
      <c r="G2" s="3" t="s">
        <v>71</v>
      </c>
      <c r="H2" s="7">
        <v>83252.352138750881</v>
      </c>
      <c r="I2" s="7">
        <v>66738.82509546401</v>
      </c>
    </row>
    <row r="3" spans="1:9" x14ac:dyDescent="0.35">
      <c r="B3"/>
      <c r="C3"/>
      <c r="D3"/>
      <c r="E3"/>
      <c r="G3" s="3" t="s">
        <v>90</v>
      </c>
      <c r="H3" s="7">
        <v>80211.714013971534</v>
      </c>
      <c r="I3" s="7">
        <v>82257.466465167439</v>
      </c>
    </row>
    <row r="4" spans="1:9" x14ac:dyDescent="0.35">
      <c r="A4" s="2" t="s">
        <v>134</v>
      </c>
      <c r="B4" t="s">
        <v>153</v>
      </c>
      <c r="C4" s="7" t="s">
        <v>154</v>
      </c>
      <c r="D4" s="7" t="s">
        <v>143</v>
      </c>
      <c r="E4" s="7" t="s">
        <v>142</v>
      </c>
      <c r="G4" s="3" t="s">
        <v>26</v>
      </c>
      <c r="H4" s="7">
        <v>117827.9302072752</v>
      </c>
      <c r="I4" s="7">
        <v>109694.73342674757</v>
      </c>
    </row>
    <row r="5" spans="1:9" x14ac:dyDescent="0.35">
      <c r="A5" s="3" t="s">
        <v>71</v>
      </c>
      <c r="B5" s="7">
        <v>83252.352138750881</v>
      </c>
      <c r="C5" s="7">
        <v>66738.82509546401</v>
      </c>
      <c r="D5" s="7">
        <v>180.98919265232999</v>
      </c>
      <c r="E5" s="7">
        <v>15067776</v>
      </c>
      <c r="G5" s="3" t="s">
        <v>96</v>
      </c>
      <c r="H5" s="7">
        <v>67482.291520674626</v>
      </c>
      <c r="I5" s="7">
        <v>61764.159523809525</v>
      </c>
    </row>
    <row r="6" spans="1:9" x14ac:dyDescent="0.35">
      <c r="A6" s="3" t="s">
        <v>90</v>
      </c>
      <c r="B6" s="7">
        <v>80211.714013971534</v>
      </c>
      <c r="C6" s="7">
        <v>82257.466465167439</v>
      </c>
      <c r="D6" s="7">
        <v>369.26646393369407</v>
      </c>
      <c r="E6" s="7">
        <v>29619496</v>
      </c>
      <c r="G6" s="3" t="s">
        <v>72</v>
      </c>
      <c r="H6" s="7">
        <v>89224.829495988437</v>
      </c>
      <c r="I6" s="7">
        <v>92892.37596000878</v>
      </c>
    </row>
    <row r="7" spans="1:9" x14ac:dyDescent="0.35">
      <c r="A7" s="3" t="s">
        <v>26</v>
      </c>
      <c r="B7" s="7">
        <v>117827.9302072752</v>
      </c>
      <c r="C7" s="7">
        <v>109694.73342674757</v>
      </c>
      <c r="D7" s="7">
        <v>290.78644545251012</v>
      </c>
      <c r="E7" s="7">
        <v>34262765</v>
      </c>
      <c r="G7" s="3" t="s">
        <v>38</v>
      </c>
      <c r="H7" s="7">
        <v>108719.1052109906</v>
      </c>
      <c r="I7" s="7">
        <v>105612.22501853674</v>
      </c>
    </row>
    <row r="8" spans="1:9" x14ac:dyDescent="0.35">
      <c r="A8" s="3" t="s">
        <v>96</v>
      </c>
      <c r="B8" s="7">
        <v>67482.291520674626</v>
      </c>
      <c r="C8" s="7">
        <v>61764.159523809525</v>
      </c>
      <c r="D8" s="7">
        <v>403.46297356631038</v>
      </c>
      <c r="E8" s="7">
        <v>27226606</v>
      </c>
      <c r="G8" s="3" t="s">
        <v>94</v>
      </c>
      <c r="H8" s="7">
        <v>78570.648916122926</v>
      </c>
      <c r="I8" s="7">
        <v>81696.965956391592</v>
      </c>
    </row>
    <row r="9" spans="1:9" x14ac:dyDescent="0.35">
      <c r="A9" s="3" t="s">
        <v>72</v>
      </c>
      <c r="B9" s="7">
        <v>89224.829495988437</v>
      </c>
      <c r="C9" s="7">
        <v>92892.37596000878</v>
      </c>
      <c r="D9" s="7">
        <v>293.15991017025175</v>
      </c>
      <c r="E9" s="7">
        <v>26157143</v>
      </c>
      <c r="G9" s="3" t="s">
        <v>54</v>
      </c>
      <c r="H9" s="7">
        <v>97485.632805647081</v>
      </c>
      <c r="I9" s="7">
        <v>103745.63743103926</v>
      </c>
    </row>
    <row r="10" spans="1:9" x14ac:dyDescent="0.35">
      <c r="A10" s="3" t="s">
        <v>38</v>
      </c>
      <c r="B10" s="7">
        <v>108719.1052109906</v>
      </c>
      <c r="C10" s="7">
        <v>105612.22501853674</v>
      </c>
      <c r="D10" s="7">
        <v>563.54499865591515</v>
      </c>
      <c r="E10" s="7">
        <v>61268108</v>
      </c>
      <c r="G10" s="3" t="s">
        <v>98</v>
      </c>
      <c r="H10" s="7">
        <v>75046.598896165757</v>
      </c>
      <c r="I10" s="7">
        <v>74871.553943060266</v>
      </c>
    </row>
    <row r="11" spans="1:9" x14ac:dyDescent="0.35">
      <c r="A11" s="3" t="s">
        <v>94</v>
      </c>
      <c r="B11" s="7">
        <v>78570.648916122926</v>
      </c>
      <c r="C11" s="7">
        <v>81696.965956391592</v>
      </c>
      <c r="D11" s="7">
        <v>327.62124731182905</v>
      </c>
      <c r="E11" s="7">
        <v>25741414</v>
      </c>
      <c r="G11" s="3" t="s">
        <v>85</v>
      </c>
      <c r="H11" s="7">
        <v>78638.513976535061</v>
      </c>
      <c r="I11" s="7">
        <v>75408.316191653343</v>
      </c>
    </row>
    <row r="12" spans="1:9" x14ac:dyDescent="0.35">
      <c r="A12" s="3" t="s">
        <v>54</v>
      </c>
      <c r="B12" s="7">
        <v>97485.632805647081</v>
      </c>
      <c r="C12" s="7">
        <v>103745.63743103926</v>
      </c>
      <c r="D12" s="7">
        <v>468.84988776881966</v>
      </c>
      <c r="E12" s="7">
        <v>45706128</v>
      </c>
      <c r="G12" s="3" t="s">
        <v>68</v>
      </c>
      <c r="H12" s="7">
        <v>95531.048889393482</v>
      </c>
      <c r="I12" s="7">
        <v>97669.313594082982</v>
      </c>
    </row>
    <row r="13" spans="1:9" x14ac:dyDescent="0.35">
      <c r="A13" s="3" t="s">
        <v>98</v>
      </c>
      <c r="B13" s="7">
        <v>75046.598896165757</v>
      </c>
      <c r="C13" s="7">
        <v>74871.553943060266</v>
      </c>
      <c r="D13" s="7">
        <v>270.08897535842345</v>
      </c>
      <c r="E13" s="7">
        <v>20269259</v>
      </c>
      <c r="G13" s="3" t="s">
        <v>51</v>
      </c>
      <c r="H13" s="7">
        <v>95081.421625804782</v>
      </c>
      <c r="I13" s="7">
        <v>100852.36995492977</v>
      </c>
    </row>
    <row r="14" spans="1:9" x14ac:dyDescent="0.35">
      <c r="A14" s="3" t="s">
        <v>85</v>
      </c>
      <c r="B14" s="7">
        <v>78638.513976535061</v>
      </c>
      <c r="C14" s="7">
        <v>75408.316191653343</v>
      </c>
      <c r="D14" s="7">
        <v>253.52442450716879</v>
      </c>
      <c r="E14" s="7">
        <v>19936784</v>
      </c>
      <c r="G14" s="3" t="s">
        <v>79</v>
      </c>
      <c r="H14" s="7">
        <v>90838.011194164952</v>
      </c>
      <c r="I14" s="7">
        <v>98138.027250469473</v>
      </c>
    </row>
    <row r="15" spans="1:9" x14ac:dyDescent="0.35">
      <c r="A15" s="3" t="s">
        <v>68</v>
      </c>
      <c r="B15" s="7">
        <v>95531.048889393482</v>
      </c>
      <c r="C15" s="7">
        <v>97669.313594082982</v>
      </c>
      <c r="D15" s="7">
        <v>425.17234419802963</v>
      </c>
      <c r="E15" s="7">
        <v>40617160</v>
      </c>
      <c r="G15" s="3" t="s">
        <v>97</v>
      </c>
      <c r="H15" s="7">
        <v>80330.267443015575</v>
      </c>
      <c r="I15" s="7">
        <v>63527.542035130093</v>
      </c>
    </row>
    <row r="16" spans="1:9" x14ac:dyDescent="0.35">
      <c r="A16" s="3" t="s">
        <v>51</v>
      </c>
      <c r="B16" s="7">
        <v>95081.421625804782</v>
      </c>
      <c r="C16" s="7">
        <v>100852.36995492977</v>
      </c>
      <c r="D16" s="7">
        <v>445.97501041666914</v>
      </c>
      <c r="E16" s="7">
        <v>42403938</v>
      </c>
    </row>
    <row r="17" spans="1:12" x14ac:dyDescent="0.35">
      <c r="A17" s="3" t="s">
        <v>79</v>
      </c>
      <c r="B17" s="7">
        <v>90838.011194164952</v>
      </c>
      <c r="C17" s="7">
        <v>98138.027250469473</v>
      </c>
      <c r="D17" s="7">
        <v>297.14070844534109</v>
      </c>
      <c r="E17" s="7">
        <v>26991671</v>
      </c>
      <c r="G17" s="3" t="s">
        <v>66</v>
      </c>
      <c r="H17" s="7">
        <v>86919.642654412528</v>
      </c>
      <c r="I17" s="7">
        <v>89801.23135941803</v>
      </c>
    </row>
    <row r="18" spans="1:12" x14ac:dyDescent="0.35">
      <c r="A18" s="3" t="s">
        <v>97</v>
      </c>
      <c r="B18" s="7">
        <v>80330.267443015575</v>
      </c>
      <c r="C18" s="7">
        <v>63527.542035130093</v>
      </c>
      <c r="D18" s="7">
        <v>289.92037175179263</v>
      </c>
      <c r="E18" s="7">
        <v>23289381</v>
      </c>
      <c r="G18" s="3" t="s">
        <v>75</v>
      </c>
      <c r="H18" s="7">
        <v>89187.104554425809</v>
      </c>
      <c r="I18" s="7">
        <v>91213.17531644016</v>
      </c>
      <c r="K18" s="6">
        <v>92.6</v>
      </c>
    </row>
    <row r="19" spans="1:12" x14ac:dyDescent="0.35">
      <c r="A19" s="3" t="s">
        <v>131</v>
      </c>
      <c r="B19" s="7"/>
      <c r="C19" s="7">
        <v>0</v>
      </c>
      <c r="D19" s="7"/>
      <c r="E19" s="7">
        <v>591</v>
      </c>
      <c r="G19" s="3" t="s">
        <v>60</v>
      </c>
      <c r="H19" s="7">
        <v>94032.031426565416</v>
      </c>
      <c r="I19" s="7">
        <v>98411.386814225421</v>
      </c>
      <c r="K19">
        <v>91</v>
      </c>
      <c r="L19" s="10"/>
    </row>
    <row r="20" spans="1:12" x14ac:dyDescent="0.35">
      <c r="A20" s="3" t="s">
        <v>66</v>
      </c>
      <c r="B20" s="7">
        <v>86919.642654412528</v>
      </c>
      <c r="C20" s="7">
        <v>89801.23135941803</v>
      </c>
      <c r="D20" s="7">
        <v>355.98892327509111</v>
      </c>
      <c r="E20" s="7">
        <v>30942430</v>
      </c>
      <c r="G20" s="3" t="s">
        <v>47</v>
      </c>
      <c r="H20" s="7">
        <v>98984.043689668484</v>
      </c>
      <c r="I20" s="7">
        <v>87911.251735691229</v>
      </c>
      <c r="K20" s="10">
        <f>+K18/K19-1</f>
        <v>1.758241758241752E-2</v>
      </c>
    </row>
    <row r="21" spans="1:12" x14ac:dyDescent="0.35">
      <c r="A21" s="3" t="s">
        <v>75</v>
      </c>
      <c r="B21" s="7">
        <v>89187.104554425809</v>
      </c>
      <c r="C21" s="7">
        <v>91213.17531644016</v>
      </c>
      <c r="D21" s="7">
        <v>514.52468637993036</v>
      </c>
      <c r="E21" s="7">
        <v>45888967</v>
      </c>
      <c r="G21" s="3" t="s">
        <v>115</v>
      </c>
      <c r="H21" s="7">
        <v>61671.847747524283</v>
      </c>
      <c r="I21" s="7">
        <v>68012.855973277532</v>
      </c>
    </row>
    <row r="22" spans="1:12" x14ac:dyDescent="0.35">
      <c r="A22" s="3" t="s">
        <v>60</v>
      </c>
      <c r="B22" s="7">
        <v>94032.031426565416</v>
      </c>
      <c r="C22" s="7">
        <v>98411.386814225421</v>
      </c>
      <c r="D22" s="7">
        <v>321.47088116039566</v>
      </c>
      <c r="E22" s="7">
        <v>30228560</v>
      </c>
      <c r="G22" s="3" t="s">
        <v>20</v>
      </c>
      <c r="H22" s="7">
        <v>115773.51150913812</v>
      </c>
      <c r="I22" s="7">
        <v>108988.99101588209</v>
      </c>
    </row>
    <row r="23" spans="1:12" x14ac:dyDescent="0.35">
      <c r="A23" s="3" t="s">
        <v>47</v>
      </c>
      <c r="B23" s="7">
        <v>98984.043689668484</v>
      </c>
      <c r="C23" s="7">
        <v>87911.251735691229</v>
      </c>
      <c r="D23" s="7">
        <v>228.54303741039422</v>
      </c>
      <c r="E23" s="7">
        <v>22622114</v>
      </c>
      <c r="G23" s="3" t="s">
        <v>18</v>
      </c>
      <c r="H23" s="7">
        <v>108523.8473822065</v>
      </c>
      <c r="I23" s="7">
        <v>91623.347436559867</v>
      </c>
    </row>
    <row r="24" spans="1:12" x14ac:dyDescent="0.35">
      <c r="A24" s="3" t="s">
        <v>115</v>
      </c>
      <c r="B24" s="7">
        <v>61671.847747524283</v>
      </c>
      <c r="C24" s="7">
        <v>68012.855973277532</v>
      </c>
      <c r="D24" s="7">
        <v>243.09762959229386</v>
      </c>
      <c r="E24" s="7">
        <v>14992280</v>
      </c>
      <c r="G24" s="3" t="s">
        <v>100</v>
      </c>
      <c r="H24" s="7">
        <v>73429.311626957613</v>
      </c>
      <c r="I24" s="7">
        <v>74539.935108894279</v>
      </c>
    </row>
    <row r="25" spans="1:12" x14ac:dyDescent="0.35">
      <c r="A25" s="3" t="s">
        <v>20</v>
      </c>
      <c r="B25" s="7">
        <v>115773.51150913812</v>
      </c>
      <c r="C25" s="7">
        <v>108988.99101588209</v>
      </c>
      <c r="D25" s="7">
        <v>427.90113519265407</v>
      </c>
      <c r="E25" s="7">
        <v>49539617</v>
      </c>
      <c r="G25" s="3" t="s">
        <v>81</v>
      </c>
      <c r="H25" s="7">
        <v>88105.428470081664</v>
      </c>
      <c r="I25" s="7">
        <v>88289.979421833094</v>
      </c>
    </row>
    <row r="26" spans="1:12" x14ac:dyDescent="0.35">
      <c r="A26" s="3" t="s">
        <v>18</v>
      </c>
      <c r="B26" s="7">
        <v>108523.8473822065</v>
      </c>
      <c r="C26" s="7">
        <v>91623.347436559867</v>
      </c>
      <c r="D26" s="7">
        <v>295.70884901433834</v>
      </c>
      <c r="E26" s="7">
        <v>32091462</v>
      </c>
    </row>
    <row r="27" spans="1:12" x14ac:dyDescent="0.35">
      <c r="A27" s="3" t="s">
        <v>100</v>
      </c>
      <c r="B27" s="7">
        <v>73429.311626957613</v>
      </c>
      <c r="C27" s="7">
        <v>74539.935108894279</v>
      </c>
      <c r="D27" s="7">
        <v>178.57363373655923</v>
      </c>
      <c r="E27" s="7">
        <v>13112539</v>
      </c>
      <c r="G27" s="3" t="s">
        <v>106</v>
      </c>
      <c r="H27" s="7">
        <v>72146.740719288777</v>
      </c>
      <c r="I27" s="7">
        <v>81159.888040802325</v>
      </c>
    </row>
    <row r="28" spans="1:12" x14ac:dyDescent="0.35">
      <c r="A28" s="3" t="s">
        <v>81</v>
      </c>
      <c r="B28" s="7">
        <v>88105.428470081664</v>
      </c>
      <c r="C28" s="7">
        <v>88289.979421833094</v>
      </c>
      <c r="D28" s="7">
        <v>435.65896751792303</v>
      </c>
      <c r="E28" s="7">
        <v>38383920</v>
      </c>
      <c r="G28" s="3" t="s">
        <v>107</v>
      </c>
      <c r="H28" s="7">
        <v>71421.801482209004</v>
      </c>
      <c r="I28" s="7">
        <v>70358.028303672705</v>
      </c>
    </row>
    <row r="29" spans="1:12" x14ac:dyDescent="0.35">
      <c r="A29" s="3" t="s">
        <v>105</v>
      </c>
      <c r="B29" s="7">
        <v>67953.593125049156</v>
      </c>
      <c r="C29" s="7">
        <v>0</v>
      </c>
      <c r="D29" s="7">
        <v>147.17031933243729</v>
      </c>
      <c r="E29" s="7">
        <v>10000752</v>
      </c>
      <c r="G29" s="3" t="s">
        <v>110</v>
      </c>
      <c r="H29" s="7">
        <v>60926.986981877126</v>
      </c>
      <c r="I29" s="7">
        <v>68134.522635482121</v>
      </c>
    </row>
    <row r="30" spans="1:12" x14ac:dyDescent="0.35">
      <c r="A30" s="3" t="s">
        <v>106</v>
      </c>
      <c r="B30" s="7">
        <v>72146.740719288777</v>
      </c>
      <c r="C30" s="7">
        <v>81159.888040802325</v>
      </c>
      <c r="D30" s="7">
        <v>223.30581866039449</v>
      </c>
      <c r="E30" s="7">
        <v>16110787</v>
      </c>
      <c r="G30" s="3" t="s">
        <v>82</v>
      </c>
      <c r="H30" s="7">
        <v>80285.766359189103</v>
      </c>
      <c r="I30" s="7">
        <v>92060.806436862142</v>
      </c>
    </row>
    <row r="31" spans="1:12" x14ac:dyDescent="0.35">
      <c r="A31" s="3" t="s">
        <v>107</v>
      </c>
      <c r="B31" s="7">
        <v>71421.801482209004</v>
      </c>
      <c r="C31" s="7">
        <v>70358.028303672705</v>
      </c>
      <c r="D31" s="7">
        <v>351.75335091845932</v>
      </c>
      <c r="E31" s="7">
        <v>25122858</v>
      </c>
      <c r="G31" s="3" t="s">
        <v>27</v>
      </c>
      <c r="H31" s="7">
        <v>120484.02214609459</v>
      </c>
      <c r="I31" s="7">
        <v>111490.75009003574</v>
      </c>
    </row>
    <row r="32" spans="1:12" x14ac:dyDescent="0.35">
      <c r="A32" s="3" t="s">
        <v>110</v>
      </c>
      <c r="B32" s="7">
        <v>60926.986981877126</v>
      </c>
      <c r="C32" s="7">
        <v>68134.522635482121</v>
      </c>
      <c r="D32" s="7">
        <v>172.08193806003601</v>
      </c>
      <c r="E32" s="7">
        <v>10484434</v>
      </c>
      <c r="G32" s="3" t="s">
        <v>37</v>
      </c>
      <c r="H32" s="7">
        <v>111938.42280636491</v>
      </c>
      <c r="I32" s="7">
        <v>102077.47082362355</v>
      </c>
    </row>
    <row r="33" spans="1:9" x14ac:dyDescent="0.35">
      <c r="A33" s="3" t="s">
        <v>82</v>
      </c>
      <c r="B33" s="7">
        <v>80285.766359189103</v>
      </c>
      <c r="C33" s="7">
        <v>92060.806436862142</v>
      </c>
      <c r="D33" s="7">
        <v>258.27622927867429</v>
      </c>
      <c r="E33" s="7">
        <v>20735905</v>
      </c>
      <c r="G33" s="3" t="s">
        <v>40</v>
      </c>
      <c r="H33" s="7">
        <v>101448.49005600373</v>
      </c>
      <c r="I33" s="7">
        <v>96537.997342016577</v>
      </c>
    </row>
    <row r="34" spans="1:9" x14ac:dyDescent="0.35">
      <c r="A34" s="3" t="s">
        <v>27</v>
      </c>
      <c r="B34" s="7">
        <v>120484.02214609459</v>
      </c>
      <c r="C34" s="7">
        <v>111490.75009003574</v>
      </c>
      <c r="D34" s="7">
        <v>391.5639116263452</v>
      </c>
      <c r="E34" s="7">
        <v>47177195</v>
      </c>
      <c r="G34" s="3" t="s">
        <v>108</v>
      </c>
      <c r="H34" s="7">
        <v>66573.138705997801</v>
      </c>
      <c r="I34" s="7">
        <v>72207.278919220538</v>
      </c>
    </row>
    <row r="35" spans="1:9" x14ac:dyDescent="0.35">
      <c r="A35" s="3" t="s">
        <v>37</v>
      </c>
      <c r="B35" s="7">
        <v>111938.42280636491</v>
      </c>
      <c r="C35" s="7">
        <v>102077.47082362355</v>
      </c>
      <c r="D35" s="7">
        <v>464.88086659946293</v>
      </c>
      <c r="E35" s="7">
        <v>52038031</v>
      </c>
      <c r="G35" s="3" t="s">
        <v>13</v>
      </c>
      <c r="H35" s="7">
        <v>126852.57878287336</v>
      </c>
      <c r="I35" s="7">
        <v>120854.90458613733</v>
      </c>
    </row>
    <row r="36" spans="1:9" x14ac:dyDescent="0.35">
      <c r="A36" s="3" t="s">
        <v>40</v>
      </c>
      <c r="B36" s="7">
        <v>101448.49005600373</v>
      </c>
      <c r="C36" s="7">
        <v>96537.997342016577</v>
      </c>
      <c r="D36" s="7">
        <v>331.17330757168548</v>
      </c>
      <c r="E36" s="7">
        <v>33597032</v>
      </c>
      <c r="G36" s="3" t="s">
        <v>86</v>
      </c>
      <c r="H36" s="7">
        <v>78763.499267687977</v>
      </c>
      <c r="I36" s="7">
        <v>83959.508650884687</v>
      </c>
    </row>
    <row r="37" spans="1:9" x14ac:dyDescent="0.35">
      <c r="A37" s="3" t="s">
        <v>108</v>
      </c>
      <c r="B37" s="7">
        <v>66573.138705997801</v>
      </c>
      <c r="C37" s="7">
        <v>72207.278919220538</v>
      </c>
      <c r="D37" s="7">
        <v>214.05202273745519</v>
      </c>
      <c r="E37" s="7">
        <v>14250115</v>
      </c>
      <c r="G37" s="3" t="s">
        <v>57</v>
      </c>
      <c r="H37" s="7">
        <v>93671.751760447907</v>
      </c>
      <c r="I37" s="7">
        <v>97793.087908899135</v>
      </c>
    </row>
    <row r="38" spans="1:9" x14ac:dyDescent="0.35">
      <c r="A38" s="3" t="s">
        <v>13</v>
      </c>
      <c r="B38" s="7">
        <v>126852.57878287336</v>
      </c>
      <c r="C38" s="7">
        <v>120854.90458613733</v>
      </c>
      <c r="D38" s="7">
        <v>442.87973913530755</v>
      </c>
      <c r="E38" s="7">
        <v>56180437</v>
      </c>
      <c r="G38" s="3" t="s">
        <v>64</v>
      </c>
      <c r="H38" s="7">
        <v>94399.560856597498</v>
      </c>
      <c r="I38" s="7">
        <v>87667.341797695335</v>
      </c>
    </row>
    <row r="39" spans="1:9" x14ac:dyDescent="0.35">
      <c r="A39" s="3" t="s">
        <v>86</v>
      </c>
      <c r="B39" s="7">
        <v>78763.499267687977</v>
      </c>
      <c r="C39" s="7">
        <v>83959.508650884687</v>
      </c>
      <c r="D39" s="7">
        <v>275.80166196236672</v>
      </c>
      <c r="E39" s="7">
        <v>21723104</v>
      </c>
      <c r="G39" s="3" t="s">
        <v>32</v>
      </c>
      <c r="H39" s="7">
        <v>102981.74591949876</v>
      </c>
      <c r="I39" s="7">
        <v>105931.37197501289</v>
      </c>
    </row>
    <row r="40" spans="1:9" x14ac:dyDescent="0.35">
      <c r="A40" s="3" t="s">
        <v>57</v>
      </c>
      <c r="B40" s="7">
        <v>93671.751760447907</v>
      </c>
      <c r="C40" s="7">
        <v>97793.087908899135</v>
      </c>
      <c r="D40" s="7">
        <v>333.66359027777992</v>
      </c>
      <c r="E40" s="7">
        <v>31254853</v>
      </c>
      <c r="G40" s="3" t="s">
        <v>10</v>
      </c>
      <c r="H40" s="7">
        <v>130235.89457526708</v>
      </c>
      <c r="I40" s="7">
        <v>122566.31219072331</v>
      </c>
    </row>
    <row r="41" spans="1:9" x14ac:dyDescent="0.35">
      <c r="A41" s="3" t="s">
        <v>64</v>
      </c>
      <c r="B41" s="7">
        <v>94399.560856597498</v>
      </c>
      <c r="C41" s="7">
        <v>87667.341797695335</v>
      </c>
      <c r="D41" s="7">
        <v>542.26659038978357</v>
      </c>
      <c r="E41" s="7">
        <v>51189728</v>
      </c>
      <c r="G41" s="3" t="s">
        <v>49</v>
      </c>
      <c r="H41" s="7">
        <v>97754.000249453777</v>
      </c>
      <c r="I41" s="7">
        <v>92033.738818561978</v>
      </c>
    </row>
    <row r="42" spans="1:9" x14ac:dyDescent="0.35">
      <c r="A42" s="3" t="s">
        <v>32</v>
      </c>
      <c r="B42" s="7">
        <v>102981.74591949876</v>
      </c>
      <c r="C42" s="7">
        <v>105931.37197501289</v>
      </c>
      <c r="D42" s="7">
        <v>296.2325577956999</v>
      </c>
      <c r="E42" s="7">
        <v>30506546</v>
      </c>
      <c r="G42" s="3" t="s">
        <v>58</v>
      </c>
      <c r="H42" s="7">
        <v>79599.806650006503</v>
      </c>
      <c r="I42" s="7">
        <v>79984.313672747172</v>
      </c>
    </row>
    <row r="43" spans="1:9" x14ac:dyDescent="0.35">
      <c r="A43" s="3" t="s">
        <v>10</v>
      </c>
      <c r="B43" s="7">
        <v>130235.89457526708</v>
      </c>
      <c r="C43" s="7">
        <v>122566.31219072331</v>
      </c>
      <c r="D43" s="7">
        <v>448.20555185932153</v>
      </c>
      <c r="E43" s="7">
        <v>58372451</v>
      </c>
      <c r="G43" s="3" t="s">
        <v>53</v>
      </c>
      <c r="H43" s="7">
        <v>100943.50032630075</v>
      </c>
      <c r="I43" s="7">
        <v>93540.217607286788</v>
      </c>
    </row>
    <row r="44" spans="1:9" x14ac:dyDescent="0.35">
      <c r="A44" s="3" t="s">
        <v>49</v>
      </c>
      <c r="B44" s="7">
        <v>97754.000249453777</v>
      </c>
      <c r="C44" s="7">
        <v>92033.738818561978</v>
      </c>
      <c r="D44" s="7">
        <v>309.29003337813731</v>
      </c>
      <c r="E44" s="7">
        <v>30234338</v>
      </c>
      <c r="G44" s="3" t="s">
        <v>78</v>
      </c>
      <c r="H44" s="7">
        <v>90221.833657005278</v>
      </c>
      <c r="I44" s="7">
        <v>80374.095610689546</v>
      </c>
    </row>
    <row r="45" spans="1:9" x14ac:dyDescent="0.35">
      <c r="A45" s="3" t="s">
        <v>58</v>
      </c>
      <c r="B45" s="7">
        <v>79599.806650006503</v>
      </c>
      <c r="C45" s="7">
        <v>79984.313672747172</v>
      </c>
      <c r="D45" s="7">
        <v>213.24103304211496</v>
      </c>
      <c r="E45" s="7">
        <v>16973945</v>
      </c>
      <c r="G45" s="3" t="s">
        <v>92</v>
      </c>
      <c r="H45" s="7">
        <v>75867.22907104154</v>
      </c>
      <c r="I45" s="7">
        <v>74856.972153223091</v>
      </c>
    </row>
    <row r="46" spans="1:9" x14ac:dyDescent="0.35">
      <c r="A46" s="3" t="s">
        <v>53</v>
      </c>
      <c r="B46" s="7">
        <v>100943.50032630075</v>
      </c>
      <c r="C46" s="7">
        <v>93540.217607286788</v>
      </c>
      <c r="D46" s="7">
        <v>358.29985965501976</v>
      </c>
      <c r="E46" s="7">
        <v>36168042</v>
      </c>
      <c r="G46" s="3" t="s">
        <v>130</v>
      </c>
      <c r="H46" s="7">
        <v>23937.506035654991</v>
      </c>
      <c r="I46" s="7">
        <v>22199.068896347013</v>
      </c>
    </row>
    <row r="47" spans="1:9" x14ac:dyDescent="0.35">
      <c r="A47" s="3" t="s">
        <v>78</v>
      </c>
      <c r="B47" s="7">
        <v>90221.833657005278</v>
      </c>
      <c r="C47" s="7">
        <v>80374.095610689546</v>
      </c>
      <c r="D47" s="7">
        <v>335.42856283602288</v>
      </c>
      <c r="E47" s="7">
        <v>30262980</v>
      </c>
      <c r="G47" s="3" t="s">
        <v>50</v>
      </c>
      <c r="H47" s="7">
        <v>101657.25667163699</v>
      </c>
      <c r="I47" s="7">
        <v>99556.938726549561</v>
      </c>
    </row>
    <row r="48" spans="1:9" x14ac:dyDescent="0.35">
      <c r="A48" s="3" t="s">
        <v>92</v>
      </c>
      <c r="B48" s="7">
        <v>75867.22907104154</v>
      </c>
      <c r="C48" s="7">
        <v>74856.972153223091</v>
      </c>
      <c r="D48" s="7">
        <v>260.33789874552019</v>
      </c>
      <c r="E48" s="7">
        <v>19751115</v>
      </c>
      <c r="G48" s="3" t="s">
        <v>91</v>
      </c>
      <c r="H48" s="7">
        <v>83302.677156375808</v>
      </c>
      <c r="I48" s="7">
        <v>82585.493202122743</v>
      </c>
    </row>
    <row r="49" spans="1:9" x14ac:dyDescent="0.35">
      <c r="A49" s="3" t="s">
        <v>130</v>
      </c>
      <c r="B49" s="7">
        <v>23937.506035654991</v>
      </c>
      <c r="C49" s="7">
        <v>22199.068896347013</v>
      </c>
      <c r="D49" s="7">
        <v>31.728827508960578</v>
      </c>
      <c r="E49" s="7">
        <v>759509</v>
      </c>
      <c r="G49" s="3" t="s">
        <v>74</v>
      </c>
      <c r="H49" s="7">
        <v>92818.014281948417</v>
      </c>
      <c r="I49" s="7">
        <v>91920.721752050391</v>
      </c>
    </row>
    <row r="50" spans="1:9" x14ac:dyDescent="0.35">
      <c r="A50" s="3" t="s">
        <v>50</v>
      </c>
      <c r="B50" s="7">
        <v>101657.25667163699</v>
      </c>
      <c r="C50" s="7">
        <v>99556.938726549561</v>
      </c>
      <c r="D50" s="7">
        <v>319.47804872312042</v>
      </c>
      <c r="E50" s="7">
        <v>32477262</v>
      </c>
      <c r="G50" s="3" t="s">
        <v>55</v>
      </c>
      <c r="H50" s="7">
        <v>104161.89825312924</v>
      </c>
      <c r="I50" s="7">
        <v>100326.42550351143</v>
      </c>
    </row>
    <row r="51" spans="1:9" x14ac:dyDescent="0.35">
      <c r="A51" s="3" t="s">
        <v>91</v>
      </c>
      <c r="B51" s="7">
        <v>83302.677156375808</v>
      </c>
      <c r="C51" s="7">
        <v>82585.493202122743</v>
      </c>
      <c r="D51" s="7">
        <v>261.06746796594979</v>
      </c>
      <c r="E51" s="7">
        <v>21747619</v>
      </c>
      <c r="G51" s="3" t="s">
        <v>80</v>
      </c>
      <c r="H51" s="7">
        <v>90094.807135129289</v>
      </c>
      <c r="I51" s="7">
        <v>89106.738141795111</v>
      </c>
    </row>
    <row r="52" spans="1:9" x14ac:dyDescent="0.35">
      <c r="A52" s="3" t="s">
        <v>74</v>
      </c>
      <c r="B52" s="7">
        <v>92818.014281948417</v>
      </c>
      <c r="C52" s="7">
        <v>91920.721752050391</v>
      </c>
      <c r="D52" s="7">
        <v>231.91202878584292</v>
      </c>
      <c r="E52" s="7">
        <v>21525614</v>
      </c>
      <c r="G52" s="3" t="s">
        <v>24</v>
      </c>
      <c r="H52" s="7">
        <v>116174.43653925569</v>
      </c>
      <c r="I52" s="7">
        <v>105758.74183519154</v>
      </c>
    </row>
    <row r="53" spans="1:9" x14ac:dyDescent="0.35">
      <c r="A53" s="3" t="s">
        <v>55</v>
      </c>
      <c r="B53" s="7">
        <v>104161.89825312924</v>
      </c>
      <c r="C53" s="7">
        <v>100326.42550351143</v>
      </c>
      <c r="D53" s="7">
        <v>230.45661995967748</v>
      </c>
      <c r="E53" s="7">
        <v>24004799</v>
      </c>
      <c r="G53" s="3" t="s">
        <v>29</v>
      </c>
      <c r="H53" s="7">
        <v>121033.79857226416</v>
      </c>
      <c r="I53" s="7">
        <v>136034.69704301492</v>
      </c>
    </row>
    <row r="54" spans="1:9" x14ac:dyDescent="0.35">
      <c r="A54" s="3" t="s">
        <v>80</v>
      </c>
      <c r="B54" s="7">
        <v>90094.807135129289</v>
      </c>
      <c r="C54" s="7">
        <v>89106.738141795111</v>
      </c>
      <c r="D54" s="7">
        <v>264.83970340501867</v>
      </c>
      <c r="E54" s="7">
        <v>23860682</v>
      </c>
      <c r="G54" s="3" t="s">
        <v>25</v>
      </c>
      <c r="H54" s="7">
        <v>121106.63074315281</v>
      </c>
      <c r="I54" s="7">
        <v>117655.2214804299</v>
      </c>
    </row>
    <row r="55" spans="1:9" x14ac:dyDescent="0.35">
      <c r="A55" s="3" t="s">
        <v>24</v>
      </c>
      <c r="B55" s="7">
        <v>116174.43653925569</v>
      </c>
      <c r="C55" s="7">
        <v>105758.74183519154</v>
      </c>
      <c r="D55" s="7">
        <v>497.58245206093216</v>
      </c>
      <c r="E55" s="7">
        <v>57806361</v>
      </c>
      <c r="G55" s="3" t="s">
        <v>112</v>
      </c>
      <c r="H55" s="7">
        <v>65338.50617325159</v>
      </c>
      <c r="I55" s="7">
        <v>62491.205090533709</v>
      </c>
    </row>
    <row r="56" spans="1:9" x14ac:dyDescent="0.35">
      <c r="A56" s="3" t="s">
        <v>29</v>
      </c>
      <c r="B56" s="7">
        <v>121033.79857226416</v>
      </c>
      <c r="C56" s="7">
        <v>136034.69704301492</v>
      </c>
      <c r="D56" s="7">
        <v>430.2526369847688</v>
      </c>
      <c r="E56" s="7">
        <v>52075111</v>
      </c>
      <c r="G56" s="3" t="s">
        <v>111</v>
      </c>
      <c r="H56" s="7">
        <v>66627.47654136215</v>
      </c>
      <c r="I56" s="7">
        <v>65876.19010120559</v>
      </c>
    </row>
    <row r="57" spans="1:9" x14ac:dyDescent="0.35">
      <c r="A57" s="3" t="s">
        <v>25</v>
      </c>
      <c r="B57" s="7">
        <v>121106.63074315281</v>
      </c>
      <c r="C57" s="7">
        <v>117655.2214804299</v>
      </c>
      <c r="D57" s="7">
        <v>424.21663194444614</v>
      </c>
      <c r="E57" s="7">
        <v>51375447</v>
      </c>
      <c r="G57" s="3" t="s">
        <v>121</v>
      </c>
      <c r="H57" s="7">
        <v>59618.609211586423</v>
      </c>
      <c r="I57" s="7">
        <v>62842.767567220726</v>
      </c>
    </row>
    <row r="58" spans="1:9" x14ac:dyDescent="0.35">
      <c r="A58" s="3" t="s">
        <v>112</v>
      </c>
      <c r="B58" s="7">
        <v>65338.50617325159</v>
      </c>
      <c r="C58" s="7">
        <v>62491.205090533709</v>
      </c>
      <c r="D58" s="7">
        <v>122.83450403225821</v>
      </c>
      <c r="E58" s="7">
        <v>8025823</v>
      </c>
      <c r="G58" s="3" t="s">
        <v>67</v>
      </c>
      <c r="H58" s="7">
        <v>94465.857083882394</v>
      </c>
      <c r="I58" s="7">
        <v>99142.625549297212</v>
      </c>
    </row>
    <row r="59" spans="1:9" x14ac:dyDescent="0.35">
      <c r="A59" s="3" t="s">
        <v>111</v>
      </c>
      <c r="B59" s="7">
        <v>66627.47654136215</v>
      </c>
      <c r="C59" s="7">
        <v>65876.19010120559</v>
      </c>
      <c r="D59" s="7">
        <v>190.98045822132613</v>
      </c>
      <c r="E59" s="7">
        <v>12724546</v>
      </c>
      <c r="G59" s="3" t="s">
        <v>119</v>
      </c>
      <c r="H59" s="7">
        <v>63458.430881673827</v>
      </c>
      <c r="I59" s="7">
        <v>76736.233776744702</v>
      </c>
    </row>
    <row r="60" spans="1:9" x14ac:dyDescent="0.35">
      <c r="A60" s="3" t="s">
        <v>121</v>
      </c>
      <c r="B60" s="7">
        <v>59618.609211586423</v>
      </c>
      <c r="C60" s="7">
        <v>62842.767567220726</v>
      </c>
      <c r="D60" s="7">
        <v>167.07120698924729</v>
      </c>
      <c r="E60" s="7">
        <v>9960553</v>
      </c>
      <c r="G60" s="3" t="s">
        <v>124</v>
      </c>
      <c r="H60" s="7">
        <v>52383.10585662628</v>
      </c>
      <c r="I60" s="7">
        <v>68292.440999999992</v>
      </c>
    </row>
    <row r="61" spans="1:9" x14ac:dyDescent="0.35">
      <c r="A61" s="3" t="s">
        <v>67</v>
      </c>
      <c r="B61" s="7">
        <v>94465.857083882394</v>
      </c>
      <c r="C61" s="7">
        <v>99142.625549297212</v>
      </c>
      <c r="D61" s="7">
        <v>360.20941375448245</v>
      </c>
      <c r="E61" s="7">
        <v>34027491</v>
      </c>
      <c r="G61" s="3" t="s">
        <v>120</v>
      </c>
      <c r="H61" s="7">
        <v>63819.031846726037</v>
      </c>
      <c r="I61" s="7">
        <v>77955.492512592333</v>
      </c>
    </row>
    <row r="62" spans="1:9" x14ac:dyDescent="0.35">
      <c r="A62" s="3" t="s">
        <v>119</v>
      </c>
      <c r="B62" s="7">
        <v>63458.430881673827</v>
      </c>
      <c r="C62" s="7">
        <v>76736.233776744702</v>
      </c>
      <c r="D62" s="7">
        <v>237.75739157706124</v>
      </c>
      <c r="E62" s="7">
        <v>15087711</v>
      </c>
      <c r="G62" s="3" t="s">
        <v>95</v>
      </c>
      <c r="H62" s="7">
        <v>70398.796786947336</v>
      </c>
      <c r="I62" s="7">
        <v>66732.041340850716</v>
      </c>
    </row>
    <row r="63" spans="1:9" x14ac:dyDescent="0.35">
      <c r="A63" s="3" t="s">
        <v>124</v>
      </c>
      <c r="B63" s="7">
        <v>52383.10585662628</v>
      </c>
      <c r="C63" s="7">
        <v>68292.440999999992</v>
      </c>
      <c r="D63" s="7">
        <v>65.114275761648727</v>
      </c>
      <c r="E63" s="7">
        <v>3410888</v>
      </c>
      <c r="G63" s="3" t="s">
        <v>73</v>
      </c>
      <c r="H63" s="7">
        <v>84583.000598844563</v>
      </c>
      <c r="I63" s="7">
        <v>83924.831878262601</v>
      </c>
    </row>
    <row r="64" spans="1:9" x14ac:dyDescent="0.35">
      <c r="A64" s="3" t="s">
        <v>120</v>
      </c>
      <c r="B64" s="7">
        <v>63819.031846726037</v>
      </c>
      <c r="C64" s="7">
        <v>77955.492512592333</v>
      </c>
      <c r="D64" s="7">
        <v>54.68981429211469</v>
      </c>
      <c r="E64" s="7">
        <v>3490251</v>
      </c>
      <c r="G64" s="3" t="s">
        <v>8</v>
      </c>
      <c r="H64" s="7">
        <v>129096.35894283504</v>
      </c>
      <c r="I64" s="7">
        <v>131577.02852718008</v>
      </c>
    </row>
    <row r="65" spans="1:9" x14ac:dyDescent="0.35">
      <c r="A65" s="3" t="s">
        <v>95</v>
      </c>
      <c r="B65" s="7">
        <v>70398.796786947336</v>
      </c>
      <c r="C65" s="7">
        <v>66732.041340850716</v>
      </c>
      <c r="D65" s="7">
        <v>48.13455846774194</v>
      </c>
      <c r="E65" s="7">
        <v>3388615</v>
      </c>
      <c r="G65" s="3" t="s">
        <v>84</v>
      </c>
      <c r="H65" s="7">
        <v>84477.595183967467</v>
      </c>
      <c r="I65" s="7">
        <v>90911.079293660165</v>
      </c>
    </row>
    <row r="66" spans="1:9" x14ac:dyDescent="0.35">
      <c r="A66" s="3" t="s">
        <v>73</v>
      </c>
      <c r="B66" s="7">
        <v>84583.000598844563</v>
      </c>
      <c r="C66" s="7">
        <v>83924.831878262601</v>
      </c>
      <c r="D66" s="7">
        <v>186.42267226702523</v>
      </c>
      <c r="E66" s="7">
        <v>15768189</v>
      </c>
      <c r="G66" s="3" t="s">
        <v>116</v>
      </c>
      <c r="H66" s="7">
        <v>63591.255519932332</v>
      </c>
      <c r="I66" s="7">
        <v>66137.276857041245</v>
      </c>
    </row>
    <row r="67" spans="1:9" x14ac:dyDescent="0.35">
      <c r="A67" s="3" t="s">
        <v>8</v>
      </c>
      <c r="B67" s="7">
        <v>129096.35894283504</v>
      </c>
      <c r="C67" s="7">
        <v>131577.02852718008</v>
      </c>
      <c r="D67" s="7">
        <v>64.136998655913985</v>
      </c>
      <c r="E67" s="7">
        <v>8279853</v>
      </c>
      <c r="G67" s="3" t="s">
        <v>45</v>
      </c>
      <c r="H67" s="7">
        <v>84244.676275620484</v>
      </c>
      <c r="I67" s="7">
        <v>89419.194670136596</v>
      </c>
    </row>
    <row r="68" spans="1:9" x14ac:dyDescent="0.35">
      <c r="A68" s="3" t="s">
        <v>84</v>
      </c>
      <c r="B68" s="7">
        <v>84477.595183967467</v>
      </c>
      <c r="C68" s="7">
        <v>90911.079293660165</v>
      </c>
      <c r="D68" s="7">
        <v>541.11630309139605</v>
      </c>
      <c r="E68" s="7">
        <v>45712204</v>
      </c>
      <c r="G68" s="3" t="s">
        <v>83</v>
      </c>
      <c r="H68" s="7">
        <v>88088.128968160905</v>
      </c>
      <c r="I68" s="7">
        <v>80404.273347095106</v>
      </c>
    </row>
    <row r="69" spans="1:9" x14ac:dyDescent="0.35">
      <c r="A69" s="3" t="s">
        <v>116</v>
      </c>
      <c r="B69" s="7">
        <v>63591.255519932332</v>
      </c>
      <c r="C69" s="7">
        <v>66137.276857041245</v>
      </c>
      <c r="D69" s="7">
        <v>51.082793906810046</v>
      </c>
      <c r="E69" s="7">
        <v>3248419</v>
      </c>
      <c r="G69" s="3" t="s">
        <v>44</v>
      </c>
      <c r="H69" s="7">
        <v>101609.99857451758</v>
      </c>
      <c r="I69" s="7">
        <v>93694.943392249406</v>
      </c>
    </row>
    <row r="70" spans="1:9" x14ac:dyDescent="0.35">
      <c r="A70" s="3" t="s">
        <v>45</v>
      </c>
      <c r="B70" s="7">
        <v>84244.676275620484</v>
      </c>
      <c r="C70" s="7">
        <v>89419.194670136596</v>
      </c>
      <c r="D70" s="7">
        <v>109.41861738351261</v>
      </c>
      <c r="E70" s="7">
        <v>9217936</v>
      </c>
      <c r="G70" s="3" t="s">
        <v>70</v>
      </c>
      <c r="H70" s="7">
        <v>93320.623240631074</v>
      </c>
      <c r="I70" s="7">
        <v>92606.697526364718</v>
      </c>
    </row>
    <row r="71" spans="1:9" x14ac:dyDescent="0.35">
      <c r="A71" s="3" t="s">
        <v>83</v>
      </c>
      <c r="B71" s="7">
        <v>88088.128968160905</v>
      </c>
      <c r="C71" s="7">
        <v>80404.273347095106</v>
      </c>
      <c r="D71" s="7">
        <v>218.17066868279557</v>
      </c>
      <c r="E71" s="7">
        <v>19218246</v>
      </c>
      <c r="G71" s="3" t="s">
        <v>89</v>
      </c>
      <c r="H71" s="7">
        <v>80492.60434130569</v>
      </c>
      <c r="I71" s="7">
        <v>70425.408728374328</v>
      </c>
    </row>
    <row r="72" spans="1:9" x14ac:dyDescent="0.35">
      <c r="A72" s="3" t="s">
        <v>44</v>
      </c>
      <c r="B72" s="7">
        <v>101609.99857451758</v>
      </c>
      <c r="C72" s="7">
        <v>93694.943392249406</v>
      </c>
      <c r="D72" s="7">
        <v>329.38072502240362</v>
      </c>
      <c r="E72" s="7">
        <v>33468375</v>
      </c>
      <c r="G72" s="3" t="s">
        <v>113</v>
      </c>
      <c r="H72" s="7">
        <v>63001.269826719436</v>
      </c>
      <c r="I72" s="7">
        <v>60975.209472196766</v>
      </c>
    </row>
    <row r="73" spans="1:9" x14ac:dyDescent="0.35">
      <c r="A73" s="3" t="s">
        <v>70</v>
      </c>
      <c r="B73" s="7">
        <v>93320.623240631074</v>
      </c>
      <c r="C73" s="7">
        <v>92606.697526364718</v>
      </c>
      <c r="D73" s="7">
        <v>294.28212163978566</v>
      </c>
      <c r="E73" s="7">
        <v>27462591</v>
      </c>
      <c r="G73" s="3" t="s">
        <v>109</v>
      </c>
      <c r="H73" s="7">
        <v>63290.016670450932</v>
      </c>
      <c r="I73" s="7">
        <v>58947.526006961845</v>
      </c>
    </row>
    <row r="74" spans="1:9" x14ac:dyDescent="0.35">
      <c r="A74" s="3" t="s">
        <v>89</v>
      </c>
      <c r="B74" s="7">
        <v>80492.60434130569</v>
      </c>
      <c r="C74" s="7">
        <v>70425.408728374328</v>
      </c>
      <c r="D74" s="7">
        <v>63.13337780017924</v>
      </c>
      <c r="E74" s="7">
        <v>5081770</v>
      </c>
      <c r="G74" s="3" t="s">
        <v>88</v>
      </c>
      <c r="H74" s="7">
        <v>83348.695485116361</v>
      </c>
      <c r="I74" s="7">
        <v>80018.936565416938</v>
      </c>
    </row>
    <row r="75" spans="1:9" x14ac:dyDescent="0.35">
      <c r="A75" s="3" t="s">
        <v>113</v>
      </c>
      <c r="B75" s="7">
        <v>63001.269826719436</v>
      </c>
      <c r="C75" s="7">
        <v>60975.209472196766</v>
      </c>
      <c r="D75" s="7">
        <v>48.196028561827958</v>
      </c>
      <c r="E75" s="7">
        <v>3036411</v>
      </c>
      <c r="G75" s="3" t="s">
        <v>33</v>
      </c>
      <c r="H75" s="7">
        <v>92332.64121437422</v>
      </c>
      <c r="I75" s="7">
        <v>80219.696838409538</v>
      </c>
    </row>
    <row r="76" spans="1:9" x14ac:dyDescent="0.35">
      <c r="A76" s="3" t="s">
        <v>109</v>
      </c>
      <c r="B76" s="7">
        <v>63290.016670450932</v>
      </c>
      <c r="C76" s="7">
        <v>58947.526006961845</v>
      </c>
      <c r="D76" s="7">
        <v>39.795265232974934</v>
      </c>
      <c r="E76" s="7">
        <v>2518643</v>
      </c>
      <c r="G76" s="3" t="s">
        <v>87</v>
      </c>
      <c r="H76" s="7">
        <v>84496.554526068488</v>
      </c>
      <c r="I76" s="7">
        <v>81900.143691821198</v>
      </c>
    </row>
    <row r="77" spans="1:9" x14ac:dyDescent="0.35">
      <c r="A77" s="3" t="s">
        <v>88</v>
      </c>
      <c r="B77" s="7">
        <v>83348.695485116361</v>
      </c>
      <c r="C77" s="7">
        <v>80018.936565416938</v>
      </c>
      <c r="D77" s="7">
        <v>68.83691420250895</v>
      </c>
      <c r="E77" s="7">
        <v>5737467</v>
      </c>
      <c r="G77" s="3" t="s">
        <v>114</v>
      </c>
      <c r="H77" s="7">
        <v>57238.768015564121</v>
      </c>
      <c r="I77" s="7">
        <v>65036.23490133333</v>
      </c>
    </row>
    <row r="78" spans="1:9" x14ac:dyDescent="0.35">
      <c r="A78" s="3" t="s">
        <v>33</v>
      </c>
      <c r="B78" s="7">
        <v>92332.64121437422</v>
      </c>
      <c r="C78" s="7">
        <v>80219.696838409538</v>
      </c>
      <c r="D78" s="7">
        <v>63.136047267025091</v>
      </c>
      <c r="E78" s="7">
        <v>5829518</v>
      </c>
      <c r="G78" s="3" t="s">
        <v>62</v>
      </c>
      <c r="H78" s="7">
        <v>95684.870424838271</v>
      </c>
      <c r="I78" s="7">
        <v>94082.671529596075</v>
      </c>
    </row>
    <row r="79" spans="1:9" x14ac:dyDescent="0.35">
      <c r="A79" s="3" t="s">
        <v>87</v>
      </c>
      <c r="B79" s="7">
        <v>84496.554526068488</v>
      </c>
      <c r="C79" s="7">
        <v>81900.143691821198</v>
      </c>
      <c r="D79" s="7">
        <v>52.733913530465983</v>
      </c>
      <c r="E79" s="7">
        <v>4455834</v>
      </c>
      <c r="G79" s="3" t="s">
        <v>30</v>
      </c>
      <c r="H79" s="7">
        <v>111282.84524859808</v>
      </c>
      <c r="I79" s="7">
        <v>105260.33589045437</v>
      </c>
    </row>
    <row r="80" spans="1:9" x14ac:dyDescent="0.35">
      <c r="A80" s="3" t="s">
        <v>114</v>
      </c>
      <c r="B80" s="7">
        <v>57238.768015564121</v>
      </c>
      <c r="C80" s="7">
        <v>65036.23490133333</v>
      </c>
      <c r="D80" s="7">
        <v>79.84466050627239</v>
      </c>
      <c r="E80" s="7">
        <v>4570210</v>
      </c>
      <c r="G80" s="3" t="s">
        <v>76</v>
      </c>
      <c r="H80" s="7">
        <v>95209.393837712269</v>
      </c>
      <c r="I80" s="7">
        <v>95666.555708761502</v>
      </c>
    </row>
    <row r="81" spans="1:9" x14ac:dyDescent="0.35">
      <c r="A81" s="3" t="s">
        <v>62</v>
      </c>
      <c r="B81" s="7">
        <v>95684.870424838271</v>
      </c>
      <c r="C81" s="7">
        <v>94082.671529596075</v>
      </c>
      <c r="D81" s="7">
        <v>149.13046270161283</v>
      </c>
      <c r="E81" s="7">
        <v>14269529</v>
      </c>
      <c r="G81" s="3" t="s">
        <v>28</v>
      </c>
      <c r="H81" s="7">
        <v>109556.19345754675</v>
      </c>
      <c r="I81" s="7">
        <v>127840.71471228341</v>
      </c>
    </row>
    <row r="82" spans="1:9" x14ac:dyDescent="0.35">
      <c r="A82" s="3" t="s">
        <v>30</v>
      </c>
      <c r="B82" s="7">
        <v>111282.84524859808</v>
      </c>
      <c r="C82" s="7">
        <v>105260.33589045437</v>
      </c>
      <c r="D82" s="7">
        <v>466.35234643817472</v>
      </c>
      <c r="E82" s="7">
        <v>51897016</v>
      </c>
      <c r="G82" s="3" t="s">
        <v>48</v>
      </c>
      <c r="H82" s="7">
        <v>98181.504117383403</v>
      </c>
      <c r="I82" s="7">
        <v>111064.52287665148</v>
      </c>
    </row>
    <row r="83" spans="1:9" x14ac:dyDescent="0.35">
      <c r="A83" s="3" t="s">
        <v>76</v>
      </c>
      <c r="B83" s="7">
        <v>95209.393837712269</v>
      </c>
      <c r="C83" s="7">
        <v>95666.555708761502</v>
      </c>
      <c r="D83" s="7">
        <v>345.53386671147081</v>
      </c>
      <c r="E83" s="7">
        <v>32898070</v>
      </c>
      <c r="G83" s="3" t="s">
        <v>69</v>
      </c>
      <c r="H83" s="7">
        <v>97292.158546562743</v>
      </c>
      <c r="I83" s="7">
        <v>91714.442213323287</v>
      </c>
    </row>
    <row r="84" spans="1:9" x14ac:dyDescent="0.35">
      <c r="A84" s="3" t="s">
        <v>28</v>
      </c>
      <c r="B84" s="7">
        <v>109556.19345754675</v>
      </c>
      <c r="C84" s="7">
        <v>127840.71471228341</v>
      </c>
      <c r="D84" s="7">
        <v>305.88835685484048</v>
      </c>
      <c r="E84" s="7">
        <v>33511964</v>
      </c>
      <c r="G84" s="3" t="s">
        <v>61</v>
      </c>
      <c r="H84" s="7">
        <v>101884.4589704471</v>
      </c>
      <c r="I84" s="7">
        <v>99240.027445396001</v>
      </c>
    </row>
    <row r="85" spans="1:9" x14ac:dyDescent="0.35">
      <c r="A85" s="3" t="s">
        <v>48</v>
      </c>
      <c r="B85" s="7">
        <v>98181.504117383403</v>
      </c>
      <c r="C85" s="7">
        <v>111064.52287665148</v>
      </c>
      <c r="D85" s="7">
        <v>272.19044198028746</v>
      </c>
      <c r="E85" s="7">
        <v>26724067</v>
      </c>
      <c r="G85" s="3" t="s">
        <v>46</v>
      </c>
      <c r="H85" s="7">
        <v>106997.32969215015</v>
      </c>
      <c r="I85" s="7">
        <v>102489.21409198358</v>
      </c>
    </row>
    <row r="86" spans="1:9" x14ac:dyDescent="0.35">
      <c r="A86" s="3" t="s">
        <v>69</v>
      </c>
      <c r="B86" s="7">
        <v>97292.158546562743</v>
      </c>
      <c r="C86" s="7">
        <v>91714.442213323287</v>
      </c>
      <c r="D86" s="7">
        <v>269.56079905914009</v>
      </c>
      <c r="E86" s="7">
        <v>26226152</v>
      </c>
      <c r="G86" s="3" t="s">
        <v>41</v>
      </c>
      <c r="H86" s="7">
        <v>103302.01044616132</v>
      </c>
      <c r="I86" s="7">
        <v>104131.02200771439</v>
      </c>
    </row>
    <row r="87" spans="1:9" x14ac:dyDescent="0.35">
      <c r="A87" s="3" t="s">
        <v>61</v>
      </c>
      <c r="B87" s="7">
        <v>101884.4589704471</v>
      </c>
      <c r="C87" s="7">
        <v>99240.027445396001</v>
      </c>
      <c r="D87" s="7">
        <v>457.09798599910681</v>
      </c>
      <c r="E87" s="7">
        <v>46571181</v>
      </c>
      <c r="G87" s="3" t="s">
        <v>99</v>
      </c>
      <c r="H87" s="7">
        <v>69335.717775350888</v>
      </c>
      <c r="I87" s="7">
        <v>78923.344471570294</v>
      </c>
    </row>
    <row r="88" spans="1:9" x14ac:dyDescent="0.35">
      <c r="A88" s="3" t="s">
        <v>46</v>
      </c>
      <c r="B88" s="7">
        <v>106997.32969215015</v>
      </c>
      <c r="C88" s="7">
        <v>102489.21409198358</v>
      </c>
      <c r="D88" s="7">
        <v>345.95218503584465</v>
      </c>
      <c r="E88" s="7">
        <v>37015960</v>
      </c>
      <c r="G88" s="3" t="s">
        <v>118</v>
      </c>
      <c r="H88" s="7">
        <v>64048.676841330758</v>
      </c>
      <c r="I88" s="7">
        <v>66604.462925138316</v>
      </c>
    </row>
    <row r="89" spans="1:9" x14ac:dyDescent="0.35">
      <c r="A89" s="3" t="s">
        <v>41</v>
      </c>
      <c r="B89" s="7">
        <v>103302.01044616132</v>
      </c>
      <c r="C89" s="7">
        <v>104131.02200771439</v>
      </c>
      <c r="D89" s="7">
        <v>267.15939874552112</v>
      </c>
      <c r="E89" s="7">
        <v>27598103</v>
      </c>
      <c r="G89" s="3" t="s">
        <v>65</v>
      </c>
      <c r="H89" s="7">
        <v>94587.934598431602</v>
      </c>
      <c r="I89" s="7">
        <v>93702.574747203907</v>
      </c>
    </row>
    <row r="90" spans="1:9" x14ac:dyDescent="0.35">
      <c r="A90" s="3" t="s">
        <v>99</v>
      </c>
      <c r="B90" s="7">
        <v>69335.717775350888</v>
      </c>
      <c r="C90" s="7">
        <v>78923.344471570294</v>
      </c>
      <c r="D90" s="7">
        <v>116.77676758512541</v>
      </c>
      <c r="E90" s="7">
        <v>8096801</v>
      </c>
      <c r="G90" s="3" t="s">
        <v>102</v>
      </c>
      <c r="H90" s="7">
        <v>65247.179663565519</v>
      </c>
      <c r="I90" s="7">
        <v>64699.02231666875</v>
      </c>
    </row>
    <row r="91" spans="1:9" x14ac:dyDescent="0.35">
      <c r="A91" s="3" t="s">
        <v>118</v>
      </c>
      <c r="B91" s="7">
        <v>64048.676841330758</v>
      </c>
      <c r="C91" s="7">
        <v>66604.462925138316</v>
      </c>
      <c r="D91" s="7">
        <v>91.44818111559141</v>
      </c>
      <c r="E91" s="7">
        <v>5857135</v>
      </c>
      <c r="G91" s="3" t="s">
        <v>77</v>
      </c>
      <c r="H91" s="7">
        <v>92535.333870276212</v>
      </c>
      <c r="I91" s="7">
        <v>89203.670165103234</v>
      </c>
    </row>
    <row r="92" spans="1:9" x14ac:dyDescent="0.35">
      <c r="A92" s="3" t="s">
        <v>65</v>
      </c>
      <c r="B92" s="7">
        <v>94587.934598431602</v>
      </c>
      <c r="C92" s="7">
        <v>93702.574747203907</v>
      </c>
      <c r="D92" s="7">
        <v>319.40006014785047</v>
      </c>
      <c r="E92" s="7">
        <v>30211392</v>
      </c>
      <c r="G92" s="3" t="s">
        <v>43</v>
      </c>
      <c r="H92" s="7">
        <v>106890.02412821361</v>
      </c>
      <c r="I92" s="7">
        <v>100124.84951946058</v>
      </c>
    </row>
    <row r="93" spans="1:9" x14ac:dyDescent="0.35">
      <c r="A93" s="3" t="s">
        <v>102</v>
      </c>
      <c r="B93" s="7">
        <v>65247.179663565519</v>
      </c>
      <c r="C93" s="7">
        <v>64699.02231666875</v>
      </c>
      <c r="D93" s="7">
        <v>149.24527083333342</v>
      </c>
      <c r="E93" s="7">
        <v>9737833</v>
      </c>
      <c r="G93" s="3" t="s">
        <v>23</v>
      </c>
      <c r="H93" s="7">
        <v>118676.96768282347</v>
      </c>
      <c r="I93" s="7">
        <v>112526.63907718423</v>
      </c>
    </row>
    <row r="94" spans="1:9" x14ac:dyDescent="0.35">
      <c r="A94" s="3" t="s">
        <v>77</v>
      </c>
      <c r="B94" s="7">
        <v>92535.333870276212</v>
      </c>
      <c r="C94" s="7">
        <v>89203.670165103234</v>
      </c>
      <c r="D94" s="7">
        <v>265.9029256272413</v>
      </c>
      <c r="E94" s="7">
        <v>24605416</v>
      </c>
      <c r="G94" s="3" t="s">
        <v>129</v>
      </c>
      <c r="H94" s="7">
        <v>40958.737729768349</v>
      </c>
      <c r="I94" s="7">
        <v>35517.61841096291</v>
      </c>
    </row>
    <row r="95" spans="1:9" x14ac:dyDescent="0.35">
      <c r="A95" s="3" t="s">
        <v>43</v>
      </c>
      <c r="B95" s="7">
        <v>106890.02412821361</v>
      </c>
      <c r="C95" s="7">
        <v>100124.84951946058</v>
      </c>
      <c r="D95" s="7">
        <v>360.76492932347946</v>
      </c>
      <c r="E95" s="7">
        <v>38562172</v>
      </c>
      <c r="G95" s="3" t="s">
        <v>31</v>
      </c>
      <c r="H95" s="7">
        <v>109550.42643488858</v>
      </c>
      <c r="I95" s="7">
        <v>107726.51943540889</v>
      </c>
    </row>
    <row r="96" spans="1:9" x14ac:dyDescent="0.35">
      <c r="A96" s="3" t="s">
        <v>23</v>
      </c>
      <c r="B96" s="7">
        <v>118676.96768282347</v>
      </c>
      <c r="C96" s="7">
        <v>112526.63907718423</v>
      </c>
      <c r="D96" s="7">
        <v>302.44594802867528</v>
      </c>
      <c r="E96" s="7">
        <v>35893368</v>
      </c>
      <c r="G96" s="3" t="s">
        <v>42</v>
      </c>
      <c r="H96" s="7">
        <v>109938.82608814504</v>
      </c>
      <c r="I96" s="7">
        <v>99944.627752926448</v>
      </c>
    </row>
    <row r="97" spans="1:9" x14ac:dyDescent="0.35">
      <c r="A97" s="3" t="s">
        <v>129</v>
      </c>
      <c r="B97" s="7">
        <v>40958.737729768349</v>
      </c>
      <c r="C97" s="7">
        <v>35517.61841096291</v>
      </c>
      <c r="D97" s="7">
        <v>35.450946012544811</v>
      </c>
      <c r="E97" s="7">
        <v>1452026</v>
      </c>
      <c r="G97" s="3" t="s">
        <v>59</v>
      </c>
      <c r="H97" s="7">
        <v>99600.621625454733</v>
      </c>
      <c r="I97" s="7">
        <v>93948.89966952226</v>
      </c>
    </row>
    <row r="98" spans="1:9" x14ac:dyDescent="0.35">
      <c r="A98" s="3" t="s">
        <v>31</v>
      </c>
      <c r="B98" s="7">
        <v>109550.42643488858</v>
      </c>
      <c r="C98" s="7">
        <v>107726.51943540889</v>
      </c>
      <c r="D98" s="7">
        <v>423.83215210573655</v>
      </c>
      <c r="E98" s="7">
        <v>46430993</v>
      </c>
      <c r="G98" s="3" t="s">
        <v>56</v>
      </c>
      <c r="H98" s="7">
        <v>97231.056283298632</v>
      </c>
      <c r="I98" s="7">
        <v>117637.54340594193</v>
      </c>
    </row>
    <row r="99" spans="1:9" x14ac:dyDescent="0.35">
      <c r="A99" s="3" t="s">
        <v>42</v>
      </c>
      <c r="B99" s="7">
        <v>109938.82608814504</v>
      </c>
      <c r="C99" s="7">
        <v>99944.627752926448</v>
      </c>
      <c r="D99" s="7">
        <v>264.86329749103936</v>
      </c>
      <c r="E99" s="7">
        <v>29118760</v>
      </c>
      <c r="G99" s="3" t="s">
        <v>22</v>
      </c>
      <c r="H99" s="7">
        <v>117840.74386366793</v>
      </c>
      <c r="I99" s="7">
        <v>101198.85700587655</v>
      </c>
    </row>
    <row r="100" spans="1:9" x14ac:dyDescent="0.35">
      <c r="A100" s="3" t="s">
        <v>59</v>
      </c>
      <c r="B100" s="7">
        <v>99600.621625454733</v>
      </c>
      <c r="C100" s="7">
        <v>93948.89966952226</v>
      </c>
      <c r="D100" s="7">
        <v>444.38256787634708</v>
      </c>
      <c r="E100" s="7">
        <v>44260780</v>
      </c>
      <c r="G100" s="3" t="s">
        <v>39</v>
      </c>
      <c r="H100" s="7">
        <v>106232.43182756678</v>
      </c>
      <c r="I100" s="7">
        <v>102744.34098428838</v>
      </c>
    </row>
    <row r="101" spans="1:9" x14ac:dyDescent="0.35">
      <c r="A101" s="3" t="s">
        <v>56</v>
      </c>
      <c r="B101" s="7">
        <v>97231.056283298632</v>
      </c>
      <c r="C101" s="7">
        <v>117637.54340594193</v>
      </c>
      <c r="D101" s="7">
        <v>317.26919545251127</v>
      </c>
      <c r="E101" s="7">
        <v>30848419</v>
      </c>
      <c r="G101" s="3" t="s">
        <v>36</v>
      </c>
      <c r="H101" s="7">
        <v>115367.75203510442</v>
      </c>
      <c r="I101" s="7">
        <v>124751.5748337844</v>
      </c>
    </row>
    <row r="102" spans="1:9" x14ac:dyDescent="0.35">
      <c r="A102" s="3" t="s">
        <v>22</v>
      </c>
      <c r="B102" s="7">
        <v>117840.74386366793</v>
      </c>
      <c r="C102" s="7">
        <v>101198.85700587655</v>
      </c>
      <c r="D102" s="7">
        <v>258.61503416218693</v>
      </c>
      <c r="E102" s="7">
        <v>30475388</v>
      </c>
      <c r="G102" s="3" t="s">
        <v>15</v>
      </c>
      <c r="H102" s="7">
        <v>133568.33509138747</v>
      </c>
      <c r="I102" s="7">
        <v>130774.94759931914</v>
      </c>
    </row>
    <row r="103" spans="1:9" x14ac:dyDescent="0.35">
      <c r="A103" s="3" t="s">
        <v>39</v>
      </c>
      <c r="B103" s="7">
        <v>106232.43182756678</v>
      </c>
      <c r="C103" s="7">
        <v>102744.34098428838</v>
      </c>
      <c r="D103" s="7">
        <v>426.73787298387168</v>
      </c>
      <c r="E103" s="7">
        <v>45333402</v>
      </c>
      <c r="G103" s="3" t="s">
        <v>63</v>
      </c>
      <c r="H103" s="7">
        <v>93732.628876248302</v>
      </c>
      <c r="I103" s="7">
        <v>106674.03005959385</v>
      </c>
    </row>
    <row r="104" spans="1:9" x14ac:dyDescent="0.35">
      <c r="A104" s="3" t="s">
        <v>36</v>
      </c>
      <c r="B104" s="7">
        <v>115367.75203510442</v>
      </c>
      <c r="C104" s="7">
        <v>124751.5748337844</v>
      </c>
      <c r="D104" s="7">
        <v>369.86749977598606</v>
      </c>
      <c r="E104" s="7">
        <v>42670782</v>
      </c>
      <c r="G104" s="3" t="s">
        <v>93</v>
      </c>
      <c r="H104" s="7">
        <v>77140.134794389043</v>
      </c>
      <c r="I104" s="7">
        <v>88383.335714285713</v>
      </c>
    </row>
    <row r="105" spans="1:9" x14ac:dyDescent="0.35">
      <c r="A105" s="3" t="s">
        <v>15</v>
      </c>
      <c r="B105" s="7">
        <v>133568.33509138747</v>
      </c>
      <c r="C105" s="7">
        <v>130774.94759931914</v>
      </c>
      <c r="D105" s="7">
        <v>283.03355712365715</v>
      </c>
      <c r="E105" s="7">
        <v>37804321</v>
      </c>
      <c r="G105" s="3" t="s">
        <v>117</v>
      </c>
      <c r="H105" s="7">
        <v>62821.5829358474</v>
      </c>
      <c r="I105" s="7">
        <v>59138.192584849443</v>
      </c>
    </row>
    <row r="106" spans="1:9" x14ac:dyDescent="0.35">
      <c r="A106" s="3" t="s">
        <v>63</v>
      </c>
      <c r="B106" s="7">
        <v>93732.628876248302</v>
      </c>
      <c r="C106" s="7">
        <v>106674.03005959385</v>
      </c>
      <c r="D106" s="7">
        <v>382.95054166666745</v>
      </c>
      <c r="E106" s="7">
        <v>35894961</v>
      </c>
      <c r="G106" s="3" t="s">
        <v>128</v>
      </c>
      <c r="H106" s="7">
        <v>53352.780594953692</v>
      </c>
      <c r="I106" s="7">
        <v>53435.320919743674</v>
      </c>
    </row>
    <row r="107" spans="1:9" x14ac:dyDescent="0.35">
      <c r="A107" s="3" t="s">
        <v>93</v>
      </c>
      <c r="B107" s="7">
        <v>77140.134794389043</v>
      </c>
      <c r="C107" s="7">
        <v>88383.335714285713</v>
      </c>
      <c r="D107" s="7">
        <v>399.58764762544945</v>
      </c>
      <c r="E107" s="7">
        <v>30824245</v>
      </c>
      <c r="G107" s="3" t="s">
        <v>126</v>
      </c>
      <c r="H107" s="7">
        <v>49169.24626614451</v>
      </c>
      <c r="I107" s="7">
        <v>58806.556347716483</v>
      </c>
    </row>
    <row r="108" spans="1:9" x14ac:dyDescent="0.35">
      <c r="A108" s="3" t="s">
        <v>117</v>
      </c>
      <c r="B108" s="7">
        <v>62821.5829358474</v>
      </c>
      <c r="C108" s="7">
        <v>59138.192584849443</v>
      </c>
      <c r="D108" s="7">
        <v>294.78394422043067</v>
      </c>
      <c r="E108" s="7">
        <v>18518794</v>
      </c>
      <c r="G108" s="3" t="s">
        <v>103</v>
      </c>
      <c r="H108" s="7">
        <v>69568.089703697653</v>
      </c>
      <c r="I108" s="7">
        <v>68852.657841736305</v>
      </c>
    </row>
    <row r="109" spans="1:9" x14ac:dyDescent="0.35">
      <c r="A109" s="3" t="s">
        <v>128</v>
      </c>
      <c r="B109" s="7">
        <v>53352.780594953692</v>
      </c>
      <c r="C109" s="7">
        <v>53435.320919743674</v>
      </c>
      <c r="D109" s="7">
        <v>255.15479883512558</v>
      </c>
      <c r="E109" s="7">
        <v>13613218</v>
      </c>
    </row>
    <row r="110" spans="1:9" x14ac:dyDescent="0.35">
      <c r="A110" s="3" t="s">
        <v>126</v>
      </c>
      <c r="B110" s="7">
        <v>49169.24626614451</v>
      </c>
      <c r="C110" s="7">
        <v>58806.556347716483</v>
      </c>
      <c r="D110" s="7">
        <v>294.42969130824486</v>
      </c>
      <c r="E110" s="7">
        <v>14476886</v>
      </c>
      <c r="G110" s="3" t="s">
        <v>125</v>
      </c>
      <c r="H110" s="7">
        <v>55265.545451394704</v>
      </c>
      <c r="I110" s="7">
        <v>55698.093996917458</v>
      </c>
    </row>
    <row r="111" spans="1:9" x14ac:dyDescent="0.35">
      <c r="A111" s="3" t="s">
        <v>103</v>
      </c>
      <c r="B111" s="7">
        <v>69568.089703697653</v>
      </c>
      <c r="C111" s="7">
        <v>68852.657841736305</v>
      </c>
      <c r="D111" s="7">
        <v>387.82112768817296</v>
      </c>
      <c r="E111" s="7">
        <v>26979975</v>
      </c>
      <c r="G111" s="3" t="s">
        <v>122</v>
      </c>
      <c r="H111" s="7">
        <v>45317.042694391981</v>
      </c>
      <c r="I111" s="7">
        <v>31821.084287200832</v>
      </c>
    </row>
    <row r="112" spans="1:9" x14ac:dyDescent="0.35">
      <c r="A112" s="3" t="s">
        <v>127</v>
      </c>
      <c r="B112" s="7">
        <v>37461.957817109884</v>
      </c>
      <c r="C112" s="7"/>
      <c r="D112" s="7">
        <v>178.34436290322628</v>
      </c>
      <c r="E112" s="7">
        <v>6681129</v>
      </c>
      <c r="G112" s="3" t="s">
        <v>123</v>
      </c>
      <c r="H112" s="7">
        <v>54340.133101089486</v>
      </c>
      <c r="I112" s="7">
        <v>52791.572176694965</v>
      </c>
    </row>
    <row r="113" spans="1:9" x14ac:dyDescent="0.35">
      <c r="A113" s="3" t="s">
        <v>125</v>
      </c>
      <c r="B113" s="7">
        <v>55265.545451394704</v>
      </c>
      <c r="C113" s="7">
        <v>55698.093996917458</v>
      </c>
      <c r="D113" s="7">
        <v>244.67971662186397</v>
      </c>
      <c r="E113" s="7">
        <v>13522358</v>
      </c>
      <c r="G113" s="3" t="s">
        <v>101</v>
      </c>
      <c r="H113" s="7">
        <v>60434.753180617932</v>
      </c>
      <c r="I113" s="7">
        <v>46979.687293327639</v>
      </c>
    </row>
    <row r="114" spans="1:9" x14ac:dyDescent="0.35">
      <c r="A114" s="3" t="s">
        <v>122</v>
      </c>
      <c r="B114" s="7">
        <v>45317.042694391981</v>
      </c>
      <c r="C114" s="7">
        <v>31821.084287200832</v>
      </c>
      <c r="D114" s="7">
        <v>338.15637757616491</v>
      </c>
      <c r="E114" s="7">
        <v>15324247</v>
      </c>
    </row>
    <row r="115" spans="1:9" x14ac:dyDescent="0.35">
      <c r="A115" s="3" t="s">
        <v>123</v>
      </c>
      <c r="B115" s="7">
        <v>54340.133101089486</v>
      </c>
      <c r="C115" s="7">
        <v>52791.572176694965</v>
      </c>
      <c r="D115" s="7">
        <v>47.592356742831548</v>
      </c>
      <c r="E115" s="7">
        <v>2586175</v>
      </c>
    </row>
    <row r="116" spans="1:9" x14ac:dyDescent="0.35">
      <c r="A116" s="3" t="s">
        <v>101</v>
      </c>
      <c r="B116" s="7">
        <v>60434.753180617932</v>
      </c>
      <c r="C116" s="7">
        <v>46979.687293327639</v>
      </c>
      <c r="D116" s="7">
        <v>28.349731070788529</v>
      </c>
      <c r="E116" s="7">
        <v>1713309</v>
      </c>
    </row>
    <row r="117" spans="1:9" x14ac:dyDescent="0.35">
      <c r="A117" s="3" t="s">
        <v>135</v>
      </c>
      <c r="B117" s="7">
        <v>92803.938002964176</v>
      </c>
      <c r="C117" s="7">
        <v>91337.757274337113</v>
      </c>
      <c r="D117" s="7">
        <v>30559.641034946326</v>
      </c>
      <c r="E117" s="7">
        <v>2836055032</v>
      </c>
    </row>
    <row r="118" spans="1:9" x14ac:dyDescent="0.35">
      <c r="B118"/>
      <c r="C118"/>
      <c r="D118"/>
      <c r="E118"/>
    </row>
    <row r="119" spans="1:9" x14ac:dyDescent="0.35">
      <c r="B119"/>
      <c r="C119"/>
      <c r="D119"/>
      <c r="E119"/>
    </row>
    <row r="120" spans="1:9" x14ac:dyDescent="0.35">
      <c r="B120"/>
      <c r="C120"/>
      <c r="D120"/>
      <c r="E120"/>
    </row>
    <row r="121" spans="1:9" x14ac:dyDescent="0.35">
      <c r="B121"/>
      <c r="C121"/>
      <c r="D121"/>
      <c r="E121"/>
    </row>
    <row r="122" spans="1:9" x14ac:dyDescent="0.35">
      <c r="B122"/>
      <c r="C122"/>
      <c r="D122"/>
      <c r="E122"/>
    </row>
    <row r="123" spans="1:9" x14ac:dyDescent="0.35">
      <c r="B123"/>
      <c r="C123"/>
      <c r="D123"/>
      <c r="E123"/>
    </row>
    <row r="124" spans="1:9" x14ac:dyDescent="0.35">
      <c r="B124"/>
      <c r="C124"/>
      <c r="D124"/>
      <c r="E124"/>
    </row>
    <row r="125" spans="1:9" x14ac:dyDescent="0.35">
      <c r="B125"/>
      <c r="C125"/>
      <c r="D125"/>
      <c r="E125"/>
    </row>
    <row r="126" spans="1:9" x14ac:dyDescent="0.35">
      <c r="B126"/>
      <c r="C126"/>
      <c r="D126"/>
      <c r="E126"/>
    </row>
    <row r="127" spans="1:9" x14ac:dyDescent="0.35">
      <c r="B127"/>
      <c r="C127"/>
      <c r="D127"/>
      <c r="E127"/>
    </row>
    <row r="128" spans="1:9" x14ac:dyDescent="0.35">
      <c r="B128"/>
      <c r="C128"/>
      <c r="D128"/>
      <c r="E128"/>
    </row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  <row r="135" customFormat="1" x14ac:dyDescent="0.35"/>
    <row r="136" customFormat="1" x14ac:dyDescent="0.35"/>
    <row r="137" customFormat="1" x14ac:dyDescent="0.35"/>
    <row r="138" customFormat="1" x14ac:dyDescent="0.35"/>
    <row r="139" customFormat="1" x14ac:dyDescent="0.35"/>
    <row r="140" customFormat="1" x14ac:dyDescent="0.35"/>
    <row r="141" customFormat="1" x14ac:dyDescent="0.35"/>
    <row r="142" customFormat="1" x14ac:dyDescent="0.35"/>
    <row r="143" customFormat="1" x14ac:dyDescent="0.35"/>
    <row r="144" customFormat="1" x14ac:dyDescent="0.35"/>
    <row r="145" customFormat="1" x14ac:dyDescent="0.35"/>
    <row r="146" customFormat="1" x14ac:dyDescent="0.35"/>
    <row r="147" customFormat="1" x14ac:dyDescent="0.35"/>
    <row r="148" customFormat="1" x14ac:dyDescent="0.35"/>
    <row r="149" customFormat="1" x14ac:dyDescent="0.35"/>
    <row r="150" customFormat="1" x14ac:dyDescent="0.35"/>
    <row r="151" customFormat="1" x14ac:dyDescent="0.35"/>
    <row r="152" customFormat="1" x14ac:dyDescent="0.35"/>
    <row r="153" customFormat="1" x14ac:dyDescent="0.35"/>
    <row r="154" customFormat="1" x14ac:dyDescent="0.35"/>
    <row r="155" customFormat="1" x14ac:dyDescent="0.35"/>
    <row r="156" customFormat="1" x14ac:dyDescent="0.35"/>
    <row r="157" customFormat="1" x14ac:dyDescent="0.35"/>
    <row r="158" customFormat="1" x14ac:dyDescent="0.35"/>
    <row r="159" customFormat="1" x14ac:dyDescent="0.35"/>
    <row r="160" customFormat="1" x14ac:dyDescent="0.35"/>
    <row r="161" customFormat="1" x14ac:dyDescent="0.35"/>
    <row r="162" customFormat="1" x14ac:dyDescent="0.35"/>
    <row r="163" customFormat="1" x14ac:dyDescent="0.35"/>
    <row r="164" customFormat="1" x14ac:dyDescent="0.35"/>
    <row r="165" customFormat="1" x14ac:dyDescent="0.35"/>
    <row r="166" customFormat="1" x14ac:dyDescent="0.35"/>
    <row r="167" customFormat="1" x14ac:dyDescent="0.35"/>
    <row r="168" customFormat="1" x14ac:dyDescent="0.35"/>
    <row r="169" customFormat="1" x14ac:dyDescent="0.35"/>
    <row r="170" customFormat="1" x14ac:dyDescent="0.35"/>
    <row r="171" customFormat="1" x14ac:dyDescent="0.35"/>
    <row r="172" customFormat="1" x14ac:dyDescent="0.35"/>
    <row r="173" customFormat="1" x14ac:dyDescent="0.35"/>
    <row r="174" customFormat="1" x14ac:dyDescent="0.35"/>
    <row r="175" customFormat="1" x14ac:dyDescent="0.35"/>
    <row r="176" customFormat="1" x14ac:dyDescent="0.35"/>
    <row r="177" customFormat="1" x14ac:dyDescent="0.35"/>
    <row r="178" customFormat="1" x14ac:dyDescent="0.35"/>
    <row r="179" customFormat="1" x14ac:dyDescent="0.35"/>
    <row r="180" customFormat="1" x14ac:dyDescent="0.35"/>
    <row r="181" customFormat="1" x14ac:dyDescent="0.35"/>
    <row r="182" customFormat="1" x14ac:dyDescent="0.35"/>
    <row r="183" customFormat="1" x14ac:dyDescent="0.35"/>
    <row r="184" customFormat="1" x14ac:dyDescent="0.35"/>
    <row r="185" customFormat="1" x14ac:dyDescent="0.35"/>
    <row r="186" customFormat="1" x14ac:dyDescent="0.35"/>
    <row r="187" customFormat="1" x14ac:dyDescent="0.35"/>
    <row r="188" customFormat="1" x14ac:dyDescent="0.35"/>
    <row r="189" customFormat="1" x14ac:dyDescent="0.35"/>
    <row r="190" customFormat="1" x14ac:dyDescent="0.35"/>
    <row r="191" customFormat="1" x14ac:dyDescent="0.35"/>
    <row r="192" customFormat="1" x14ac:dyDescent="0.35"/>
    <row r="193" customFormat="1" x14ac:dyDescent="0.35"/>
    <row r="194" customFormat="1" x14ac:dyDescent="0.35"/>
    <row r="195" customFormat="1" x14ac:dyDescent="0.35"/>
    <row r="196" customFormat="1" x14ac:dyDescent="0.35"/>
    <row r="197" customFormat="1" x14ac:dyDescent="0.35"/>
    <row r="198" customFormat="1" x14ac:dyDescent="0.35"/>
    <row r="199" customFormat="1" x14ac:dyDescent="0.35"/>
    <row r="200" customFormat="1" x14ac:dyDescent="0.35"/>
    <row r="201" customFormat="1" x14ac:dyDescent="0.35"/>
    <row r="202" customFormat="1" x14ac:dyDescent="0.35"/>
    <row r="203" customFormat="1" x14ac:dyDescent="0.35"/>
    <row r="204" customFormat="1" x14ac:dyDescent="0.35"/>
    <row r="205" customFormat="1" x14ac:dyDescent="0.35"/>
    <row r="206" customFormat="1" x14ac:dyDescent="0.35"/>
    <row r="207" customFormat="1" x14ac:dyDescent="0.35"/>
    <row r="208" customFormat="1" x14ac:dyDescent="0.35"/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  <row r="219" customFormat="1" x14ac:dyDescent="0.35"/>
    <row r="220" customFormat="1" x14ac:dyDescent="0.35"/>
    <row r="221" customFormat="1" x14ac:dyDescent="0.35"/>
    <row r="222" customFormat="1" x14ac:dyDescent="0.35"/>
    <row r="223" customFormat="1" x14ac:dyDescent="0.35"/>
    <row r="224" customFormat="1" x14ac:dyDescent="0.35"/>
    <row r="225" customFormat="1" x14ac:dyDescent="0.35"/>
    <row r="226" customFormat="1" x14ac:dyDescent="0.35"/>
    <row r="227" customFormat="1" x14ac:dyDescent="0.35"/>
    <row r="228" customFormat="1" x14ac:dyDescent="0.35"/>
    <row r="229" customFormat="1" x14ac:dyDescent="0.35"/>
    <row r="230" customFormat="1" x14ac:dyDescent="0.35"/>
    <row r="231" customFormat="1" x14ac:dyDescent="0.35"/>
    <row r="232" customFormat="1" x14ac:dyDescent="0.35"/>
    <row r="233" customFormat="1" x14ac:dyDescent="0.35"/>
    <row r="234" customFormat="1" x14ac:dyDescent="0.35"/>
    <row r="235" customFormat="1" x14ac:dyDescent="0.35"/>
    <row r="236" customFormat="1" x14ac:dyDescent="0.35"/>
    <row r="237" customFormat="1" x14ac:dyDescent="0.35"/>
    <row r="238" customFormat="1" x14ac:dyDescent="0.35"/>
    <row r="239" customFormat="1" x14ac:dyDescent="0.35"/>
    <row r="240" customFormat="1" x14ac:dyDescent="0.35"/>
    <row r="241" customFormat="1" x14ac:dyDescent="0.35"/>
    <row r="242" customFormat="1" x14ac:dyDescent="0.35"/>
    <row r="243" customFormat="1" x14ac:dyDescent="0.35"/>
    <row r="244" customFormat="1" x14ac:dyDescent="0.35"/>
    <row r="245" customFormat="1" x14ac:dyDescent="0.35"/>
    <row r="246" customFormat="1" x14ac:dyDescent="0.35"/>
    <row r="247" customFormat="1" x14ac:dyDescent="0.35"/>
    <row r="248" customFormat="1" x14ac:dyDescent="0.35"/>
    <row r="249" customFormat="1" x14ac:dyDescent="0.35"/>
    <row r="250" customFormat="1" x14ac:dyDescent="0.35"/>
    <row r="251" customFormat="1" x14ac:dyDescent="0.35"/>
    <row r="252" customFormat="1" x14ac:dyDescent="0.35"/>
    <row r="253" customFormat="1" x14ac:dyDescent="0.35"/>
    <row r="254" customFormat="1" x14ac:dyDescent="0.35"/>
    <row r="255" customFormat="1" x14ac:dyDescent="0.35"/>
    <row r="256" customFormat="1" x14ac:dyDescent="0.35"/>
    <row r="257" customFormat="1" x14ac:dyDescent="0.35"/>
    <row r="258" customFormat="1" x14ac:dyDescent="0.35"/>
    <row r="259" customFormat="1" x14ac:dyDescent="0.35"/>
    <row r="260" customFormat="1" x14ac:dyDescent="0.35"/>
    <row r="261" customFormat="1" x14ac:dyDescent="0.35"/>
    <row r="262" customFormat="1" x14ac:dyDescent="0.35"/>
    <row r="263" customFormat="1" x14ac:dyDescent="0.35"/>
    <row r="264" customFormat="1" x14ac:dyDescent="0.35"/>
    <row r="265" customFormat="1" x14ac:dyDescent="0.35"/>
    <row r="266" customFormat="1" x14ac:dyDescent="0.35"/>
    <row r="267" customFormat="1" x14ac:dyDescent="0.35"/>
    <row r="268" customFormat="1" x14ac:dyDescent="0.35"/>
    <row r="269" customFormat="1" x14ac:dyDescent="0.35"/>
    <row r="270" customFormat="1" x14ac:dyDescent="0.35"/>
    <row r="271" customFormat="1" x14ac:dyDescent="0.35"/>
    <row r="272" customFormat="1" x14ac:dyDescent="0.35"/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  <row r="282" customFormat="1" x14ac:dyDescent="0.35"/>
    <row r="283" customFormat="1" x14ac:dyDescent="0.35"/>
    <row r="284" customFormat="1" x14ac:dyDescent="0.35"/>
    <row r="285" customFormat="1" x14ac:dyDescent="0.35"/>
    <row r="286" customFormat="1" x14ac:dyDescent="0.35"/>
    <row r="287" customFormat="1" x14ac:dyDescent="0.35"/>
    <row r="288" customFormat="1" x14ac:dyDescent="0.35"/>
    <row r="289" customFormat="1" x14ac:dyDescent="0.35"/>
    <row r="290" customFormat="1" x14ac:dyDescent="0.35"/>
    <row r="291" customFormat="1" x14ac:dyDescent="0.35"/>
    <row r="292" customFormat="1" x14ac:dyDescent="0.35"/>
    <row r="293" customFormat="1" x14ac:dyDescent="0.35"/>
    <row r="294" customFormat="1" x14ac:dyDescent="0.35"/>
    <row r="295" customFormat="1" x14ac:dyDescent="0.35"/>
    <row r="296" customFormat="1" x14ac:dyDescent="0.35"/>
    <row r="297" customFormat="1" x14ac:dyDescent="0.35"/>
    <row r="298" customFormat="1" x14ac:dyDescent="0.35"/>
    <row r="299" customFormat="1" x14ac:dyDescent="0.35"/>
    <row r="300" customFormat="1" x14ac:dyDescent="0.35"/>
    <row r="301" customFormat="1" x14ac:dyDescent="0.35"/>
    <row r="302" customFormat="1" x14ac:dyDescent="0.35"/>
    <row r="303" customFormat="1" x14ac:dyDescent="0.35"/>
    <row r="304" customFormat="1" x14ac:dyDescent="0.35"/>
    <row r="305" customFormat="1" x14ac:dyDescent="0.35"/>
    <row r="306" customFormat="1" x14ac:dyDescent="0.35"/>
    <row r="307" customFormat="1" x14ac:dyDescent="0.35"/>
    <row r="308" customFormat="1" x14ac:dyDescent="0.35"/>
    <row r="309" customFormat="1" x14ac:dyDescent="0.35"/>
    <row r="310" customFormat="1" x14ac:dyDescent="0.35"/>
    <row r="311" customFormat="1" x14ac:dyDescent="0.35"/>
    <row r="312" customFormat="1" x14ac:dyDescent="0.35"/>
    <row r="313" customFormat="1" x14ac:dyDescent="0.35"/>
    <row r="314" customFormat="1" x14ac:dyDescent="0.35"/>
    <row r="315" customFormat="1" x14ac:dyDescent="0.35"/>
    <row r="316" customFormat="1" x14ac:dyDescent="0.35"/>
    <row r="317" customFormat="1" x14ac:dyDescent="0.35"/>
    <row r="318" customFormat="1" x14ac:dyDescent="0.35"/>
    <row r="319" customFormat="1" x14ac:dyDescent="0.35"/>
    <row r="320" customFormat="1" x14ac:dyDescent="0.35"/>
    <row r="321" customFormat="1" x14ac:dyDescent="0.35"/>
    <row r="322" customFormat="1" x14ac:dyDescent="0.35"/>
    <row r="323" customFormat="1" x14ac:dyDescent="0.35"/>
    <row r="324" customFormat="1" x14ac:dyDescent="0.35"/>
    <row r="325" customFormat="1" x14ac:dyDescent="0.35"/>
    <row r="326" customFormat="1" x14ac:dyDescent="0.35"/>
    <row r="327" customFormat="1" x14ac:dyDescent="0.35"/>
    <row r="328" customFormat="1" x14ac:dyDescent="0.35"/>
    <row r="329" customFormat="1" x14ac:dyDescent="0.35"/>
    <row r="330" customFormat="1" x14ac:dyDescent="0.35"/>
    <row r="331" customFormat="1" x14ac:dyDescent="0.35"/>
    <row r="332" customFormat="1" x14ac:dyDescent="0.35"/>
    <row r="333" customFormat="1" x14ac:dyDescent="0.35"/>
    <row r="334" customFormat="1" x14ac:dyDescent="0.35"/>
    <row r="335" customFormat="1" x14ac:dyDescent="0.35"/>
    <row r="336" customFormat="1" x14ac:dyDescent="0.35"/>
    <row r="337" customFormat="1" x14ac:dyDescent="0.35"/>
    <row r="338" customFormat="1" x14ac:dyDescent="0.35"/>
    <row r="339" customFormat="1" x14ac:dyDescent="0.35"/>
    <row r="340" customFormat="1" x14ac:dyDescent="0.35"/>
    <row r="341" customFormat="1" x14ac:dyDescent="0.35"/>
    <row r="342" customFormat="1" x14ac:dyDescent="0.35"/>
    <row r="343" customFormat="1" x14ac:dyDescent="0.35"/>
    <row r="344" customFormat="1" x14ac:dyDescent="0.35"/>
    <row r="345" customFormat="1" x14ac:dyDescent="0.35"/>
    <row r="346" customFormat="1" x14ac:dyDescent="0.35"/>
    <row r="347" customFormat="1" x14ac:dyDescent="0.35"/>
    <row r="348" customFormat="1" x14ac:dyDescent="0.35"/>
    <row r="349" customFormat="1" x14ac:dyDescent="0.35"/>
    <row r="350" customFormat="1" x14ac:dyDescent="0.35"/>
    <row r="351" customFormat="1" x14ac:dyDescent="0.35"/>
    <row r="352" customFormat="1" x14ac:dyDescent="0.35"/>
    <row r="353" customFormat="1" x14ac:dyDescent="0.35"/>
    <row r="354" customFormat="1" x14ac:dyDescent="0.35"/>
    <row r="355" customFormat="1" x14ac:dyDescent="0.35"/>
    <row r="356" customFormat="1" x14ac:dyDescent="0.35"/>
    <row r="357" customFormat="1" x14ac:dyDescent="0.35"/>
    <row r="358" customFormat="1" x14ac:dyDescent="0.35"/>
    <row r="359" customFormat="1" x14ac:dyDescent="0.35"/>
    <row r="360" customFormat="1" x14ac:dyDescent="0.35"/>
    <row r="361" customFormat="1" x14ac:dyDescent="0.35"/>
    <row r="362" customFormat="1" x14ac:dyDescent="0.35"/>
    <row r="363" customFormat="1" x14ac:dyDescent="0.35"/>
    <row r="364" customFormat="1" x14ac:dyDescent="0.35"/>
    <row r="365" customFormat="1" x14ac:dyDescent="0.35"/>
    <row r="366" customFormat="1" x14ac:dyDescent="0.35"/>
    <row r="367" customFormat="1" x14ac:dyDescent="0.35"/>
    <row r="368" customFormat="1" x14ac:dyDescent="0.35"/>
    <row r="369" customFormat="1" x14ac:dyDescent="0.35"/>
    <row r="370" customFormat="1" x14ac:dyDescent="0.35"/>
    <row r="371" customFormat="1" x14ac:dyDescent="0.35"/>
    <row r="372" customFormat="1" x14ac:dyDescent="0.35"/>
    <row r="373" customFormat="1" x14ac:dyDescent="0.35"/>
    <row r="374" customFormat="1" x14ac:dyDescent="0.35"/>
    <row r="375" customFormat="1" x14ac:dyDescent="0.35"/>
    <row r="376" customFormat="1" x14ac:dyDescent="0.35"/>
    <row r="377" customFormat="1" x14ac:dyDescent="0.35"/>
    <row r="378" customFormat="1" x14ac:dyDescent="0.35"/>
    <row r="379" customFormat="1" x14ac:dyDescent="0.35"/>
    <row r="380" customFormat="1" x14ac:dyDescent="0.35"/>
    <row r="381" customFormat="1" x14ac:dyDescent="0.35"/>
    <row r="382" customFormat="1" x14ac:dyDescent="0.35"/>
    <row r="383" customFormat="1" x14ac:dyDescent="0.35"/>
    <row r="384" customFormat="1" x14ac:dyDescent="0.35"/>
    <row r="385" customFormat="1" x14ac:dyDescent="0.35"/>
    <row r="386" customFormat="1" x14ac:dyDescent="0.35"/>
    <row r="387" customFormat="1" x14ac:dyDescent="0.35"/>
    <row r="388" customFormat="1" x14ac:dyDescent="0.35"/>
    <row r="389" customFormat="1" x14ac:dyDescent="0.35"/>
    <row r="390" customFormat="1" x14ac:dyDescent="0.35"/>
    <row r="391" customFormat="1" x14ac:dyDescent="0.35"/>
    <row r="392" customFormat="1" x14ac:dyDescent="0.35"/>
    <row r="393" customFormat="1" x14ac:dyDescent="0.35"/>
    <row r="394" customFormat="1" x14ac:dyDescent="0.35"/>
    <row r="395" customFormat="1" x14ac:dyDescent="0.35"/>
    <row r="396" customFormat="1" x14ac:dyDescent="0.35"/>
    <row r="397" customFormat="1" x14ac:dyDescent="0.35"/>
    <row r="398" customFormat="1" x14ac:dyDescent="0.35"/>
    <row r="399" customFormat="1" x14ac:dyDescent="0.35"/>
    <row r="400" customFormat="1" x14ac:dyDescent="0.35"/>
    <row r="401" customFormat="1" x14ac:dyDescent="0.35"/>
    <row r="402" customFormat="1" x14ac:dyDescent="0.35"/>
    <row r="403" customFormat="1" x14ac:dyDescent="0.35"/>
    <row r="404" customFormat="1" x14ac:dyDescent="0.35"/>
    <row r="405" customFormat="1" x14ac:dyDescent="0.35"/>
    <row r="406" customFormat="1" x14ac:dyDescent="0.35"/>
    <row r="407" customFormat="1" x14ac:dyDescent="0.35"/>
    <row r="408" customFormat="1" x14ac:dyDescent="0.35"/>
    <row r="409" customFormat="1" x14ac:dyDescent="0.35"/>
    <row r="410" customFormat="1" x14ac:dyDescent="0.35"/>
    <row r="411" customFormat="1" x14ac:dyDescent="0.35"/>
    <row r="412" customFormat="1" x14ac:dyDescent="0.35"/>
    <row r="413" customFormat="1" x14ac:dyDescent="0.35"/>
    <row r="414" customFormat="1" x14ac:dyDescent="0.35"/>
    <row r="415" customFormat="1" x14ac:dyDescent="0.35"/>
    <row r="416" customFormat="1" x14ac:dyDescent="0.35"/>
    <row r="417" customFormat="1" x14ac:dyDescent="0.35"/>
    <row r="418" customFormat="1" x14ac:dyDescent="0.35"/>
    <row r="419" customFormat="1" x14ac:dyDescent="0.35"/>
    <row r="420" customFormat="1" x14ac:dyDescent="0.35"/>
    <row r="421" customFormat="1" x14ac:dyDescent="0.35"/>
    <row r="422" customFormat="1" x14ac:dyDescent="0.35"/>
    <row r="423" customFormat="1" x14ac:dyDescent="0.35"/>
    <row r="424" customFormat="1" x14ac:dyDescent="0.35"/>
    <row r="425" customFormat="1" x14ac:dyDescent="0.35"/>
    <row r="426" customFormat="1" x14ac:dyDescent="0.35"/>
    <row r="427" customFormat="1" x14ac:dyDescent="0.35"/>
    <row r="428" customFormat="1" x14ac:dyDescent="0.35"/>
    <row r="429" customFormat="1" x14ac:dyDescent="0.35"/>
    <row r="430" customFormat="1" x14ac:dyDescent="0.35"/>
    <row r="431" customFormat="1" x14ac:dyDescent="0.35"/>
    <row r="432" customFormat="1" x14ac:dyDescent="0.35"/>
    <row r="433" customFormat="1" x14ac:dyDescent="0.35"/>
    <row r="434" customFormat="1" x14ac:dyDescent="0.35"/>
    <row r="435" customFormat="1" x14ac:dyDescent="0.35"/>
    <row r="436" customFormat="1" x14ac:dyDescent="0.35"/>
    <row r="437" customFormat="1" x14ac:dyDescent="0.35"/>
    <row r="438" customFormat="1" x14ac:dyDescent="0.35"/>
    <row r="439" customFormat="1" x14ac:dyDescent="0.35"/>
    <row r="440" customFormat="1" x14ac:dyDescent="0.35"/>
    <row r="441" customFormat="1" x14ac:dyDescent="0.35"/>
    <row r="442" customFormat="1" x14ac:dyDescent="0.35"/>
    <row r="443" customFormat="1" x14ac:dyDescent="0.35"/>
    <row r="444" customFormat="1" x14ac:dyDescent="0.35"/>
    <row r="445" customFormat="1" x14ac:dyDescent="0.35"/>
    <row r="446" customFormat="1" x14ac:dyDescent="0.35"/>
    <row r="447" customFormat="1" x14ac:dyDescent="0.35"/>
    <row r="448" customFormat="1" x14ac:dyDescent="0.35"/>
    <row r="449" customFormat="1" x14ac:dyDescent="0.35"/>
    <row r="450" customFormat="1" x14ac:dyDescent="0.35"/>
    <row r="451" customFormat="1" x14ac:dyDescent="0.35"/>
    <row r="452" customFormat="1" x14ac:dyDescent="0.35"/>
    <row r="453" customFormat="1" x14ac:dyDescent="0.35"/>
    <row r="454" customFormat="1" x14ac:dyDescent="0.35"/>
    <row r="455" customFormat="1" x14ac:dyDescent="0.35"/>
    <row r="456" customFormat="1" x14ac:dyDescent="0.35"/>
    <row r="457" customFormat="1" x14ac:dyDescent="0.35"/>
    <row r="458" customFormat="1" x14ac:dyDescent="0.35"/>
    <row r="459" customFormat="1" x14ac:dyDescent="0.35"/>
    <row r="460" customFormat="1" x14ac:dyDescent="0.35"/>
    <row r="461" customFormat="1" x14ac:dyDescent="0.35"/>
    <row r="462" customFormat="1" x14ac:dyDescent="0.35"/>
    <row r="463" customFormat="1" x14ac:dyDescent="0.35"/>
    <row r="464" customFormat="1" x14ac:dyDescent="0.35"/>
    <row r="465" customFormat="1" x14ac:dyDescent="0.35"/>
    <row r="466" customFormat="1" x14ac:dyDescent="0.35"/>
    <row r="467" customFormat="1" x14ac:dyDescent="0.35"/>
    <row r="468" customFormat="1" x14ac:dyDescent="0.35"/>
    <row r="469" customFormat="1" x14ac:dyDescent="0.35"/>
    <row r="470" customFormat="1" x14ac:dyDescent="0.35"/>
    <row r="471" customFormat="1" x14ac:dyDescent="0.35"/>
    <row r="472" customFormat="1" x14ac:dyDescent="0.35"/>
    <row r="473" customFormat="1" x14ac:dyDescent="0.35"/>
    <row r="474" customFormat="1" x14ac:dyDescent="0.35"/>
    <row r="475" customFormat="1" x14ac:dyDescent="0.35"/>
    <row r="476" customFormat="1" x14ac:dyDescent="0.35"/>
    <row r="477" customFormat="1" x14ac:dyDescent="0.35"/>
    <row r="478" customFormat="1" x14ac:dyDescent="0.35"/>
    <row r="479" customFormat="1" x14ac:dyDescent="0.35"/>
    <row r="480" customFormat="1" x14ac:dyDescent="0.35"/>
    <row r="481" customFormat="1" x14ac:dyDescent="0.35"/>
    <row r="482" customFormat="1" x14ac:dyDescent="0.35"/>
    <row r="483" customFormat="1" x14ac:dyDescent="0.35"/>
    <row r="484" customFormat="1" x14ac:dyDescent="0.35"/>
    <row r="485" customFormat="1" x14ac:dyDescent="0.35"/>
    <row r="486" customFormat="1" x14ac:dyDescent="0.35"/>
    <row r="487" customFormat="1" x14ac:dyDescent="0.35"/>
    <row r="488" customFormat="1" x14ac:dyDescent="0.35"/>
    <row r="489" customFormat="1" x14ac:dyDescent="0.35"/>
    <row r="490" customFormat="1" x14ac:dyDescent="0.35"/>
    <row r="491" customFormat="1" x14ac:dyDescent="0.35"/>
    <row r="492" customFormat="1" x14ac:dyDescent="0.35"/>
    <row r="493" customFormat="1" x14ac:dyDescent="0.35"/>
    <row r="494" customFormat="1" x14ac:dyDescent="0.35"/>
    <row r="495" customFormat="1" x14ac:dyDescent="0.35"/>
    <row r="496" customFormat="1" x14ac:dyDescent="0.35"/>
    <row r="497" customFormat="1" x14ac:dyDescent="0.35"/>
    <row r="498" customFormat="1" x14ac:dyDescent="0.35"/>
    <row r="499" customFormat="1" x14ac:dyDescent="0.35"/>
    <row r="500" customFormat="1" x14ac:dyDescent="0.35"/>
    <row r="501" customFormat="1" x14ac:dyDescent="0.35"/>
    <row r="502" customFormat="1" x14ac:dyDescent="0.35"/>
    <row r="503" customFormat="1" x14ac:dyDescent="0.35"/>
    <row r="504" customFormat="1" x14ac:dyDescent="0.35"/>
    <row r="505" customFormat="1" x14ac:dyDescent="0.35"/>
    <row r="506" customFormat="1" x14ac:dyDescent="0.35"/>
    <row r="507" customFormat="1" x14ac:dyDescent="0.35"/>
    <row r="508" customFormat="1" x14ac:dyDescent="0.35"/>
    <row r="509" customFormat="1" x14ac:dyDescent="0.35"/>
    <row r="510" customFormat="1" x14ac:dyDescent="0.35"/>
    <row r="511" customFormat="1" x14ac:dyDescent="0.35"/>
    <row r="512" customFormat="1" x14ac:dyDescent="0.35"/>
    <row r="513" customFormat="1" x14ac:dyDescent="0.35"/>
    <row r="514" customFormat="1" x14ac:dyDescent="0.35"/>
    <row r="515" customFormat="1" x14ac:dyDescent="0.35"/>
    <row r="516" customFormat="1" x14ac:dyDescent="0.35"/>
    <row r="517" customFormat="1" x14ac:dyDescent="0.35"/>
    <row r="518" customFormat="1" x14ac:dyDescent="0.35"/>
    <row r="519" customFormat="1" x14ac:dyDescent="0.35"/>
    <row r="520" customFormat="1" x14ac:dyDescent="0.35"/>
    <row r="521" customFormat="1" x14ac:dyDescent="0.35"/>
    <row r="522" customFormat="1" x14ac:dyDescent="0.35"/>
    <row r="523" customFormat="1" x14ac:dyDescent="0.35"/>
    <row r="524" customFormat="1" x14ac:dyDescent="0.35"/>
    <row r="525" customFormat="1" x14ac:dyDescent="0.35"/>
    <row r="526" customFormat="1" x14ac:dyDescent="0.35"/>
    <row r="527" customFormat="1" x14ac:dyDescent="0.35"/>
    <row r="528" customFormat="1" x14ac:dyDescent="0.35"/>
    <row r="529" customFormat="1" x14ac:dyDescent="0.35"/>
    <row r="530" customFormat="1" x14ac:dyDescent="0.35"/>
    <row r="531" customFormat="1" x14ac:dyDescent="0.35"/>
    <row r="532" customFormat="1" x14ac:dyDescent="0.35"/>
    <row r="533" customFormat="1" x14ac:dyDescent="0.35"/>
    <row r="534" customFormat="1" x14ac:dyDescent="0.35"/>
    <row r="535" customFormat="1" x14ac:dyDescent="0.35"/>
    <row r="536" customFormat="1" x14ac:dyDescent="0.35"/>
    <row r="537" customFormat="1" x14ac:dyDescent="0.35"/>
    <row r="538" customFormat="1" x14ac:dyDescent="0.35"/>
    <row r="539" customFormat="1" x14ac:dyDescent="0.35"/>
    <row r="540" customFormat="1" x14ac:dyDescent="0.35"/>
    <row r="541" customFormat="1" x14ac:dyDescent="0.35"/>
    <row r="542" customFormat="1" x14ac:dyDescent="0.35"/>
    <row r="543" customFormat="1" x14ac:dyDescent="0.35"/>
    <row r="544" customFormat="1" x14ac:dyDescent="0.35"/>
    <row r="545" customFormat="1" x14ac:dyDescent="0.35"/>
    <row r="546" customFormat="1" x14ac:dyDescent="0.35"/>
    <row r="547" customFormat="1" x14ac:dyDescent="0.35"/>
    <row r="548" customFormat="1" x14ac:dyDescent="0.35"/>
    <row r="549" customFormat="1" x14ac:dyDescent="0.35"/>
    <row r="550" customFormat="1" x14ac:dyDescent="0.35"/>
    <row r="551" customFormat="1" x14ac:dyDescent="0.35"/>
    <row r="552" customFormat="1" x14ac:dyDescent="0.35"/>
    <row r="553" customFormat="1" x14ac:dyDescent="0.35"/>
    <row r="554" customFormat="1" x14ac:dyDescent="0.35"/>
    <row r="555" customFormat="1" x14ac:dyDescent="0.35"/>
    <row r="556" customFormat="1" x14ac:dyDescent="0.35"/>
    <row r="557" customFormat="1" x14ac:dyDescent="0.35"/>
    <row r="558" customFormat="1" x14ac:dyDescent="0.35"/>
    <row r="559" customFormat="1" x14ac:dyDescent="0.35"/>
    <row r="560" customFormat="1" x14ac:dyDescent="0.35"/>
    <row r="561" customFormat="1" x14ac:dyDescent="0.35"/>
    <row r="562" customFormat="1" x14ac:dyDescent="0.35"/>
    <row r="563" customFormat="1" x14ac:dyDescent="0.35"/>
    <row r="564" customFormat="1" x14ac:dyDescent="0.35"/>
    <row r="565" customFormat="1" x14ac:dyDescent="0.35"/>
    <row r="566" customFormat="1" x14ac:dyDescent="0.35"/>
    <row r="567" customFormat="1" x14ac:dyDescent="0.35"/>
    <row r="568" customFormat="1" x14ac:dyDescent="0.35"/>
    <row r="569" customFormat="1" x14ac:dyDescent="0.35"/>
    <row r="570" customFormat="1" x14ac:dyDescent="0.35"/>
    <row r="571" customFormat="1" x14ac:dyDescent="0.35"/>
    <row r="572" customFormat="1" x14ac:dyDescent="0.35"/>
    <row r="573" customFormat="1" x14ac:dyDescent="0.35"/>
    <row r="574" customFormat="1" x14ac:dyDescent="0.35"/>
    <row r="575" customFormat="1" x14ac:dyDescent="0.35"/>
    <row r="576" customFormat="1" x14ac:dyDescent="0.35"/>
    <row r="577" customFormat="1" x14ac:dyDescent="0.35"/>
    <row r="578" customFormat="1" x14ac:dyDescent="0.35"/>
    <row r="579" customFormat="1" x14ac:dyDescent="0.35"/>
    <row r="580" customFormat="1" x14ac:dyDescent="0.35"/>
    <row r="581" customFormat="1" x14ac:dyDescent="0.35"/>
    <row r="582" customFormat="1" x14ac:dyDescent="0.35"/>
    <row r="583" customFormat="1" x14ac:dyDescent="0.35"/>
    <row r="584" customFormat="1" x14ac:dyDescent="0.35"/>
    <row r="585" customFormat="1" x14ac:dyDescent="0.35"/>
    <row r="586" customFormat="1" x14ac:dyDescent="0.35"/>
    <row r="587" customFormat="1" x14ac:dyDescent="0.35"/>
    <row r="588" customFormat="1" x14ac:dyDescent="0.35"/>
    <row r="589" customFormat="1" x14ac:dyDescent="0.35"/>
    <row r="590" customFormat="1" x14ac:dyDescent="0.35"/>
    <row r="591" customFormat="1" x14ac:dyDescent="0.35"/>
    <row r="592" customFormat="1" x14ac:dyDescent="0.35"/>
    <row r="593" customFormat="1" x14ac:dyDescent="0.35"/>
    <row r="594" customFormat="1" x14ac:dyDescent="0.35"/>
    <row r="595" customFormat="1" x14ac:dyDescent="0.35"/>
    <row r="596" customFormat="1" x14ac:dyDescent="0.35"/>
    <row r="597" customFormat="1" x14ac:dyDescent="0.35"/>
    <row r="598" customFormat="1" x14ac:dyDescent="0.35"/>
    <row r="599" customFormat="1" x14ac:dyDescent="0.35"/>
    <row r="600" customFormat="1" x14ac:dyDescent="0.35"/>
    <row r="601" customFormat="1" x14ac:dyDescent="0.35"/>
    <row r="602" customFormat="1" x14ac:dyDescent="0.35"/>
    <row r="603" customFormat="1" x14ac:dyDescent="0.35"/>
    <row r="604" customFormat="1" x14ac:dyDescent="0.35"/>
    <row r="605" customFormat="1" x14ac:dyDescent="0.35"/>
    <row r="606" customFormat="1" x14ac:dyDescent="0.35"/>
    <row r="607" customFormat="1" x14ac:dyDescent="0.35"/>
    <row r="608" customFormat="1" x14ac:dyDescent="0.35"/>
    <row r="609" customFormat="1" x14ac:dyDescent="0.35"/>
    <row r="610" customFormat="1" x14ac:dyDescent="0.35"/>
    <row r="611" customFormat="1" x14ac:dyDescent="0.35"/>
    <row r="612" customFormat="1" x14ac:dyDescent="0.35"/>
    <row r="613" customFormat="1" x14ac:dyDescent="0.35"/>
    <row r="614" customFormat="1" x14ac:dyDescent="0.35"/>
    <row r="615" customFormat="1" x14ac:dyDescent="0.35"/>
    <row r="616" customFormat="1" x14ac:dyDescent="0.35"/>
    <row r="617" customFormat="1" x14ac:dyDescent="0.35"/>
    <row r="618" customFormat="1" x14ac:dyDescent="0.35"/>
    <row r="619" customFormat="1" x14ac:dyDescent="0.35"/>
    <row r="620" customFormat="1" x14ac:dyDescent="0.35"/>
    <row r="621" customFormat="1" x14ac:dyDescent="0.35"/>
    <row r="622" customFormat="1" x14ac:dyDescent="0.35"/>
    <row r="623" customFormat="1" x14ac:dyDescent="0.35"/>
    <row r="624" customFormat="1" x14ac:dyDescent="0.35"/>
    <row r="625" customFormat="1" x14ac:dyDescent="0.35"/>
    <row r="626" customFormat="1" x14ac:dyDescent="0.35"/>
    <row r="627" customFormat="1" x14ac:dyDescent="0.35"/>
    <row r="628" customFormat="1" x14ac:dyDescent="0.35"/>
    <row r="629" customFormat="1" x14ac:dyDescent="0.35"/>
    <row r="630" customFormat="1" x14ac:dyDescent="0.35"/>
    <row r="631" customFormat="1" x14ac:dyDescent="0.35"/>
    <row r="632" customFormat="1" x14ac:dyDescent="0.35"/>
    <row r="633" customFormat="1" x14ac:dyDescent="0.35"/>
    <row r="634" customFormat="1" x14ac:dyDescent="0.35"/>
    <row r="635" customFormat="1" x14ac:dyDescent="0.35"/>
    <row r="636" customFormat="1" x14ac:dyDescent="0.35"/>
    <row r="637" customFormat="1" x14ac:dyDescent="0.35"/>
    <row r="638" customFormat="1" x14ac:dyDescent="0.35"/>
    <row r="639" customFormat="1" x14ac:dyDescent="0.35"/>
    <row r="640" customFormat="1" x14ac:dyDescent="0.35"/>
    <row r="641" customFormat="1" x14ac:dyDescent="0.35"/>
    <row r="642" customFormat="1" x14ac:dyDescent="0.35"/>
    <row r="643" customFormat="1" x14ac:dyDescent="0.35"/>
    <row r="644" customFormat="1" x14ac:dyDescent="0.35"/>
    <row r="645" customFormat="1" x14ac:dyDescent="0.35"/>
    <row r="646" customFormat="1" x14ac:dyDescent="0.35"/>
    <row r="647" customFormat="1" x14ac:dyDescent="0.35"/>
    <row r="648" customFormat="1" x14ac:dyDescent="0.35"/>
    <row r="649" customFormat="1" x14ac:dyDescent="0.35"/>
    <row r="650" customFormat="1" x14ac:dyDescent="0.35"/>
    <row r="651" customFormat="1" x14ac:dyDescent="0.35"/>
    <row r="652" customFormat="1" x14ac:dyDescent="0.35"/>
    <row r="653" customFormat="1" x14ac:dyDescent="0.35"/>
    <row r="654" customFormat="1" x14ac:dyDescent="0.35"/>
    <row r="655" customFormat="1" x14ac:dyDescent="0.35"/>
    <row r="656" customFormat="1" x14ac:dyDescent="0.35"/>
    <row r="657" customFormat="1" x14ac:dyDescent="0.35"/>
    <row r="658" customFormat="1" x14ac:dyDescent="0.35"/>
    <row r="659" customFormat="1" x14ac:dyDescent="0.35"/>
    <row r="660" customFormat="1" x14ac:dyDescent="0.35"/>
    <row r="661" customFormat="1" x14ac:dyDescent="0.35"/>
    <row r="662" customFormat="1" x14ac:dyDescent="0.35"/>
    <row r="663" customFormat="1" x14ac:dyDescent="0.35"/>
    <row r="664" customFormat="1" x14ac:dyDescent="0.35"/>
    <row r="665" customFormat="1" x14ac:dyDescent="0.35"/>
    <row r="666" customFormat="1" x14ac:dyDescent="0.35"/>
    <row r="667" customFormat="1" x14ac:dyDescent="0.35"/>
    <row r="668" customFormat="1" x14ac:dyDescent="0.35"/>
    <row r="669" customFormat="1" x14ac:dyDescent="0.35"/>
    <row r="670" customFormat="1" x14ac:dyDescent="0.35"/>
    <row r="671" customFormat="1" x14ac:dyDescent="0.35"/>
    <row r="672" customFormat="1" x14ac:dyDescent="0.35"/>
    <row r="673" customFormat="1" x14ac:dyDescent="0.35"/>
    <row r="674" customFormat="1" x14ac:dyDescent="0.35"/>
    <row r="675" customFormat="1" x14ac:dyDescent="0.35"/>
    <row r="676" customFormat="1" x14ac:dyDescent="0.35"/>
    <row r="677" customFormat="1" x14ac:dyDescent="0.35"/>
    <row r="678" customFormat="1" x14ac:dyDescent="0.35"/>
    <row r="679" customFormat="1" x14ac:dyDescent="0.35"/>
    <row r="680" customFormat="1" x14ac:dyDescent="0.35"/>
    <row r="681" customFormat="1" x14ac:dyDescent="0.35"/>
    <row r="682" customFormat="1" x14ac:dyDescent="0.35"/>
    <row r="683" customFormat="1" x14ac:dyDescent="0.35"/>
    <row r="684" customFormat="1" x14ac:dyDescent="0.35"/>
    <row r="685" customFormat="1" x14ac:dyDescent="0.35"/>
    <row r="686" customFormat="1" x14ac:dyDescent="0.35"/>
    <row r="687" customFormat="1" x14ac:dyDescent="0.35"/>
    <row r="688" customFormat="1" x14ac:dyDescent="0.35"/>
    <row r="689" customFormat="1" x14ac:dyDescent="0.35"/>
    <row r="690" customFormat="1" x14ac:dyDescent="0.35"/>
    <row r="691" customFormat="1" x14ac:dyDescent="0.35"/>
    <row r="692" customFormat="1" x14ac:dyDescent="0.35"/>
    <row r="693" customFormat="1" x14ac:dyDescent="0.35"/>
    <row r="694" customFormat="1" x14ac:dyDescent="0.35"/>
    <row r="695" customFormat="1" x14ac:dyDescent="0.35"/>
    <row r="696" customFormat="1" x14ac:dyDescent="0.35"/>
    <row r="697" customFormat="1" x14ac:dyDescent="0.35"/>
    <row r="698" customFormat="1" x14ac:dyDescent="0.35"/>
    <row r="699" customFormat="1" x14ac:dyDescent="0.35"/>
    <row r="700" customFormat="1" x14ac:dyDescent="0.35"/>
    <row r="701" customFormat="1" x14ac:dyDescent="0.35"/>
    <row r="702" customFormat="1" x14ac:dyDescent="0.35"/>
    <row r="703" customFormat="1" x14ac:dyDescent="0.35"/>
    <row r="704" customFormat="1" x14ac:dyDescent="0.35"/>
    <row r="705" customFormat="1" x14ac:dyDescent="0.35"/>
    <row r="706" customFormat="1" x14ac:dyDescent="0.35"/>
    <row r="707" customFormat="1" x14ac:dyDescent="0.35"/>
    <row r="708" customFormat="1" x14ac:dyDescent="0.35"/>
    <row r="709" customFormat="1" x14ac:dyDescent="0.35"/>
    <row r="710" customFormat="1" x14ac:dyDescent="0.35"/>
    <row r="711" customFormat="1" x14ac:dyDescent="0.35"/>
    <row r="712" customFormat="1" x14ac:dyDescent="0.35"/>
    <row r="713" customFormat="1" x14ac:dyDescent="0.35"/>
    <row r="714" customFormat="1" x14ac:dyDescent="0.35"/>
    <row r="715" customFormat="1" x14ac:dyDescent="0.35"/>
    <row r="716" customFormat="1" x14ac:dyDescent="0.35"/>
    <row r="717" customFormat="1" x14ac:dyDescent="0.35"/>
    <row r="718" customFormat="1" x14ac:dyDescent="0.35"/>
    <row r="719" customFormat="1" x14ac:dyDescent="0.35"/>
    <row r="720" customFormat="1" x14ac:dyDescent="0.35"/>
    <row r="721" customFormat="1" x14ac:dyDescent="0.35"/>
    <row r="722" customFormat="1" x14ac:dyDescent="0.35"/>
    <row r="723" customFormat="1" x14ac:dyDescent="0.35"/>
    <row r="724" customFormat="1" x14ac:dyDescent="0.35"/>
    <row r="725" customFormat="1" x14ac:dyDescent="0.35"/>
    <row r="726" customFormat="1" x14ac:dyDescent="0.35"/>
    <row r="727" customFormat="1" x14ac:dyDescent="0.35"/>
    <row r="728" customFormat="1" x14ac:dyDescent="0.35"/>
    <row r="729" customFormat="1" x14ac:dyDescent="0.35"/>
    <row r="730" customFormat="1" x14ac:dyDescent="0.35"/>
    <row r="731" customFormat="1" x14ac:dyDescent="0.35"/>
    <row r="732" customFormat="1" x14ac:dyDescent="0.35"/>
    <row r="733" customFormat="1" x14ac:dyDescent="0.35"/>
    <row r="734" customFormat="1" x14ac:dyDescent="0.35"/>
    <row r="735" customFormat="1" x14ac:dyDescent="0.35"/>
    <row r="736" customFormat="1" x14ac:dyDescent="0.35"/>
    <row r="737" customFormat="1" x14ac:dyDescent="0.35"/>
    <row r="738" customFormat="1" x14ac:dyDescent="0.35"/>
    <row r="739" customFormat="1" x14ac:dyDescent="0.35"/>
    <row r="740" customFormat="1" x14ac:dyDescent="0.35"/>
    <row r="741" customFormat="1" x14ac:dyDescent="0.35"/>
    <row r="742" customFormat="1" x14ac:dyDescent="0.35"/>
    <row r="743" customFormat="1" x14ac:dyDescent="0.35"/>
    <row r="744" customFormat="1" x14ac:dyDescent="0.35"/>
    <row r="745" customFormat="1" x14ac:dyDescent="0.35"/>
    <row r="746" customFormat="1" x14ac:dyDescent="0.35"/>
    <row r="747" customFormat="1" x14ac:dyDescent="0.35"/>
    <row r="748" customFormat="1" x14ac:dyDescent="0.35"/>
    <row r="749" customFormat="1" x14ac:dyDescent="0.35"/>
    <row r="750" customFormat="1" x14ac:dyDescent="0.35"/>
    <row r="751" customFormat="1" x14ac:dyDescent="0.35"/>
    <row r="752" customFormat="1" x14ac:dyDescent="0.35"/>
    <row r="753" customFormat="1" x14ac:dyDescent="0.35"/>
    <row r="754" customFormat="1" x14ac:dyDescent="0.35"/>
    <row r="755" customFormat="1" x14ac:dyDescent="0.35"/>
    <row r="756" customFormat="1" x14ac:dyDescent="0.35"/>
    <row r="757" customFormat="1" x14ac:dyDescent="0.35"/>
    <row r="758" customFormat="1" x14ac:dyDescent="0.35"/>
    <row r="759" customFormat="1" x14ac:dyDescent="0.35"/>
    <row r="760" customFormat="1" x14ac:dyDescent="0.35"/>
    <row r="761" customFormat="1" x14ac:dyDescent="0.35"/>
    <row r="762" customFormat="1" x14ac:dyDescent="0.35"/>
    <row r="763" customFormat="1" x14ac:dyDescent="0.35"/>
    <row r="764" customFormat="1" x14ac:dyDescent="0.35"/>
    <row r="765" customFormat="1" x14ac:dyDescent="0.35"/>
    <row r="766" customFormat="1" x14ac:dyDescent="0.35"/>
    <row r="767" customFormat="1" x14ac:dyDescent="0.35"/>
    <row r="768" customFormat="1" x14ac:dyDescent="0.35"/>
    <row r="769" customFormat="1" x14ac:dyDescent="0.35"/>
    <row r="770" customFormat="1" x14ac:dyDescent="0.35"/>
    <row r="771" customFormat="1" x14ac:dyDescent="0.35"/>
    <row r="772" customFormat="1" x14ac:dyDescent="0.35"/>
    <row r="773" customFormat="1" x14ac:dyDescent="0.35"/>
    <row r="774" customFormat="1" x14ac:dyDescent="0.35"/>
    <row r="775" customFormat="1" x14ac:dyDescent="0.35"/>
    <row r="776" customFormat="1" x14ac:dyDescent="0.35"/>
    <row r="777" customFormat="1" x14ac:dyDescent="0.35"/>
    <row r="778" customFormat="1" x14ac:dyDescent="0.35"/>
    <row r="779" customFormat="1" x14ac:dyDescent="0.35"/>
    <row r="780" customFormat="1" x14ac:dyDescent="0.35"/>
    <row r="781" customFormat="1" x14ac:dyDescent="0.35"/>
    <row r="782" customFormat="1" x14ac:dyDescent="0.35"/>
    <row r="783" customFormat="1" x14ac:dyDescent="0.35"/>
    <row r="784" customFormat="1" x14ac:dyDescent="0.35"/>
    <row r="785" customFormat="1" x14ac:dyDescent="0.35"/>
    <row r="786" customFormat="1" x14ac:dyDescent="0.35"/>
    <row r="787" customFormat="1" x14ac:dyDescent="0.35"/>
    <row r="788" customFormat="1" x14ac:dyDescent="0.35"/>
    <row r="789" customFormat="1" x14ac:dyDescent="0.35"/>
    <row r="790" customFormat="1" x14ac:dyDescent="0.35"/>
    <row r="791" customFormat="1" x14ac:dyDescent="0.35"/>
    <row r="792" customFormat="1" x14ac:dyDescent="0.35"/>
    <row r="793" customFormat="1" x14ac:dyDescent="0.35"/>
    <row r="794" customFormat="1" x14ac:dyDescent="0.35"/>
    <row r="795" customFormat="1" x14ac:dyDescent="0.35"/>
    <row r="796" customFormat="1" x14ac:dyDescent="0.35"/>
    <row r="797" customFormat="1" x14ac:dyDescent="0.35"/>
    <row r="798" customFormat="1" x14ac:dyDescent="0.35"/>
    <row r="799" customFormat="1" x14ac:dyDescent="0.35"/>
    <row r="800" customFormat="1" x14ac:dyDescent="0.35"/>
    <row r="801" customFormat="1" x14ac:dyDescent="0.35"/>
    <row r="802" customFormat="1" x14ac:dyDescent="0.35"/>
    <row r="803" customFormat="1" x14ac:dyDescent="0.35"/>
    <row r="804" customFormat="1" x14ac:dyDescent="0.35"/>
    <row r="805" customFormat="1" x14ac:dyDescent="0.35"/>
    <row r="806" customFormat="1" x14ac:dyDescent="0.35"/>
    <row r="807" customFormat="1" x14ac:dyDescent="0.35"/>
    <row r="808" customFormat="1" x14ac:dyDescent="0.35"/>
    <row r="809" customFormat="1" x14ac:dyDescent="0.35"/>
    <row r="810" customFormat="1" x14ac:dyDescent="0.35"/>
    <row r="811" customFormat="1" x14ac:dyDescent="0.35"/>
    <row r="812" customFormat="1" x14ac:dyDescent="0.35"/>
    <row r="813" customFormat="1" x14ac:dyDescent="0.35"/>
    <row r="814" customFormat="1" x14ac:dyDescent="0.35"/>
    <row r="815" customFormat="1" x14ac:dyDescent="0.35"/>
    <row r="816" customFormat="1" x14ac:dyDescent="0.35"/>
    <row r="817" customFormat="1" x14ac:dyDescent="0.35"/>
    <row r="818" customFormat="1" x14ac:dyDescent="0.35"/>
    <row r="819" customFormat="1" x14ac:dyDescent="0.35"/>
    <row r="820" customFormat="1" x14ac:dyDescent="0.35"/>
    <row r="821" customFormat="1" x14ac:dyDescent="0.35"/>
    <row r="822" customFormat="1" x14ac:dyDescent="0.35"/>
    <row r="823" customFormat="1" x14ac:dyDescent="0.35"/>
    <row r="824" customFormat="1" x14ac:dyDescent="0.35"/>
    <row r="825" customFormat="1" x14ac:dyDescent="0.35"/>
    <row r="826" customFormat="1" x14ac:dyDescent="0.35"/>
    <row r="827" customFormat="1" x14ac:dyDescent="0.35"/>
    <row r="828" customFormat="1" x14ac:dyDescent="0.35"/>
    <row r="829" customFormat="1" x14ac:dyDescent="0.35"/>
    <row r="830" customFormat="1" x14ac:dyDescent="0.35"/>
    <row r="831" customFormat="1" x14ac:dyDescent="0.35"/>
    <row r="832" customFormat="1" x14ac:dyDescent="0.35"/>
    <row r="833" customFormat="1" x14ac:dyDescent="0.35"/>
    <row r="834" customFormat="1" x14ac:dyDescent="0.35"/>
    <row r="835" customFormat="1" x14ac:dyDescent="0.35"/>
    <row r="836" customFormat="1" x14ac:dyDescent="0.35"/>
    <row r="837" customFormat="1" x14ac:dyDescent="0.35"/>
    <row r="838" customFormat="1" x14ac:dyDescent="0.35"/>
    <row r="839" customFormat="1" x14ac:dyDescent="0.35"/>
    <row r="840" customFormat="1" x14ac:dyDescent="0.35"/>
    <row r="841" customFormat="1" x14ac:dyDescent="0.35"/>
    <row r="842" customFormat="1" x14ac:dyDescent="0.35"/>
    <row r="843" customFormat="1" x14ac:dyDescent="0.35"/>
    <row r="844" customFormat="1" x14ac:dyDescent="0.35"/>
    <row r="845" customFormat="1" x14ac:dyDescent="0.35"/>
    <row r="846" customFormat="1" x14ac:dyDescent="0.35"/>
    <row r="847" customFormat="1" x14ac:dyDescent="0.35"/>
    <row r="848" customFormat="1" x14ac:dyDescent="0.35"/>
    <row r="849" customFormat="1" x14ac:dyDescent="0.35"/>
    <row r="850" customFormat="1" x14ac:dyDescent="0.35"/>
    <row r="851" customFormat="1" x14ac:dyDescent="0.35"/>
    <row r="852" customFormat="1" x14ac:dyDescent="0.35"/>
    <row r="853" customFormat="1" x14ac:dyDescent="0.35"/>
    <row r="854" customFormat="1" x14ac:dyDescent="0.35"/>
    <row r="855" customFormat="1" x14ac:dyDescent="0.35"/>
    <row r="856" customFormat="1" x14ac:dyDescent="0.35"/>
    <row r="857" customFormat="1" x14ac:dyDescent="0.35"/>
    <row r="858" customFormat="1" x14ac:dyDescent="0.35"/>
    <row r="859" customFormat="1" x14ac:dyDescent="0.35"/>
    <row r="860" customFormat="1" x14ac:dyDescent="0.35"/>
    <row r="861" customFormat="1" x14ac:dyDescent="0.35"/>
    <row r="862" customFormat="1" x14ac:dyDescent="0.35"/>
    <row r="863" customFormat="1" x14ac:dyDescent="0.35"/>
    <row r="864" customFormat="1" x14ac:dyDescent="0.35"/>
    <row r="865" customFormat="1" x14ac:dyDescent="0.35"/>
    <row r="866" customFormat="1" x14ac:dyDescent="0.35"/>
    <row r="867" customFormat="1" x14ac:dyDescent="0.35"/>
    <row r="868" customFormat="1" x14ac:dyDescent="0.35"/>
    <row r="869" customFormat="1" x14ac:dyDescent="0.35"/>
    <row r="870" customFormat="1" x14ac:dyDescent="0.35"/>
    <row r="871" customFormat="1" x14ac:dyDescent="0.35"/>
    <row r="872" customFormat="1" x14ac:dyDescent="0.35"/>
    <row r="873" customFormat="1" x14ac:dyDescent="0.35"/>
    <row r="874" customFormat="1" x14ac:dyDescent="0.35"/>
    <row r="875" customFormat="1" x14ac:dyDescent="0.35"/>
    <row r="876" customFormat="1" x14ac:dyDescent="0.35"/>
    <row r="877" customFormat="1" x14ac:dyDescent="0.35"/>
    <row r="878" customFormat="1" x14ac:dyDescent="0.35"/>
    <row r="879" customFormat="1" x14ac:dyDescent="0.35"/>
    <row r="880" customFormat="1" x14ac:dyDescent="0.35"/>
    <row r="881" customFormat="1" x14ac:dyDescent="0.35"/>
    <row r="882" customFormat="1" x14ac:dyDescent="0.35"/>
    <row r="883" customFormat="1" x14ac:dyDescent="0.35"/>
    <row r="884" customFormat="1" x14ac:dyDescent="0.35"/>
    <row r="885" customFormat="1" x14ac:dyDescent="0.35"/>
    <row r="886" customFormat="1" x14ac:dyDescent="0.35"/>
    <row r="887" customFormat="1" x14ac:dyDescent="0.35"/>
    <row r="888" customFormat="1" x14ac:dyDescent="0.35"/>
    <row r="889" customFormat="1" x14ac:dyDescent="0.35"/>
    <row r="890" customFormat="1" x14ac:dyDescent="0.35"/>
    <row r="891" customFormat="1" x14ac:dyDescent="0.35"/>
    <row r="892" customFormat="1" x14ac:dyDescent="0.35"/>
    <row r="893" customFormat="1" x14ac:dyDescent="0.35"/>
    <row r="894" customFormat="1" x14ac:dyDescent="0.35"/>
    <row r="895" customFormat="1" x14ac:dyDescent="0.35"/>
    <row r="896" customFormat="1" x14ac:dyDescent="0.35"/>
    <row r="897" customFormat="1" x14ac:dyDescent="0.35"/>
    <row r="898" customFormat="1" x14ac:dyDescent="0.35"/>
    <row r="899" customFormat="1" x14ac:dyDescent="0.35"/>
    <row r="900" customFormat="1" x14ac:dyDescent="0.35"/>
    <row r="901" customFormat="1" x14ac:dyDescent="0.35"/>
    <row r="902" customFormat="1" x14ac:dyDescent="0.35"/>
    <row r="903" customFormat="1" x14ac:dyDescent="0.35"/>
    <row r="904" customFormat="1" x14ac:dyDescent="0.35"/>
    <row r="905" customFormat="1" x14ac:dyDescent="0.35"/>
    <row r="906" customFormat="1" x14ac:dyDescent="0.35"/>
    <row r="907" customFormat="1" x14ac:dyDescent="0.35"/>
    <row r="908" customFormat="1" x14ac:dyDescent="0.35"/>
    <row r="909" customFormat="1" x14ac:dyDescent="0.35"/>
    <row r="910" customFormat="1" x14ac:dyDescent="0.35"/>
    <row r="911" customFormat="1" x14ac:dyDescent="0.35"/>
    <row r="912" customFormat="1" x14ac:dyDescent="0.35"/>
    <row r="913" customFormat="1" x14ac:dyDescent="0.35"/>
    <row r="914" customFormat="1" x14ac:dyDescent="0.35"/>
    <row r="915" customFormat="1" x14ac:dyDescent="0.35"/>
    <row r="916" customFormat="1" x14ac:dyDescent="0.35"/>
    <row r="917" customFormat="1" x14ac:dyDescent="0.35"/>
    <row r="918" customFormat="1" x14ac:dyDescent="0.35"/>
    <row r="919" customFormat="1" x14ac:dyDescent="0.35"/>
    <row r="920" customFormat="1" x14ac:dyDescent="0.35"/>
    <row r="921" customFormat="1" x14ac:dyDescent="0.35"/>
    <row r="922" customFormat="1" x14ac:dyDescent="0.35"/>
    <row r="923" customFormat="1" x14ac:dyDescent="0.35"/>
    <row r="924" customFormat="1" x14ac:dyDescent="0.35"/>
    <row r="925" customFormat="1" x14ac:dyDescent="0.35"/>
    <row r="926" customFormat="1" x14ac:dyDescent="0.35"/>
    <row r="927" customFormat="1" x14ac:dyDescent="0.35"/>
    <row r="928" customFormat="1" x14ac:dyDescent="0.35"/>
    <row r="929" customFormat="1" x14ac:dyDescent="0.35"/>
    <row r="930" customFormat="1" x14ac:dyDescent="0.35"/>
    <row r="931" customFormat="1" x14ac:dyDescent="0.35"/>
    <row r="932" customFormat="1" x14ac:dyDescent="0.35"/>
    <row r="933" customFormat="1" x14ac:dyDescent="0.35"/>
    <row r="934" customFormat="1" x14ac:dyDescent="0.35"/>
    <row r="935" customFormat="1" x14ac:dyDescent="0.35"/>
    <row r="936" customFormat="1" x14ac:dyDescent="0.35"/>
    <row r="937" customFormat="1" x14ac:dyDescent="0.35"/>
    <row r="938" customFormat="1" x14ac:dyDescent="0.35"/>
    <row r="939" customFormat="1" x14ac:dyDescent="0.35"/>
    <row r="940" customFormat="1" x14ac:dyDescent="0.35"/>
    <row r="941" customFormat="1" x14ac:dyDescent="0.35"/>
    <row r="942" customFormat="1" x14ac:dyDescent="0.35"/>
    <row r="943" customFormat="1" x14ac:dyDescent="0.35"/>
    <row r="944" customFormat="1" x14ac:dyDescent="0.35"/>
    <row r="945" customFormat="1" x14ac:dyDescent="0.35"/>
    <row r="946" customFormat="1" x14ac:dyDescent="0.35"/>
    <row r="947" customFormat="1" x14ac:dyDescent="0.35"/>
    <row r="948" customFormat="1" x14ac:dyDescent="0.35"/>
    <row r="949" customFormat="1" x14ac:dyDescent="0.35"/>
    <row r="950" customFormat="1" x14ac:dyDescent="0.35"/>
    <row r="951" customFormat="1" x14ac:dyDescent="0.35"/>
    <row r="952" customFormat="1" x14ac:dyDescent="0.35"/>
    <row r="953" customFormat="1" x14ac:dyDescent="0.35"/>
    <row r="954" customFormat="1" x14ac:dyDescent="0.35"/>
    <row r="955" customFormat="1" x14ac:dyDescent="0.35"/>
    <row r="956" customFormat="1" x14ac:dyDescent="0.35"/>
    <row r="957" customFormat="1" x14ac:dyDescent="0.35"/>
    <row r="958" customFormat="1" x14ac:dyDescent="0.35"/>
    <row r="959" customFormat="1" x14ac:dyDescent="0.35"/>
    <row r="960" customFormat="1" x14ac:dyDescent="0.35"/>
    <row r="961" customFormat="1" x14ac:dyDescent="0.35"/>
    <row r="962" customFormat="1" x14ac:dyDescent="0.35"/>
    <row r="963" customFormat="1" x14ac:dyDescent="0.35"/>
    <row r="964" customFormat="1" x14ac:dyDescent="0.35"/>
    <row r="965" customFormat="1" x14ac:dyDescent="0.35"/>
    <row r="966" customFormat="1" x14ac:dyDescent="0.35"/>
    <row r="967" customFormat="1" x14ac:dyDescent="0.35"/>
    <row r="968" customFormat="1" x14ac:dyDescent="0.35"/>
    <row r="969" customFormat="1" x14ac:dyDescent="0.35"/>
    <row r="970" customFormat="1" x14ac:dyDescent="0.35"/>
    <row r="971" customFormat="1" x14ac:dyDescent="0.35"/>
    <row r="972" customFormat="1" x14ac:dyDescent="0.35"/>
    <row r="973" customFormat="1" x14ac:dyDescent="0.35"/>
    <row r="974" customFormat="1" x14ac:dyDescent="0.35"/>
    <row r="975" customFormat="1" x14ac:dyDescent="0.35"/>
    <row r="976" customFormat="1" x14ac:dyDescent="0.35"/>
    <row r="977" customFormat="1" x14ac:dyDescent="0.35"/>
    <row r="978" customFormat="1" x14ac:dyDescent="0.35"/>
    <row r="979" customFormat="1" x14ac:dyDescent="0.35"/>
    <row r="980" customFormat="1" x14ac:dyDescent="0.35"/>
    <row r="981" customFormat="1" x14ac:dyDescent="0.35"/>
    <row r="982" customFormat="1" x14ac:dyDescent="0.35"/>
    <row r="983" customFormat="1" x14ac:dyDescent="0.35"/>
    <row r="984" customFormat="1" x14ac:dyDescent="0.35"/>
    <row r="985" customFormat="1" x14ac:dyDescent="0.35"/>
    <row r="986" customFormat="1" x14ac:dyDescent="0.35"/>
    <row r="987" customFormat="1" x14ac:dyDescent="0.35"/>
    <row r="988" customFormat="1" x14ac:dyDescent="0.35"/>
    <row r="989" customFormat="1" x14ac:dyDescent="0.35"/>
    <row r="990" customFormat="1" x14ac:dyDescent="0.35"/>
    <row r="991" customFormat="1" x14ac:dyDescent="0.35"/>
    <row r="992" customFormat="1" x14ac:dyDescent="0.35"/>
    <row r="993" customFormat="1" x14ac:dyDescent="0.35"/>
    <row r="994" customFormat="1" x14ac:dyDescent="0.35"/>
    <row r="995" customFormat="1" x14ac:dyDescent="0.35"/>
    <row r="996" customFormat="1" x14ac:dyDescent="0.35"/>
    <row r="997" customFormat="1" x14ac:dyDescent="0.35"/>
    <row r="998" customFormat="1" x14ac:dyDescent="0.35"/>
    <row r="999" customFormat="1" x14ac:dyDescent="0.35"/>
    <row r="1000" customFormat="1" x14ac:dyDescent="0.35"/>
    <row r="1001" customFormat="1" x14ac:dyDescent="0.35"/>
    <row r="1002" customFormat="1" x14ac:dyDescent="0.35"/>
    <row r="1003" customFormat="1" x14ac:dyDescent="0.35"/>
    <row r="1004" customFormat="1" x14ac:dyDescent="0.35"/>
    <row r="1005" customFormat="1" x14ac:dyDescent="0.35"/>
    <row r="1006" customFormat="1" x14ac:dyDescent="0.35"/>
    <row r="1007" customFormat="1" x14ac:dyDescent="0.35"/>
    <row r="1008" customFormat="1" x14ac:dyDescent="0.35"/>
    <row r="1009" customFormat="1" x14ac:dyDescent="0.35"/>
    <row r="1010" customFormat="1" x14ac:dyDescent="0.35"/>
    <row r="1011" customFormat="1" x14ac:dyDescent="0.35"/>
    <row r="1012" customFormat="1" x14ac:dyDescent="0.35"/>
    <row r="1013" customFormat="1" x14ac:dyDescent="0.35"/>
    <row r="1014" customFormat="1" x14ac:dyDescent="0.35"/>
    <row r="1015" customFormat="1" x14ac:dyDescent="0.35"/>
    <row r="1016" customFormat="1" x14ac:dyDescent="0.35"/>
    <row r="1017" customFormat="1" x14ac:dyDescent="0.35"/>
    <row r="1018" customFormat="1" x14ac:dyDescent="0.35"/>
    <row r="1019" customFormat="1" x14ac:dyDescent="0.35"/>
    <row r="1020" customFormat="1" x14ac:dyDescent="0.35"/>
    <row r="1021" customFormat="1" x14ac:dyDescent="0.35"/>
    <row r="1022" customFormat="1" x14ac:dyDescent="0.35"/>
    <row r="1023" customFormat="1" x14ac:dyDescent="0.35"/>
    <row r="1024" customFormat="1" x14ac:dyDescent="0.35"/>
    <row r="1025" customFormat="1" x14ac:dyDescent="0.35"/>
    <row r="1026" customFormat="1" x14ac:dyDescent="0.35"/>
    <row r="1027" customFormat="1" x14ac:dyDescent="0.35"/>
    <row r="1028" customFormat="1" x14ac:dyDescent="0.35"/>
    <row r="1029" customFormat="1" x14ac:dyDescent="0.35"/>
    <row r="1030" customFormat="1" x14ac:dyDescent="0.35"/>
    <row r="1031" customFormat="1" x14ac:dyDescent="0.35"/>
    <row r="1032" customFormat="1" x14ac:dyDescent="0.35"/>
    <row r="1033" customFormat="1" x14ac:dyDescent="0.35"/>
    <row r="1034" customFormat="1" x14ac:dyDescent="0.35"/>
    <row r="1035" customFormat="1" x14ac:dyDescent="0.35"/>
    <row r="1036" customFormat="1" x14ac:dyDescent="0.35"/>
    <row r="1037" customFormat="1" x14ac:dyDescent="0.35"/>
    <row r="1038" customFormat="1" x14ac:dyDescent="0.35"/>
    <row r="1039" customFormat="1" x14ac:dyDescent="0.35"/>
    <row r="1040" customFormat="1" x14ac:dyDescent="0.35"/>
    <row r="1041" customFormat="1" x14ac:dyDescent="0.35"/>
    <row r="1042" customFormat="1" x14ac:dyDescent="0.35"/>
    <row r="1043" customFormat="1" x14ac:dyDescent="0.35"/>
    <row r="1044" customFormat="1" x14ac:dyDescent="0.35"/>
    <row r="1045" customFormat="1" x14ac:dyDescent="0.35"/>
    <row r="1046" customFormat="1" x14ac:dyDescent="0.35"/>
    <row r="1047" customFormat="1" x14ac:dyDescent="0.35"/>
    <row r="1048" customFormat="1" x14ac:dyDescent="0.35"/>
    <row r="1049" customFormat="1" x14ac:dyDescent="0.35"/>
    <row r="1050" customFormat="1" x14ac:dyDescent="0.35"/>
    <row r="1051" customFormat="1" x14ac:dyDescent="0.35"/>
    <row r="1052" customFormat="1" x14ac:dyDescent="0.35"/>
    <row r="1053" customFormat="1" x14ac:dyDescent="0.35"/>
    <row r="1054" customFormat="1" x14ac:dyDescent="0.35"/>
    <row r="1055" customFormat="1" x14ac:dyDescent="0.35"/>
    <row r="1056" customFormat="1" x14ac:dyDescent="0.35"/>
    <row r="1057" customFormat="1" x14ac:dyDescent="0.35"/>
    <row r="1058" customFormat="1" x14ac:dyDescent="0.35"/>
    <row r="1059" customFormat="1" x14ac:dyDescent="0.35"/>
    <row r="1060" customFormat="1" x14ac:dyDescent="0.35"/>
    <row r="1061" customFormat="1" x14ac:dyDescent="0.35"/>
    <row r="1062" customFormat="1" x14ac:dyDescent="0.35"/>
    <row r="1063" customFormat="1" x14ac:dyDescent="0.35"/>
    <row r="1064" customFormat="1" x14ac:dyDescent="0.35"/>
    <row r="1065" customFormat="1" x14ac:dyDescent="0.35"/>
    <row r="1066" customFormat="1" x14ac:dyDescent="0.35"/>
    <row r="1067" customFormat="1" x14ac:dyDescent="0.35"/>
    <row r="1068" customFormat="1" x14ac:dyDescent="0.35"/>
    <row r="1069" customFormat="1" x14ac:dyDescent="0.35"/>
    <row r="1070" customFormat="1" x14ac:dyDescent="0.35"/>
    <row r="1071" customFormat="1" x14ac:dyDescent="0.35"/>
    <row r="1072" customFormat="1" x14ac:dyDescent="0.35"/>
    <row r="1073" customFormat="1" x14ac:dyDescent="0.35"/>
    <row r="1074" customFormat="1" x14ac:dyDescent="0.35"/>
    <row r="1075" customFormat="1" x14ac:dyDescent="0.35"/>
    <row r="1076" customFormat="1" x14ac:dyDescent="0.35"/>
    <row r="1077" customFormat="1" x14ac:dyDescent="0.35"/>
    <row r="1078" customFormat="1" x14ac:dyDescent="0.35"/>
    <row r="1079" customFormat="1" x14ac:dyDescent="0.35"/>
    <row r="1080" customFormat="1" x14ac:dyDescent="0.35"/>
    <row r="1081" customFormat="1" x14ac:dyDescent="0.35"/>
    <row r="1082" customFormat="1" x14ac:dyDescent="0.35"/>
    <row r="1083" customFormat="1" x14ac:dyDescent="0.35"/>
    <row r="1084" customFormat="1" x14ac:dyDescent="0.35"/>
    <row r="1085" customFormat="1" x14ac:dyDescent="0.35"/>
    <row r="1086" customFormat="1" x14ac:dyDescent="0.35"/>
    <row r="1087" customFormat="1" x14ac:dyDescent="0.35"/>
    <row r="1088" customFormat="1" x14ac:dyDescent="0.35"/>
    <row r="1089" customFormat="1" x14ac:dyDescent="0.35"/>
    <row r="1090" customFormat="1" x14ac:dyDescent="0.35"/>
    <row r="1091" customFormat="1" x14ac:dyDescent="0.35"/>
    <row r="1092" customFormat="1" x14ac:dyDescent="0.35"/>
    <row r="1093" customFormat="1" x14ac:dyDescent="0.35"/>
    <row r="1094" customFormat="1" x14ac:dyDescent="0.35"/>
    <row r="1095" customFormat="1" x14ac:dyDescent="0.35"/>
    <row r="1096" customFormat="1" x14ac:dyDescent="0.35"/>
    <row r="1097" customFormat="1" x14ac:dyDescent="0.35"/>
    <row r="1098" customFormat="1" x14ac:dyDescent="0.35"/>
    <row r="1099" customFormat="1" x14ac:dyDescent="0.35"/>
    <row r="1100" customFormat="1" x14ac:dyDescent="0.35"/>
    <row r="1101" customFormat="1" x14ac:dyDescent="0.35"/>
    <row r="1102" customFormat="1" x14ac:dyDescent="0.35"/>
    <row r="1103" customFormat="1" x14ac:dyDescent="0.35"/>
    <row r="1104" customFormat="1" x14ac:dyDescent="0.35"/>
    <row r="1105" customFormat="1" x14ac:dyDescent="0.35"/>
    <row r="1106" customFormat="1" x14ac:dyDescent="0.35"/>
    <row r="1107" customFormat="1" x14ac:dyDescent="0.35"/>
    <row r="1108" customFormat="1" x14ac:dyDescent="0.35"/>
    <row r="1109" customFormat="1" x14ac:dyDescent="0.35"/>
    <row r="1110" customFormat="1" x14ac:dyDescent="0.35"/>
    <row r="1111" customFormat="1" x14ac:dyDescent="0.35"/>
    <row r="1112" customFormat="1" x14ac:dyDescent="0.35"/>
    <row r="1113" customFormat="1" x14ac:dyDescent="0.35"/>
    <row r="1114" customFormat="1" x14ac:dyDescent="0.35"/>
    <row r="1115" customFormat="1" x14ac:dyDescent="0.35"/>
    <row r="1116" customFormat="1" x14ac:dyDescent="0.35"/>
    <row r="1117" customFormat="1" x14ac:dyDescent="0.35"/>
    <row r="1118" customFormat="1" x14ac:dyDescent="0.35"/>
    <row r="1119" customFormat="1" x14ac:dyDescent="0.35"/>
    <row r="1120" customFormat="1" x14ac:dyDescent="0.35"/>
    <row r="1121" customFormat="1" x14ac:dyDescent="0.35"/>
    <row r="1122" customFormat="1" x14ac:dyDescent="0.35"/>
    <row r="1123" customFormat="1" x14ac:dyDescent="0.35"/>
    <row r="1124" customFormat="1" x14ac:dyDescent="0.35"/>
    <row r="1125" customFormat="1" x14ac:dyDescent="0.35"/>
    <row r="1126" customFormat="1" x14ac:dyDescent="0.35"/>
    <row r="1127" customFormat="1" x14ac:dyDescent="0.35"/>
    <row r="1128" customFormat="1" x14ac:dyDescent="0.35"/>
    <row r="1129" customFormat="1" x14ac:dyDescent="0.35"/>
    <row r="1130" customFormat="1" x14ac:dyDescent="0.35"/>
    <row r="1131" customFormat="1" x14ac:dyDescent="0.35"/>
    <row r="1132" customFormat="1" x14ac:dyDescent="0.35"/>
    <row r="1133" customFormat="1" x14ac:dyDescent="0.35"/>
    <row r="1134" customFormat="1" x14ac:dyDescent="0.35"/>
    <row r="1135" customFormat="1" x14ac:dyDescent="0.35"/>
    <row r="1136" customFormat="1" x14ac:dyDescent="0.35"/>
    <row r="1137" customFormat="1" x14ac:dyDescent="0.35"/>
    <row r="1138" customFormat="1" x14ac:dyDescent="0.35"/>
    <row r="1139" customFormat="1" x14ac:dyDescent="0.35"/>
    <row r="1140" customFormat="1" x14ac:dyDescent="0.35"/>
    <row r="1141" customFormat="1" x14ac:dyDescent="0.35"/>
    <row r="1142" customFormat="1" x14ac:dyDescent="0.35"/>
    <row r="1143" customFormat="1" x14ac:dyDescent="0.35"/>
    <row r="1144" customFormat="1" x14ac:dyDescent="0.35"/>
    <row r="1145" customFormat="1" x14ac:dyDescent="0.35"/>
    <row r="1146" customFormat="1" x14ac:dyDescent="0.35"/>
    <row r="1147" customFormat="1" x14ac:dyDescent="0.35"/>
    <row r="1148" customFormat="1" x14ac:dyDescent="0.35"/>
    <row r="1149" customFormat="1" x14ac:dyDescent="0.35"/>
    <row r="1150" customFormat="1" x14ac:dyDescent="0.35"/>
    <row r="1151" customFormat="1" x14ac:dyDescent="0.35"/>
    <row r="1152" customFormat="1" x14ac:dyDescent="0.35"/>
    <row r="1153" customFormat="1" x14ac:dyDescent="0.35"/>
    <row r="1154" customFormat="1" x14ac:dyDescent="0.35"/>
    <row r="1155" customFormat="1" x14ac:dyDescent="0.35"/>
    <row r="1156" customFormat="1" x14ac:dyDescent="0.35"/>
    <row r="1157" customFormat="1" x14ac:dyDescent="0.35"/>
    <row r="1158" customFormat="1" x14ac:dyDescent="0.35"/>
    <row r="1159" customFormat="1" x14ac:dyDescent="0.35"/>
    <row r="1160" customFormat="1" x14ac:dyDescent="0.35"/>
    <row r="1161" customFormat="1" x14ac:dyDescent="0.35"/>
    <row r="1162" customFormat="1" x14ac:dyDescent="0.35"/>
    <row r="1163" customFormat="1" x14ac:dyDescent="0.35"/>
    <row r="1164" customFormat="1" x14ac:dyDescent="0.35"/>
    <row r="1165" customFormat="1" x14ac:dyDescent="0.35"/>
    <row r="1166" customFormat="1" x14ac:dyDescent="0.35"/>
    <row r="1167" customFormat="1" x14ac:dyDescent="0.35"/>
    <row r="1168" customFormat="1" x14ac:dyDescent="0.35"/>
    <row r="1169" customFormat="1" x14ac:dyDescent="0.35"/>
    <row r="1170" customFormat="1" x14ac:dyDescent="0.35"/>
    <row r="1171" customFormat="1" x14ac:dyDescent="0.35"/>
    <row r="1172" customFormat="1" x14ac:dyDescent="0.35"/>
    <row r="1173" customFormat="1" x14ac:dyDescent="0.35"/>
    <row r="1174" customFormat="1" x14ac:dyDescent="0.35"/>
    <row r="1175" customFormat="1" x14ac:dyDescent="0.35"/>
    <row r="1176" customFormat="1" x14ac:dyDescent="0.35"/>
    <row r="1177" customFormat="1" x14ac:dyDescent="0.35"/>
    <row r="1178" customFormat="1" x14ac:dyDescent="0.35"/>
    <row r="1179" customFormat="1" x14ac:dyDescent="0.35"/>
    <row r="1180" customFormat="1" x14ac:dyDescent="0.35"/>
    <row r="1181" customFormat="1" x14ac:dyDescent="0.35"/>
    <row r="1182" customFormat="1" x14ac:dyDescent="0.35"/>
    <row r="1183" customFormat="1" x14ac:dyDescent="0.35"/>
    <row r="1184" customFormat="1" x14ac:dyDescent="0.35"/>
    <row r="1185" customFormat="1" x14ac:dyDescent="0.35"/>
    <row r="1186" customFormat="1" x14ac:dyDescent="0.35"/>
    <row r="1187" customFormat="1" x14ac:dyDescent="0.35"/>
    <row r="1188" customFormat="1" x14ac:dyDescent="0.35"/>
    <row r="1189" customFormat="1" x14ac:dyDescent="0.35"/>
    <row r="1190" customFormat="1" x14ac:dyDescent="0.35"/>
    <row r="1191" customFormat="1" x14ac:dyDescent="0.35"/>
    <row r="1192" customFormat="1" x14ac:dyDescent="0.35"/>
    <row r="1193" customFormat="1" x14ac:dyDescent="0.35"/>
    <row r="1194" customFormat="1" x14ac:dyDescent="0.35"/>
    <row r="1195" customFormat="1" x14ac:dyDescent="0.35"/>
    <row r="1196" customFormat="1" x14ac:dyDescent="0.35"/>
    <row r="1197" customFormat="1" x14ac:dyDescent="0.35"/>
    <row r="1198" customFormat="1" x14ac:dyDescent="0.35"/>
    <row r="1199" customFormat="1" x14ac:dyDescent="0.35"/>
    <row r="1200" customFormat="1" x14ac:dyDescent="0.35"/>
    <row r="1201" customFormat="1" x14ac:dyDescent="0.35"/>
    <row r="1202" customFormat="1" x14ac:dyDescent="0.35"/>
    <row r="1203" customFormat="1" x14ac:dyDescent="0.35"/>
    <row r="1204" customFormat="1" x14ac:dyDescent="0.35"/>
    <row r="1205" customFormat="1" x14ac:dyDescent="0.35"/>
    <row r="1206" customFormat="1" x14ac:dyDescent="0.35"/>
    <row r="1207" customFormat="1" x14ac:dyDescent="0.35"/>
    <row r="1208" customFormat="1" x14ac:dyDescent="0.35"/>
    <row r="1209" customFormat="1" x14ac:dyDescent="0.35"/>
    <row r="1210" customFormat="1" x14ac:dyDescent="0.35"/>
    <row r="1211" customFormat="1" x14ac:dyDescent="0.35"/>
    <row r="1212" customFormat="1" x14ac:dyDescent="0.35"/>
    <row r="1213" customFormat="1" x14ac:dyDescent="0.35"/>
    <row r="1214" customFormat="1" x14ac:dyDescent="0.35"/>
    <row r="1215" customFormat="1" x14ac:dyDescent="0.35"/>
    <row r="1216" customFormat="1" x14ac:dyDescent="0.35"/>
    <row r="1217" customFormat="1" x14ac:dyDescent="0.35"/>
    <row r="1218" customFormat="1" x14ac:dyDescent="0.35"/>
    <row r="1219" customFormat="1" x14ac:dyDescent="0.35"/>
    <row r="1220" customFormat="1" x14ac:dyDescent="0.35"/>
    <row r="1221" customFormat="1" x14ac:dyDescent="0.35"/>
    <row r="1222" customFormat="1" x14ac:dyDescent="0.35"/>
    <row r="1223" customFormat="1" x14ac:dyDescent="0.35"/>
    <row r="1224" customFormat="1" x14ac:dyDescent="0.35"/>
    <row r="1225" customFormat="1" x14ac:dyDescent="0.35"/>
    <row r="1226" customFormat="1" x14ac:dyDescent="0.35"/>
    <row r="1227" customFormat="1" x14ac:dyDescent="0.35"/>
    <row r="1228" customFormat="1" x14ac:dyDescent="0.35"/>
    <row r="1229" customFormat="1" x14ac:dyDescent="0.35"/>
    <row r="1230" customFormat="1" x14ac:dyDescent="0.35"/>
    <row r="1231" customFormat="1" x14ac:dyDescent="0.35"/>
    <row r="1232" customFormat="1" x14ac:dyDescent="0.35"/>
    <row r="1233" customFormat="1" x14ac:dyDescent="0.35"/>
    <row r="1234" customFormat="1" x14ac:dyDescent="0.35"/>
    <row r="1235" customFormat="1" x14ac:dyDescent="0.35"/>
    <row r="1236" customFormat="1" x14ac:dyDescent="0.35"/>
    <row r="1237" customFormat="1" x14ac:dyDescent="0.35"/>
    <row r="1238" customFormat="1" x14ac:dyDescent="0.35"/>
    <row r="1239" customFormat="1" x14ac:dyDescent="0.35"/>
    <row r="1240" customFormat="1" x14ac:dyDescent="0.35"/>
    <row r="1241" customFormat="1" x14ac:dyDescent="0.35"/>
    <row r="1242" customFormat="1" x14ac:dyDescent="0.35"/>
    <row r="1243" customFormat="1" x14ac:dyDescent="0.35"/>
    <row r="1244" customFormat="1" x14ac:dyDescent="0.35"/>
    <row r="1245" customFormat="1" x14ac:dyDescent="0.35"/>
    <row r="1246" customFormat="1" x14ac:dyDescent="0.35"/>
    <row r="1247" customFormat="1" x14ac:dyDescent="0.35"/>
    <row r="1248" customFormat="1" x14ac:dyDescent="0.35"/>
    <row r="1249" customFormat="1" x14ac:dyDescent="0.35"/>
    <row r="1250" customFormat="1" x14ac:dyDescent="0.35"/>
    <row r="1251" customFormat="1" x14ac:dyDescent="0.35"/>
    <row r="1252" customFormat="1" x14ac:dyDescent="0.35"/>
    <row r="1253" customFormat="1" x14ac:dyDescent="0.35"/>
    <row r="1254" customFormat="1" x14ac:dyDescent="0.35"/>
    <row r="1255" customFormat="1" x14ac:dyDescent="0.35"/>
    <row r="1256" customFormat="1" x14ac:dyDescent="0.35"/>
    <row r="1257" customFormat="1" x14ac:dyDescent="0.35"/>
    <row r="1258" customFormat="1" x14ac:dyDescent="0.35"/>
    <row r="1259" customFormat="1" x14ac:dyDescent="0.35"/>
    <row r="1260" customFormat="1" x14ac:dyDescent="0.35"/>
    <row r="1261" customFormat="1" x14ac:dyDescent="0.35"/>
    <row r="1262" customFormat="1" x14ac:dyDescent="0.35"/>
    <row r="1263" customFormat="1" x14ac:dyDescent="0.35"/>
    <row r="1264" customFormat="1" x14ac:dyDescent="0.35"/>
    <row r="1265" customFormat="1" x14ac:dyDescent="0.35"/>
    <row r="1266" customFormat="1" x14ac:dyDescent="0.35"/>
    <row r="1267" customFormat="1" x14ac:dyDescent="0.35"/>
    <row r="1268" customFormat="1" x14ac:dyDescent="0.35"/>
    <row r="1269" customFormat="1" x14ac:dyDescent="0.35"/>
    <row r="1270" customFormat="1" x14ac:dyDescent="0.35"/>
    <row r="1271" customFormat="1" x14ac:dyDescent="0.35"/>
    <row r="1272" customFormat="1" x14ac:dyDescent="0.35"/>
    <row r="1273" customFormat="1" x14ac:dyDescent="0.35"/>
    <row r="1274" customFormat="1" x14ac:dyDescent="0.35"/>
    <row r="1275" customFormat="1" x14ac:dyDescent="0.35"/>
    <row r="1276" customFormat="1" x14ac:dyDescent="0.35"/>
    <row r="1277" customFormat="1" x14ac:dyDescent="0.35"/>
    <row r="1278" customFormat="1" x14ac:dyDescent="0.35"/>
    <row r="1279" customFormat="1" x14ac:dyDescent="0.35"/>
    <row r="1280" customFormat="1" x14ac:dyDescent="0.35"/>
    <row r="1281" customFormat="1" x14ac:dyDescent="0.35"/>
    <row r="1282" customFormat="1" x14ac:dyDescent="0.35"/>
    <row r="1283" customFormat="1" x14ac:dyDescent="0.35"/>
    <row r="1284" customFormat="1" x14ac:dyDescent="0.35"/>
    <row r="1285" customFormat="1" x14ac:dyDescent="0.35"/>
    <row r="1286" customFormat="1" x14ac:dyDescent="0.35"/>
    <row r="1287" customFormat="1" x14ac:dyDescent="0.35"/>
    <row r="1288" customFormat="1" x14ac:dyDescent="0.35"/>
    <row r="1289" customFormat="1" x14ac:dyDescent="0.35"/>
    <row r="1290" customFormat="1" x14ac:dyDescent="0.35"/>
    <row r="1291" customFormat="1" x14ac:dyDescent="0.35"/>
    <row r="1292" customFormat="1" x14ac:dyDescent="0.35"/>
    <row r="1293" customFormat="1" x14ac:dyDescent="0.35"/>
    <row r="1294" customFormat="1" x14ac:dyDescent="0.35"/>
    <row r="1295" customFormat="1" x14ac:dyDescent="0.35"/>
    <row r="1296" customFormat="1" x14ac:dyDescent="0.35"/>
    <row r="1297" customFormat="1" x14ac:dyDescent="0.35"/>
    <row r="1298" customFormat="1" x14ac:dyDescent="0.35"/>
    <row r="1299" customFormat="1" x14ac:dyDescent="0.35"/>
    <row r="1300" customFormat="1" x14ac:dyDescent="0.35"/>
    <row r="1301" customFormat="1" x14ac:dyDescent="0.35"/>
    <row r="1302" customFormat="1" x14ac:dyDescent="0.35"/>
    <row r="1303" customFormat="1" x14ac:dyDescent="0.35"/>
    <row r="1304" customFormat="1" x14ac:dyDescent="0.35"/>
    <row r="1305" customFormat="1" x14ac:dyDescent="0.35"/>
    <row r="1306" customFormat="1" x14ac:dyDescent="0.35"/>
    <row r="1307" customFormat="1" x14ac:dyDescent="0.35"/>
    <row r="1308" customFormat="1" x14ac:dyDescent="0.35"/>
    <row r="1309" customFormat="1" x14ac:dyDescent="0.35"/>
    <row r="1310" customFormat="1" x14ac:dyDescent="0.35"/>
    <row r="1311" customFormat="1" x14ac:dyDescent="0.35"/>
    <row r="1312" customFormat="1" x14ac:dyDescent="0.35"/>
    <row r="1313" customFormat="1" x14ac:dyDescent="0.35"/>
    <row r="1314" customFormat="1" x14ac:dyDescent="0.35"/>
    <row r="1315" customFormat="1" x14ac:dyDescent="0.35"/>
    <row r="1316" customFormat="1" x14ac:dyDescent="0.35"/>
    <row r="1317" customFormat="1" x14ac:dyDescent="0.35"/>
    <row r="1318" customFormat="1" x14ac:dyDescent="0.35"/>
    <row r="1319" customFormat="1" x14ac:dyDescent="0.35"/>
    <row r="1320" customFormat="1" x14ac:dyDescent="0.35"/>
    <row r="1321" customFormat="1" x14ac:dyDescent="0.35"/>
    <row r="1322" customFormat="1" x14ac:dyDescent="0.35"/>
    <row r="1323" customFormat="1" x14ac:dyDescent="0.35"/>
    <row r="1324" customFormat="1" x14ac:dyDescent="0.35"/>
    <row r="1325" customFormat="1" x14ac:dyDescent="0.35"/>
    <row r="1326" customFormat="1" x14ac:dyDescent="0.35"/>
    <row r="1327" customFormat="1" x14ac:dyDescent="0.35"/>
    <row r="1328" customFormat="1" x14ac:dyDescent="0.35"/>
    <row r="1329" customFormat="1" x14ac:dyDescent="0.35"/>
    <row r="1330" customFormat="1" x14ac:dyDescent="0.35"/>
    <row r="1331" customFormat="1" x14ac:dyDescent="0.35"/>
    <row r="1332" customFormat="1" x14ac:dyDescent="0.35"/>
    <row r="1333" customFormat="1" x14ac:dyDescent="0.35"/>
    <row r="1334" customFormat="1" x14ac:dyDescent="0.35"/>
    <row r="1335" customFormat="1" x14ac:dyDescent="0.35"/>
    <row r="1336" customFormat="1" x14ac:dyDescent="0.35"/>
    <row r="1337" customFormat="1" x14ac:dyDescent="0.35"/>
    <row r="1338" customFormat="1" x14ac:dyDescent="0.35"/>
    <row r="1339" customFormat="1" x14ac:dyDescent="0.35"/>
    <row r="1340" customFormat="1" x14ac:dyDescent="0.35"/>
    <row r="1341" customFormat="1" x14ac:dyDescent="0.35"/>
    <row r="1342" customFormat="1" x14ac:dyDescent="0.35"/>
    <row r="1343" customFormat="1" x14ac:dyDescent="0.35"/>
    <row r="1344" customFormat="1" x14ac:dyDescent="0.35"/>
    <row r="1345" customFormat="1" x14ac:dyDescent="0.35"/>
    <row r="1346" customFormat="1" x14ac:dyDescent="0.35"/>
    <row r="1347" customFormat="1" x14ac:dyDescent="0.35"/>
    <row r="1348" customFormat="1" x14ac:dyDescent="0.35"/>
    <row r="1349" customFormat="1" x14ac:dyDescent="0.35"/>
    <row r="1350" customFormat="1" x14ac:dyDescent="0.35"/>
    <row r="1351" customFormat="1" x14ac:dyDescent="0.35"/>
    <row r="1352" customFormat="1" x14ac:dyDescent="0.35"/>
    <row r="1353" customFormat="1" x14ac:dyDescent="0.35"/>
    <row r="1354" customFormat="1" x14ac:dyDescent="0.35"/>
    <row r="1355" customFormat="1" x14ac:dyDescent="0.35"/>
    <row r="1356" customFormat="1" x14ac:dyDescent="0.35"/>
    <row r="1357" customFormat="1" x14ac:dyDescent="0.35"/>
    <row r="1358" customFormat="1" x14ac:dyDescent="0.35"/>
    <row r="1359" customFormat="1" x14ac:dyDescent="0.35"/>
    <row r="1360" customFormat="1" x14ac:dyDescent="0.35"/>
    <row r="1361" customFormat="1" x14ac:dyDescent="0.35"/>
    <row r="1362" customFormat="1" x14ac:dyDescent="0.35"/>
    <row r="1363" customFormat="1" x14ac:dyDescent="0.35"/>
    <row r="1364" customFormat="1" x14ac:dyDescent="0.35"/>
    <row r="1365" customFormat="1" x14ac:dyDescent="0.35"/>
    <row r="1366" customFormat="1" x14ac:dyDescent="0.35"/>
    <row r="1367" customFormat="1" x14ac:dyDescent="0.35"/>
    <row r="1368" customFormat="1" x14ac:dyDescent="0.35"/>
    <row r="1369" customFormat="1" x14ac:dyDescent="0.35"/>
    <row r="1370" customFormat="1" x14ac:dyDescent="0.35"/>
    <row r="1371" customFormat="1" x14ac:dyDescent="0.35"/>
    <row r="1372" customFormat="1" x14ac:dyDescent="0.35"/>
    <row r="1373" customFormat="1" x14ac:dyDescent="0.35"/>
    <row r="1374" customFormat="1" x14ac:dyDescent="0.35"/>
    <row r="1375" customFormat="1" x14ac:dyDescent="0.35"/>
    <row r="1376" customFormat="1" x14ac:dyDescent="0.35"/>
    <row r="1377" customFormat="1" x14ac:dyDescent="0.35"/>
    <row r="1378" customFormat="1" x14ac:dyDescent="0.35"/>
    <row r="1379" customFormat="1" x14ac:dyDescent="0.35"/>
    <row r="1380" customFormat="1" x14ac:dyDescent="0.35"/>
    <row r="1381" customFormat="1" x14ac:dyDescent="0.35"/>
    <row r="1382" customFormat="1" x14ac:dyDescent="0.35"/>
    <row r="1383" customFormat="1" x14ac:dyDescent="0.35"/>
    <row r="1384" customFormat="1" x14ac:dyDescent="0.35"/>
    <row r="1385" customFormat="1" x14ac:dyDescent="0.35"/>
    <row r="1386" customFormat="1" x14ac:dyDescent="0.35"/>
    <row r="1387" customFormat="1" x14ac:dyDescent="0.35"/>
    <row r="1388" customFormat="1" x14ac:dyDescent="0.35"/>
    <row r="1389" customFormat="1" x14ac:dyDescent="0.35"/>
    <row r="1390" customFormat="1" x14ac:dyDescent="0.35"/>
    <row r="1391" customFormat="1" x14ac:dyDescent="0.35"/>
    <row r="1392" customFormat="1" x14ac:dyDescent="0.35"/>
    <row r="1393" customFormat="1" x14ac:dyDescent="0.35"/>
    <row r="1394" customFormat="1" x14ac:dyDescent="0.35"/>
    <row r="1395" customFormat="1" x14ac:dyDescent="0.35"/>
    <row r="1396" customFormat="1" x14ac:dyDescent="0.35"/>
    <row r="1397" customFormat="1" x14ac:dyDescent="0.35"/>
    <row r="1398" customFormat="1" x14ac:dyDescent="0.35"/>
    <row r="1399" customFormat="1" x14ac:dyDescent="0.35"/>
    <row r="1400" customFormat="1" x14ac:dyDescent="0.35"/>
    <row r="1401" customFormat="1" x14ac:dyDescent="0.35"/>
    <row r="1402" customFormat="1" x14ac:dyDescent="0.35"/>
    <row r="1403" customFormat="1" x14ac:dyDescent="0.35"/>
    <row r="1404" customFormat="1" x14ac:dyDescent="0.35"/>
    <row r="1405" customFormat="1" x14ac:dyDescent="0.35"/>
    <row r="1406" customFormat="1" x14ac:dyDescent="0.35"/>
    <row r="1407" customFormat="1" x14ac:dyDescent="0.35"/>
    <row r="1408" customFormat="1" x14ac:dyDescent="0.35"/>
    <row r="1409" customFormat="1" x14ac:dyDescent="0.35"/>
    <row r="1410" customFormat="1" x14ac:dyDescent="0.35"/>
    <row r="1411" customFormat="1" x14ac:dyDescent="0.35"/>
    <row r="1412" customFormat="1" x14ac:dyDescent="0.35"/>
    <row r="1413" customFormat="1" x14ac:dyDescent="0.35"/>
    <row r="1414" customFormat="1" x14ac:dyDescent="0.35"/>
    <row r="1415" customFormat="1" x14ac:dyDescent="0.35"/>
    <row r="1416" customFormat="1" x14ac:dyDescent="0.35"/>
    <row r="1417" customFormat="1" x14ac:dyDescent="0.35"/>
    <row r="1418" customFormat="1" x14ac:dyDescent="0.35"/>
    <row r="1419" customFormat="1" x14ac:dyDescent="0.35"/>
    <row r="1420" customFormat="1" x14ac:dyDescent="0.35"/>
    <row r="1421" customFormat="1" x14ac:dyDescent="0.35"/>
    <row r="1422" customFormat="1" x14ac:dyDescent="0.35"/>
    <row r="1423" customFormat="1" x14ac:dyDescent="0.35"/>
    <row r="1424" customFormat="1" x14ac:dyDescent="0.35"/>
    <row r="1425" customFormat="1" x14ac:dyDescent="0.35"/>
    <row r="1426" customFormat="1" x14ac:dyDescent="0.35"/>
    <row r="1427" customFormat="1" x14ac:dyDescent="0.35"/>
    <row r="1428" customFormat="1" x14ac:dyDescent="0.35"/>
    <row r="1429" customFormat="1" x14ac:dyDescent="0.35"/>
    <row r="1430" customFormat="1" x14ac:dyDescent="0.35"/>
    <row r="1431" customFormat="1" x14ac:dyDescent="0.35"/>
    <row r="1432" customFormat="1" x14ac:dyDescent="0.35"/>
    <row r="1433" customFormat="1" x14ac:dyDescent="0.35"/>
    <row r="1434" customFormat="1" x14ac:dyDescent="0.35"/>
    <row r="1435" customFormat="1" x14ac:dyDescent="0.35"/>
    <row r="1436" customFormat="1" x14ac:dyDescent="0.35"/>
    <row r="1437" customFormat="1" x14ac:dyDescent="0.35"/>
    <row r="1438" customFormat="1" x14ac:dyDescent="0.35"/>
    <row r="1439" customFormat="1" x14ac:dyDescent="0.35"/>
    <row r="1440" customFormat="1" x14ac:dyDescent="0.35"/>
    <row r="1441" customFormat="1" x14ac:dyDescent="0.35"/>
    <row r="1442" customFormat="1" x14ac:dyDescent="0.35"/>
    <row r="1443" customFormat="1" x14ac:dyDescent="0.35"/>
    <row r="1444" customFormat="1" x14ac:dyDescent="0.35"/>
    <row r="1445" customFormat="1" x14ac:dyDescent="0.35"/>
    <row r="1446" customFormat="1" x14ac:dyDescent="0.35"/>
    <row r="1447" customFormat="1" x14ac:dyDescent="0.35"/>
    <row r="1448" customFormat="1" x14ac:dyDescent="0.35"/>
    <row r="1449" customFormat="1" x14ac:dyDescent="0.35"/>
    <row r="1450" customFormat="1" x14ac:dyDescent="0.35"/>
    <row r="1451" customFormat="1" x14ac:dyDescent="0.35"/>
    <row r="1452" customFormat="1" x14ac:dyDescent="0.35"/>
    <row r="1453" customFormat="1" x14ac:dyDescent="0.35"/>
    <row r="1454" customFormat="1" x14ac:dyDescent="0.35"/>
    <row r="1455" customFormat="1" x14ac:dyDescent="0.35"/>
    <row r="1456" customFormat="1" x14ac:dyDescent="0.35"/>
    <row r="1457" customFormat="1" x14ac:dyDescent="0.35"/>
    <row r="1458" customFormat="1" x14ac:dyDescent="0.35"/>
    <row r="1459" customFormat="1" x14ac:dyDescent="0.35"/>
    <row r="1460" customFormat="1" x14ac:dyDescent="0.35"/>
    <row r="1461" customFormat="1" x14ac:dyDescent="0.35"/>
    <row r="1462" customFormat="1" x14ac:dyDescent="0.35"/>
    <row r="1463" customFormat="1" x14ac:dyDescent="0.35"/>
    <row r="1464" customFormat="1" x14ac:dyDescent="0.35"/>
    <row r="1465" customFormat="1" x14ac:dyDescent="0.35"/>
    <row r="1466" customFormat="1" x14ac:dyDescent="0.35"/>
    <row r="1467" customFormat="1" x14ac:dyDescent="0.35"/>
    <row r="1468" customFormat="1" x14ac:dyDescent="0.35"/>
    <row r="1469" customFormat="1" x14ac:dyDescent="0.35"/>
    <row r="1470" customFormat="1" x14ac:dyDescent="0.35"/>
    <row r="1471" customFormat="1" x14ac:dyDescent="0.35"/>
    <row r="1472" customFormat="1" x14ac:dyDescent="0.35"/>
    <row r="1473" customFormat="1" x14ac:dyDescent="0.35"/>
    <row r="1474" customFormat="1" x14ac:dyDescent="0.35"/>
    <row r="1475" customFormat="1" x14ac:dyDescent="0.35"/>
    <row r="1476" customFormat="1" x14ac:dyDescent="0.35"/>
    <row r="1477" customFormat="1" x14ac:dyDescent="0.35"/>
    <row r="1478" customFormat="1" x14ac:dyDescent="0.35"/>
    <row r="1479" customFormat="1" x14ac:dyDescent="0.35"/>
    <row r="1480" customFormat="1" x14ac:dyDescent="0.35"/>
    <row r="1481" customFormat="1" x14ac:dyDescent="0.35"/>
    <row r="1482" customFormat="1" x14ac:dyDescent="0.35"/>
    <row r="1483" customFormat="1" x14ac:dyDescent="0.35"/>
    <row r="1484" customFormat="1" x14ac:dyDescent="0.35"/>
    <row r="1485" customFormat="1" x14ac:dyDescent="0.35"/>
    <row r="1486" customFormat="1" x14ac:dyDescent="0.35"/>
    <row r="1487" customFormat="1" x14ac:dyDescent="0.35"/>
    <row r="1488" customFormat="1" x14ac:dyDescent="0.35"/>
    <row r="1489" customFormat="1" x14ac:dyDescent="0.35"/>
    <row r="1490" customFormat="1" x14ac:dyDescent="0.35"/>
    <row r="1491" customFormat="1" x14ac:dyDescent="0.35"/>
    <row r="1492" customFormat="1" x14ac:dyDescent="0.35"/>
    <row r="1493" customFormat="1" x14ac:dyDescent="0.35"/>
    <row r="1494" customFormat="1" x14ac:dyDescent="0.35"/>
    <row r="1495" customFormat="1" x14ac:dyDescent="0.35"/>
    <row r="1496" customFormat="1" x14ac:dyDescent="0.35"/>
    <row r="1497" customFormat="1" x14ac:dyDescent="0.35"/>
    <row r="1498" customFormat="1" x14ac:dyDescent="0.35"/>
    <row r="1499" customFormat="1" x14ac:dyDescent="0.35"/>
    <row r="1500" customFormat="1" x14ac:dyDescent="0.35"/>
    <row r="1501" customFormat="1" x14ac:dyDescent="0.35"/>
    <row r="1502" customFormat="1" x14ac:dyDescent="0.35"/>
    <row r="1503" customFormat="1" x14ac:dyDescent="0.35"/>
    <row r="1504" customFormat="1" x14ac:dyDescent="0.35"/>
    <row r="1505" customFormat="1" x14ac:dyDescent="0.35"/>
    <row r="1506" customFormat="1" x14ac:dyDescent="0.35"/>
    <row r="1507" customFormat="1" x14ac:dyDescent="0.35"/>
    <row r="1508" customFormat="1" x14ac:dyDescent="0.35"/>
    <row r="1509" customFormat="1" x14ac:dyDescent="0.35"/>
    <row r="1510" customFormat="1" x14ac:dyDescent="0.35"/>
    <row r="1511" customFormat="1" x14ac:dyDescent="0.35"/>
    <row r="1512" customFormat="1" x14ac:dyDescent="0.35"/>
    <row r="1513" customFormat="1" x14ac:dyDescent="0.35"/>
    <row r="1514" customFormat="1" x14ac:dyDescent="0.35"/>
    <row r="1515" customFormat="1" x14ac:dyDescent="0.35"/>
    <row r="1516" customFormat="1" x14ac:dyDescent="0.35"/>
    <row r="1517" customFormat="1" x14ac:dyDescent="0.35"/>
    <row r="1518" customFormat="1" x14ac:dyDescent="0.35"/>
    <row r="1519" customFormat="1" x14ac:dyDescent="0.35"/>
    <row r="1520" customFormat="1" x14ac:dyDescent="0.35"/>
    <row r="1521" customFormat="1" x14ac:dyDescent="0.35"/>
    <row r="1522" customFormat="1" x14ac:dyDescent="0.35"/>
    <row r="1523" customFormat="1" x14ac:dyDescent="0.35"/>
    <row r="1524" customFormat="1" x14ac:dyDescent="0.35"/>
    <row r="1525" customFormat="1" x14ac:dyDescent="0.35"/>
    <row r="1526" customFormat="1" x14ac:dyDescent="0.35"/>
    <row r="1527" customFormat="1" x14ac:dyDescent="0.35"/>
    <row r="1528" customFormat="1" x14ac:dyDescent="0.35"/>
    <row r="1529" customFormat="1" x14ac:dyDescent="0.35"/>
    <row r="1530" customFormat="1" x14ac:dyDescent="0.35"/>
    <row r="1531" customFormat="1" x14ac:dyDescent="0.35"/>
    <row r="1532" customFormat="1" x14ac:dyDescent="0.35"/>
    <row r="1533" customFormat="1" x14ac:dyDescent="0.35"/>
    <row r="1534" customFormat="1" x14ac:dyDescent="0.35"/>
    <row r="1535" customFormat="1" x14ac:dyDescent="0.35"/>
    <row r="1536" customFormat="1" x14ac:dyDescent="0.35"/>
    <row r="1537" customFormat="1" x14ac:dyDescent="0.35"/>
    <row r="1538" customFormat="1" x14ac:dyDescent="0.35"/>
    <row r="1539" customFormat="1" x14ac:dyDescent="0.35"/>
    <row r="1540" customFormat="1" x14ac:dyDescent="0.35"/>
    <row r="1541" customFormat="1" x14ac:dyDescent="0.35"/>
    <row r="1542" customFormat="1" x14ac:dyDescent="0.35"/>
    <row r="1543" customFormat="1" x14ac:dyDescent="0.35"/>
    <row r="1544" customFormat="1" x14ac:dyDescent="0.35"/>
    <row r="1545" customFormat="1" x14ac:dyDescent="0.35"/>
    <row r="1546" customFormat="1" x14ac:dyDescent="0.35"/>
    <row r="1547" customFormat="1" x14ac:dyDescent="0.35"/>
    <row r="1548" customFormat="1" x14ac:dyDescent="0.35"/>
    <row r="1549" customFormat="1" x14ac:dyDescent="0.35"/>
    <row r="1550" customFormat="1" x14ac:dyDescent="0.35"/>
    <row r="1551" customFormat="1" x14ac:dyDescent="0.35"/>
    <row r="1552" customFormat="1" x14ac:dyDescent="0.35"/>
    <row r="1553" customFormat="1" x14ac:dyDescent="0.35"/>
    <row r="1554" customFormat="1" x14ac:dyDescent="0.35"/>
    <row r="1555" customFormat="1" x14ac:dyDescent="0.35"/>
    <row r="1556" customFormat="1" x14ac:dyDescent="0.35"/>
    <row r="1557" customFormat="1" x14ac:dyDescent="0.35"/>
    <row r="1558" customFormat="1" x14ac:dyDescent="0.35"/>
    <row r="1559" customFormat="1" x14ac:dyDescent="0.35"/>
    <row r="1560" customFormat="1" x14ac:dyDescent="0.35"/>
    <row r="1561" customFormat="1" x14ac:dyDescent="0.35"/>
    <row r="1562" customFormat="1" x14ac:dyDescent="0.35"/>
    <row r="1563" customFormat="1" x14ac:dyDescent="0.35"/>
    <row r="1564" customFormat="1" x14ac:dyDescent="0.35"/>
    <row r="1565" customFormat="1" x14ac:dyDescent="0.35"/>
    <row r="1566" customFormat="1" x14ac:dyDescent="0.35"/>
    <row r="1567" customFormat="1" x14ac:dyDescent="0.35"/>
    <row r="1568" customFormat="1" x14ac:dyDescent="0.35"/>
    <row r="1569" customFormat="1" x14ac:dyDescent="0.35"/>
    <row r="1570" customFormat="1" x14ac:dyDescent="0.35"/>
    <row r="1571" customFormat="1" x14ac:dyDescent="0.35"/>
    <row r="1572" customFormat="1" x14ac:dyDescent="0.35"/>
    <row r="1573" customFormat="1" x14ac:dyDescent="0.35"/>
    <row r="1574" customFormat="1" x14ac:dyDescent="0.35"/>
    <row r="1575" customFormat="1" x14ac:dyDescent="0.35"/>
    <row r="1576" customFormat="1" x14ac:dyDescent="0.35"/>
    <row r="1577" customFormat="1" x14ac:dyDescent="0.35"/>
    <row r="1578" customFormat="1" x14ac:dyDescent="0.35"/>
    <row r="1579" customFormat="1" x14ac:dyDescent="0.35"/>
    <row r="1580" customFormat="1" x14ac:dyDescent="0.35"/>
    <row r="1581" customFormat="1" x14ac:dyDescent="0.35"/>
    <row r="1582" customFormat="1" x14ac:dyDescent="0.35"/>
    <row r="1583" customFormat="1" x14ac:dyDescent="0.35"/>
    <row r="1584" customFormat="1" x14ac:dyDescent="0.35"/>
    <row r="1585" customFormat="1" x14ac:dyDescent="0.35"/>
    <row r="1586" customFormat="1" x14ac:dyDescent="0.35"/>
    <row r="1587" customFormat="1" x14ac:dyDescent="0.35"/>
    <row r="1588" customFormat="1" x14ac:dyDescent="0.35"/>
    <row r="1589" customFormat="1" x14ac:dyDescent="0.35"/>
    <row r="1590" customFormat="1" x14ac:dyDescent="0.35"/>
    <row r="1591" customFormat="1" x14ac:dyDescent="0.35"/>
    <row r="1592" customFormat="1" x14ac:dyDescent="0.35"/>
    <row r="1593" customFormat="1" x14ac:dyDescent="0.35"/>
    <row r="1594" customFormat="1" x14ac:dyDescent="0.35"/>
    <row r="1595" customFormat="1" x14ac:dyDescent="0.35"/>
    <row r="1596" customFormat="1" x14ac:dyDescent="0.35"/>
    <row r="1597" customFormat="1" x14ac:dyDescent="0.35"/>
    <row r="1598" customFormat="1" x14ac:dyDescent="0.35"/>
    <row r="1599" customFormat="1" x14ac:dyDescent="0.35"/>
    <row r="1600" customFormat="1" x14ac:dyDescent="0.35"/>
    <row r="1601" customFormat="1" x14ac:dyDescent="0.35"/>
    <row r="1602" customFormat="1" x14ac:dyDescent="0.35"/>
    <row r="1603" customFormat="1" x14ac:dyDescent="0.35"/>
    <row r="1604" customFormat="1" x14ac:dyDescent="0.35"/>
    <row r="1605" customFormat="1" x14ac:dyDescent="0.35"/>
    <row r="1606" customFormat="1" x14ac:dyDescent="0.35"/>
    <row r="1607" customFormat="1" x14ac:dyDescent="0.35"/>
    <row r="1608" customFormat="1" x14ac:dyDescent="0.35"/>
    <row r="1609" customFormat="1" x14ac:dyDescent="0.35"/>
    <row r="1610" customFormat="1" x14ac:dyDescent="0.35"/>
    <row r="1611" customFormat="1" x14ac:dyDescent="0.35"/>
    <row r="1612" customFormat="1" x14ac:dyDescent="0.35"/>
    <row r="1613" customFormat="1" x14ac:dyDescent="0.35"/>
    <row r="1614" customFormat="1" x14ac:dyDescent="0.35"/>
    <row r="1615" customFormat="1" x14ac:dyDescent="0.35"/>
    <row r="1616" customFormat="1" x14ac:dyDescent="0.35"/>
    <row r="1617" customFormat="1" x14ac:dyDescent="0.35"/>
    <row r="1618" customFormat="1" x14ac:dyDescent="0.35"/>
    <row r="1619" customFormat="1" x14ac:dyDescent="0.35"/>
    <row r="1620" customFormat="1" x14ac:dyDescent="0.35"/>
    <row r="1621" customFormat="1" x14ac:dyDescent="0.35"/>
    <row r="1622" customFormat="1" x14ac:dyDescent="0.35"/>
    <row r="1623" customFormat="1" x14ac:dyDescent="0.35"/>
    <row r="1624" customFormat="1" x14ac:dyDescent="0.35"/>
    <row r="1625" customFormat="1" x14ac:dyDescent="0.35"/>
    <row r="1626" customFormat="1" x14ac:dyDescent="0.35"/>
    <row r="1627" customFormat="1" x14ac:dyDescent="0.35"/>
    <row r="1628" customFormat="1" x14ac:dyDescent="0.35"/>
    <row r="1629" customFormat="1" x14ac:dyDescent="0.35"/>
    <row r="1630" customFormat="1" x14ac:dyDescent="0.35"/>
    <row r="1631" customFormat="1" x14ac:dyDescent="0.35"/>
    <row r="1632" customFormat="1" x14ac:dyDescent="0.35"/>
    <row r="1633" customFormat="1" x14ac:dyDescent="0.35"/>
    <row r="1634" customFormat="1" x14ac:dyDescent="0.35"/>
    <row r="1635" customFormat="1" x14ac:dyDescent="0.35"/>
    <row r="1636" customFormat="1" x14ac:dyDescent="0.35"/>
    <row r="1637" customFormat="1" x14ac:dyDescent="0.35"/>
    <row r="1638" customFormat="1" x14ac:dyDescent="0.35"/>
    <row r="1639" customFormat="1" x14ac:dyDescent="0.35"/>
    <row r="1640" customFormat="1" x14ac:dyDescent="0.35"/>
    <row r="1641" customFormat="1" x14ac:dyDescent="0.35"/>
    <row r="1642" customFormat="1" x14ac:dyDescent="0.35"/>
    <row r="1643" customFormat="1" x14ac:dyDescent="0.35"/>
    <row r="1644" customFormat="1" x14ac:dyDescent="0.35"/>
    <row r="1645" customFormat="1" x14ac:dyDescent="0.35"/>
    <row r="1646" customFormat="1" x14ac:dyDescent="0.35"/>
    <row r="1647" customFormat="1" x14ac:dyDescent="0.35"/>
    <row r="1648" customFormat="1" x14ac:dyDescent="0.35"/>
    <row r="1649" customFormat="1" x14ac:dyDescent="0.35"/>
    <row r="1650" customFormat="1" x14ac:dyDescent="0.35"/>
    <row r="1651" customFormat="1" x14ac:dyDescent="0.35"/>
    <row r="1652" customFormat="1" x14ac:dyDescent="0.35"/>
    <row r="1653" customFormat="1" x14ac:dyDescent="0.35"/>
    <row r="1654" customFormat="1" x14ac:dyDescent="0.35"/>
    <row r="1655" customFormat="1" x14ac:dyDescent="0.35"/>
    <row r="1656" customFormat="1" x14ac:dyDescent="0.35"/>
    <row r="1657" customFormat="1" x14ac:dyDescent="0.35"/>
    <row r="1658" customFormat="1" x14ac:dyDescent="0.35"/>
    <row r="1659" customFormat="1" x14ac:dyDescent="0.35"/>
    <row r="1660" customFormat="1" x14ac:dyDescent="0.35"/>
    <row r="1661" customFormat="1" x14ac:dyDescent="0.35"/>
    <row r="1662" customFormat="1" x14ac:dyDescent="0.35"/>
    <row r="1663" customFormat="1" x14ac:dyDescent="0.35"/>
    <row r="1664" customFormat="1" x14ac:dyDescent="0.35"/>
    <row r="1665" customFormat="1" x14ac:dyDescent="0.35"/>
    <row r="1666" customFormat="1" x14ac:dyDescent="0.35"/>
    <row r="1667" customFormat="1" x14ac:dyDescent="0.35"/>
    <row r="1668" customFormat="1" x14ac:dyDescent="0.35"/>
    <row r="1669" customFormat="1" x14ac:dyDescent="0.35"/>
    <row r="1670" customFormat="1" x14ac:dyDescent="0.35"/>
    <row r="1671" customFormat="1" x14ac:dyDescent="0.35"/>
    <row r="1672" customFormat="1" x14ac:dyDescent="0.35"/>
    <row r="1673" customFormat="1" x14ac:dyDescent="0.35"/>
    <row r="1674" customFormat="1" x14ac:dyDescent="0.35"/>
    <row r="1675" customFormat="1" x14ac:dyDescent="0.35"/>
    <row r="1676" customFormat="1" x14ac:dyDescent="0.35"/>
    <row r="1677" customFormat="1" x14ac:dyDescent="0.35"/>
    <row r="1678" customFormat="1" x14ac:dyDescent="0.35"/>
    <row r="1679" customFormat="1" x14ac:dyDescent="0.35"/>
    <row r="1680" customFormat="1" x14ac:dyDescent="0.35"/>
    <row r="1681" customFormat="1" x14ac:dyDescent="0.35"/>
    <row r="1682" customFormat="1" x14ac:dyDescent="0.35"/>
    <row r="1683" customFormat="1" x14ac:dyDescent="0.35"/>
    <row r="1684" customFormat="1" x14ac:dyDescent="0.35"/>
    <row r="1685" customFormat="1" x14ac:dyDescent="0.35"/>
    <row r="1686" customFormat="1" x14ac:dyDescent="0.35"/>
    <row r="1687" customFormat="1" x14ac:dyDescent="0.35"/>
    <row r="1688" customFormat="1" x14ac:dyDescent="0.35"/>
    <row r="1689" customFormat="1" x14ac:dyDescent="0.35"/>
    <row r="1690" customFormat="1" x14ac:dyDescent="0.35"/>
    <row r="1691" customFormat="1" x14ac:dyDescent="0.35"/>
    <row r="1692" customFormat="1" x14ac:dyDescent="0.35"/>
    <row r="1693" customFormat="1" x14ac:dyDescent="0.35"/>
    <row r="1694" customFormat="1" x14ac:dyDescent="0.35"/>
    <row r="1695" customFormat="1" x14ac:dyDescent="0.35"/>
    <row r="1696" customFormat="1" x14ac:dyDescent="0.35"/>
    <row r="1697" customFormat="1" x14ac:dyDescent="0.35"/>
    <row r="1698" customFormat="1" x14ac:dyDescent="0.35"/>
    <row r="1699" customFormat="1" x14ac:dyDescent="0.35"/>
    <row r="1700" customFormat="1" x14ac:dyDescent="0.35"/>
    <row r="1701" customFormat="1" x14ac:dyDescent="0.35"/>
    <row r="1702" customFormat="1" x14ac:dyDescent="0.35"/>
    <row r="1703" customFormat="1" x14ac:dyDescent="0.35"/>
    <row r="1704" customFormat="1" x14ac:dyDescent="0.35"/>
    <row r="1705" customFormat="1" x14ac:dyDescent="0.35"/>
    <row r="1706" customFormat="1" x14ac:dyDescent="0.35"/>
    <row r="1707" customFormat="1" x14ac:dyDescent="0.35"/>
    <row r="1708" customFormat="1" x14ac:dyDescent="0.35"/>
    <row r="1709" customFormat="1" x14ac:dyDescent="0.35"/>
    <row r="1710" customFormat="1" x14ac:dyDescent="0.35"/>
    <row r="1711" customFormat="1" x14ac:dyDescent="0.35"/>
    <row r="1712" customFormat="1" x14ac:dyDescent="0.35"/>
    <row r="1713" customFormat="1" x14ac:dyDescent="0.35"/>
    <row r="1714" customFormat="1" x14ac:dyDescent="0.35"/>
    <row r="1715" customFormat="1" x14ac:dyDescent="0.35"/>
    <row r="1716" customFormat="1" x14ac:dyDescent="0.35"/>
    <row r="1717" customFormat="1" x14ac:dyDescent="0.35"/>
    <row r="1718" customFormat="1" x14ac:dyDescent="0.35"/>
    <row r="1719" customFormat="1" x14ac:dyDescent="0.35"/>
    <row r="1720" customFormat="1" x14ac:dyDescent="0.35"/>
    <row r="1721" customFormat="1" x14ac:dyDescent="0.35"/>
    <row r="1722" customFormat="1" x14ac:dyDescent="0.35"/>
    <row r="1723" customFormat="1" x14ac:dyDescent="0.35"/>
    <row r="1724" customFormat="1" x14ac:dyDescent="0.35"/>
    <row r="1725" customFormat="1" x14ac:dyDescent="0.35"/>
    <row r="1726" customFormat="1" x14ac:dyDescent="0.35"/>
    <row r="1727" customFormat="1" x14ac:dyDescent="0.35"/>
    <row r="1728" customFormat="1" x14ac:dyDescent="0.35"/>
    <row r="1729" customFormat="1" x14ac:dyDescent="0.35"/>
    <row r="1730" customFormat="1" x14ac:dyDescent="0.35"/>
    <row r="1731" customFormat="1" x14ac:dyDescent="0.35"/>
    <row r="1732" customFormat="1" x14ac:dyDescent="0.35"/>
    <row r="1733" customFormat="1" x14ac:dyDescent="0.35"/>
    <row r="1734" customFormat="1" x14ac:dyDescent="0.35"/>
    <row r="1735" customFormat="1" x14ac:dyDescent="0.35"/>
    <row r="1736" customFormat="1" x14ac:dyDescent="0.35"/>
    <row r="1737" customFormat="1" x14ac:dyDescent="0.35"/>
    <row r="1738" customFormat="1" x14ac:dyDescent="0.35"/>
    <row r="1739" customFormat="1" x14ac:dyDescent="0.35"/>
    <row r="1740" customFormat="1" x14ac:dyDescent="0.35"/>
    <row r="1741" customFormat="1" x14ac:dyDescent="0.35"/>
    <row r="1742" customFormat="1" x14ac:dyDescent="0.35"/>
    <row r="1743" customFormat="1" x14ac:dyDescent="0.35"/>
    <row r="1744" customFormat="1" x14ac:dyDescent="0.35"/>
    <row r="1745" customFormat="1" x14ac:dyDescent="0.35"/>
    <row r="1746" customFormat="1" x14ac:dyDescent="0.35"/>
    <row r="1747" customFormat="1" x14ac:dyDescent="0.35"/>
    <row r="1748" customFormat="1" x14ac:dyDescent="0.35"/>
    <row r="1749" customFormat="1" x14ac:dyDescent="0.35"/>
    <row r="1750" customFormat="1" x14ac:dyDescent="0.35"/>
    <row r="1751" customFormat="1" x14ac:dyDescent="0.35"/>
    <row r="1752" customFormat="1" x14ac:dyDescent="0.35"/>
    <row r="1753" customFormat="1" x14ac:dyDescent="0.35"/>
    <row r="1754" customFormat="1" x14ac:dyDescent="0.35"/>
    <row r="1755" customFormat="1" x14ac:dyDescent="0.35"/>
    <row r="1756" customFormat="1" x14ac:dyDescent="0.35"/>
    <row r="1757" customFormat="1" x14ac:dyDescent="0.35"/>
    <row r="1758" customFormat="1" x14ac:dyDescent="0.35"/>
    <row r="1759" customFormat="1" x14ac:dyDescent="0.35"/>
    <row r="1760" customFormat="1" x14ac:dyDescent="0.35"/>
    <row r="1761" customFormat="1" x14ac:dyDescent="0.35"/>
    <row r="1762" customFormat="1" x14ac:dyDescent="0.35"/>
    <row r="1763" customFormat="1" x14ac:dyDescent="0.35"/>
    <row r="1764" customFormat="1" x14ac:dyDescent="0.35"/>
    <row r="1765" customFormat="1" x14ac:dyDescent="0.35"/>
    <row r="1766" customFormat="1" x14ac:dyDescent="0.35"/>
    <row r="1767" customFormat="1" x14ac:dyDescent="0.35"/>
    <row r="1768" customFormat="1" x14ac:dyDescent="0.35"/>
    <row r="1769" customFormat="1" x14ac:dyDescent="0.35"/>
    <row r="1770" customFormat="1" x14ac:dyDescent="0.35"/>
    <row r="1771" customFormat="1" x14ac:dyDescent="0.35"/>
    <row r="1772" customFormat="1" x14ac:dyDescent="0.35"/>
    <row r="1773" customFormat="1" x14ac:dyDescent="0.35"/>
    <row r="1774" customFormat="1" x14ac:dyDescent="0.35"/>
    <row r="1775" customFormat="1" x14ac:dyDescent="0.35"/>
    <row r="1776" customFormat="1" x14ac:dyDescent="0.35"/>
    <row r="1777" customFormat="1" x14ac:dyDescent="0.35"/>
    <row r="1778" customFormat="1" x14ac:dyDescent="0.35"/>
    <row r="1779" customFormat="1" x14ac:dyDescent="0.35"/>
    <row r="1780" customFormat="1" x14ac:dyDescent="0.35"/>
    <row r="1781" customFormat="1" x14ac:dyDescent="0.35"/>
    <row r="1782" customFormat="1" x14ac:dyDescent="0.35"/>
    <row r="1783" customFormat="1" x14ac:dyDescent="0.35"/>
    <row r="1784" customFormat="1" x14ac:dyDescent="0.35"/>
    <row r="1785" customFormat="1" x14ac:dyDescent="0.35"/>
    <row r="1786" customFormat="1" x14ac:dyDescent="0.35"/>
    <row r="1787" customFormat="1" x14ac:dyDescent="0.35"/>
    <row r="1788" customFormat="1" x14ac:dyDescent="0.35"/>
    <row r="1789" customFormat="1" x14ac:dyDescent="0.35"/>
    <row r="1790" customFormat="1" x14ac:dyDescent="0.35"/>
    <row r="1791" customFormat="1" x14ac:dyDescent="0.35"/>
    <row r="1792" customFormat="1" x14ac:dyDescent="0.35"/>
    <row r="1793" customFormat="1" x14ac:dyDescent="0.35"/>
    <row r="1794" customFormat="1" x14ac:dyDescent="0.35"/>
    <row r="1795" customFormat="1" x14ac:dyDescent="0.35"/>
    <row r="1796" customFormat="1" x14ac:dyDescent="0.35"/>
    <row r="1797" customFormat="1" x14ac:dyDescent="0.35"/>
    <row r="1798" customFormat="1" x14ac:dyDescent="0.35"/>
    <row r="1799" customFormat="1" x14ac:dyDescent="0.35"/>
    <row r="1800" customFormat="1" x14ac:dyDescent="0.35"/>
    <row r="1801" customFormat="1" x14ac:dyDescent="0.35"/>
    <row r="1802" customFormat="1" x14ac:dyDescent="0.35"/>
    <row r="1803" customFormat="1" x14ac:dyDescent="0.35"/>
    <row r="1804" customFormat="1" x14ac:dyDescent="0.35"/>
    <row r="1805" customFormat="1" x14ac:dyDescent="0.35"/>
    <row r="1806" customFormat="1" x14ac:dyDescent="0.35"/>
    <row r="1807" customFormat="1" x14ac:dyDescent="0.35"/>
    <row r="1808" customFormat="1" x14ac:dyDescent="0.35"/>
    <row r="1809" customFormat="1" x14ac:dyDescent="0.35"/>
    <row r="1810" customFormat="1" x14ac:dyDescent="0.35"/>
    <row r="1811" customFormat="1" x14ac:dyDescent="0.35"/>
    <row r="1812" customFormat="1" x14ac:dyDescent="0.35"/>
    <row r="1813" customFormat="1" x14ac:dyDescent="0.35"/>
    <row r="1814" customFormat="1" x14ac:dyDescent="0.35"/>
    <row r="1815" customFormat="1" x14ac:dyDescent="0.35"/>
    <row r="1816" customFormat="1" x14ac:dyDescent="0.35"/>
    <row r="1817" customFormat="1" x14ac:dyDescent="0.35"/>
    <row r="1818" customFormat="1" x14ac:dyDescent="0.35"/>
    <row r="1819" customFormat="1" x14ac:dyDescent="0.35"/>
    <row r="1820" customFormat="1" x14ac:dyDescent="0.35"/>
    <row r="1821" customFormat="1" x14ac:dyDescent="0.35"/>
    <row r="1822" customFormat="1" x14ac:dyDescent="0.35"/>
    <row r="1823" customFormat="1" x14ac:dyDescent="0.35"/>
    <row r="1824" customFormat="1" x14ac:dyDescent="0.35"/>
    <row r="1825" customFormat="1" x14ac:dyDescent="0.35"/>
    <row r="1826" customFormat="1" x14ac:dyDescent="0.35"/>
    <row r="1827" customFormat="1" x14ac:dyDescent="0.35"/>
    <row r="1828" customFormat="1" x14ac:dyDescent="0.35"/>
    <row r="1829" customFormat="1" x14ac:dyDescent="0.35"/>
    <row r="1830" customFormat="1" x14ac:dyDescent="0.35"/>
    <row r="1831" customFormat="1" x14ac:dyDescent="0.35"/>
    <row r="1832" customFormat="1" x14ac:dyDescent="0.35"/>
    <row r="1833" customFormat="1" x14ac:dyDescent="0.35"/>
    <row r="1834" customFormat="1" x14ac:dyDescent="0.35"/>
    <row r="1835" customFormat="1" x14ac:dyDescent="0.35"/>
    <row r="1836" customFormat="1" x14ac:dyDescent="0.35"/>
    <row r="1837" customFormat="1" x14ac:dyDescent="0.35"/>
    <row r="1838" customFormat="1" x14ac:dyDescent="0.35"/>
    <row r="1839" customFormat="1" x14ac:dyDescent="0.35"/>
    <row r="1840" customFormat="1" x14ac:dyDescent="0.35"/>
    <row r="1841" customFormat="1" x14ac:dyDescent="0.35"/>
    <row r="1842" customFormat="1" x14ac:dyDescent="0.35"/>
    <row r="1843" customFormat="1" x14ac:dyDescent="0.35"/>
    <row r="1844" customFormat="1" x14ac:dyDescent="0.35"/>
    <row r="1845" customFormat="1" x14ac:dyDescent="0.35"/>
    <row r="1846" customFormat="1" x14ac:dyDescent="0.35"/>
    <row r="1847" customFormat="1" x14ac:dyDescent="0.35"/>
    <row r="1848" customFormat="1" x14ac:dyDescent="0.35"/>
    <row r="1849" customFormat="1" x14ac:dyDescent="0.35"/>
    <row r="1850" customFormat="1" x14ac:dyDescent="0.35"/>
    <row r="1851" customFormat="1" x14ac:dyDescent="0.35"/>
    <row r="1852" customFormat="1" x14ac:dyDescent="0.35"/>
    <row r="1853" customFormat="1" x14ac:dyDescent="0.35"/>
    <row r="1854" customFormat="1" x14ac:dyDescent="0.35"/>
    <row r="1855" customFormat="1" x14ac:dyDescent="0.35"/>
    <row r="1856" customFormat="1" x14ac:dyDescent="0.35"/>
    <row r="1857" customFormat="1" x14ac:dyDescent="0.35"/>
    <row r="1858" customFormat="1" x14ac:dyDescent="0.35"/>
    <row r="1859" customFormat="1" x14ac:dyDescent="0.35"/>
    <row r="1860" customFormat="1" x14ac:dyDescent="0.35"/>
    <row r="1861" customFormat="1" x14ac:dyDescent="0.35"/>
    <row r="1862" customFormat="1" x14ac:dyDescent="0.35"/>
    <row r="1863" customFormat="1" x14ac:dyDescent="0.35"/>
    <row r="1864" customFormat="1" x14ac:dyDescent="0.35"/>
    <row r="1865" customFormat="1" x14ac:dyDescent="0.35"/>
    <row r="1866" customFormat="1" x14ac:dyDescent="0.35"/>
    <row r="1867" customFormat="1" x14ac:dyDescent="0.35"/>
    <row r="1868" customFormat="1" x14ac:dyDescent="0.35"/>
    <row r="1869" customFormat="1" x14ac:dyDescent="0.35"/>
    <row r="1870" customFormat="1" x14ac:dyDescent="0.35"/>
    <row r="1871" customFormat="1" x14ac:dyDescent="0.35"/>
    <row r="1872" customFormat="1" x14ac:dyDescent="0.35"/>
    <row r="1873" customFormat="1" x14ac:dyDescent="0.35"/>
    <row r="1874" customFormat="1" x14ac:dyDescent="0.35"/>
    <row r="1875" customFormat="1" x14ac:dyDescent="0.35"/>
    <row r="1876" customFormat="1" x14ac:dyDescent="0.35"/>
    <row r="1877" customFormat="1" x14ac:dyDescent="0.35"/>
    <row r="1878" customFormat="1" x14ac:dyDescent="0.35"/>
    <row r="1879" customFormat="1" x14ac:dyDescent="0.35"/>
    <row r="1880" customFormat="1" x14ac:dyDescent="0.35"/>
    <row r="1881" customFormat="1" x14ac:dyDescent="0.35"/>
    <row r="1882" customFormat="1" x14ac:dyDescent="0.35"/>
    <row r="1883" customFormat="1" x14ac:dyDescent="0.35"/>
    <row r="1884" customFormat="1" x14ac:dyDescent="0.35"/>
    <row r="1885" customFormat="1" x14ac:dyDescent="0.35"/>
    <row r="1886" customFormat="1" x14ac:dyDescent="0.35"/>
    <row r="1887" customFormat="1" x14ac:dyDescent="0.35"/>
    <row r="1888" customFormat="1" x14ac:dyDescent="0.35"/>
    <row r="1889" customFormat="1" x14ac:dyDescent="0.35"/>
    <row r="1890" customFormat="1" x14ac:dyDescent="0.35"/>
    <row r="1891" customFormat="1" x14ac:dyDescent="0.35"/>
    <row r="1892" customFormat="1" x14ac:dyDescent="0.35"/>
    <row r="1893" customFormat="1" x14ac:dyDescent="0.35"/>
    <row r="1894" customFormat="1" x14ac:dyDescent="0.35"/>
    <row r="1895" customFormat="1" x14ac:dyDescent="0.35"/>
    <row r="1896" customFormat="1" x14ac:dyDescent="0.35"/>
    <row r="1897" customFormat="1" x14ac:dyDescent="0.35"/>
    <row r="1898" customFormat="1" x14ac:dyDescent="0.35"/>
    <row r="1899" customFormat="1" x14ac:dyDescent="0.35"/>
    <row r="1900" customFormat="1" x14ac:dyDescent="0.35"/>
    <row r="1901" customFormat="1" x14ac:dyDescent="0.35"/>
    <row r="1902" customFormat="1" x14ac:dyDescent="0.35"/>
    <row r="1903" customFormat="1" x14ac:dyDescent="0.35"/>
    <row r="1904" customFormat="1" x14ac:dyDescent="0.35"/>
    <row r="1905" customFormat="1" x14ac:dyDescent="0.35"/>
    <row r="1906" customFormat="1" x14ac:dyDescent="0.35"/>
    <row r="1907" customFormat="1" x14ac:dyDescent="0.35"/>
    <row r="1908" customFormat="1" x14ac:dyDescent="0.35"/>
    <row r="1909" customFormat="1" x14ac:dyDescent="0.35"/>
    <row r="1910" customFormat="1" x14ac:dyDescent="0.35"/>
    <row r="1911" customFormat="1" x14ac:dyDescent="0.35"/>
    <row r="1912" customFormat="1" x14ac:dyDescent="0.35"/>
    <row r="1913" customFormat="1" x14ac:dyDescent="0.35"/>
    <row r="1914" customFormat="1" x14ac:dyDescent="0.35"/>
    <row r="1915" customFormat="1" x14ac:dyDescent="0.35"/>
    <row r="1916" customFormat="1" x14ac:dyDescent="0.35"/>
    <row r="1917" customFormat="1" x14ac:dyDescent="0.35"/>
    <row r="1918" customFormat="1" x14ac:dyDescent="0.35"/>
    <row r="1919" customFormat="1" x14ac:dyDescent="0.35"/>
    <row r="1920" customFormat="1" x14ac:dyDescent="0.35"/>
    <row r="1921" customFormat="1" x14ac:dyDescent="0.35"/>
    <row r="1922" customFormat="1" x14ac:dyDescent="0.35"/>
    <row r="1923" customFormat="1" x14ac:dyDescent="0.35"/>
    <row r="1924" customFormat="1" x14ac:dyDescent="0.35"/>
    <row r="1925" customFormat="1" x14ac:dyDescent="0.35"/>
    <row r="1926" customFormat="1" x14ac:dyDescent="0.35"/>
    <row r="1927" customFormat="1" x14ac:dyDescent="0.35"/>
    <row r="1928" customFormat="1" x14ac:dyDescent="0.35"/>
    <row r="1929" customFormat="1" x14ac:dyDescent="0.35"/>
    <row r="1930" customFormat="1" x14ac:dyDescent="0.35"/>
    <row r="1931" customFormat="1" x14ac:dyDescent="0.35"/>
    <row r="1932" customFormat="1" x14ac:dyDescent="0.35"/>
    <row r="1933" customFormat="1" x14ac:dyDescent="0.35"/>
    <row r="1934" customFormat="1" x14ac:dyDescent="0.35"/>
    <row r="1935" customFormat="1" x14ac:dyDescent="0.35"/>
    <row r="1936" customFormat="1" x14ac:dyDescent="0.35"/>
    <row r="1937" customFormat="1" x14ac:dyDescent="0.35"/>
    <row r="1938" customFormat="1" x14ac:dyDescent="0.35"/>
    <row r="1939" customFormat="1" x14ac:dyDescent="0.35"/>
    <row r="1940" customFormat="1" x14ac:dyDescent="0.35"/>
    <row r="1941" customFormat="1" x14ac:dyDescent="0.35"/>
    <row r="1942" customFormat="1" x14ac:dyDescent="0.35"/>
    <row r="1943" customFormat="1" x14ac:dyDescent="0.35"/>
    <row r="1944" customFormat="1" x14ac:dyDescent="0.35"/>
    <row r="1945" customFormat="1" x14ac:dyDescent="0.35"/>
    <row r="1946" customFormat="1" x14ac:dyDescent="0.35"/>
    <row r="1947" customFormat="1" x14ac:dyDescent="0.35"/>
    <row r="1948" customFormat="1" x14ac:dyDescent="0.35"/>
    <row r="1949" customFormat="1" x14ac:dyDescent="0.35"/>
    <row r="1950" customFormat="1" x14ac:dyDescent="0.35"/>
    <row r="1951" customFormat="1" x14ac:dyDescent="0.35"/>
    <row r="1952" customFormat="1" x14ac:dyDescent="0.35"/>
    <row r="1953" customFormat="1" x14ac:dyDescent="0.35"/>
    <row r="1954" customFormat="1" x14ac:dyDescent="0.35"/>
    <row r="1955" customFormat="1" x14ac:dyDescent="0.35"/>
    <row r="1956" customFormat="1" x14ac:dyDescent="0.35"/>
    <row r="1957" customFormat="1" x14ac:dyDescent="0.35"/>
    <row r="1958" customFormat="1" x14ac:dyDescent="0.35"/>
    <row r="1959" customFormat="1" x14ac:dyDescent="0.35"/>
    <row r="1960" customFormat="1" x14ac:dyDescent="0.35"/>
    <row r="1961" customFormat="1" x14ac:dyDescent="0.35"/>
    <row r="1962" customFormat="1" x14ac:dyDescent="0.35"/>
    <row r="1963" customFormat="1" x14ac:dyDescent="0.35"/>
    <row r="1964" customFormat="1" x14ac:dyDescent="0.35"/>
    <row r="1965" customFormat="1" x14ac:dyDescent="0.35"/>
    <row r="1966" customFormat="1" x14ac:dyDescent="0.35"/>
    <row r="1967" customFormat="1" x14ac:dyDescent="0.35"/>
    <row r="1968" customFormat="1" x14ac:dyDescent="0.35"/>
    <row r="1969" customFormat="1" x14ac:dyDescent="0.35"/>
    <row r="1970" customFormat="1" x14ac:dyDescent="0.35"/>
    <row r="1971" customFormat="1" x14ac:dyDescent="0.35"/>
    <row r="1972" customFormat="1" x14ac:dyDescent="0.35"/>
    <row r="1973" customFormat="1" x14ac:dyDescent="0.35"/>
    <row r="1974" customFormat="1" x14ac:dyDescent="0.35"/>
    <row r="1975" customFormat="1" x14ac:dyDescent="0.35"/>
    <row r="1976" customFormat="1" x14ac:dyDescent="0.35"/>
    <row r="1977" customFormat="1" x14ac:dyDescent="0.35"/>
    <row r="1978" customFormat="1" x14ac:dyDescent="0.35"/>
    <row r="1979" customFormat="1" x14ac:dyDescent="0.35"/>
    <row r="1980" customFormat="1" x14ac:dyDescent="0.35"/>
    <row r="1981" customFormat="1" x14ac:dyDescent="0.35"/>
    <row r="1982" customFormat="1" x14ac:dyDescent="0.35"/>
    <row r="1983" customFormat="1" x14ac:dyDescent="0.35"/>
    <row r="1984" customFormat="1" x14ac:dyDescent="0.35"/>
    <row r="1985" customFormat="1" x14ac:dyDescent="0.35"/>
    <row r="1986" customFormat="1" x14ac:dyDescent="0.35"/>
    <row r="1987" customFormat="1" x14ac:dyDescent="0.35"/>
    <row r="1988" customFormat="1" x14ac:dyDescent="0.35"/>
    <row r="1989" customFormat="1" x14ac:dyDescent="0.35"/>
    <row r="1990" customFormat="1" x14ac:dyDescent="0.35"/>
    <row r="1991" customFormat="1" x14ac:dyDescent="0.35"/>
    <row r="1992" customFormat="1" x14ac:dyDescent="0.35"/>
    <row r="1993" customFormat="1" x14ac:dyDescent="0.35"/>
    <row r="1994" customFormat="1" x14ac:dyDescent="0.35"/>
    <row r="1995" customFormat="1" x14ac:dyDescent="0.35"/>
    <row r="1996" customFormat="1" x14ac:dyDescent="0.35"/>
    <row r="1997" customFormat="1" x14ac:dyDescent="0.35"/>
    <row r="1998" customFormat="1" x14ac:dyDescent="0.35"/>
    <row r="1999" customFormat="1" x14ac:dyDescent="0.35"/>
    <row r="2000" customFormat="1" x14ac:dyDescent="0.35"/>
    <row r="2001" customFormat="1" x14ac:dyDescent="0.35"/>
    <row r="2002" customFormat="1" x14ac:dyDescent="0.35"/>
    <row r="2003" customFormat="1" x14ac:dyDescent="0.35"/>
    <row r="2004" customFormat="1" x14ac:dyDescent="0.35"/>
    <row r="2005" customFormat="1" x14ac:dyDescent="0.35"/>
    <row r="2006" customFormat="1" x14ac:dyDescent="0.35"/>
    <row r="2007" customFormat="1" x14ac:dyDescent="0.35"/>
    <row r="2008" customFormat="1" x14ac:dyDescent="0.35"/>
    <row r="2009" customFormat="1" x14ac:dyDescent="0.35"/>
    <row r="2010" customFormat="1" x14ac:dyDescent="0.35"/>
    <row r="2011" customFormat="1" x14ac:dyDescent="0.35"/>
    <row r="2012" customFormat="1" x14ac:dyDescent="0.35"/>
    <row r="2013" customFormat="1" x14ac:dyDescent="0.35"/>
    <row r="2014" customFormat="1" x14ac:dyDescent="0.35"/>
    <row r="2015" customFormat="1" x14ac:dyDescent="0.35"/>
    <row r="2016" customFormat="1" x14ac:dyDescent="0.35"/>
    <row r="2017" customFormat="1" x14ac:dyDescent="0.35"/>
    <row r="2018" customFormat="1" x14ac:dyDescent="0.35"/>
    <row r="2019" customFormat="1" x14ac:dyDescent="0.35"/>
    <row r="2020" customFormat="1" x14ac:dyDescent="0.35"/>
    <row r="2021" customFormat="1" x14ac:dyDescent="0.35"/>
    <row r="2022" customFormat="1" x14ac:dyDescent="0.35"/>
    <row r="2023" customFormat="1" x14ac:dyDescent="0.35"/>
    <row r="2024" customFormat="1" x14ac:dyDescent="0.35"/>
    <row r="2025" customFormat="1" x14ac:dyDescent="0.35"/>
    <row r="2026" customFormat="1" x14ac:dyDescent="0.35"/>
    <row r="2027" customFormat="1" x14ac:dyDescent="0.35"/>
    <row r="2028" customFormat="1" x14ac:dyDescent="0.35"/>
    <row r="2029" customFormat="1" x14ac:dyDescent="0.35"/>
    <row r="2030" customFormat="1" x14ac:dyDescent="0.35"/>
    <row r="2031" customFormat="1" x14ac:dyDescent="0.35"/>
    <row r="2032" customFormat="1" x14ac:dyDescent="0.35"/>
    <row r="2033" customFormat="1" x14ac:dyDescent="0.35"/>
    <row r="2034" customFormat="1" x14ac:dyDescent="0.35"/>
    <row r="2035" customFormat="1" x14ac:dyDescent="0.35"/>
    <row r="2036" customFormat="1" x14ac:dyDescent="0.35"/>
    <row r="2037" customFormat="1" x14ac:dyDescent="0.35"/>
    <row r="2038" customFormat="1" x14ac:dyDescent="0.35"/>
    <row r="2039" customFormat="1" x14ac:dyDescent="0.35"/>
    <row r="2040" customFormat="1" x14ac:dyDescent="0.35"/>
    <row r="2041" customFormat="1" x14ac:dyDescent="0.35"/>
    <row r="2042" customFormat="1" x14ac:dyDescent="0.35"/>
    <row r="2043" customFormat="1" x14ac:dyDescent="0.35"/>
    <row r="2044" customFormat="1" x14ac:dyDescent="0.35"/>
    <row r="2045" customFormat="1" x14ac:dyDescent="0.35"/>
    <row r="2046" customFormat="1" x14ac:dyDescent="0.35"/>
    <row r="2047" customFormat="1" x14ac:dyDescent="0.35"/>
    <row r="2048" customFormat="1" x14ac:dyDescent="0.35"/>
    <row r="2049" customFormat="1" x14ac:dyDescent="0.35"/>
    <row r="2050" customFormat="1" x14ac:dyDescent="0.35"/>
    <row r="2051" customFormat="1" x14ac:dyDescent="0.35"/>
    <row r="2052" customFormat="1" x14ac:dyDescent="0.35"/>
    <row r="2053" customFormat="1" x14ac:dyDescent="0.35"/>
    <row r="2054" customFormat="1" x14ac:dyDescent="0.35"/>
    <row r="2055" customFormat="1" x14ac:dyDescent="0.35"/>
    <row r="2056" customFormat="1" x14ac:dyDescent="0.35"/>
    <row r="2057" customFormat="1" x14ac:dyDescent="0.35"/>
    <row r="2058" customFormat="1" x14ac:dyDescent="0.35"/>
    <row r="2059" customFormat="1" x14ac:dyDescent="0.35"/>
    <row r="2060" customFormat="1" x14ac:dyDescent="0.35"/>
    <row r="2061" customFormat="1" x14ac:dyDescent="0.35"/>
    <row r="2062" customFormat="1" x14ac:dyDescent="0.35"/>
    <row r="2063" customFormat="1" x14ac:dyDescent="0.35"/>
    <row r="2064" customFormat="1" x14ac:dyDescent="0.35"/>
    <row r="2065" customFormat="1" x14ac:dyDescent="0.35"/>
    <row r="2066" customFormat="1" x14ac:dyDescent="0.35"/>
    <row r="2067" customFormat="1" x14ac:dyDescent="0.35"/>
    <row r="2068" customFormat="1" x14ac:dyDescent="0.35"/>
    <row r="2069" customFormat="1" x14ac:dyDescent="0.35"/>
    <row r="2070" customFormat="1" x14ac:dyDescent="0.35"/>
    <row r="2071" customFormat="1" x14ac:dyDescent="0.35"/>
    <row r="2072" customFormat="1" x14ac:dyDescent="0.35"/>
    <row r="2073" customFormat="1" x14ac:dyDescent="0.35"/>
    <row r="2074" customFormat="1" x14ac:dyDescent="0.35"/>
    <row r="2075" customFormat="1" x14ac:dyDescent="0.35"/>
    <row r="2076" customFormat="1" x14ac:dyDescent="0.35"/>
    <row r="2077" customFormat="1" x14ac:dyDescent="0.35"/>
    <row r="2078" customFormat="1" x14ac:dyDescent="0.35"/>
    <row r="2079" customFormat="1" x14ac:dyDescent="0.35"/>
    <row r="2080" customFormat="1" x14ac:dyDescent="0.35"/>
    <row r="2081" customFormat="1" x14ac:dyDescent="0.35"/>
    <row r="2082" customFormat="1" x14ac:dyDescent="0.35"/>
    <row r="2083" customFormat="1" x14ac:dyDescent="0.35"/>
    <row r="2084" customFormat="1" x14ac:dyDescent="0.35"/>
    <row r="2085" customFormat="1" x14ac:dyDescent="0.35"/>
    <row r="2086" customFormat="1" x14ac:dyDescent="0.35"/>
    <row r="2087" customFormat="1" x14ac:dyDescent="0.35"/>
    <row r="2088" customFormat="1" x14ac:dyDescent="0.35"/>
    <row r="2089" customFormat="1" x14ac:dyDescent="0.35"/>
    <row r="2090" customFormat="1" x14ac:dyDescent="0.35"/>
    <row r="2091" customFormat="1" x14ac:dyDescent="0.35"/>
    <row r="2092" customFormat="1" x14ac:dyDescent="0.35"/>
    <row r="2093" customFormat="1" x14ac:dyDescent="0.35"/>
    <row r="2094" customFormat="1" x14ac:dyDescent="0.35"/>
    <row r="2095" customFormat="1" x14ac:dyDescent="0.35"/>
    <row r="2096" customFormat="1" x14ac:dyDescent="0.35"/>
    <row r="2097" customFormat="1" x14ac:dyDescent="0.35"/>
    <row r="2098" customFormat="1" x14ac:dyDescent="0.35"/>
    <row r="2099" customFormat="1" x14ac:dyDescent="0.35"/>
    <row r="2100" customFormat="1" x14ac:dyDescent="0.35"/>
    <row r="2101" customFormat="1" x14ac:dyDescent="0.35"/>
    <row r="2102" customFormat="1" x14ac:dyDescent="0.35"/>
    <row r="2103" customFormat="1" x14ac:dyDescent="0.35"/>
    <row r="2104" customFormat="1" x14ac:dyDescent="0.35"/>
    <row r="2105" customFormat="1" x14ac:dyDescent="0.35"/>
    <row r="2106" customFormat="1" x14ac:dyDescent="0.35"/>
    <row r="2107" customFormat="1" x14ac:dyDescent="0.35"/>
    <row r="2108" customFormat="1" x14ac:dyDescent="0.35"/>
    <row r="2109" customFormat="1" x14ac:dyDescent="0.35"/>
    <row r="2110" customFormat="1" x14ac:dyDescent="0.35"/>
    <row r="2111" customFormat="1" x14ac:dyDescent="0.35"/>
    <row r="2112" customFormat="1" x14ac:dyDescent="0.35"/>
    <row r="2113" customFormat="1" x14ac:dyDescent="0.35"/>
    <row r="2114" customFormat="1" x14ac:dyDescent="0.35"/>
    <row r="2115" customFormat="1" x14ac:dyDescent="0.35"/>
    <row r="2116" customFormat="1" x14ac:dyDescent="0.35"/>
    <row r="2117" customFormat="1" x14ac:dyDescent="0.35"/>
    <row r="2118" customFormat="1" x14ac:dyDescent="0.35"/>
    <row r="2119" customFormat="1" x14ac:dyDescent="0.35"/>
    <row r="2120" customFormat="1" x14ac:dyDescent="0.35"/>
    <row r="2121" customFormat="1" x14ac:dyDescent="0.35"/>
    <row r="2122" customFormat="1" x14ac:dyDescent="0.35"/>
    <row r="2123" customFormat="1" x14ac:dyDescent="0.35"/>
    <row r="2124" customFormat="1" x14ac:dyDescent="0.35"/>
    <row r="2125" customFormat="1" x14ac:dyDescent="0.35"/>
    <row r="2126" customFormat="1" x14ac:dyDescent="0.35"/>
    <row r="2127" customFormat="1" x14ac:dyDescent="0.35"/>
    <row r="2128" customFormat="1" x14ac:dyDescent="0.35"/>
    <row r="2129" customFormat="1" x14ac:dyDescent="0.35"/>
    <row r="2130" customFormat="1" x14ac:dyDescent="0.35"/>
    <row r="2131" customFormat="1" x14ac:dyDescent="0.35"/>
    <row r="2132" customFormat="1" x14ac:dyDescent="0.35"/>
    <row r="2133" customFormat="1" x14ac:dyDescent="0.35"/>
    <row r="2134" customFormat="1" x14ac:dyDescent="0.35"/>
    <row r="2135" customFormat="1" x14ac:dyDescent="0.35"/>
    <row r="2136" customFormat="1" x14ac:dyDescent="0.35"/>
    <row r="2137" customFormat="1" x14ac:dyDescent="0.35"/>
    <row r="2138" customFormat="1" x14ac:dyDescent="0.35"/>
    <row r="2139" customFormat="1" x14ac:dyDescent="0.35"/>
    <row r="2140" customFormat="1" x14ac:dyDescent="0.35"/>
    <row r="2141" customFormat="1" x14ac:dyDescent="0.35"/>
    <row r="2142" customFormat="1" x14ac:dyDescent="0.35"/>
    <row r="2143" customFormat="1" x14ac:dyDescent="0.35"/>
    <row r="2144" customFormat="1" x14ac:dyDescent="0.35"/>
    <row r="2145" customFormat="1" x14ac:dyDescent="0.35"/>
    <row r="2146" customFormat="1" x14ac:dyDescent="0.35"/>
    <row r="2147" customFormat="1" x14ac:dyDescent="0.35"/>
    <row r="2148" customFormat="1" x14ac:dyDescent="0.35"/>
    <row r="2149" customFormat="1" x14ac:dyDescent="0.35"/>
    <row r="2150" customFormat="1" x14ac:dyDescent="0.35"/>
    <row r="2151" customFormat="1" x14ac:dyDescent="0.35"/>
    <row r="2152" customFormat="1" x14ac:dyDescent="0.35"/>
    <row r="2153" customFormat="1" x14ac:dyDescent="0.35"/>
    <row r="2154" customFormat="1" x14ac:dyDescent="0.35"/>
    <row r="2155" customFormat="1" x14ac:dyDescent="0.35"/>
    <row r="2156" customFormat="1" x14ac:dyDescent="0.35"/>
    <row r="2157" customFormat="1" x14ac:dyDescent="0.35"/>
    <row r="2158" customFormat="1" x14ac:dyDescent="0.35"/>
    <row r="2159" customFormat="1" x14ac:dyDescent="0.35"/>
    <row r="2160" customFormat="1" x14ac:dyDescent="0.35"/>
    <row r="2161" customFormat="1" x14ac:dyDescent="0.35"/>
    <row r="2162" customFormat="1" x14ac:dyDescent="0.35"/>
    <row r="2163" customFormat="1" x14ac:dyDescent="0.35"/>
    <row r="2164" customFormat="1" x14ac:dyDescent="0.35"/>
    <row r="2165" customFormat="1" x14ac:dyDescent="0.35"/>
    <row r="2166" customFormat="1" x14ac:dyDescent="0.35"/>
    <row r="2167" customFormat="1" x14ac:dyDescent="0.35"/>
    <row r="2168" customFormat="1" x14ac:dyDescent="0.35"/>
    <row r="2169" customFormat="1" x14ac:dyDescent="0.35"/>
    <row r="2170" customFormat="1" x14ac:dyDescent="0.35"/>
    <row r="2171" customFormat="1" x14ac:dyDescent="0.35"/>
    <row r="2172" customFormat="1" x14ac:dyDescent="0.35"/>
    <row r="2173" customFormat="1" x14ac:dyDescent="0.35"/>
    <row r="2174" customFormat="1" x14ac:dyDescent="0.35"/>
    <row r="2175" customFormat="1" x14ac:dyDescent="0.35"/>
    <row r="2176" customFormat="1" x14ac:dyDescent="0.35"/>
    <row r="2177" customFormat="1" x14ac:dyDescent="0.35"/>
    <row r="2178" customFormat="1" x14ac:dyDescent="0.35"/>
    <row r="2179" customFormat="1" x14ac:dyDescent="0.35"/>
    <row r="2180" customFormat="1" x14ac:dyDescent="0.35"/>
    <row r="2181" customFormat="1" x14ac:dyDescent="0.35"/>
    <row r="2182" customFormat="1" x14ac:dyDescent="0.35"/>
    <row r="2183" customFormat="1" x14ac:dyDescent="0.35"/>
    <row r="2184" customFormat="1" x14ac:dyDescent="0.35"/>
    <row r="2185" customFormat="1" x14ac:dyDescent="0.35"/>
    <row r="2186" customFormat="1" x14ac:dyDescent="0.35"/>
    <row r="2187" customFormat="1" x14ac:dyDescent="0.35"/>
    <row r="2188" customFormat="1" x14ac:dyDescent="0.35"/>
    <row r="2189" customFormat="1" x14ac:dyDescent="0.35"/>
    <row r="2190" customFormat="1" x14ac:dyDescent="0.35"/>
    <row r="2191" customFormat="1" x14ac:dyDescent="0.35"/>
    <row r="2192" customFormat="1" x14ac:dyDescent="0.35"/>
    <row r="2193" customFormat="1" x14ac:dyDescent="0.35"/>
    <row r="2194" customFormat="1" x14ac:dyDescent="0.35"/>
    <row r="2195" customFormat="1" x14ac:dyDescent="0.35"/>
    <row r="2196" customFormat="1" x14ac:dyDescent="0.35"/>
    <row r="2197" customFormat="1" x14ac:dyDescent="0.35"/>
    <row r="2198" customFormat="1" x14ac:dyDescent="0.35"/>
    <row r="2199" customFormat="1" x14ac:dyDescent="0.35"/>
    <row r="2200" customFormat="1" x14ac:dyDescent="0.35"/>
    <row r="2201" customFormat="1" x14ac:dyDescent="0.35"/>
    <row r="2202" customFormat="1" x14ac:dyDescent="0.35"/>
    <row r="2203" customFormat="1" x14ac:dyDescent="0.35"/>
    <row r="2204" customFormat="1" x14ac:dyDescent="0.35"/>
    <row r="2205" customFormat="1" x14ac:dyDescent="0.35"/>
    <row r="2206" customFormat="1" x14ac:dyDescent="0.35"/>
    <row r="2207" customFormat="1" x14ac:dyDescent="0.35"/>
    <row r="2208" customFormat="1" x14ac:dyDescent="0.35"/>
    <row r="2209" customFormat="1" x14ac:dyDescent="0.35"/>
    <row r="2210" customFormat="1" x14ac:dyDescent="0.35"/>
    <row r="2211" customFormat="1" x14ac:dyDescent="0.35"/>
    <row r="2212" customFormat="1" x14ac:dyDescent="0.35"/>
    <row r="2213" customFormat="1" x14ac:dyDescent="0.35"/>
    <row r="2214" customFormat="1" x14ac:dyDescent="0.35"/>
    <row r="2215" customFormat="1" x14ac:dyDescent="0.35"/>
    <row r="2216" customFormat="1" x14ac:dyDescent="0.35"/>
    <row r="2217" customFormat="1" x14ac:dyDescent="0.35"/>
    <row r="2218" customFormat="1" x14ac:dyDescent="0.35"/>
    <row r="2219" customFormat="1" x14ac:dyDescent="0.35"/>
    <row r="2220" customFormat="1" x14ac:dyDescent="0.35"/>
    <row r="2221" customFormat="1" x14ac:dyDescent="0.35"/>
    <row r="2222" customFormat="1" x14ac:dyDescent="0.35"/>
    <row r="2223" customFormat="1" x14ac:dyDescent="0.35"/>
    <row r="2224" customFormat="1" x14ac:dyDescent="0.35"/>
    <row r="2225" customFormat="1" x14ac:dyDescent="0.35"/>
    <row r="2226" customFormat="1" x14ac:dyDescent="0.35"/>
    <row r="2227" customFormat="1" x14ac:dyDescent="0.35"/>
    <row r="2228" customFormat="1" x14ac:dyDescent="0.35"/>
    <row r="2229" customFormat="1" x14ac:dyDescent="0.35"/>
    <row r="2230" customFormat="1" x14ac:dyDescent="0.35"/>
    <row r="2231" customFormat="1" x14ac:dyDescent="0.35"/>
    <row r="2232" customFormat="1" x14ac:dyDescent="0.35"/>
    <row r="2233" customFormat="1" x14ac:dyDescent="0.35"/>
    <row r="2234" customFormat="1" x14ac:dyDescent="0.35"/>
    <row r="2235" customFormat="1" x14ac:dyDescent="0.35"/>
    <row r="2236" customFormat="1" x14ac:dyDescent="0.35"/>
    <row r="2237" customFormat="1" x14ac:dyDescent="0.35"/>
    <row r="2238" customFormat="1" x14ac:dyDescent="0.35"/>
    <row r="2239" customFormat="1" x14ac:dyDescent="0.35"/>
    <row r="2240" customFormat="1" x14ac:dyDescent="0.35"/>
    <row r="2241" customFormat="1" x14ac:dyDescent="0.35"/>
    <row r="2242" customFormat="1" x14ac:dyDescent="0.35"/>
    <row r="2243" customFormat="1" x14ac:dyDescent="0.35"/>
    <row r="2244" customFormat="1" x14ac:dyDescent="0.35"/>
    <row r="2245" customFormat="1" x14ac:dyDescent="0.35"/>
    <row r="2246" customFormat="1" x14ac:dyDescent="0.35"/>
    <row r="2247" customFormat="1" x14ac:dyDescent="0.35"/>
    <row r="2248" customFormat="1" x14ac:dyDescent="0.35"/>
    <row r="2249" customFormat="1" x14ac:dyDescent="0.35"/>
    <row r="2250" customFormat="1" x14ac:dyDescent="0.35"/>
    <row r="2251" customFormat="1" x14ac:dyDescent="0.35"/>
    <row r="2252" customFormat="1" x14ac:dyDescent="0.35"/>
    <row r="2253" customFormat="1" x14ac:dyDescent="0.35"/>
    <row r="2254" customFormat="1" x14ac:dyDescent="0.35"/>
    <row r="2255" customFormat="1" x14ac:dyDescent="0.35"/>
    <row r="2256" customFormat="1" x14ac:dyDescent="0.35"/>
    <row r="2257" customFormat="1" x14ac:dyDescent="0.35"/>
    <row r="2258" customFormat="1" x14ac:dyDescent="0.35"/>
    <row r="2259" customFormat="1" x14ac:dyDescent="0.35"/>
    <row r="2260" customFormat="1" x14ac:dyDescent="0.35"/>
    <row r="2261" customFormat="1" x14ac:dyDescent="0.35"/>
    <row r="2262" customFormat="1" x14ac:dyDescent="0.35"/>
    <row r="2263" customFormat="1" x14ac:dyDescent="0.35"/>
    <row r="2264" customFormat="1" x14ac:dyDescent="0.35"/>
    <row r="2265" customFormat="1" x14ac:dyDescent="0.35"/>
    <row r="2266" customFormat="1" x14ac:dyDescent="0.35"/>
    <row r="2267" customFormat="1" x14ac:dyDescent="0.35"/>
    <row r="2268" customFormat="1" x14ac:dyDescent="0.35"/>
    <row r="2269" customFormat="1" x14ac:dyDescent="0.35"/>
    <row r="2270" customFormat="1" x14ac:dyDescent="0.35"/>
    <row r="2271" customFormat="1" x14ac:dyDescent="0.35"/>
    <row r="2272" customFormat="1" x14ac:dyDescent="0.35"/>
    <row r="2273" customFormat="1" x14ac:dyDescent="0.35"/>
    <row r="2274" customFormat="1" x14ac:dyDescent="0.35"/>
    <row r="2275" customFormat="1" x14ac:dyDescent="0.35"/>
    <row r="2276" customFormat="1" x14ac:dyDescent="0.35"/>
    <row r="2277" customFormat="1" x14ac:dyDescent="0.35"/>
    <row r="2278" customFormat="1" x14ac:dyDescent="0.35"/>
    <row r="2279" customFormat="1" x14ac:dyDescent="0.35"/>
    <row r="2280" customFormat="1" x14ac:dyDescent="0.35"/>
    <row r="2281" customFormat="1" x14ac:dyDescent="0.35"/>
    <row r="2282" customFormat="1" x14ac:dyDescent="0.35"/>
    <row r="2283" customFormat="1" x14ac:dyDescent="0.35"/>
    <row r="2284" customFormat="1" x14ac:dyDescent="0.35"/>
    <row r="2285" customFormat="1" x14ac:dyDescent="0.35"/>
    <row r="2286" customFormat="1" x14ac:dyDescent="0.35"/>
    <row r="2287" customFormat="1" x14ac:dyDescent="0.35"/>
    <row r="2288" customFormat="1" x14ac:dyDescent="0.35"/>
    <row r="2289" customFormat="1" x14ac:dyDescent="0.35"/>
    <row r="2290" customFormat="1" x14ac:dyDescent="0.35"/>
    <row r="2291" customFormat="1" x14ac:dyDescent="0.35"/>
    <row r="2292" customFormat="1" x14ac:dyDescent="0.35"/>
    <row r="2293" customFormat="1" x14ac:dyDescent="0.35"/>
    <row r="2294" customFormat="1" x14ac:dyDescent="0.35"/>
    <row r="2295" customFormat="1" x14ac:dyDescent="0.35"/>
    <row r="2296" customFormat="1" x14ac:dyDescent="0.35"/>
    <row r="2297" customFormat="1" x14ac:dyDescent="0.35"/>
    <row r="2298" customFormat="1" x14ac:dyDescent="0.35"/>
    <row r="2299" customFormat="1" x14ac:dyDescent="0.35"/>
    <row r="2300" customFormat="1" x14ac:dyDescent="0.35"/>
    <row r="2301" customFormat="1" x14ac:dyDescent="0.35"/>
    <row r="2302" customFormat="1" x14ac:dyDescent="0.35"/>
    <row r="2303" customFormat="1" x14ac:dyDescent="0.35"/>
    <row r="2304" customFormat="1" x14ac:dyDescent="0.35"/>
    <row r="2305" customFormat="1" x14ac:dyDescent="0.35"/>
    <row r="2306" customFormat="1" x14ac:dyDescent="0.35"/>
    <row r="2307" customFormat="1" x14ac:dyDescent="0.35"/>
    <row r="2308" customFormat="1" x14ac:dyDescent="0.35"/>
    <row r="2309" customFormat="1" x14ac:dyDescent="0.35"/>
    <row r="2310" customFormat="1" x14ac:dyDescent="0.35"/>
    <row r="2311" customFormat="1" x14ac:dyDescent="0.35"/>
    <row r="2312" customFormat="1" x14ac:dyDescent="0.35"/>
    <row r="2313" customFormat="1" x14ac:dyDescent="0.35"/>
    <row r="2314" customFormat="1" x14ac:dyDescent="0.35"/>
    <row r="2315" customFormat="1" x14ac:dyDescent="0.35"/>
    <row r="2316" customFormat="1" x14ac:dyDescent="0.35"/>
    <row r="2317" customFormat="1" x14ac:dyDescent="0.35"/>
    <row r="2318" customFormat="1" x14ac:dyDescent="0.35"/>
    <row r="2319" customFormat="1" x14ac:dyDescent="0.35"/>
    <row r="2320" customFormat="1" x14ac:dyDescent="0.35"/>
    <row r="2321" customFormat="1" x14ac:dyDescent="0.35"/>
    <row r="2322" customFormat="1" x14ac:dyDescent="0.35"/>
    <row r="2323" customFormat="1" x14ac:dyDescent="0.35"/>
    <row r="2324" customFormat="1" x14ac:dyDescent="0.35"/>
    <row r="2325" customFormat="1" x14ac:dyDescent="0.35"/>
    <row r="2326" customFormat="1" x14ac:dyDescent="0.35"/>
    <row r="2327" customFormat="1" x14ac:dyDescent="0.35"/>
    <row r="2328" customFormat="1" x14ac:dyDescent="0.35"/>
    <row r="2329" customFormat="1" x14ac:dyDescent="0.35"/>
    <row r="2330" customFormat="1" x14ac:dyDescent="0.35"/>
    <row r="2331" customFormat="1" x14ac:dyDescent="0.35"/>
    <row r="2332" customFormat="1" x14ac:dyDescent="0.35"/>
    <row r="2333" customFormat="1" x14ac:dyDescent="0.35"/>
    <row r="2334" customFormat="1" x14ac:dyDescent="0.35"/>
    <row r="2335" customFormat="1" x14ac:dyDescent="0.35"/>
    <row r="2336" customFormat="1" x14ac:dyDescent="0.35"/>
    <row r="2337" customFormat="1" x14ac:dyDescent="0.35"/>
    <row r="2338" customFormat="1" x14ac:dyDescent="0.35"/>
    <row r="2339" customFormat="1" x14ac:dyDescent="0.35"/>
    <row r="2340" customFormat="1" x14ac:dyDescent="0.35"/>
    <row r="2341" customFormat="1" x14ac:dyDescent="0.35"/>
    <row r="2342" customFormat="1" x14ac:dyDescent="0.35"/>
    <row r="2343" customFormat="1" x14ac:dyDescent="0.35"/>
    <row r="2344" customFormat="1" x14ac:dyDescent="0.35"/>
    <row r="2345" customFormat="1" x14ac:dyDescent="0.35"/>
    <row r="2346" customFormat="1" x14ac:dyDescent="0.35"/>
    <row r="2347" customFormat="1" x14ac:dyDescent="0.35"/>
    <row r="2348" customFormat="1" x14ac:dyDescent="0.35"/>
    <row r="2349" customFormat="1" x14ac:dyDescent="0.35"/>
    <row r="2350" customFormat="1" x14ac:dyDescent="0.35"/>
    <row r="2351" customFormat="1" x14ac:dyDescent="0.35"/>
    <row r="2352" customFormat="1" x14ac:dyDescent="0.35"/>
    <row r="2353" customFormat="1" x14ac:dyDescent="0.35"/>
    <row r="2354" customFormat="1" x14ac:dyDescent="0.35"/>
    <row r="2355" customFormat="1" x14ac:dyDescent="0.35"/>
    <row r="2356" customFormat="1" x14ac:dyDescent="0.35"/>
    <row r="2357" customFormat="1" x14ac:dyDescent="0.35"/>
    <row r="2358" customFormat="1" x14ac:dyDescent="0.35"/>
    <row r="2359" customFormat="1" x14ac:dyDescent="0.35"/>
    <row r="2360" customFormat="1" x14ac:dyDescent="0.35"/>
    <row r="2361" customFormat="1" x14ac:dyDescent="0.35"/>
    <row r="2362" customFormat="1" x14ac:dyDescent="0.35"/>
    <row r="2363" customFormat="1" x14ac:dyDescent="0.35"/>
    <row r="2364" customFormat="1" x14ac:dyDescent="0.35"/>
    <row r="2365" customFormat="1" x14ac:dyDescent="0.35"/>
    <row r="2366" customFormat="1" x14ac:dyDescent="0.35"/>
    <row r="2367" customFormat="1" x14ac:dyDescent="0.35"/>
    <row r="2368" customFormat="1" x14ac:dyDescent="0.35"/>
    <row r="2369" customFormat="1" x14ac:dyDescent="0.35"/>
    <row r="2370" customFormat="1" x14ac:dyDescent="0.35"/>
    <row r="2371" customFormat="1" x14ac:dyDescent="0.35"/>
    <row r="2372" customFormat="1" x14ac:dyDescent="0.35"/>
    <row r="2373" customFormat="1" x14ac:dyDescent="0.35"/>
    <row r="2374" customFormat="1" x14ac:dyDescent="0.35"/>
    <row r="2375" customFormat="1" x14ac:dyDescent="0.35"/>
    <row r="2376" customFormat="1" x14ac:dyDescent="0.35"/>
    <row r="2377" customFormat="1" x14ac:dyDescent="0.35"/>
    <row r="2378" customFormat="1" x14ac:dyDescent="0.35"/>
    <row r="2379" customFormat="1" x14ac:dyDescent="0.35"/>
    <row r="2380" customFormat="1" x14ac:dyDescent="0.35"/>
    <row r="2381" customFormat="1" x14ac:dyDescent="0.35"/>
    <row r="2382" customFormat="1" x14ac:dyDescent="0.35"/>
    <row r="2383" customFormat="1" x14ac:dyDescent="0.35"/>
    <row r="2384" customFormat="1" x14ac:dyDescent="0.35"/>
    <row r="2385" customFormat="1" x14ac:dyDescent="0.35"/>
    <row r="2386" customFormat="1" x14ac:dyDescent="0.35"/>
    <row r="2387" customFormat="1" x14ac:dyDescent="0.35"/>
    <row r="2388" customFormat="1" x14ac:dyDescent="0.35"/>
    <row r="2389" customFormat="1" x14ac:dyDescent="0.35"/>
    <row r="2390" customFormat="1" x14ac:dyDescent="0.35"/>
    <row r="2391" customFormat="1" x14ac:dyDescent="0.35"/>
    <row r="2392" customFormat="1" x14ac:dyDescent="0.35"/>
    <row r="2393" customFormat="1" x14ac:dyDescent="0.35"/>
    <row r="2394" customFormat="1" x14ac:dyDescent="0.35"/>
    <row r="2395" customFormat="1" x14ac:dyDescent="0.35"/>
    <row r="2396" customFormat="1" x14ac:dyDescent="0.35"/>
    <row r="2397" customFormat="1" x14ac:dyDescent="0.35"/>
    <row r="2398" customFormat="1" x14ac:dyDescent="0.35"/>
    <row r="2399" customFormat="1" x14ac:dyDescent="0.35"/>
    <row r="2400" customFormat="1" x14ac:dyDescent="0.35"/>
    <row r="2401" customFormat="1" x14ac:dyDescent="0.35"/>
    <row r="2402" customFormat="1" x14ac:dyDescent="0.35"/>
    <row r="2403" customFormat="1" x14ac:dyDescent="0.35"/>
    <row r="2404" customFormat="1" x14ac:dyDescent="0.35"/>
    <row r="2405" customFormat="1" x14ac:dyDescent="0.35"/>
    <row r="2406" customFormat="1" x14ac:dyDescent="0.35"/>
    <row r="2407" customFormat="1" x14ac:dyDescent="0.35"/>
    <row r="2408" customFormat="1" x14ac:dyDescent="0.35"/>
    <row r="2409" customFormat="1" x14ac:dyDescent="0.35"/>
    <row r="2410" customFormat="1" x14ac:dyDescent="0.35"/>
    <row r="2411" customFormat="1" x14ac:dyDescent="0.35"/>
    <row r="2412" customFormat="1" x14ac:dyDescent="0.35"/>
    <row r="2413" customFormat="1" x14ac:dyDescent="0.35"/>
    <row r="2414" customFormat="1" x14ac:dyDescent="0.35"/>
    <row r="2415" customFormat="1" x14ac:dyDescent="0.35"/>
    <row r="2416" customFormat="1" x14ac:dyDescent="0.35"/>
    <row r="2417" customFormat="1" x14ac:dyDescent="0.35"/>
    <row r="2418" customFormat="1" x14ac:dyDescent="0.35"/>
    <row r="2419" customFormat="1" x14ac:dyDescent="0.35"/>
    <row r="2420" customFormat="1" x14ac:dyDescent="0.35"/>
    <row r="2421" customFormat="1" x14ac:dyDescent="0.35"/>
    <row r="2422" customFormat="1" x14ac:dyDescent="0.35"/>
    <row r="2423" customFormat="1" x14ac:dyDescent="0.35"/>
    <row r="2424" customFormat="1" x14ac:dyDescent="0.35"/>
    <row r="2425" customFormat="1" x14ac:dyDescent="0.35"/>
    <row r="2426" customFormat="1" x14ac:dyDescent="0.35"/>
    <row r="2427" customFormat="1" x14ac:dyDescent="0.35"/>
    <row r="2428" customFormat="1" x14ac:dyDescent="0.35"/>
    <row r="2429" customFormat="1" x14ac:dyDescent="0.35"/>
    <row r="2430" customFormat="1" x14ac:dyDescent="0.35"/>
    <row r="2431" customFormat="1" x14ac:dyDescent="0.35"/>
    <row r="2432" customFormat="1" x14ac:dyDescent="0.35"/>
    <row r="2433" customFormat="1" x14ac:dyDescent="0.35"/>
    <row r="2434" customFormat="1" x14ac:dyDescent="0.35"/>
    <row r="2435" customFormat="1" x14ac:dyDescent="0.35"/>
    <row r="2436" customFormat="1" x14ac:dyDescent="0.35"/>
    <row r="2437" customFormat="1" x14ac:dyDescent="0.35"/>
    <row r="2438" customFormat="1" x14ac:dyDescent="0.35"/>
    <row r="2439" customFormat="1" x14ac:dyDescent="0.35"/>
    <row r="2440" customFormat="1" x14ac:dyDescent="0.35"/>
    <row r="2441" customFormat="1" x14ac:dyDescent="0.35"/>
    <row r="2442" customFormat="1" x14ac:dyDescent="0.35"/>
    <row r="2443" customFormat="1" x14ac:dyDescent="0.35"/>
    <row r="2444" customFormat="1" x14ac:dyDescent="0.35"/>
    <row r="2445" customFormat="1" x14ac:dyDescent="0.35"/>
    <row r="2446" customFormat="1" x14ac:dyDescent="0.35"/>
    <row r="2447" customFormat="1" x14ac:dyDescent="0.35"/>
    <row r="2448" customFormat="1" x14ac:dyDescent="0.35"/>
    <row r="2449" customFormat="1" x14ac:dyDescent="0.35"/>
    <row r="2450" customFormat="1" x14ac:dyDescent="0.35"/>
    <row r="2451" customFormat="1" x14ac:dyDescent="0.35"/>
    <row r="2452" customFormat="1" x14ac:dyDescent="0.35"/>
    <row r="2453" customFormat="1" x14ac:dyDescent="0.35"/>
    <row r="2454" customFormat="1" x14ac:dyDescent="0.35"/>
    <row r="2455" customFormat="1" x14ac:dyDescent="0.35"/>
    <row r="2456" customFormat="1" x14ac:dyDescent="0.35"/>
    <row r="2457" customFormat="1" x14ac:dyDescent="0.35"/>
    <row r="2458" customFormat="1" x14ac:dyDescent="0.35"/>
    <row r="2459" customFormat="1" x14ac:dyDescent="0.35"/>
    <row r="2460" customFormat="1" x14ac:dyDescent="0.35"/>
    <row r="2461" customFormat="1" x14ac:dyDescent="0.35"/>
    <row r="2462" customFormat="1" x14ac:dyDescent="0.35"/>
    <row r="2463" customFormat="1" x14ac:dyDescent="0.35"/>
    <row r="2464" customFormat="1" x14ac:dyDescent="0.35"/>
    <row r="2465" customFormat="1" x14ac:dyDescent="0.35"/>
    <row r="2466" customFormat="1" x14ac:dyDescent="0.35"/>
    <row r="2467" customFormat="1" x14ac:dyDescent="0.35"/>
    <row r="2468" customFormat="1" x14ac:dyDescent="0.35"/>
    <row r="2469" customFormat="1" x14ac:dyDescent="0.35"/>
    <row r="2470" customFormat="1" x14ac:dyDescent="0.35"/>
    <row r="2471" customFormat="1" x14ac:dyDescent="0.35"/>
    <row r="2472" customFormat="1" x14ac:dyDescent="0.35"/>
    <row r="2473" customFormat="1" x14ac:dyDescent="0.35"/>
    <row r="2474" customFormat="1" x14ac:dyDescent="0.35"/>
    <row r="2475" customFormat="1" x14ac:dyDescent="0.35"/>
    <row r="2476" customFormat="1" x14ac:dyDescent="0.35"/>
    <row r="2477" customFormat="1" x14ac:dyDescent="0.35"/>
    <row r="2478" customFormat="1" x14ac:dyDescent="0.35"/>
    <row r="2479" customFormat="1" x14ac:dyDescent="0.35"/>
    <row r="2480" customFormat="1" x14ac:dyDescent="0.35"/>
    <row r="2481" customFormat="1" x14ac:dyDescent="0.35"/>
    <row r="2482" customFormat="1" x14ac:dyDescent="0.35"/>
    <row r="2483" customFormat="1" x14ac:dyDescent="0.35"/>
    <row r="2484" customFormat="1" x14ac:dyDescent="0.35"/>
    <row r="2485" customFormat="1" x14ac:dyDescent="0.35"/>
    <row r="2486" customFormat="1" x14ac:dyDescent="0.35"/>
    <row r="2487" customFormat="1" x14ac:dyDescent="0.35"/>
    <row r="2488" customFormat="1" x14ac:dyDescent="0.35"/>
    <row r="2489" customFormat="1" x14ac:dyDescent="0.35"/>
    <row r="2490" customFormat="1" x14ac:dyDescent="0.35"/>
    <row r="2491" customFormat="1" x14ac:dyDescent="0.35"/>
    <row r="2492" customFormat="1" x14ac:dyDescent="0.35"/>
    <row r="2493" customFormat="1" x14ac:dyDescent="0.35"/>
    <row r="2494" customFormat="1" x14ac:dyDescent="0.35"/>
    <row r="2495" customFormat="1" x14ac:dyDescent="0.35"/>
    <row r="2496" customFormat="1" x14ac:dyDescent="0.35"/>
    <row r="2497" customFormat="1" x14ac:dyDescent="0.35"/>
    <row r="2498" customFormat="1" x14ac:dyDescent="0.35"/>
    <row r="2499" customFormat="1" x14ac:dyDescent="0.35"/>
    <row r="2500" customFormat="1" x14ac:dyDescent="0.35"/>
    <row r="2501" customFormat="1" x14ac:dyDescent="0.35"/>
    <row r="2502" customFormat="1" x14ac:dyDescent="0.35"/>
    <row r="2503" customFormat="1" x14ac:dyDescent="0.35"/>
    <row r="2504" customFormat="1" x14ac:dyDescent="0.35"/>
    <row r="2505" customFormat="1" x14ac:dyDescent="0.35"/>
    <row r="2506" customFormat="1" x14ac:dyDescent="0.35"/>
    <row r="2507" customFormat="1" x14ac:dyDescent="0.35"/>
    <row r="2508" customFormat="1" x14ac:dyDescent="0.35"/>
    <row r="2509" customFormat="1" x14ac:dyDescent="0.35"/>
    <row r="2510" customFormat="1" x14ac:dyDescent="0.35"/>
    <row r="2511" customFormat="1" x14ac:dyDescent="0.35"/>
    <row r="2512" customFormat="1" x14ac:dyDescent="0.35"/>
    <row r="2513" customFormat="1" x14ac:dyDescent="0.35"/>
    <row r="2514" customFormat="1" x14ac:dyDescent="0.35"/>
    <row r="2515" customFormat="1" x14ac:dyDescent="0.35"/>
    <row r="2516" customFormat="1" x14ac:dyDescent="0.35"/>
    <row r="2517" customFormat="1" x14ac:dyDescent="0.35"/>
    <row r="2518" customFormat="1" x14ac:dyDescent="0.35"/>
    <row r="2519" customFormat="1" x14ac:dyDescent="0.35"/>
    <row r="2520" customFormat="1" x14ac:dyDescent="0.35"/>
    <row r="2521" customFormat="1" x14ac:dyDescent="0.35"/>
    <row r="2522" customFormat="1" x14ac:dyDescent="0.35"/>
    <row r="2523" customFormat="1" x14ac:dyDescent="0.35"/>
    <row r="2524" customFormat="1" x14ac:dyDescent="0.35"/>
    <row r="2525" customFormat="1" x14ac:dyDescent="0.35"/>
    <row r="2526" customFormat="1" x14ac:dyDescent="0.35"/>
    <row r="2527" customFormat="1" x14ac:dyDescent="0.35"/>
    <row r="2528" customFormat="1" x14ac:dyDescent="0.35"/>
    <row r="2529" customFormat="1" x14ac:dyDescent="0.35"/>
    <row r="2530" customFormat="1" x14ac:dyDescent="0.35"/>
    <row r="2531" customFormat="1" x14ac:dyDescent="0.35"/>
    <row r="2532" customFormat="1" x14ac:dyDescent="0.35"/>
    <row r="2533" customFormat="1" x14ac:dyDescent="0.35"/>
    <row r="2534" customFormat="1" x14ac:dyDescent="0.35"/>
    <row r="2535" customFormat="1" x14ac:dyDescent="0.35"/>
    <row r="2536" customFormat="1" x14ac:dyDescent="0.35"/>
    <row r="2537" customFormat="1" x14ac:dyDescent="0.35"/>
    <row r="2538" customFormat="1" x14ac:dyDescent="0.35"/>
    <row r="2539" customFormat="1" x14ac:dyDescent="0.35"/>
    <row r="2540" customFormat="1" x14ac:dyDescent="0.35"/>
    <row r="2541" customFormat="1" x14ac:dyDescent="0.35"/>
    <row r="2542" customFormat="1" x14ac:dyDescent="0.35"/>
    <row r="2543" customFormat="1" x14ac:dyDescent="0.35"/>
    <row r="2544" customFormat="1" x14ac:dyDescent="0.35"/>
    <row r="2545" customFormat="1" x14ac:dyDescent="0.35"/>
    <row r="2546" customFormat="1" x14ac:dyDescent="0.35"/>
    <row r="2547" customFormat="1" x14ac:dyDescent="0.35"/>
    <row r="2548" customFormat="1" x14ac:dyDescent="0.35"/>
    <row r="2549" customFormat="1" x14ac:dyDescent="0.35"/>
    <row r="2550" customFormat="1" x14ac:dyDescent="0.35"/>
    <row r="2551" customFormat="1" x14ac:dyDescent="0.35"/>
    <row r="2552" customFormat="1" x14ac:dyDescent="0.35"/>
    <row r="2553" customFormat="1" x14ac:dyDescent="0.35"/>
    <row r="2554" customFormat="1" x14ac:dyDescent="0.35"/>
    <row r="2555" customFormat="1" x14ac:dyDescent="0.35"/>
    <row r="2556" customFormat="1" x14ac:dyDescent="0.35"/>
    <row r="2557" customFormat="1" x14ac:dyDescent="0.35"/>
    <row r="2558" customFormat="1" x14ac:dyDescent="0.35"/>
    <row r="2559" customFormat="1" x14ac:dyDescent="0.35"/>
    <row r="2560" customFormat="1" x14ac:dyDescent="0.35"/>
    <row r="2561" customFormat="1" x14ac:dyDescent="0.35"/>
    <row r="2562" customFormat="1" x14ac:dyDescent="0.35"/>
    <row r="2563" customFormat="1" x14ac:dyDescent="0.35"/>
    <row r="2564" customFormat="1" x14ac:dyDescent="0.35"/>
    <row r="2565" customFormat="1" x14ac:dyDescent="0.35"/>
    <row r="2566" customFormat="1" x14ac:dyDescent="0.35"/>
    <row r="2567" customFormat="1" x14ac:dyDescent="0.35"/>
    <row r="2568" customFormat="1" x14ac:dyDescent="0.35"/>
    <row r="2569" customFormat="1" x14ac:dyDescent="0.35"/>
    <row r="2570" customFormat="1" x14ac:dyDescent="0.35"/>
    <row r="2571" customFormat="1" x14ac:dyDescent="0.35"/>
    <row r="2572" customFormat="1" x14ac:dyDescent="0.35"/>
    <row r="2573" customFormat="1" x14ac:dyDescent="0.35"/>
    <row r="2574" customFormat="1" x14ac:dyDescent="0.35"/>
    <row r="2575" customFormat="1" x14ac:dyDescent="0.35"/>
    <row r="2576" customFormat="1" x14ac:dyDescent="0.35"/>
    <row r="2577" customFormat="1" x14ac:dyDescent="0.35"/>
    <row r="2578" customFormat="1" x14ac:dyDescent="0.35"/>
    <row r="2579" customFormat="1" x14ac:dyDescent="0.35"/>
    <row r="2580" customFormat="1" x14ac:dyDescent="0.35"/>
    <row r="2581" customFormat="1" x14ac:dyDescent="0.35"/>
    <row r="2582" customFormat="1" x14ac:dyDescent="0.35"/>
    <row r="2583" customFormat="1" x14ac:dyDescent="0.35"/>
    <row r="2584" customFormat="1" x14ac:dyDescent="0.35"/>
    <row r="2585" customFormat="1" x14ac:dyDescent="0.35"/>
    <row r="2586" customFormat="1" x14ac:dyDescent="0.35"/>
    <row r="2587" customFormat="1" x14ac:dyDescent="0.35"/>
    <row r="2588" customFormat="1" x14ac:dyDescent="0.35"/>
    <row r="2589" customFormat="1" x14ac:dyDescent="0.35"/>
    <row r="2590" customFormat="1" x14ac:dyDescent="0.35"/>
    <row r="2591" customFormat="1" x14ac:dyDescent="0.35"/>
    <row r="2592" customFormat="1" x14ac:dyDescent="0.35"/>
    <row r="2593" customFormat="1" x14ac:dyDescent="0.35"/>
    <row r="2594" customFormat="1" x14ac:dyDescent="0.35"/>
    <row r="2595" customFormat="1" x14ac:dyDescent="0.35"/>
    <row r="2596" customFormat="1" x14ac:dyDescent="0.35"/>
    <row r="2597" customFormat="1" x14ac:dyDescent="0.35"/>
    <row r="2598" customFormat="1" x14ac:dyDescent="0.35"/>
    <row r="2599" customFormat="1" x14ac:dyDescent="0.35"/>
    <row r="2600" customFormat="1" x14ac:dyDescent="0.35"/>
    <row r="2601" customFormat="1" x14ac:dyDescent="0.35"/>
    <row r="2602" customFormat="1" x14ac:dyDescent="0.35"/>
    <row r="2603" customFormat="1" x14ac:dyDescent="0.35"/>
    <row r="2604" customFormat="1" x14ac:dyDescent="0.35"/>
    <row r="2605" customFormat="1" x14ac:dyDescent="0.35"/>
    <row r="2606" customFormat="1" x14ac:dyDescent="0.35"/>
    <row r="2607" customFormat="1" x14ac:dyDescent="0.35"/>
    <row r="2608" customFormat="1" x14ac:dyDescent="0.35"/>
    <row r="2609" customFormat="1" x14ac:dyDescent="0.35"/>
    <row r="2610" customFormat="1" x14ac:dyDescent="0.35"/>
    <row r="2611" customFormat="1" x14ac:dyDescent="0.35"/>
    <row r="2612" customFormat="1" x14ac:dyDescent="0.35"/>
    <row r="2613" customFormat="1" x14ac:dyDescent="0.35"/>
    <row r="2614" customFormat="1" x14ac:dyDescent="0.35"/>
    <row r="2615" customFormat="1" x14ac:dyDescent="0.35"/>
    <row r="2616" customFormat="1" x14ac:dyDescent="0.35"/>
    <row r="2617" customFormat="1" x14ac:dyDescent="0.35"/>
    <row r="2618" customFormat="1" x14ac:dyDescent="0.35"/>
    <row r="2619" customFormat="1" x14ac:dyDescent="0.35"/>
    <row r="2620" customFormat="1" x14ac:dyDescent="0.35"/>
    <row r="2621" customFormat="1" x14ac:dyDescent="0.35"/>
    <row r="2622" customFormat="1" x14ac:dyDescent="0.35"/>
    <row r="2623" customFormat="1" x14ac:dyDescent="0.35"/>
    <row r="2624" customFormat="1" x14ac:dyDescent="0.35"/>
    <row r="2625" customFormat="1" x14ac:dyDescent="0.35"/>
    <row r="2626" customFormat="1" x14ac:dyDescent="0.35"/>
    <row r="2627" customFormat="1" x14ac:dyDescent="0.35"/>
    <row r="2628" customFormat="1" x14ac:dyDescent="0.35"/>
    <row r="2629" customFormat="1" x14ac:dyDescent="0.35"/>
    <row r="2630" customFormat="1" x14ac:dyDescent="0.35"/>
    <row r="2631" customFormat="1" x14ac:dyDescent="0.35"/>
    <row r="2632" customFormat="1" x14ac:dyDescent="0.35"/>
    <row r="2633" customFormat="1" x14ac:dyDescent="0.35"/>
    <row r="2634" customFormat="1" x14ac:dyDescent="0.35"/>
    <row r="2635" customFormat="1" x14ac:dyDescent="0.35"/>
    <row r="2636" customFormat="1" x14ac:dyDescent="0.35"/>
    <row r="2637" customFormat="1" x14ac:dyDescent="0.35"/>
    <row r="2638" customFormat="1" x14ac:dyDescent="0.35"/>
    <row r="2639" customFormat="1" x14ac:dyDescent="0.35"/>
    <row r="2640" customFormat="1" x14ac:dyDescent="0.35"/>
    <row r="2641" customFormat="1" x14ac:dyDescent="0.35"/>
    <row r="2642" customFormat="1" x14ac:dyDescent="0.35"/>
    <row r="2643" customFormat="1" x14ac:dyDescent="0.35"/>
    <row r="2644" customFormat="1" x14ac:dyDescent="0.35"/>
    <row r="2645" customFormat="1" x14ac:dyDescent="0.35"/>
    <row r="2646" customFormat="1" x14ac:dyDescent="0.35"/>
    <row r="2647" customFormat="1" x14ac:dyDescent="0.35"/>
    <row r="2648" customFormat="1" x14ac:dyDescent="0.35"/>
    <row r="2649" customFormat="1" x14ac:dyDescent="0.35"/>
    <row r="2650" customFormat="1" x14ac:dyDescent="0.35"/>
    <row r="2651" customFormat="1" x14ac:dyDescent="0.35"/>
    <row r="2652" customFormat="1" x14ac:dyDescent="0.35"/>
    <row r="2653" customFormat="1" x14ac:dyDescent="0.35"/>
    <row r="2654" customFormat="1" x14ac:dyDescent="0.35"/>
    <row r="2655" customFormat="1" x14ac:dyDescent="0.35"/>
    <row r="2656" customFormat="1" x14ac:dyDescent="0.35"/>
    <row r="2657" customFormat="1" x14ac:dyDescent="0.35"/>
    <row r="2658" customFormat="1" x14ac:dyDescent="0.35"/>
    <row r="2659" customFormat="1" x14ac:dyDescent="0.35"/>
    <row r="2660" customFormat="1" x14ac:dyDescent="0.35"/>
    <row r="2661" customFormat="1" x14ac:dyDescent="0.35"/>
    <row r="2662" customFormat="1" x14ac:dyDescent="0.35"/>
    <row r="2663" customFormat="1" x14ac:dyDescent="0.35"/>
    <row r="2664" customFormat="1" x14ac:dyDescent="0.35"/>
    <row r="2665" customFormat="1" x14ac:dyDescent="0.35"/>
    <row r="2666" customFormat="1" x14ac:dyDescent="0.35"/>
    <row r="2667" customFormat="1" x14ac:dyDescent="0.35"/>
    <row r="2668" customFormat="1" x14ac:dyDescent="0.35"/>
    <row r="2669" customFormat="1" x14ac:dyDescent="0.35"/>
    <row r="2670" customFormat="1" x14ac:dyDescent="0.35"/>
    <row r="2671" customFormat="1" x14ac:dyDescent="0.35"/>
    <row r="2672" customFormat="1" x14ac:dyDescent="0.35"/>
    <row r="2673" customFormat="1" x14ac:dyDescent="0.35"/>
    <row r="2674" customFormat="1" x14ac:dyDescent="0.35"/>
    <row r="2675" customFormat="1" x14ac:dyDescent="0.35"/>
    <row r="2676" customFormat="1" x14ac:dyDescent="0.35"/>
    <row r="2677" customFormat="1" x14ac:dyDescent="0.35"/>
    <row r="2678" customFormat="1" x14ac:dyDescent="0.35"/>
    <row r="2679" customFormat="1" x14ac:dyDescent="0.35"/>
    <row r="2680" customFormat="1" x14ac:dyDescent="0.35"/>
    <row r="2681" customFormat="1" x14ac:dyDescent="0.35"/>
    <row r="2682" customFormat="1" x14ac:dyDescent="0.35"/>
    <row r="2683" customFormat="1" x14ac:dyDescent="0.35"/>
    <row r="2684" customFormat="1" x14ac:dyDescent="0.35"/>
    <row r="2685" customFormat="1" x14ac:dyDescent="0.35"/>
    <row r="2686" customFormat="1" x14ac:dyDescent="0.35"/>
    <row r="2687" customFormat="1" x14ac:dyDescent="0.35"/>
    <row r="2688" customFormat="1" x14ac:dyDescent="0.35"/>
    <row r="2689" customFormat="1" x14ac:dyDescent="0.35"/>
    <row r="2690" customFormat="1" x14ac:dyDescent="0.35"/>
    <row r="2691" customFormat="1" x14ac:dyDescent="0.35"/>
    <row r="2692" customFormat="1" x14ac:dyDescent="0.35"/>
    <row r="2693" customFormat="1" x14ac:dyDescent="0.35"/>
    <row r="2694" customFormat="1" x14ac:dyDescent="0.35"/>
    <row r="2695" customFormat="1" x14ac:dyDescent="0.35"/>
    <row r="2696" customFormat="1" x14ac:dyDescent="0.35"/>
    <row r="2697" customFormat="1" x14ac:dyDescent="0.35"/>
    <row r="2698" customFormat="1" x14ac:dyDescent="0.35"/>
    <row r="2699" customFormat="1" x14ac:dyDescent="0.35"/>
    <row r="2700" customFormat="1" x14ac:dyDescent="0.35"/>
    <row r="2701" customFormat="1" x14ac:dyDescent="0.35"/>
    <row r="2702" customFormat="1" x14ac:dyDescent="0.35"/>
    <row r="2703" customFormat="1" x14ac:dyDescent="0.35"/>
    <row r="2704" customFormat="1" x14ac:dyDescent="0.35"/>
    <row r="2705" customFormat="1" x14ac:dyDescent="0.35"/>
    <row r="2706" customFormat="1" x14ac:dyDescent="0.35"/>
    <row r="2707" customFormat="1" x14ac:dyDescent="0.35"/>
    <row r="2708" customFormat="1" x14ac:dyDescent="0.35"/>
    <row r="2709" customFormat="1" x14ac:dyDescent="0.35"/>
    <row r="2710" customFormat="1" x14ac:dyDescent="0.35"/>
    <row r="2711" customFormat="1" x14ac:dyDescent="0.35"/>
    <row r="2712" customFormat="1" x14ac:dyDescent="0.35"/>
    <row r="2713" customFormat="1" x14ac:dyDescent="0.35"/>
    <row r="2714" customFormat="1" x14ac:dyDescent="0.35"/>
    <row r="2715" customFormat="1" x14ac:dyDescent="0.35"/>
    <row r="2716" customFormat="1" x14ac:dyDescent="0.35"/>
    <row r="2717" customFormat="1" x14ac:dyDescent="0.35"/>
    <row r="2718" customFormat="1" x14ac:dyDescent="0.35"/>
    <row r="2719" customFormat="1" x14ac:dyDescent="0.35"/>
    <row r="2720" customFormat="1" x14ac:dyDescent="0.35"/>
    <row r="2721" customFormat="1" x14ac:dyDescent="0.35"/>
    <row r="2722" customFormat="1" x14ac:dyDescent="0.35"/>
    <row r="2723" customFormat="1" x14ac:dyDescent="0.35"/>
    <row r="2724" customFormat="1" x14ac:dyDescent="0.35"/>
    <row r="2725" customFormat="1" x14ac:dyDescent="0.35"/>
    <row r="2726" customFormat="1" x14ac:dyDescent="0.35"/>
    <row r="2727" customFormat="1" x14ac:dyDescent="0.35"/>
    <row r="2728" customFormat="1" x14ac:dyDescent="0.35"/>
    <row r="2729" customFormat="1" x14ac:dyDescent="0.35"/>
    <row r="2730" customFormat="1" x14ac:dyDescent="0.35"/>
    <row r="2731" customFormat="1" x14ac:dyDescent="0.35"/>
    <row r="2732" customFormat="1" x14ac:dyDescent="0.35"/>
    <row r="2733" customFormat="1" x14ac:dyDescent="0.35"/>
    <row r="2734" customFormat="1" x14ac:dyDescent="0.35"/>
    <row r="2735" customFormat="1" x14ac:dyDescent="0.35"/>
    <row r="2736" customFormat="1" x14ac:dyDescent="0.35"/>
    <row r="2737" customFormat="1" x14ac:dyDescent="0.35"/>
    <row r="2738" customFormat="1" x14ac:dyDescent="0.35"/>
    <row r="2739" customFormat="1" x14ac:dyDescent="0.35"/>
    <row r="2740" customFormat="1" x14ac:dyDescent="0.35"/>
    <row r="2741" customFormat="1" x14ac:dyDescent="0.35"/>
    <row r="2742" customFormat="1" x14ac:dyDescent="0.35"/>
    <row r="2743" customFormat="1" x14ac:dyDescent="0.35"/>
    <row r="2744" customFormat="1" x14ac:dyDescent="0.35"/>
    <row r="2745" customFormat="1" x14ac:dyDescent="0.35"/>
    <row r="2746" customFormat="1" x14ac:dyDescent="0.35"/>
    <row r="2747" customFormat="1" x14ac:dyDescent="0.35"/>
    <row r="2748" customFormat="1" x14ac:dyDescent="0.35"/>
    <row r="2749" customFormat="1" x14ac:dyDescent="0.35"/>
    <row r="2750" customFormat="1" x14ac:dyDescent="0.35"/>
    <row r="2751" customFormat="1" x14ac:dyDescent="0.35"/>
    <row r="2752" customFormat="1" x14ac:dyDescent="0.35"/>
    <row r="2753" customFormat="1" x14ac:dyDescent="0.35"/>
    <row r="2754" customFormat="1" x14ac:dyDescent="0.35"/>
    <row r="2755" customFormat="1" x14ac:dyDescent="0.35"/>
    <row r="2756" customFormat="1" x14ac:dyDescent="0.35"/>
    <row r="2757" customFormat="1" x14ac:dyDescent="0.35"/>
    <row r="2758" customFormat="1" x14ac:dyDescent="0.35"/>
    <row r="2759" customFormat="1" x14ac:dyDescent="0.35"/>
    <row r="2760" customFormat="1" x14ac:dyDescent="0.35"/>
    <row r="2761" customFormat="1" x14ac:dyDescent="0.35"/>
    <row r="2762" customFormat="1" x14ac:dyDescent="0.35"/>
    <row r="2763" customFormat="1" x14ac:dyDescent="0.35"/>
    <row r="2764" customFormat="1" x14ac:dyDescent="0.35"/>
    <row r="2765" customFormat="1" x14ac:dyDescent="0.35"/>
    <row r="2766" customFormat="1" x14ac:dyDescent="0.35"/>
    <row r="2767" customFormat="1" x14ac:dyDescent="0.35"/>
    <row r="2768" customFormat="1" x14ac:dyDescent="0.35"/>
    <row r="2769" customFormat="1" x14ac:dyDescent="0.35"/>
    <row r="2770" customFormat="1" x14ac:dyDescent="0.35"/>
    <row r="2771" customFormat="1" x14ac:dyDescent="0.35"/>
    <row r="2772" customFormat="1" x14ac:dyDescent="0.35"/>
    <row r="2773" customFormat="1" x14ac:dyDescent="0.35"/>
    <row r="2774" customFormat="1" x14ac:dyDescent="0.35"/>
    <row r="2775" customFormat="1" x14ac:dyDescent="0.35"/>
    <row r="2776" customFormat="1" x14ac:dyDescent="0.35"/>
    <row r="2777" customFormat="1" x14ac:dyDescent="0.35"/>
    <row r="2778" customFormat="1" x14ac:dyDescent="0.35"/>
    <row r="2779" customFormat="1" x14ac:dyDescent="0.35"/>
    <row r="2780" customFormat="1" x14ac:dyDescent="0.35"/>
    <row r="2781" customFormat="1" x14ac:dyDescent="0.35"/>
    <row r="2782" customFormat="1" x14ac:dyDescent="0.35"/>
    <row r="2783" customFormat="1" x14ac:dyDescent="0.35"/>
    <row r="2784" customFormat="1" x14ac:dyDescent="0.35"/>
    <row r="2785" customFormat="1" x14ac:dyDescent="0.35"/>
    <row r="2786" customFormat="1" x14ac:dyDescent="0.35"/>
    <row r="2787" customFormat="1" x14ac:dyDescent="0.35"/>
    <row r="2788" customFormat="1" x14ac:dyDescent="0.35"/>
    <row r="2789" customFormat="1" x14ac:dyDescent="0.35"/>
    <row r="2790" customFormat="1" x14ac:dyDescent="0.35"/>
    <row r="2791" customFormat="1" x14ac:dyDescent="0.35"/>
    <row r="2792" customFormat="1" x14ac:dyDescent="0.35"/>
    <row r="2793" customFormat="1" x14ac:dyDescent="0.35"/>
    <row r="2794" customFormat="1" x14ac:dyDescent="0.35"/>
    <row r="2795" customFormat="1" x14ac:dyDescent="0.35"/>
    <row r="2796" customFormat="1" x14ac:dyDescent="0.35"/>
    <row r="2797" customFormat="1" x14ac:dyDescent="0.35"/>
    <row r="2798" customFormat="1" x14ac:dyDescent="0.35"/>
    <row r="2799" customFormat="1" x14ac:dyDescent="0.35"/>
    <row r="2800" customFormat="1" x14ac:dyDescent="0.35"/>
    <row r="2801" customFormat="1" x14ac:dyDescent="0.35"/>
    <row r="2802" customFormat="1" x14ac:dyDescent="0.35"/>
    <row r="2803" customFormat="1" x14ac:dyDescent="0.35"/>
    <row r="2804" customFormat="1" x14ac:dyDescent="0.35"/>
    <row r="2805" customFormat="1" x14ac:dyDescent="0.35"/>
    <row r="2806" customFormat="1" x14ac:dyDescent="0.35"/>
    <row r="2807" customFormat="1" x14ac:dyDescent="0.35"/>
    <row r="2808" customFormat="1" x14ac:dyDescent="0.35"/>
    <row r="2809" customFormat="1" x14ac:dyDescent="0.35"/>
    <row r="2810" customFormat="1" x14ac:dyDescent="0.35"/>
    <row r="2811" customFormat="1" x14ac:dyDescent="0.35"/>
    <row r="2812" customFormat="1" x14ac:dyDescent="0.35"/>
    <row r="2813" customFormat="1" x14ac:dyDescent="0.35"/>
    <row r="2814" customFormat="1" x14ac:dyDescent="0.35"/>
    <row r="2815" customFormat="1" x14ac:dyDescent="0.35"/>
    <row r="2816" customFormat="1" x14ac:dyDescent="0.35"/>
    <row r="2817" customFormat="1" x14ac:dyDescent="0.35"/>
    <row r="2818" customFormat="1" x14ac:dyDescent="0.35"/>
    <row r="2819" customFormat="1" x14ac:dyDescent="0.35"/>
    <row r="2820" customFormat="1" x14ac:dyDescent="0.35"/>
    <row r="2821" customFormat="1" x14ac:dyDescent="0.35"/>
    <row r="2822" customFormat="1" x14ac:dyDescent="0.35"/>
    <row r="2823" customFormat="1" x14ac:dyDescent="0.35"/>
    <row r="2824" customFormat="1" x14ac:dyDescent="0.35"/>
    <row r="2825" customFormat="1" x14ac:dyDescent="0.35"/>
    <row r="2826" customFormat="1" x14ac:dyDescent="0.35"/>
    <row r="2827" customFormat="1" x14ac:dyDescent="0.35"/>
    <row r="2828" customFormat="1" x14ac:dyDescent="0.35"/>
    <row r="2829" customFormat="1" x14ac:dyDescent="0.35"/>
    <row r="2830" customFormat="1" x14ac:dyDescent="0.35"/>
    <row r="2831" customFormat="1" x14ac:dyDescent="0.35"/>
    <row r="2832" customFormat="1" x14ac:dyDescent="0.35"/>
    <row r="2833" customFormat="1" x14ac:dyDescent="0.35"/>
    <row r="2834" customFormat="1" x14ac:dyDescent="0.35"/>
    <row r="2835" customFormat="1" x14ac:dyDescent="0.35"/>
    <row r="2836" customFormat="1" x14ac:dyDescent="0.35"/>
    <row r="2837" customFormat="1" x14ac:dyDescent="0.35"/>
    <row r="2838" customFormat="1" x14ac:dyDescent="0.35"/>
    <row r="2839" customFormat="1" x14ac:dyDescent="0.35"/>
    <row r="2840" customFormat="1" x14ac:dyDescent="0.35"/>
    <row r="2841" customFormat="1" x14ac:dyDescent="0.35"/>
    <row r="2842" customFormat="1" x14ac:dyDescent="0.35"/>
    <row r="2843" customFormat="1" x14ac:dyDescent="0.35"/>
    <row r="2844" customFormat="1" x14ac:dyDescent="0.35"/>
    <row r="2845" customFormat="1" x14ac:dyDescent="0.35"/>
    <row r="2846" customFormat="1" x14ac:dyDescent="0.35"/>
    <row r="2847" customFormat="1" x14ac:dyDescent="0.35"/>
    <row r="2848" customFormat="1" x14ac:dyDescent="0.35"/>
    <row r="2849" customFormat="1" x14ac:dyDescent="0.35"/>
    <row r="2850" customFormat="1" x14ac:dyDescent="0.35"/>
    <row r="2851" customFormat="1" x14ac:dyDescent="0.35"/>
    <row r="2852" customFormat="1" x14ac:dyDescent="0.35"/>
    <row r="2853" customFormat="1" x14ac:dyDescent="0.35"/>
    <row r="2854" customFormat="1" x14ac:dyDescent="0.35"/>
    <row r="2855" customFormat="1" x14ac:dyDescent="0.35"/>
    <row r="2856" customFormat="1" x14ac:dyDescent="0.35"/>
    <row r="2857" customFormat="1" x14ac:dyDescent="0.35"/>
    <row r="2858" customFormat="1" x14ac:dyDescent="0.35"/>
    <row r="2859" customFormat="1" x14ac:dyDescent="0.35"/>
    <row r="2860" customFormat="1" x14ac:dyDescent="0.35"/>
    <row r="2861" customFormat="1" x14ac:dyDescent="0.35"/>
    <row r="2862" customFormat="1" x14ac:dyDescent="0.35"/>
    <row r="2863" customFormat="1" x14ac:dyDescent="0.35"/>
    <row r="2864" customFormat="1" x14ac:dyDescent="0.35"/>
    <row r="2865" customFormat="1" x14ac:dyDescent="0.35"/>
    <row r="2866" customFormat="1" x14ac:dyDescent="0.35"/>
    <row r="2867" customFormat="1" x14ac:dyDescent="0.35"/>
    <row r="2868" customFormat="1" x14ac:dyDescent="0.35"/>
    <row r="2869" customFormat="1" x14ac:dyDescent="0.35"/>
    <row r="2870" customFormat="1" x14ac:dyDescent="0.35"/>
    <row r="2871" customFormat="1" x14ac:dyDescent="0.35"/>
    <row r="2872" customFormat="1" x14ac:dyDescent="0.35"/>
    <row r="2873" customFormat="1" x14ac:dyDescent="0.35"/>
    <row r="2874" customFormat="1" x14ac:dyDescent="0.35"/>
    <row r="2875" customFormat="1" x14ac:dyDescent="0.35"/>
    <row r="2876" customFormat="1" x14ac:dyDescent="0.35"/>
    <row r="2877" customFormat="1" x14ac:dyDescent="0.35"/>
    <row r="2878" customFormat="1" x14ac:dyDescent="0.35"/>
    <row r="2879" customFormat="1" x14ac:dyDescent="0.35"/>
    <row r="2880" customFormat="1" x14ac:dyDescent="0.35"/>
    <row r="2881" customFormat="1" x14ac:dyDescent="0.35"/>
    <row r="2882" customFormat="1" x14ac:dyDescent="0.35"/>
    <row r="2883" customFormat="1" x14ac:dyDescent="0.35"/>
    <row r="2884" customFormat="1" x14ac:dyDescent="0.35"/>
    <row r="2885" customFormat="1" x14ac:dyDescent="0.35"/>
    <row r="2886" customFormat="1" x14ac:dyDescent="0.35"/>
    <row r="2887" customFormat="1" x14ac:dyDescent="0.35"/>
    <row r="2888" customFormat="1" x14ac:dyDescent="0.35"/>
    <row r="2889" customFormat="1" x14ac:dyDescent="0.35"/>
    <row r="2890" customFormat="1" x14ac:dyDescent="0.35"/>
    <row r="2891" customFormat="1" x14ac:dyDescent="0.35"/>
    <row r="2892" customFormat="1" x14ac:dyDescent="0.35"/>
    <row r="2893" customFormat="1" x14ac:dyDescent="0.35"/>
    <row r="2894" customFormat="1" x14ac:dyDescent="0.35"/>
    <row r="2895" customFormat="1" x14ac:dyDescent="0.35"/>
    <row r="2896" customFormat="1" x14ac:dyDescent="0.35"/>
    <row r="2897" customFormat="1" x14ac:dyDescent="0.35"/>
    <row r="2898" customFormat="1" x14ac:dyDescent="0.35"/>
    <row r="2899" customFormat="1" x14ac:dyDescent="0.35"/>
    <row r="2900" customFormat="1" x14ac:dyDescent="0.35"/>
    <row r="2901" customFormat="1" x14ac:dyDescent="0.35"/>
    <row r="2902" customFormat="1" x14ac:dyDescent="0.35"/>
    <row r="2903" customFormat="1" x14ac:dyDescent="0.35"/>
    <row r="2904" customFormat="1" x14ac:dyDescent="0.35"/>
    <row r="2905" customFormat="1" x14ac:dyDescent="0.35"/>
    <row r="2906" customFormat="1" x14ac:dyDescent="0.35"/>
    <row r="2907" customFormat="1" x14ac:dyDescent="0.35"/>
    <row r="2908" customFormat="1" x14ac:dyDescent="0.35"/>
    <row r="2909" customFormat="1" x14ac:dyDescent="0.35"/>
    <row r="2910" customFormat="1" x14ac:dyDescent="0.35"/>
    <row r="2911" customFormat="1" x14ac:dyDescent="0.35"/>
    <row r="2912" customFormat="1" x14ac:dyDescent="0.35"/>
    <row r="2913" customFormat="1" x14ac:dyDescent="0.35"/>
    <row r="2914" customFormat="1" x14ac:dyDescent="0.35"/>
    <row r="2915" customFormat="1" x14ac:dyDescent="0.35"/>
    <row r="2916" customFormat="1" x14ac:dyDescent="0.35"/>
    <row r="2917" customFormat="1" x14ac:dyDescent="0.35"/>
    <row r="2918" customFormat="1" x14ac:dyDescent="0.35"/>
    <row r="2919" customFormat="1" x14ac:dyDescent="0.35"/>
    <row r="2920" customFormat="1" x14ac:dyDescent="0.35"/>
    <row r="2921" customFormat="1" x14ac:dyDescent="0.35"/>
    <row r="2922" customFormat="1" x14ac:dyDescent="0.35"/>
    <row r="2923" customFormat="1" x14ac:dyDescent="0.35"/>
    <row r="2924" customFormat="1" x14ac:dyDescent="0.35"/>
    <row r="2925" customFormat="1" x14ac:dyDescent="0.35"/>
    <row r="2926" customFormat="1" x14ac:dyDescent="0.35"/>
    <row r="2927" customFormat="1" x14ac:dyDescent="0.35"/>
    <row r="2928" customFormat="1" x14ac:dyDescent="0.35"/>
    <row r="2929" customFormat="1" x14ac:dyDescent="0.35"/>
    <row r="2930" customFormat="1" x14ac:dyDescent="0.35"/>
    <row r="2931" customFormat="1" x14ac:dyDescent="0.35"/>
    <row r="2932" customFormat="1" x14ac:dyDescent="0.35"/>
    <row r="2933" customFormat="1" x14ac:dyDescent="0.35"/>
    <row r="2934" customFormat="1" x14ac:dyDescent="0.35"/>
    <row r="2935" customFormat="1" x14ac:dyDescent="0.35"/>
    <row r="2936" customFormat="1" x14ac:dyDescent="0.35"/>
    <row r="2937" customFormat="1" x14ac:dyDescent="0.35"/>
    <row r="2938" customFormat="1" x14ac:dyDescent="0.35"/>
    <row r="2939" customFormat="1" x14ac:dyDescent="0.35"/>
    <row r="2940" customFormat="1" x14ac:dyDescent="0.35"/>
    <row r="2941" customFormat="1" x14ac:dyDescent="0.35"/>
    <row r="2942" customFormat="1" x14ac:dyDescent="0.35"/>
    <row r="2943" customFormat="1" x14ac:dyDescent="0.35"/>
    <row r="2944" customFormat="1" x14ac:dyDescent="0.35"/>
    <row r="2945" customFormat="1" x14ac:dyDescent="0.35"/>
    <row r="2946" customFormat="1" x14ac:dyDescent="0.35"/>
    <row r="2947" customFormat="1" x14ac:dyDescent="0.35"/>
    <row r="2948" customFormat="1" x14ac:dyDescent="0.35"/>
    <row r="2949" customFormat="1" x14ac:dyDescent="0.35"/>
    <row r="2950" customFormat="1" x14ac:dyDescent="0.35"/>
    <row r="2951" customFormat="1" x14ac:dyDescent="0.35"/>
    <row r="2952" customFormat="1" x14ac:dyDescent="0.35"/>
    <row r="2953" customFormat="1" x14ac:dyDescent="0.35"/>
    <row r="2954" customFormat="1" x14ac:dyDescent="0.35"/>
    <row r="2955" customFormat="1" x14ac:dyDescent="0.35"/>
    <row r="2956" customFormat="1" x14ac:dyDescent="0.35"/>
    <row r="2957" customFormat="1" x14ac:dyDescent="0.35"/>
    <row r="2958" customFormat="1" x14ac:dyDescent="0.35"/>
    <row r="2959" customFormat="1" x14ac:dyDescent="0.35"/>
    <row r="2960" customFormat="1" x14ac:dyDescent="0.35"/>
    <row r="2961" customFormat="1" x14ac:dyDescent="0.35"/>
    <row r="2962" customFormat="1" x14ac:dyDescent="0.35"/>
    <row r="2963" customFormat="1" x14ac:dyDescent="0.35"/>
    <row r="2964" customFormat="1" x14ac:dyDescent="0.35"/>
    <row r="2965" customFormat="1" x14ac:dyDescent="0.35"/>
    <row r="2966" customFormat="1" x14ac:dyDescent="0.35"/>
    <row r="2967" customFormat="1" x14ac:dyDescent="0.35"/>
    <row r="2968" customFormat="1" x14ac:dyDescent="0.35"/>
    <row r="2969" customFormat="1" x14ac:dyDescent="0.35"/>
    <row r="2970" customFormat="1" x14ac:dyDescent="0.35"/>
    <row r="2971" customFormat="1" x14ac:dyDescent="0.35"/>
    <row r="2972" customFormat="1" x14ac:dyDescent="0.35"/>
    <row r="2973" customFormat="1" x14ac:dyDescent="0.35"/>
    <row r="2974" customFormat="1" x14ac:dyDescent="0.35"/>
    <row r="2975" customFormat="1" x14ac:dyDescent="0.35"/>
    <row r="2976" customFormat="1" x14ac:dyDescent="0.35"/>
    <row r="2977" customFormat="1" x14ac:dyDescent="0.35"/>
    <row r="2978" customFormat="1" x14ac:dyDescent="0.35"/>
    <row r="2979" customFormat="1" x14ac:dyDescent="0.35"/>
    <row r="2980" customFormat="1" x14ac:dyDescent="0.35"/>
    <row r="2981" customFormat="1" x14ac:dyDescent="0.35"/>
    <row r="2982" customFormat="1" x14ac:dyDescent="0.35"/>
    <row r="2983" customFormat="1" x14ac:dyDescent="0.35"/>
    <row r="2984" customFormat="1" x14ac:dyDescent="0.35"/>
    <row r="2985" customFormat="1" x14ac:dyDescent="0.35"/>
    <row r="2986" customFormat="1" x14ac:dyDescent="0.35"/>
    <row r="2987" customFormat="1" x14ac:dyDescent="0.35"/>
    <row r="2988" customFormat="1" x14ac:dyDescent="0.35"/>
    <row r="2989" customFormat="1" x14ac:dyDescent="0.35"/>
    <row r="2990" customFormat="1" x14ac:dyDescent="0.35"/>
    <row r="2991" customFormat="1" x14ac:dyDescent="0.35"/>
    <row r="2992" customFormat="1" x14ac:dyDescent="0.35"/>
    <row r="2993" customFormat="1" x14ac:dyDescent="0.35"/>
    <row r="2994" customFormat="1" x14ac:dyDescent="0.35"/>
    <row r="2995" customFormat="1" x14ac:dyDescent="0.35"/>
    <row r="2996" customFormat="1" x14ac:dyDescent="0.35"/>
    <row r="2997" customFormat="1" x14ac:dyDescent="0.35"/>
    <row r="2998" customFormat="1" x14ac:dyDescent="0.35"/>
    <row r="2999" customFormat="1" x14ac:dyDescent="0.35"/>
    <row r="3000" customFormat="1" x14ac:dyDescent="0.35"/>
    <row r="3001" customFormat="1" x14ac:dyDescent="0.35"/>
    <row r="3002" customFormat="1" x14ac:dyDescent="0.35"/>
    <row r="3003" customFormat="1" x14ac:dyDescent="0.35"/>
    <row r="3004" customFormat="1" x14ac:dyDescent="0.35"/>
    <row r="3005" customFormat="1" x14ac:dyDescent="0.35"/>
    <row r="3006" customFormat="1" x14ac:dyDescent="0.35"/>
    <row r="3007" customFormat="1" x14ac:dyDescent="0.35"/>
    <row r="3008" customFormat="1" x14ac:dyDescent="0.35"/>
    <row r="3009" customFormat="1" x14ac:dyDescent="0.35"/>
    <row r="3010" customFormat="1" x14ac:dyDescent="0.35"/>
    <row r="3011" customFormat="1" x14ac:dyDescent="0.35"/>
    <row r="3012" customFormat="1" x14ac:dyDescent="0.35"/>
    <row r="3013" customFormat="1" x14ac:dyDescent="0.35"/>
    <row r="3014" customFormat="1" x14ac:dyDescent="0.35"/>
    <row r="3015" customFormat="1" x14ac:dyDescent="0.35"/>
    <row r="3016" customFormat="1" x14ac:dyDescent="0.35"/>
    <row r="3017" customFormat="1" x14ac:dyDescent="0.35"/>
    <row r="3018" customFormat="1" x14ac:dyDescent="0.35"/>
    <row r="3019" customFormat="1" x14ac:dyDescent="0.35"/>
    <row r="3020" customFormat="1" x14ac:dyDescent="0.35"/>
    <row r="3021" customFormat="1" x14ac:dyDescent="0.35"/>
    <row r="3022" customFormat="1" x14ac:dyDescent="0.35"/>
    <row r="3023" customFormat="1" x14ac:dyDescent="0.35"/>
    <row r="3024" customFormat="1" x14ac:dyDescent="0.35"/>
    <row r="3025" customFormat="1" x14ac:dyDescent="0.35"/>
    <row r="3026" customFormat="1" x14ac:dyDescent="0.35"/>
    <row r="3027" customFormat="1" x14ac:dyDescent="0.35"/>
    <row r="3028" customFormat="1" x14ac:dyDescent="0.35"/>
    <row r="3029" customFormat="1" x14ac:dyDescent="0.35"/>
    <row r="3030" customFormat="1" x14ac:dyDescent="0.35"/>
    <row r="3031" customFormat="1" x14ac:dyDescent="0.35"/>
    <row r="3032" customFormat="1" x14ac:dyDescent="0.35"/>
    <row r="3033" customFormat="1" x14ac:dyDescent="0.35"/>
    <row r="3034" customFormat="1" x14ac:dyDescent="0.35"/>
    <row r="3035" customFormat="1" x14ac:dyDescent="0.35"/>
    <row r="3036" customFormat="1" x14ac:dyDescent="0.35"/>
    <row r="3037" customFormat="1" x14ac:dyDescent="0.35"/>
    <row r="3038" customFormat="1" x14ac:dyDescent="0.35"/>
    <row r="3039" customFormat="1" x14ac:dyDescent="0.35"/>
    <row r="3040" customFormat="1" x14ac:dyDescent="0.35"/>
    <row r="3041" customFormat="1" x14ac:dyDescent="0.35"/>
    <row r="3042" customFormat="1" x14ac:dyDescent="0.35"/>
    <row r="3043" customFormat="1" x14ac:dyDescent="0.35"/>
    <row r="3044" customFormat="1" x14ac:dyDescent="0.35"/>
    <row r="3045" customFormat="1" x14ac:dyDescent="0.35"/>
    <row r="3046" customFormat="1" x14ac:dyDescent="0.35"/>
    <row r="3047" customFormat="1" x14ac:dyDescent="0.35"/>
    <row r="3048" customFormat="1" x14ac:dyDescent="0.35"/>
    <row r="3049" customFormat="1" x14ac:dyDescent="0.35"/>
    <row r="3050" customFormat="1" x14ac:dyDescent="0.35"/>
    <row r="3051" customFormat="1" x14ac:dyDescent="0.35"/>
    <row r="3052" customFormat="1" x14ac:dyDescent="0.35"/>
    <row r="3053" customFormat="1" x14ac:dyDescent="0.35"/>
    <row r="3054" customFormat="1" x14ac:dyDescent="0.35"/>
    <row r="3055" customFormat="1" x14ac:dyDescent="0.35"/>
    <row r="3056" customFormat="1" x14ac:dyDescent="0.35"/>
    <row r="3057" customFormat="1" x14ac:dyDescent="0.35"/>
    <row r="3058" customFormat="1" x14ac:dyDescent="0.35"/>
    <row r="3059" customFormat="1" x14ac:dyDescent="0.35"/>
    <row r="3060" customFormat="1" x14ac:dyDescent="0.35"/>
    <row r="3061" customFormat="1" x14ac:dyDescent="0.35"/>
    <row r="3062" customFormat="1" x14ac:dyDescent="0.35"/>
    <row r="3063" customFormat="1" x14ac:dyDescent="0.35"/>
    <row r="3064" customFormat="1" x14ac:dyDescent="0.35"/>
    <row r="3065" customFormat="1" x14ac:dyDescent="0.35"/>
    <row r="3066" customFormat="1" x14ac:dyDescent="0.35"/>
    <row r="3067" customFormat="1" x14ac:dyDescent="0.35"/>
    <row r="3068" customFormat="1" x14ac:dyDescent="0.35"/>
    <row r="3069" customFormat="1" x14ac:dyDescent="0.35"/>
    <row r="3070" customFormat="1" x14ac:dyDescent="0.35"/>
    <row r="3071" customFormat="1" x14ac:dyDescent="0.35"/>
    <row r="3072" customFormat="1" x14ac:dyDescent="0.35"/>
    <row r="3073" customFormat="1" x14ac:dyDescent="0.35"/>
    <row r="3074" customFormat="1" x14ac:dyDescent="0.35"/>
    <row r="3075" customFormat="1" x14ac:dyDescent="0.35"/>
    <row r="3076" customFormat="1" x14ac:dyDescent="0.35"/>
    <row r="3077" customFormat="1" x14ac:dyDescent="0.35"/>
    <row r="3078" customFormat="1" x14ac:dyDescent="0.35"/>
    <row r="3079" customFormat="1" x14ac:dyDescent="0.35"/>
    <row r="3080" customFormat="1" x14ac:dyDescent="0.35"/>
    <row r="3081" customFormat="1" x14ac:dyDescent="0.35"/>
    <row r="3082" customFormat="1" x14ac:dyDescent="0.35"/>
    <row r="3083" customFormat="1" x14ac:dyDescent="0.35"/>
    <row r="3084" customFormat="1" x14ac:dyDescent="0.35"/>
    <row r="3085" customFormat="1" x14ac:dyDescent="0.35"/>
    <row r="3086" customFormat="1" x14ac:dyDescent="0.35"/>
    <row r="3087" customFormat="1" x14ac:dyDescent="0.35"/>
    <row r="3088" customFormat="1" x14ac:dyDescent="0.35"/>
    <row r="3089" customFormat="1" x14ac:dyDescent="0.35"/>
    <row r="3090" customFormat="1" x14ac:dyDescent="0.35"/>
    <row r="3091" customFormat="1" x14ac:dyDescent="0.35"/>
    <row r="3092" customFormat="1" x14ac:dyDescent="0.35"/>
    <row r="3093" customFormat="1" x14ac:dyDescent="0.35"/>
    <row r="3094" customFormat="1" x14ac:dyDescent="0.35"/>
    <row r="3095" customFormat="1" x14ac:dyDescent="0.35"/>
    <row r="3096" customFormat="1" x14ac:dyDescent="0.35"/>
    <row r="3097" customFormat="1" x14ac:dyDescent="0.35"/>
    <row r="3098" customFormat="1" x14ac:dyDescent="0.35"/>
    <row r="3099" customFormat="1" x14ac:dyDescent="0.35"/>
    <row r="3100" customFormat="1" x14ac:dyDescent="0.35"/>
    <row r="3101" customFormat="1" x14ac:dyDescent="0.35"/>
    <row r="3102" customFormat="1" x14ac:dyDescent="0.35"/>
    <row r="3103" customFormat="1" x14ac:dyDescent="0.35"/>
    <row r="3104" customFormat="1" x14ac:dyDescent="0.35"/>
    <row r="3105" customFormat="1" x14ac:dyDescent="0.35"/>
    <row r="3106" customFormat="1" x14ac:dyDescent="0.35"/>
    <row r="3107" customFormat="1" x14ac:dyDescent="0.35"/>
    <row r="3108" customFormat="1" x14ac:dyDescent="0.35"/>
    <row r="3109" customFormat="1" x14ac:dyDescent="0.35"/>
    <row r="3110" customFormat="1" x14ac:dyDescent="0.35"/>
    <row r="3111" customFormat="1" x14ac:dyDescent="0.35"/>
    <row r="3112" customFormat="1" x14ac:dyDescent="0.35"/>
    <row r="3113" customFormat="1" x14ac:dyDescent="0.35"/>
    <row r="3114" customFormat="1" x14ac:dyDescent="0.35"/>
    <row r="3115" customFormat="1" x14ac:dyDescent="0.35"/>
    <row r="3116" customFormat="1" x14ac:dyDescent="0.35"/>
    <row r="3117" customFormat="1" x14ac:dyDescent="0.35"/>
    <row r="3118" customFormat="1" x14ac:dyDescent="0.35"/>
    <row r="3119" customFormat="1" x14ac:dyDescent="0.35"/>
    <row r="3120" customFormat="1" x14ac:dyDescent="0.35"/>
    <row r="3121" customFormat="1" x14ac:dyDescent="0.35"/>
    <row r="3122" customFormat="1" x14ac:dyDescent="0.35"/>
    <row r="3123" customFormat="1" x14ac:dyDescent="0.35"/>
    <row r="3124" customFormat="1" x14ac:dyDescent="0.35"/>
    <row r="3125" customFormat="1" x14ac:dyDescent="0.35"/>
    <row r="3126" customFormat="1" x14ac:dyDescent="0.35"/>
    <row r="3127" customFormat="1" x14ac:dyDescent="0.35"/>
    <row r="3128" customFormat="1" x14ac:dyDescent="0.35"/>
    <row r="3129" customFormat="1" x14ac:dyDescent="0.35"/>
    <row r="3130" customFormat="1" x14ac:dyDescent="0.35"/>
    <row r="3131" customFormat="1" x14ac:dyDescent="0.35"/>
    <row r="3132" customFormat="1" x14ac:dyDescent="0.35"/>
    <row r="3133" customFormat="1" x14ac:dyDescent="0.35"/>
    <row r="3134" customFormat="1" x14ac:dyDescent="0.35"/>
    <row r="3135" customFormat="1" x14ac:dyDescent="0.35"/>
    <row r="3136" customFormat="1" x14ac:dyDescent="0.35"/>
    <row r="3137" customFormat="1" x14ac:dyDescent="0.35"/>
    <row r="3138" customFormat="1" x14ac:dyDescent="0.35"/>
    <row r="3139" customFormat="1" x14ac:dyDescent="0.35"/>
    <row r="3140" customFormat="1" x14ac:dyDescent="0.35"/>
    <row r="3141" customFormat="1" x14ac:dyDescent="0.35"/>
    <row r="3142" customFormat="1" x14ac:dyDescent="0.35"/>
    <row r="3143" customFormat="1" x14ac:dyDescent="0.35"/>
    <row r="3144" customFormat="1" x14ac:dyDescent="0.35"/>
    <row r="3145" customFormat="1" x14ac:dyDescent="0.35"/>
    <row r="3146" customFormat="1" x14ac:dyDescent="0.35"/>
    <row r="3147" customFormat="1" x14ac:dyDescent="0.35"/>
    <row r="3148" customFormat="1" x14ac:dyDescent="0.35"/>
    <row r="3149" customFormat="1" x14ac:dyDescent="0.35"/>
    <row r="3150" customFormat="1" x14ac:dyDescent="0.35"/>
    <row r="3151" customFormat="1" x14ac:dyDescent="0.35"/>
    <row r="3152" customFormat="1" x14ac:dyDescent="0.35"/>
    <row r="3153" customFormat="1" x14ac:dyDescent="0.35"/>
    <row r="3154" customFormat="1" x14ac:dyDescent="0.35"/>
    <row r="3155" customFormat="1" x14ac:dyDescent="0.35"/>
    <row r="3156" customFormat="1" x14ac:dyDescent="0.35"/>
    <row r="3157" customFormat="1" x14ac:dyDescent="0.35"/>
    <row r="3158" customFormat="1" x14ac:dyDescent="0.35"/>
    <row r="3159" customFormat="1" x14ac:dyDescent="0.35"/>
    <row r="3160" customFormat="1" x14ac:dyDescent="0.35"/>
    <row r="3161" customFormat="1" x14ac:dyDescent="0.35"/>
    <row r="3162" customFormat="1" x14ac:dyDescent="0.35"/>
    <row r="3163" customFormat="1" x14ac:dyDescent="0.35"/>
    <row r="3164" customFormat="1" x14ac:dyDescent="0.35"/>
    <row r="3165" customFormat="1" x14ac:dyDescent="0.35"/>
    <row r="3166" customFormat="1" x14ac:dyDescent="0.35"/>
    <row r="3167" customFormat="1" x14ac:dyDescent="0.35"/>
    <row r="3168" customFormat="1" x14ac:dyDescent="0.35"/>
    <row r="3169" customFormat="1" x14ac:dyDescent="0.35"/>
    <row r="3170" customFormat="1" x14ac:dyDescent="0.35"/>
    <row r="3171" customFormat="1" x14ac:dyDescent="0.35"/>
    <row r="3172" customFormat="1" x14ac:dyDescent="0.35"/>
    <row r="3173" customFormat="1" x14ac:dyDescent="0.35"/>
    <row r="3174" customFormat="1" x14ac:dyDescent="0.35"/>
    <row r="3175" customFormat="1" x14ac:dyDescent="0.35"/>
    <row r="3176" customFormat="1" x14ac:dyDescent="0.35"/>
    <row r="3177" customFormat="1" x14ac:dyDescent="0.35"/>
    <row r="3178" customFormat="1" x14ac:dyDescent="0.35"/>
    <row r="3179" customFormat="1" x14ac:dyDescent="0.35"/>
    <row r="3180" customFormat="1" x14ac:dyDescent="0.35"/>
    <row r="3181" customFormat="1" x14ac:dyDescent="0.35"/>
    <row r="3182" customFormat="1" x14ac:dyDescent="0.35"/>
    <row r="3183" customFormat="1" x14ac:dyDescent="0.35"/>
    <row r="3184" customFormat="1" x14ac:dyDescent="0.35"/>
    <row r="3185" customFormat="1" x14ac:dyDescent="0.35"/>
    <row r="3186" customFormat="1" x14ac:dyDescent="0.35"/>
    <row r="3187" customFormat="1" x14ac:dyDescent="0.35"/>
    <row r="3188" customFormat="1" x14ac:dyDescent="0.35"/>
    <row r="3189" customFormat="1" x14ac:dyDescent="0.35"/>
    <row r="3190" customFormat="1" x14ac:dyDescent="0.35"/>
    <row r="3191" customFormat="1" x14ac:dyDescent="0.35"/>
  </sheetData>
  <autoFilter ref="G1:I3191"/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16"/>
  <sheetViews>
    <sheetView topLeftCell="A31" workbookViewId="0">
      <selection activeCell="L13" sqref="L13"/>
    </sheetView>
  </sheetViews>
  <sheetFormatPr baseColWidth="10" defaultRowHeight="14.5" x14ac:dyDescent="0.35"/>
  <cols>
    <col min="2" max="2" width="19.54296875" bestFit="1" customWidth="1"/>
    <col min="3" max="3" width="13.453125" style="1" customWidth="1"/>
    <col min="4" max="4" width="12.453125" bestFit="1" customWidth="1"/>
    <col min="5" max="5" width="17" bestFit="1" customWidth="1"/>
    <col min="6" max="6" width="15.36328125" bestFit="1" customWidth="1"/>
    <col min="7" max="7" width="19.90625" bestFit="1" customWidth="1"/>
    <col min="8" max="8" width="13.54296875" bestFit="1" customWidth="1"/>
    <col min="9" max="9" width="14.81640625" bestFit="1" customWidth="1"/>
    <col min="10" max="10" width="14.81640625" customWidth="1"/>
    <col min="11" max="11" width="17.81640625" bestFit="1" customWidth="1"/>
    <col min="13" max="13" width="13.453125" bestFit="1" customWidth="1"/>
  </cols>
  <sheetData>
    <row r="3" spans="2:15" x14ac:dyDescent="0.35">
      <c r="B3" s="2" t="s">
        <v>171</v>
      </c>
      <c r="C3" s="7"/>
      <c r="L3" s="5"/>
    </row>
    <row r="4" spans="2:15" x14ac:dyDescent="0.35">
      <c r="B4" s="3" t="s">
        <v>143</v>
      </c>
      <c r="C4" s="7">
        <v>36451.989321796376</v>
      </c>
      <c r="E4" t="s">
        <v>172</v>
      </c>
      <c r="F4" t="s">
        <v>176</v>
      </c>
      <c r="G4" t="s">
        <v>173</v>
      </c>
      <c r="K4" s="13" t="s">
        <v>172</v>
      </c>
      <c r="L4" s="13" t="s">
        <v>176</v>
      </c>
      <c r="M4" s="13" t="s">
        <v>173</v>
      </c>
    </row>
    <row r="5" spans="2:15" x14ac:dyDescent="0.35">
      <c r="B5" s="3" t="s">
        <v>152</v>
      </c>
      <c r="C5" s="7">
        <v>36918.622900077244</v>
      </c>
      <c r="E5" s="1">
        <f>C8</f>
        <v>3356728503</v>
      </c>
      <c r="F5" s="1">
        <f>C4</f>
        <v>36451.989321796376</v>
      </c>
      <c r="G5" s="1">
        <f>E5/F5</f>
        <v>92086.291186112372</v>
      </c>
      <c r="K5" s="1">
        <f>E5</f>
        <v>3356728503</v>
      </c>
      <c r="L5" s="1">
        <f>F5</f>
        <v>36451.989321796376</v>
      </c>
      <c r="M5" s="1">
        <f>K5/L5</f>
        <v>92086.291186112372</v>
      </c>
    </row>
    <row r="6" spans="2:15" x14ac:dyDescent="0.35">
      <c r="B6" s="3" t="s">
        <v>167</v>
      </c>
      <c r="C6" s="7">
        <v>727551</v>
      </c>
      <c r="E6" s="1">
        <f>C12</f>
        <v>3119653076</v>
      </c>
      <c r="F6" s="1">
        <f>C10</f>
        <v>37014.93042293904</v>
      </c>
      <c r="G6" s="1">
        <f>E6/F6</f>
        <v>84280.938538970644</v>
      </c>
      <c r="H6" s="7">
        <f>+G5-G6</f>
        <v>7805.3526471417281</v>
      </c>
      <c r="K6" s="1">
        <f>C9</f>
        <v>3313053372</v>
      </c>
      <c r="L6" s="1">
        <f>C5</f>
        <v>36918.622900077244</v>
      </c>
      <c r="M6" s="1">
        <f>K6/L6</f>
        <v>89739.354064397354</v>
      </c>
      <c r="N6" s="7">
        <f>+M5-M6</f>
        <v>2346.9371217150183</v>
      </c>
    </row>
    <row r="7" spans="2:15" x14ac:dyDescent="0.35">
      <c r="B7" s="3" t="s">
        <v>144</v>
      </c>
      <c r="C7" s="7">
        <v>711755.30209276848</v>
      </c>
    </row>
    <row r="8" spans="2:15" x14ac:dyDescent="0.35">
      <c r="B8" s="3" t="s">
        <v>142</v>
      </c>
      <c r="C8" s="7">
        <v>3356728503</v>
      </c>
      <c r="E8" t="s">
        <v>174</v>
      </c>
      <c r="F8" s="7">
        <f>E5-E6</f>
        <v>237075427</v>
      </c>
      <c r="G8" s="12">
        <f>0.5*(1/F5+1/F6)</f>
        <v>2.7224735186976519E-5</v>
      </c>
      <c r="H8" s="1">
        <f>F8*G8</f>
        <v>6454.3157194143832</v>
      </c>
      <c r="I8" s="9">
        <f>H8/H6</f>
        <v>0.82690891894268403</v>
      </c>
      <c r="J8" s="9"/>
      <c r="K8" t="s">
        <v>174</v>
      </c>
      <c r="L8" s="7">
        <f>K5-K6</f>
        <v>43675131</v>
      </c>
      <c r="M8" s="12">
        <f>0.5*(1/L5+1/L6)</f>
        <v>2.7259972905843932E-5</v>
      </c>
      <c r="N8" s="1">
        <f>L8*M8</f>
        <v>1190.5828877191843</v>
      </c>
      <c r="O8" s="9">
        <f>N8/N6</f>
        <v>0.50729219658393276</v>
      </c>
    </row>
    <row r="9" spans="2:15" x14ac:dyDescent="0.35">
      <c r="B9" s="3" t="s">
        <v>151</v>
      </c>
      <c r="C9" s="7">
        <v>3313053372</v>
      </c>
      <c r="E9" t="s">
        <v>175</v>
      </c>
      <c r="F9" s="7">
        <f>F6-F5</f>
        <v>562.94110114266368</v>
      </c>
      <c r="G9" s="7">
        <f>E5+E6</f>
        <v>6476381579</v>
      </c>
      <c r="H9" s="1">
        <f>F9*0.5*G9/G10</f>
        <v>1351.0369277273439</v>
      </c>
      <c r="I9" s="9">
        <f>+H9/H6</f>
        <v>0.17309108105731588</v>
      </c>
      <c r="J9" s="9"/>
      <c r="K9" t="s">
        <v>175</v>
      </c>
      <c r="L9" s="7">
        <f>L6-L5</f>
        <v>466.63357828086737</v>
      </c>
      <c r="M9" s="7">
        <f>K5+K6</f>
        <v>6669781875</v>
      </c>
      <c r="N9" s="1">
        <f>L9*0.5*M9/M10</f>
        <v>1156.3542339958358</v>
      </c>
      <c r="O9" s="9">
        <f>+N9/N6</f>
        <v>0.49270780341606801</v>
      </c>
    </row>
    <row r="10" spans="2:15" x14ac:dyDescent="0.35">
      <c r="B10" s="3" t="s">
        <v>168</v>
      </c>
      <c r="C10" s="7">
        <v>37014.93042293904</v>
      </c>
      <c r="G10">
        <f>F5*F6</f>
        <v>1349267848.5240097</v>
      </c>
      <c r="M10">
        <f>L5*L6</f>
        <v>1345757247.7290428</v>
      </c>
    </row>
    <row r="11" spans="2:15" x14ac:dyDescent="0.35">
      <c r="B11" s="3" t="s">
        <v>169</v>
      </c>
      <c r="C11" s="7">
        <v>663770</v>
      </c>
    </row>
    <row r="12" spans="2:15" x14ac:dyDescent="0.35">
      <c r="B12" s="3" t="s">
        <v>170</v>
      </c>
      <c r="C12" s="7">
        <v>3119653076</v>
      </c>
    </row>
    <row r="13" spans="2:15" x14ac:dyDescent="0.35">
      <c r="E13" t="s">
        <v>177</v>
      </c>
      <c r="F13" s="7">
        <f>G6</f>
        <v>84280.938538970644</v>
      </c>
      <c r="K13" t="s">
        <v>181</v>
      </c>
      <c r="L13" s="7">
        <f>M6</f>
        <v>89739.354064397354</v>
      </c>
    </row>
    <row r="14" spans="2:15" x14ac:dyDescent="0.35">
      <c r="E14" t="s">
        <v>178</v>
      </c>
      <c r="F14" s="7">
        <f>+H8</f>
        <v>6454.3157194143832</v>
      </c>
      <c r="K14" t="s">
        <v>178</v>
      </c>
      <c r="L14" s="7">
        <f>+N8</f>
        <v>1190.5828877191843</v>
      </c>
    </row>
    <row r="15" spans="2:15" x14ac:dyDescent="0.35">
      <c r="E15" t="s">
        <v>179</v>
      </c>
      <c r="F15" s="7">
        <f>+H9</f>
        <v>1351.0369277273439</v>
      </c>
      <c r="K15" t="s">
        <v>179</v>
      </c>
      <c r="L15" s="7">
        <f>+N9</f>
        <v>1156.3542339958358</v>
      </c>
    </row>
    <row r="16" spans="2:15" x14ac:dyDescent="0.35">
      <c r="E16" t="s">
        <v>180</v>
      </c>
      <c r="F16" s="7">
        <f>G5</f>
        <v>92086.291186112372</v>
      </c>
      <c r="K16" t="s">
        <v>180</v>
      </c>
      <c r="L16" s="7">
        <f>M5</f>
        <v>92086.291186112372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22"/>
  <sheetViews>
    <sheetView showGridLines="0" topLeftCell="J94" workbookViewId="0">
      <selection activeCell="R95" sqref="R95"/>
    </sheetView>
  </sheetViews>
  <sheetFormatPr baseColWidth="10" defaultRowHeight="14.5" x14ac:dyDescent="0.35"/>
  <cols>
    <col min="1" max="1" width="16.90625" bestFit="1" customWidth="1"/>
    <col min="4" max="5" width="11.54296875" style="16"/>
    <col min="7" max="7" width="21.54296875" customWidth="1"/>
    <col min="8" max="14" width="16.6328125" customWidth="1"/>
    <col min="15" max="15" width="14.81640625" bestFit="1" customWidth="1"/>
    <col min="16" max="16" width="13.81640625" bestFit="1" customWidth="1"/>
    <col min="17" max="17" width="20.54296875" style="20" bestFit="1" customWidth="1"/>
    <col min="18" max="19" width="15" style="20" customWidth="1"/>
    <col min="20" max="26" width="10.81640625" style="20" customWidth="1"/>
    <col min="27" max="27" width="22.08984375" bestFit="1" customWidth="1"/>
  </cols>
  <sheetData>
    <row r="1" spans="1:41" x14ac:dyDescent="0.35">
      <c r="A1" s="14" t="s">
        <v>158</v>
      </c>
      <c r="B1" s="14" t="s">
        <v>182</v>
      </c>
      <c r="C1" s="14" t="s">
        <v>189</v>
      </c>
      <c r="D1" s="15" t="s">
        <v>4</v>
      </c>
      <c r="E1" s="15" t="s">
        <v>7</v>
      </c>
      <c r="P1" t="s">
        <v>3</v>
      </c>
      <c r="Q1" s="20" t="s">
        <v>182</v>
      </c>
      <c r="T1" s="24" t="s">
        <v>191</v>
      </c>
      <c r="U1" s="24" t="s">
        <v>192</v>
      </c>
      <c r="V1" s="24" t="s">
        <v>193</v>
      </c>
      <c r="W1" s="24" t="s">
        <v>4</v>
      </c>
      <c r="X1" s="24" t="s">
        <v>7</v>
      </c>
      <c r="Y1" s="24" t="s">
        <v>194</v>
      </c>
      <c r="Z1" s="24" t="s">
        <v>6</v>
      </c>
      <c r="AA1" s="1" t="s">
        <v>149</v>
      </c>
      <c r="AD1" t="s">
        <v>3</v>
      </c>
      <c r="AE1" t="s">
        <v>196</v>
      </c>
      <c r="AF1" t="s">
        <v>182</v>
      </c>
      <c r="AG1" t="s">
        <v>191</v>
      </c>
      <c r="AH1" t="s">
        <v>192</v>
      </c>
      <c r="AI1" t="s">
        <v>193</v>
      </c>
      <c r="AJ1" t="s">
        <v>4</v>
      </c>
      <c r="AK1" t="s">
        <v>7</v>
      </c>
      <c r="AL1" t="s">
        <v>194</v>
      </c>
      <c r="AM1" t="s">
        <v>6</v>
      </c>
      <c r="AN1" t="s">
        <v>149</v>
      </c>
      <c r="AO1" t="s">
        <v>146</v>
      </c>
    </row>
    <row r="2" spans="1:41" x14ac:dyDescent="0.35">
      <c r="A2" t="s">
        <v>159</v>
      </c>
      <c r="B2" t="s">
        <v>183</v>
      </c>
      <c r="C2" s="19">
        <f>+D2/E2-1</f>
        <v>-2.4422177455854177E-2</v>
      </c>
      <c r="D2" s="16">
        <v>96439</v>
      </c>
      <c r="E2" s="16">
        <v>98853.210652639696</v>
      </c>
      <c r="P2" t="s">
        <v>35</v>
      </c>
      <c r="Q2" s="20" t="s">
        <v>183</v>
      </c>
      <c r="T2" s="24">
        <v>55593224</v>
      </c>
      <c r="U2" s="24">
        <v>54684969</v>
      </c>
      <c r="V2" s="24">
        <v>57146853</v>
      </c>
      <c r="W2" s="24">
        <f>+T2/Z2</f>
        <v>79883.914592685484</v>
      </c>
      <c r="X2" s="24">
        <v>80709.166400279995</v>
      </c>
      <c r="Y2" s="24">
        <v>74327</v>
      </c>
      <c r="Z2" s="24">
        <v>695.92513440860296</v>
      </c>
      <c r="AA2" s="1">
        <v>735.73570564516399</v>
      </c>
      <c r="AD2" t="s">
        <v>21</v>
      </c>
      <c r="AE2" t="s">
        <v>197</v>
      </c>
      <c r="AF2" t="s">
        <v>187</v>
      </c>
      <c r="AG2">
        <v>9929231</v>
      </c>
      <c r="AH2">
        <v>8571966</v>
      </c>
      <c r="AI2">
        <v>9359450</v>
      </c>
      <c r="AJ2">
        <v>91046</v>
      </c>
      <c r="AK2">
        <v>90889.521866791096</v>
      </c>
      <c r="AL2">
        <v>63348</v>
      </c>
      <c r="AM2">
        <v>109.056801075263</v>
      </c>
      <c r="AN2">
        <v>135.31649193548299</v>
      </c>
      <c r="AO2">
        <v>102.97612103755201</v>
      </c>
    </row>
    <row r="3" spans="1:41" x14ac:dyDescent="0.35">
      <c r="A3" t="s">
        <v>159</v>
      </c>
      <c r="B3" t="s">
        <v>184</v>
      </c>
      <c r="C3" s="19">
        <f t="shared" ref="C3:C49" si="0">+D3/E3-1</f>
        <v>-1.5140155115249687E-2</v>
      </c>
      <c r="D3" s="16">
        <v>94284</v>
      </c>
      <c r="E3" s="16">
        <v>95733.418810504198</v>
      </c>
      <c r="P3" t="s">
        <v>9</v>
      </c>
      <c r="Q3" s="20" t="s">
        <v>183</v>
      </c>
      <c r="T3" s="24">
        <v>8761300</v>
      </c>
      <c r="U3" s="24">
        <v>8247567</v>
      </c>
      <c r="V3" s="24">
        <v>10160006</v>
      </c>
      <c r="W3" s="24">
        <f>+T3/Z3</f>
        <v>60384.492159747017</v>
      </c>
      <c r="X3" s="24">
        <v>71418.478054302206</v>
      </c>
      <c r="Y3" s="24">
        <v>59765</v>
      </c>
      <c r="Z3" s="24">
        <v>145.09188844086</v>
      </c>
      <c r="AA3" s="1">
        <v>138.00090725806399</v>
      </c>
      <c r="AD3" t="s">
        <v>21</v>
      </c>
      <c r="AE3" t="s">
        <v>197</v>
      </c>
      <c r="AF3" t="s">
        <v>186</v>
      </c>
      <c r="AG3">
        <v>10181196</v>
      </c>
      <c r="AH3">
        <v>9037321</v>
      </c>
      <c r="AI3">
        <v>9254069</v>
      </c>
      <c r="AJ3">
        <v>94534</v>
      </c>
      <c r="AK3">
        <v>89866.168492841694</v>
      </c>
      <c r="AL3">
        <v>67974</v>
      </c>
      <c r="AM3">
        <v>107.69893750000401</v>
      </c>
      <c r="AN3">
        <v>132.95187499999901</v>
      </c>
      <c r="AO3">
        <v>102.97612103755201</v>
      </c>
    </row>
    <row r="4" spans="1:41" x14ac:dyDescent="0.35">
      <c r="A4" t="s">
        <v>159</v>
      </c>
      <c r="B4" t="s">
        <v>185</v>
      </c>
      <c r="C4" s="19">
        <f t="shared" si="0"/>
        <v>-7.6518852578828844E-2</v>
      </c>
      <c r="D4" s="16">
        <v>109743</v>
      </c>
      <c r="E4" s="16">
        <v>118836.21046997901</v>
      </c>
      <c r="G4" s="2" t="s">
        <v>190</v>
      </c>
      <c r="H4" s="2" t="s">
        <v>138</v>
      </c>
      <c r="P4" t="s">
        <v>19</v>
      </c>
      <c r="Q4" s="20" t="s">
        <v>183</v>
      </c>
      <c r="T4" s="24">
        <v>69982085</v>
      </c>
      <c r="U4" s="24">
        <v>66021778</v>
      </c>
      <c r="V4" s="24">
        <v>69639547</v>
      </c>
      <c r="W4" s="24">
        <f t="shared" ref="W4:W55" si="1">+T4/Z4</f>
        <v>98023.308522456427</v>
      </c>
      <c r="X4" s="24">
        <v>99721.482455325997</v>
      </c>
      <c r="Y4" s="24">
        <v>91973</v>
      </c>
      <c r="Z4" s="24">
        <v>713.93310483870903</v>
      </c>
      <c r="AA4" s="1">
        <v>717.84143817204495</v>
      </c>
      <c r="AD4" t="s">
        <v>21</v>
      </c>
      <c r="AE4" t="s">
        <v>197</v>
      </c>
      <c r="AF4" t="s">
        <v>188</v>
      </c>
      <c r="AG4">
        <v>9178038</v>
      </c>
      <c r="AH4">
        <v>7651930</v>
      </c>
      <c r="AI4">
        <v>8356052</v>
      </c>
      <c r="AJ4">
        <v>86703</v>
      </c>
      <c r="AK4">
        <v>81145.526338603697</v>
      </c>
      <c r="AL4">
        <v>58893</v>
      </c>
      <c r="AM4">
        <v>105.855701388892</v>
      </c>
      <c r="AN4">
        <v>129.92870138888799</v>
      </c>
      <c r="AO4">
        <v>102.97612103755201</v>
      </c>
    </row>
    <row r="5" spans="1:41" x14ac:dyDescent="0.35">
      <c r="A5" t="s">
        <v>159</v>
      </c>
      <c r="B5" t="s">
        <v>186</v>
      </c>
      <c r="C5" s="19">
        <f t="shared" si="0"/>
        <v>4.6575106916893594E-2</v>
      </c>
      <c r="D5" s="16">
        <v>100418</v>
      </c>
      <c r="E5" s="16">
        <v>95949.157720578194</v>
      </c>
      <c r="G5" s="2" t="s">
        <v>134</v>
      </c>
      <c r="H5" s="22" t="s">
        <v>183</v>
      </c>
      <c r="I5" s="22" t="s">
        <v>184</v>
      </c>
      <c r="J5" s="22" t="s">
        <v>185</v>
      </c>
      <c r="K5" s="22" t="s">
        <v>186</v>
      </c>
      <c r="L5" s="22" t="s">
        <v>187</v>
      </c>
      <c r="M5" s="22" t="s">
        <v>188</v>
      </c>
      <c r="N5" s="23" t="s">
        <v>135</v>
      </c>
      <c r="P5" t="s">
        <v>52</v>
      </c>
      <c r="Q5" s="20" t="s">
        <v>183</v>
      </c>
      <c r="T5" s="24">
        <v>62434090</v>
      </c>
      <c r="U5" s="24">
        <v>62451173</v>
      </c>
      <c r="V5" s="24">
        <v>66227031</v>
      </c>
      <c r="W5" s="24">
        <f t="shared" si="1"/>
        <v>89087.567763523562</v>
      </c>
      <c r="X5" s="24">
        <v>96097.295886224907</v>
      </c>
      <c r="Y5" s="24">
        <v>86611</v>
      </c>
      <c r="Z5" s="24">
        <v>700.81709005376297</v>
      </c>
      <c r="AA5" s="1">
        <v>721.05513440860295</v>
      </c>
      <c r="AD5" t="s">
        <v>21</v>
      </c>
      <c r="AE5" t="s">
        <v>197</v>
      </c>
      <c r="AF5" t="s">
        <v>185</v>
      </c>
      <c r="AG5">
        <v>11748511</v>
      </c>
      <c r="AH5">
        <v>10163236</v>
      </c>
      <c r="AI5">
        <v>10859350</v>
      </c>
      <c r="AJ5">
        <v>103607</v>
      </c>
      <c r="AK5">
        <v>105455.034548639</v>
      </c>
      <c r="AL5">
        <v>81573</v>
      </c>
      <c r="AM5">
        <v>113.395389784946</v>
      </c>
      <c r="AN5">
        <v>124.591344086021</v>
      </c>
      <c r="AO5">
        <v>102.97612103755201</v>
      </c>
    </row>
    <row r="6" spans="1:41" x14ac:dyDescent="0.35">
      <c r="A6" t="s">
        <v>159</v>
      </c>
      <c r="B6" t="s">
        <v>187</v>
      </c>
      <c r="C6" s="19">
        <f t="shared" si="0"/>
        <v>3.4654222411619306E-2</v>
      </c>
      <c r="D6" s="16">
        <v>105599</v>
      </c>
      <c r="E6" s="16">
        <v>102062.116707807</v>
      </c>
      <c r="G6" s="3" t="s">
        <v>161</v>
      </c>
      <c r="H6" s="22">
        <v>2.8388214678858326E-2</v>
      </c>
      <c r="I6" s="22">
        <v>5.639056640563167E-2</v>
      </c>
      <c r="J6" s="22">
        <v>5.2799712285868772E-2</v>
      </c>
      <c r="K6" s="22">
        <v>0.14797114105902476</v>
      </c>
      <c r="L6" s="22">
        <v>0.14184099483635193</v>
      </c>
      <c r="M6" s="22">
        <v>0.17126495764537641</v>
      </c>
      <c r="N6" s="23">
        <v>9.8413721770520102E-2</v>
      </c>
      <c r="P6" t="s">
        <v>17</v>
      </c>
      <c r="Q6" s="20" t="s">
        <v>183</v>
      </c>
      <c r="T6" s="24">
        <v>69068442</v>
      </c>
      <c r="U6" s="24">
        <v>57749259</v>
      </c>
      <c r="V6" s="24">
        <v>72247538</v>
      </c>
      <c r="W6" s="24">
        <f t="shared" si="1"/>
        <v>94257.144988557091</v>
      </c>
      <c r="X6" s="24">
        <v>98970.528325005405</v>
      </c>
      <c r="Y6" s="24">
        <v>100116</v>
      </c>
      <c r="Z6" s="24">
        <v>732.76611559139599</v>
      </c>
      <c r="AA6" s="1">
        <v>576.82060483871101</v>
      </c>
      <c r="AD6" t="s">
        <v>35</v>
      </c>
      <c r="AE6" t="s">
        <v>198</v>
      </c>
      <c r="AF6" t="s">
        <v>187</v>
      </c>
      <c r="AG6">
        <v>12787907</v>
      </c>
      <c r="AH6">
        <v>11511534</v>
      </c>
      <c r="AI6">
        <v>12169665</v>
      </c>
      <c r="AJ6">
        <v>121694</v>
      </c>
      <c r="AK6">
        <v>103846.499199564</v>
      </c>
      <c r="AL6">
        <v>95624</v>
      </c>
      <c r="AM6">
        <v>105.082748655912</v>
      </c>
      <c r="AN6">
        <v>120.38315860215</v>
      </c>
      <c r="AO6">
        <v>117.188975024697</v>
      </c>
    </row>
    <row r="7" spans="1:41" x14ac:dyDescent="0.35">
      <c r="A7" t="s">
        <v>159</v>
      </c>
      <c r="B7" t="s">
        <v>188</v>
      </c>
      <c r="C7" s="19">
        <f t="shared" si="0"/>
        <v>3.3901374756129643E-2</v>
      </c>
      <c r="D7" s="16">
        <v>98374</v>
      </c>
      <c r="E7" s="16">
        <v>95148.340452883</v>
      </c>
      <c r="G7" s="3" t="s">
        <v>160</v>
      </c>
      <c r="H7" s="22">
        <v>-1.0734498025711359E-2</v>
      </c>
      <c r="I7" s="22">
        <v>1.9296733497565333E-2</v>
      </c>
      <c r="J7" s="22">
        <v>-7.7549433588282035E-3</v>
      </c>
      <c r="K7" s="22">
        <v>8.5149152048736187E-2</v>
      </c>
      <c r="L7" s="22">
        <v>9.2447469740504884E-2</v>
      </c>
      <c r="M7" s="22">
        <v>0.1863156926820837</v>
      </c>
      <c r="N7" s="23">
        <v>5.8410703210995285E-2</v>
      </c>
      <c r="P7" t="s">
        <v>104</v>
      </c>
      <c r="Q7" s="20" t="s">
        <v>183</v>
      </c>
      <c r="T7" s="24">
        <v>22717716</v>
      </c>
      <c r="U7" s="24">
        <v>25062338</v>
      </c>
      <c r="V7" s="24">
        <v>25694330</v>
      </c>
      <c r="W7" s="24">
        <f t="shared" si="1"/>
        <v>59235.019620965737</v>
      </c>
      <c r="X7" s="24">
        <v>65656.187517862199</v>
      </c>
      <c r="Y7" s="24">
        <v>56033</v>
      </c>
      <c r="Z7" s="24">
        <v>383.51833333333201</v>
      </c>
      <c r="AA7" s="1">
        <v>447.27436155913898</v>
      </c>
      <c r="AD7" t="s">
        <v>35</v>
      </c>
      <c r="AE7" t="s">
        <v>198</v>
      </c>
      <c r="AF7" t="s">
        <v>188</v>
      </c>
      <c r="AG7">
        <v>12302365</v>
      </c>
      <c r="AH7">
        <v>11339493</v>
      </c>
      <c r="AI7">
        <v>11783908</v>
      </c>
      <c r="AJ7">
        <v>119394</v>
      </c>
      <c r="AK7">
        <v>100554.751986836</v>
      </c>
      <c r="AL7">
        <v>95583</v>
      </c>
      <c r="AM7">
        <v>103.040388888891</v>
      </c>
      <c r="AN7">
        <v>118.635270833333</v>
      </c>
      <c r="AO7">
        <v>117.188975024697</v>
      </c>
    </row>
    <row r="8" spans="1:41" x14ac:dyDescent="0.35">
      <c r="A8" t="s">
        <v>160</v>
      </c>
      <c r="B8" t="s">
        <v>183</v>
      </c>
      <c r="C8" s="19">
        <f t="shared" si="0"/>
        <v>-1.0734498025711359E-2</v>
      </c>
      <c r="D8" s="16">
        <v>84937</v>
      </c>
      <c r="E8" s="16">
        <v>85858.649503586494</v>
      </c>
      <c r="G8" s="3" t="s">
        <v>164</v>
      </c>
      <c r="H8" s="22">
        <v>4.7926200211603875E-2</v>
      </c>
      <c r="I8" s="22">
        <v>8.5228869261865015E-2</v>
      </c>
      <c r="J8" s="22">
        <v>4.2637548486850196E-3</v>
      </c>
      <c r="K8" s="22">
        <v>8.8027609373941607E-2</v>
      </c>
      <c r="L8" s="22">
        <v>5.7434315932257451E-2</v>
      </c>
      <c r="M8" s="22">
        <v>6.4259621737074335E-2</v>
      </c>
      <c r="N8" s="23">
        <v>5.5612335544041658E-2</v>
      </c>
      <c r="P8" t="s">
        <v>21</v>
      </c>
      <c r="Q8" s="20" t="s">
        <v>183</v>
      </c>
      <c r="T8" s="24">
        <v>65100759</v>
      </c>
      <c r="U8" s="24">
        <v>70389579</v>
      </c>
      <c r="V8" s="24">
        <v>65843068</v>
      </c>
      <c r="W8" s="24">
        <f t="shared" si="1"/>
        <v>94182.037153600948</v>
      </c>
      <c r="X8" s="24">
        <v>82230.272752063203</v>
      </c>
      <c r="Y8" s="24">
        <v>86704</v>
      </c>
      <c r="Z8" s="24">
        <v>691.22266801075398</v>
      </c>
      <c r="AA8" s="1">
        <v>811.83652553763795</v>
      </c>
      <c r="AD8" t="s">
        <v>35</v>
      </c>
      <c r="AE8" t="s">
        <v>198</v>
      </c>
      <c r="AF8" t="s">
        <v>183</v>
      </c>
      <c r="AG8">
        <v>11806878</v>
      </c>
      <c r="AH8">
        <v>11721154</v>
      </c>
      <c r="AI8">
        <v>12562749</v>
      </c>
      <c r="AJ8">
        <v>100029</v>
      </c>
      <c r="AK8">
        <v>107200.77565788401</v>
      </c>
      <c r="AL8">
        <v>99216</v>
      </c>
      <c r="AM8">
        <v>118.034677419354</v>
      </c>
      <c r="AN8">
        <v>118.137889784946</v>
      </c>
      <c r="AO8">
        <v>117.188975024697</v>
      </c>
    </row>
    <row r="9" spans="1:41" x14ac:dyDescent="0.35">
      <c r="A9" t="s">
        <v>160</v>
      </c>
      <c r="B9" t="s">
        <v>184</v>
      </c>
      <c r="C9" s="19">
        <f t="shared" si="0"/>
        <v>1.9296733497565333E-2</v>
      </c>
      <c r="D9" s="16">
        <v>82740</v>
      </c>
      <c r="E9" s="16">
        <v>81173.614395966899</v>
      </c>
      <c r="G9" s="3" t="s">
        <v>162</v>
      </c>
      <c r="H9" s="22">
        <v>-3.9968756984616105E-2</v>
      </c>
      <c r="I9" s="22">
        <v>3.8970348017801637E-3</v>
      </c>
      <c r="J9" s="22">
        <v>1.7481049167210161E-2</v>
      </c>
      <c r="K9" s="22">
        <v>0.12173670514262191</v>
      </c>
      <c r="L9" s="22">
        <v>8.7472486242626379E-2</v>
      </c>
      <c r="M9" s="22">
        <v>9.8932789536171351E-2</v>
      </c>
      <c r="N9" s="23">
        <v>4.7289586769593273E-2</v>
      </c>
      <c r="P9" t="s">
        <v>12</v>
      </c>
      <c r="Q9" s="20" t="s">
        <v>183</v>
      </c>
      <c r="T9" s="24">
        <v>83477947</v>
      </c>
      <c r="U9" s="24">
        <v>79195306</v>
      </c>
      <c r="V9" s="24">
        <v>81868449</v>
      </c>
      <c r="W9" s="24">
        <f t="shared" si="1"/>
        <v>94579.559695362797</v>
      </c>
      <c r="X9" s="24">
        <v>93483.913339931998</v>
      </c>
      <c r="Y9" s="24">
        <v>87004</v>
      </c>
      <c r="Z9" s="24">
        <v>882.62143817204606</v>
      </c>
      <c r="AA9" s="1">
        <v>910.24688172043295</v>
      </c>
      <c r="AD9" t="s">
        <v>21</v>
      </c>
      <c r="AE9" t="s">
        <v>199</v>
      </c>
      <c r="AF9" t="s">
        <v>186</v>
      </c>
      <c r="AG9">
        <v>11096009</v>
      </c>
      <c r="AH9">
        <v>9701844</v>
      </c>
      <c r="AI9">
        <v>10246686</v>
      </c>
      <c r="AJ9">
        <v>108452</v>
      </c>
      <c r="AK9">
        <v>99505.456439394096</v>
      </c>
      <c r="AL9">
        <v>82244</v>
      </c>
      <c r="AM9">
        <v>102.312680555559</v>
      </c>
      <c r="AN9">
        <v>117.963805555555</v>
      </c>
      <c r="AO9">
        <v>102.97612103755201</v>
      </c>
    </row>
    <row r="10" spans="1:41" x14ac:dyDescent="0.35">
      <c r="A10" t="s">
        <v>160</v>
      </c>
      <c r="B10" t="s">
        <v>185</v>
      </c>
      <c r="C10" s="19">
        <f t="shared" si="0"/>
        <v>-7.7549433588282035E-3</v>
      </c>
      <c r="D10" s="16">
        <v>99345</v>
      </c>
      <c r="E10" s="16">
        <v>100121.436065694</v>
      </c>
      <c r="G10" s="3" t="s">
        <v>165</v>
      </c>
      <c r="H10" s="22">
        <v>-3.6557843495179654E-2</v>
      </c>
      <c r="I10" s="22">
        <v>-2.3583256624310711E-2</v>
      </c>
      <c r="J10" s="22">
        <v>-6.2699340279338656E-2</v>
      </c>
      <c r="K10" s="22">
        <v>6.1474711737484977E-2</v>
      </c>
      <c r="L10" s="22">
        <v>8.436998610193247E-2</v>
      </c>
      <c r="M10" s="22">
        <v>0.10836142143202854</v>
      </c>
      <c r="N10" s="23">
        <v>1.6881443047589872E-2</v>
      </c>
      <c r="P10" t="s">
        <v>14</v>
      </c>
      <c r="Q10" s="20" t="s">
        <v>183</v>
      </c>
      <c r="T10" s="24">
        <v>96535841</v>
      </c>
      <c r="U10" s="24">
        <v>94314775</v>
      </c>
      <c r="V10" s="24">
        <v>98840495</v>
      </c>
      <c r="W10" s="24">
        <f t="shared" si="1"/>
        <v>87467.134995074608</v>
      </c>
      <c r="X10" s="24">
        <v>88449.778337895594</v>
      </c>
      <c r="Y10" s="24">
        <v>84737</v>
      </c>
      <c r="Z10" s="24">
        <v>1103.6812970430101</v>
      </c>
      <c r="AA10" s="1">
        <v>1113.0293077957001</v>
      </c>
      <c r="AD10" t="s">
        <v>35</v>
      </c>
      <c r="AE10" t="s">
        <v>198</v>
      </c>
      <c r="AF10" t="s">
        <v>185</v>
      </c>
      <c r="AG10">
        <v>13175582</v>
      </c>
      <c r="AH10">
        <v>12988869</v>
      </c>
      <c r="AI10">
        <v>13423952</v>
      </c>
      <c r="AJ10">
        <v>110399</v>
      </c>
      <c r="AK10">
        <v>114549.61121360501</v>
      </c>
      <c r="AL10">
        <v>111742</v>
      </c>
      <c r="AM10">
        <v>119.345530913978</v>
      </c>
      <c r="AN10">
        <v>116.239798387096</v>
      </c>
      <c r="AO10">
        <v>117.188975024697</v>
      </c>
    </row>
    <row r="11" spans="1:41" x14ac:dyDescent="0.35">
      <c r="A11" t="s">
        <v>160</v>
      </c>
      <c r="B11" t="s">
        <v>186</v>
      </c>
      <c r="C11" s="19">
        <f t="shared" si="0"/>
        <v>8.5149152048736187E-2</v>
      </c>
      <c r="D11" s="16">
        <v>95391</v>
      </c>
      <c r="E11" s="16">
        <v>87905.888162842894</v>
      </c>
      <c r="G11" s="3" t="s">
        <v>166</v>
      </c>
      <c r="H11" s="22">
        <v>1.0534797415678421E-2</v>
      </c>
      <c r="I11" s="22">
        <v>3.4531373713728941E-2</v>
      </c>
      <c r="J11" s="22">
        <v>-5.9011852467854342E-2</v>
      </c>
      <c r="K11" s="22">
        <v>4.5029670277698441E-2</v>
      </c>
      <c r="L11" s="22">
        <v>1.2349893024937719E-2</v>
      </c>
      <c r="M11" s="22">
        <v>-8.4724827025789429E-3</v>
      </c>
      <c r="N11" s="23">
        <v>3.2717255442435977E-3</v>
      </c>
      <c r="P11" t="s">
        <v>35</v>
      </c>
      <c r="Q11" s="20" t="s">
        <v>184</v>
      </c>
      <c r="T11" s="24">
        <v>53339955</v>
      </c>
      <c r="U11" s="24">
        <v>51977898</v>
      </c>
      <c r="V11" s="24">
        <v>53284591</v>
      </c>
      <c r="W11" s="24">
        <f t="shared" si="1"/>
        <v>74649.508741108599</v>
      </c>
      <c r="X11" s="24">
        <v>75254.449336943697</v>
      </c>
      <c r="Y11" s="24">
        <v>70561</v>
      </c>
      <c r="Z11" s="24">
        <v>714.538593749999</v>
      </c>
      <c r="AA11" s="1">
        <v>736.63578124999901</v>
      </c>
      <c r="AD11" t="s">
        <v>21</v>
      </c>
      <c r="AE11" t="s">
        <v>199</v>
      </c>
      <c r="AF11" t="s">
        <v>188</v>
      </c>
      <c r="AG11">
        <v>9609769</v>
      </c>
      <c r="AH11">
        <v>8757678</v>
      </c>
      <c r="AI11">
        <v>9275745</v>
      </c>
      <c r="AJ11">
        <v>95288</v>
      </c>
      <c r="AK11">
        <v>90076.662981094007</v>
      </c>
      <c r="AL11">
        <v>77908</v>
      </c>
      <c r="AM11">
        <v>100.84972916666899</v>
      </c>
      <c r="AN11">
        <v>112.410909722222</v>
      </c>
      <c r="AO11">
        <v>102.97612103755201</v>
      </c>
    </row>
    <row r="12" spans="1:41" x14ac:dyDescent="0.35">
      <c r="A12" t="s">
        <v>160</v>
      </c>
      <c r="B12" t="s">
        <v>187</v>
      </c>
      <c r="C12" s="19">
        <f t="shared" si="0"/>
        <v>9.2447469740504884E-2</v>
      </c>
      <c r="D12" s="16">
        <v>96917</v>
      </c>
      <c r="E12" s="16">
        <v>88715.478487053697</v>
      </c>
      <c r="G12" s="3" t="s">
        <v>159</v>
      </c>
      <c r="H12" s="22">
        <v>-2.4422177455854177E-2</v>
      </c>
      <c r="I12" s="22">
        <v>-1.5140155115249687E-2</v>
      </c>
      <c r="J12" s="22">
        <v>-7.6518852578828844E-2</v>
      </c>
      <c r="K12" s="22">
        <v>4.6575106916893594E-2</v>
      </c>
      <c r="L12" s="22">
        <v>3.4654222411619306E-2</v>
      </c>
      <c r="M12" s="22">
        <v>3.3901374756129643E-2</v>
      </c>
      <c r="N12" s="23">
        <v>-2.8445511417224401E-3</v>
      </c>
      <c r="P12" t="s">
        <v>9</v>
      </c>
      <c r="Q12" s="20" t="s">
        <v>184</v>
      </c>
      <c r="T12" s="24">
        <v>9618490</v>
      </c>
      <c r="U12" s="24">
        <v>7777885</v>
      </c>
      <c r="V12" s="24">
        <v>9157830</v>
      </c>
      <c r="W12" s="24">
        <f t="shared" si="1"/>
        <v>64494.220403117375</v>
      </c>
      <c r="X12" s="24">
        <v>64373.802762448897</v>
      </c>
      <c r="Y12" s="24">
        <v>54372</v>
      </c>
      <c r="Z12" s="24">
        <v>149.13723958333301</v>
      </c>
      <c r="AA12" s="1">
        <v>143.04895833333299</v>
      </c>
      <c r="AD12" t="s">
        <v>35</v>
      </c>
      <c r="AE12" t="s">
        <v>198</v>
      </c>
      <c r="AF12" t="s">
        <v>184</v>
      </c>
      <c r="AG12">
        <v>11084158</v>
      </c>
      <c r="AH12">
        <v>10847518</v>
      </c>
      <c r="AI12">
        <v>11496230</v>
      </c>
      <c r="AJ12">
        <v>100519</v>
      </c>
      <c r="AK12">
        <v>98099.930619558698</v>
      </c>
      <c r="AL12">
        <v>96588</v>
      </c>
      <c r="AM12">
        <v>110.269270833333</v>
      </c>
      <c r="AN12">
        <v>112.306562499999</v>
      </c>
      <c r="AO12">
        <v>117.188975024697</v>
      </c>
    </row>
    <row r="13" spans="1:41" x14ac:dyDescent="0.35">
      <c r="A13" t="s">
        <v>160</v>
      </c>
      <c r="B13" t="s">
        <v>188</v>
      </c>
      <c r="C13" s="19">
        <f t="shared" si="0"/>
        <v>0.1863156926820837</v>
      </c>
      <c r="D13" s="16">
        <v>96147</v>
      </c>
      <c r="E13" s="16">
        <v>81046.723560257306</v>
      </c>
      <c r="G13" s="3" t="s">
        <v>163</v>
      </c>
      <c r="H13" s="22">
        <v>-7.0747218031045001E-2</v>
      </c>
      <c r="I13" s="22">
        <v>-8.5022981363037098E-2</v>
      </c>
      <c r="J13" s="22">
        <v>-0.16213638948905562</v>
      </c>
      <c r="K13" s="22">
        <v>-0.12840437511412328</v>
      </c>
      <c r="L13" s="22">
        <v>-0.15320423044435871</v>
      </c>
      <c r="M13" s="22">
        <v>-8.6139982970218854E-2</v>
      </c>
      <c r="N13" s="23">
        <v>-0.115406235884006</v>
      </c>
      <c r="P13" t="s">
        <v>19</v>
      </c>
      <c r="Q13" s="20" t="s">
        <v>184</v>
      </c>
      <c r="T13" s="24">
        <v>70082746</v>
      </c>
      <c r="U13" s="24">
        <v>62492588</v>
      </c>
      <c r="V13" s="24">
        <v>65653619</v>
      </c>
      <c r="W13" s="24">
        <f t="shared" si="1"/>
        <v>96929.23668450852</v>
      </c>
      <c r="X13" s="24">
        <v>94013.767787917401</v>
      </c>
      <c r="Y13" s="24">
        <v>85493</v>
      </c>
      <c r="Z13" s="24">
        <v>723.02999999999804</v>
      </c>
      <c r="AA13" s="1">
        <v>730.96390624999901</v>
      </c>
      <c r="AD13" t="s">
        <v>35</v>
      </c>
      <c r="AE13" t="s">
        <v>198</v>
      </c>
      <c r="AF13" t="s">
        <v>186</v>
      </c>
      <c r="AG13">
        <v>12413583</v>
      </c>
      <c r="AH13">
        <v>11784903</v>
      </c>
      <c r="AI13">
        <v>12230346</v>
      </c>
      <c r="AJ13">
        <v>112023</v>
      </c>
      <c r="AK13">
        <v>104364.30202775</v>
      </c>
      <c r="AL13">
        <v>105546</v>
      </c>
      <c r="AM13">
        <v>110.812770833337</v>
      </c>
      <c r="AN13">
        <v>111.656562499999</v>
      </c>
      <c r="AO13">
        <v>117.188975024697</v>
      </c>
    </row>
    <row r="14" spans="1:41" x14ac:dyDescent="0.35">
      <c r="A14" t="s">
        <v>161</v>
      </c>
      <c r="B14" t="s">
        <v>183</v>
      </c>
      <c r="C14" s="19">
        <f t="shared" si="0"/>
        <v>2.8388214678858326E-2</v>
      </c>
      <c r="D14" s="16">
        <v>88096</v>
      </c>
      <c r="E14" s="16">
        <v>85664.147782469794</v>
      </c>
      <c r="G14" s="3" t="s">
        <v>135</v>
      </c>
      <c r="H14" s="22">
        <v>-1.1633304517195686E-2</v>
      </c>
      <c r="I14" s="22">
        <v>1.045994551278473E-2</v>
      </c>
      <c r="J14" s="22">
        <v>-3.5391306264544564E-2</v>
      </c>
      <c r="K14" s="22">
        <v>6.0166528489441706E-2</v>
      </c>
      <c r="L14" s="22">
        <v>4.7477484124517577E-2</v>
      </c>
      <c r="M14" s="22">
        <v>7.1579133286302721E-2</v>
      </c>
      <c r="N14" s="23">
        <v>2.1732231842999772E-2</v>
      </c>
      <c r="P14" t="s">
        <v>52</v>
      </c>
      <c r="Q14" s="20" t="s">
        <v>184</v>
      </c>
      <c r="T14" s="24">
        <v>56107702</v>
      </c>
      <c r="U14" s="24">
        <v>58213365</v>
      </c>
      <c r="V14" s="24">
        <v>61037331</v>
      </c>
      <c r="W14" s="24">
        <f t="shared" si="1"/>
        <v>80468.086681047687</v>
      </c>
      <c r="X14" s="24">
        <v>88566.895148409298</v>
      </c>
      <c r="Y14" s="24">
        <v>78777</v>
      </c>
      <c r="Z14" s="24">
        <v>697.26651041666696</v>
      </c>
      <c r="AA14" s="1">
        <v>738.96229166666603</v>
      </c>
      <c r="AD14" t="s">
        <v>21</v>
      </c>
      <c r="AE14" t="s">
        <v>199</v>
      </c>
      <c r="AF14" t="s">
        <v>187</v>
      </c>
      <c r="AG14">
        <v>10814175</v>
      </c>
      <c r="AH14">
        <v>9890773</v>
      </c>
      <c r="AI14">
        <v>10458903</v>
      </c>
      <c r="AJ14">
        <v>104467</v>
      </c>
      <c r="AK14">
        <v>101566.290164356</v>
      </c>
      <c r="AL14">
        <v>88848</v>
      </c>
      <c r="AM14">
        <v>103.517157258061</v>
      </c>
      <c r="AN14">
        <v>111.322721774193</v>
      </c>
      <c r="AO14">
        <v>102.97612103755201</v>
      </c>
    </row>
    <row r="15" spans="1:41" x14ac:dyDescent="0.35">
      <c r="A15" t="s">
        <v>161</v>
      </c>
      <c r="B15" t="s">
        <v>184</v>
      </c>
      <c r="C15" s="19">
        <f t="shared" si="0"/>
        <v>5.639056640563167E-2</v>
      </c>
      <c r="D15" s="16">
        <v>82715</v>
      </c>
      <c r="E15" s="16">
        <v>78299.639007036705</v>
      </c>
      <c r="P15" t="s">
        <v>17</v>
      </c>
      <c r="Q15" s="20" t="s">
        <v>184</v>
      </c>
      <c r="T15" s="24">
        <v>66935022</v>
      </c>
      <c r="U15" s="24">
        <v>50831779</v>
      </c>
      <c r="V15" s="24">
        <v>68539589</v>
      </c>
      <c r="W15" s="24">
        <f t="shared" si="1"/>
        <v>90466.855143912486</v>
      </c>
      <c r="X15" s="24">
        <v>93891.078961549894</v>
      </c>
      <c r="Y15" s="24">
        <v>88311</v>
      </c>
      <c r="Z15" s="24">
        <v>739.88447916666701</v>
      </c>
      <c r="AA15" s="1">
        <v>575.59718750000002</v>
      </c>
      <c r="AD15" t="s">
        <v>21</v>
      </c>
      <c r="AE15" t="s">
        <v>200</v>
      </c>
      <c r="AF15" t="s">
        <v>183</v>
      </c>
      <c r="AH15">
        <v>10998136</v>
      </c>
      <c r="AK15">
        <v>0</v>
      </c>
      <c r="AL15">
        <v>99535</v>
      </c>
      <c r="AN15">
        <v>110.494811827956</v>
      </c>
      <c r="AO15">
        <v>87.909090308325105</v>
      </c>
    </row>
    <row r="16" spans="1:41" x14ac:dyDescent="0.35">
      <c r="A16" t="s">
        <v>161</v>
      </c>
      <c r="B16" t="s">
        <v>185</v>
      </c>
      <c r="C16" s="19">
        <f t="shared" si="0"/>
        <v>5.2799712285868772E-2</v>
      </c>
      <c r="D16" s="16">
        <v>98791</v>
      </c>
      <c r="E16" s="16">
        <v>93836.461814281996</v>
      </c>
      <c r="P16" t="s">
        <v>104</v>
      </c>
      <c r="Q16" s="20" t="s">
        <v>184</v>
      </c>
      <c r="T16" s="24">
        <v>19367684</v>
      </c>
      <c r="U16" s="24">
        <v>23198859</v>
      </c>
      <c r="V16" s="24">
        <v>23197813</v>
      </c>
      <c r="W16" s="24">
        <f t="shared" si="1"/>
        <v>50189.202815868048</v>
      </c>
      <c r="X16" s="24">
        <v>59276.8907176344</v>
      </c>
      <c r="Y16" s="24">
        <v>52387</v>
      </c>
      <c r="Z16" s="24">
        <v>385.8934375</v>
      </c>
      <c r="AA16" s="1">
        <v>442.83598958333198</v>
      </c>
      <c r="AD16" t="s">
        <v>52</v>
      </c>
      <c r="AE16" t="s">
        <v>201</v>
      </c>
      <c r="AF16" t="s">
        <v>185</v>
      </c>
      <c r="AG16">
        <v>10068047</v>
      </c>
      <c r="AH16">
        <v>10084511</v>
      </c>
      <c r="AI16">
        <v>10204904</v>
      </c>
      <c r="AJ16">
        <v>92132</v>
      </c>
      <c r="AK16">
        <v>99470.288049203606</v>
      </c>
      <c r="AL16">
        <v>91781</v>
      </c>
      <c r="AM16">
        <v>109.27870295698899</v>
      </c>
      <c r="AN16">
        <v>109.876149193548</v>
      </c>
      <c r="AO16">
        <v>102.592483473578</v>
      </c>
    </row>
    <row r="17" spans="1:41" x14ac:dyDescent="0.35">
      <c r="A17" t="s">
        <v>161</v>
      </c>
      <c r="B17" t="s">
        <v>186</v>
      </c>
      <c r="C17" s="19">
        <f t="shared" si="0"/>
        <v>0.14797114105902476</v>
      </c>
      <c r="D17" s="16">
        <v>94405</v>
      </c>
      <c r="E17" s="16">
        <v>82236.387852842396</v>
      </c>
      <c r="P17" t="s">
        <v>21</v>
      </c>
      <c r="Q17" s="20" t="s">
        <v>184</v>
      </c>
      <c r="T17" s="24">
        <v>69364060</v>
      </c>
      <c r="U17" s="24">
        <v>68734801</v>
      </c>
      <c r="V17" s="24">
        <v>64574187</v>
      </c>
      <c r="W17" s="24">
        <f t="shared" si="1"/>
        <v>98443.945034482575</v>
      </c>
      <c r="X17" s="24">
        <v>80645.588990607401</v>
      </c>
      <c r="Y17" s="24">
        <v>82964</v>
      </c>
      <c r="Z17" s="24">
        <v>704.60463541666695</v>
      </c>
      <c r="AA17" s="1">
        <v>828.49182291666602</v>
      </c>
      <c r="AD17" t="s">
        <v>52</v>
      </c>
      <c r="AE17" t="s">
        <v>202</v>
      </c>
      <c r="AF17" t="s">
        <v>184</v>
      </c>
      <c r="AG17">
        <v>4191044</v>
      </c>
      <c r="AH17">
        <v>9052197</v>
      </c>
      <c r="AI17">
        <v>9154173</v>
      </c>
      <c r="AJ17">
        <v>49085</v>
      </c>
      <c r="AK17">
        <v>93405.144642720799</v>
      </c>
      <c r="AL17">
        <v>82545</v>
      </c>
      <c r="AM17">
        <v>85.384010416666598</v>
      </c>
      <c r="AN17">
        <v>109.663697916666</v>
      </c>
      <c r="AO17">
        <v>98.0050147003695</v>
      </c>
    </row>
    <row r="18" spans="1:41" x14ac:dyDescent="0.35">
      <c r="A18" t="s">
        <v>161</v>
      </c>
      <c r="B18" t="s">
        <v>187</v>
      </c>
      <c r="C18" s="19">
        <f t="shared" si="0"/>
        <v>0.14184099483635193</v>
      </c>
      <c r="D18" s="16">
        <v>96669</v>
      </c>
      <c r="E18" s="16">
        <v>84660.6492823062</v>
      </c>
      <c r="P18" t="s">
        <v>12</v>
      </c>
      <c r="Q18" s="20" t="s">
        <v>184</v>
      </c>
      <c r="T18" s="24">
        <v>86411210</v>
      </c>
      <c r="U18" s="24">
        <v>73985085</v>
      </c>
      <c r="V18" s="24">
        <v>78965469</v>
      </c>
      <c r="W18" s="24">
        <f t="shared" si="1"/>
        <v>94180.513756718385</v>
      </c>
      <c r="X18" s="24">
        <v>90169.059955281802</v>
      </c>
      <c r="Y18" s="24">
        <v>80430</v>
      </c>
      <c r="Z18" s="24">
        <v>917.506249999999</v>
      </c>
      <c r="AA18" s="1">
        <v>919.87031249999905</v>
      </c>
      <c r="AD18" t="s">
        <v>52</v>
      </c>
      <c r="AE18" t="s">
        <v>201</v>
      </c>
      <c r="AF18" t="s">
        <v>184</v>
      </c>
      <c r="AG18">
        <v>8458734</v>
      </c>
      <c r="AH18">
        <v>8543304</v>
      </c>
      <c r="AI18">
        <v>8754597</v>
      </c>
      <c r="AJ18">
        <v>77741</v>
      </c>
      <c r="AK18">
        <v>85333.709714266297</v>
      </c>
      <c r="AL18">
        <v>78222</v>
      </c>
      <c r="AM18">
        <v>108.8059375</v>
      </c>
      <c r="AN18">
        <v>109.21885416666601</v>
      </c>
      <c r="AO18">
        <v>102.592483473578</v>
      </c>
    </row>
    <row r="19" spans="1:41" x14ac:dyDescent="0.35">
      <c r="A19" t="s">
        <v>161</v>
      </c>
      <c r="B19" t="s">
        <v>188</v>
      </c>
      <c r="C19" s="19">
        <f t="shared" si="0"/>
        <v>0.17126495764537641</v>
      </c>
      <c r="D19" s="16">
        <v>93528</v>
      </c>
      <c r="E19" s="16">
        <v>79852.1285807284</v>
      </c>
      <c r="P19" t="s">
        <v>14</v>
      </c>
      <c r="Q19" s="20" t="s">
        <v>184</v>
      </c>
      <c r="T19" s="24">
        <v>99589916</v>
      </c>
      <c r="U19" s="24">
        <v>93654698</v>
      </c>
      <c r="V19" s="24">
        <v>97385479</v>
      </c>
      <c r="W19" s="24">
        <f t="shared" si="1"/>
        <v>87729.455617358995</v>
      </c>
      <c r="X19" s="24">
        <v>87147.722428542402</v>
      </c>
      <c r="Y19" s="24">
        <v>80707</v>
      </c>
      <c r="Z19" s="24">
        <v>1135.19359374999</v>
      </c>
      <c r="AA19" s="1">
        <v>1160.4354687499899</v>
      </c>
      <c r="AD19" t="s">
        <v>21</v>
      </c>
      <c r="AE19" t="s">
        <v>199</v>
      </c>
      <c r="AF19" t="s">
        <v>184</v>
      </c>
      <c r="AG19">
        <v>11615479</v>
      </c>
      <c r="AH19">
        <v>8959163</v>
      </c>
      <c r="AI19">
        <v>10308078</v>
      </c>
      <c r="AJ19">
        <v>127786</v>
      </c>
      <c r="AK19">
        <v>100101.636340923</v>
      </c>
      <c r="AL19">
        <v>83319</v>
      </c>
      <c r="AM19">
        <v>90.897916666666603</v>
      </c>
      <c r="AN19">
        <v>107.528437499999</v>
      </c>
      <c r="AO19">
        <v>102.97612103755201</v>
      </c>
    </row>
    <row r="20" spans="1:41" x14ac:dyDescent="0.35">
      <c r="A20" t="s">
        <v>162</v>
      </c>
      <c r="B20" t="s">
        <v>183</v>
      </c>
      <c r="C20" s="19">
        <f t="shared" si="0"/>
        <v>-3.9968756984616105E-2</v>
      </c>
      <c r="D20" s="16">
        <v>85852</v>
      </c>
      <c r="E20" s="16">
        <v>89426.256306352603</v>
      </c>
      <c r="G20" s="2" t="s">
        <v>195</v>
      </c>
      <c r="H20" s="2" t="s">
        <v>138</v>
      </c>
      <c r="P20" t="s">
        <v>35</v>
      </c>
      <c r="Q20" s="20" t="s">
        <v>185</v>
      </c>
      <c r="T20" s="24">
        <v>62528662</v>
      </c>
      <c r="U20" s="24">
        <v>62224247</v>
      </c>
      <c r="V20" s="24">
        <v>61467871</v>
      </c>
      <c r="W20" s="24">
        <f t="shared" si="1"/>
        <v>86867.645939535287</v>
      </c>
      <c r="X20" s="24">
        <v>86811.790994238399</v>
      </c>
      <c r="Y20" s="24">
        <v>84658</v>
      </c>
      <c r="Z20" s="24">
        <v>719.81531586021595</v>
      </c>
      <c r="AA20" s="1">
        <v>735.00301075268897</v>
      </c>
      <c r="AD20" t="s">
        <v>52</v>
      </c>
      <c r="AE20" t="s">
        <v>201</v>
      </c>
      <c r="AF20" t="s">
        <v>187</v>
      </c>
      <c r="AG20">
        <v>9451428</v>
      </c>
      <c r="AH20">
        <v>9042337</v>
      </c>
      <c r="AI20">
        <v>9355099</v>
      </c>
      <c r="AJ20">
        <v>85911</v>
      </c>
      <c r="AK20">
        <v>91186.981407944098</v>
      </c>
      <c r="AL20">
        <v>84392</v>
      </c>
      <c r="AM20">
        <v>110.013797043007</v>
      </c>
      <c r="AN20">
        <v>107.146572580645</v>
      </c>
      <c r="AO20">
        <v>102.592483473578</v>
      </c>
    </row>
    <row r="21" spans="1:41" x14ac:dyDescent="0.35">
      <c r="A21" t="s">
        <v>162</v>
      </c>
      <c r="B21" t="s">
        <v>184</v>
      </c>
      <c r="C21" s="19">
        <f t="shared" si="0"/>
        <v>3.8970348017801637E-3</v>
      </c>
      <c r="D21" s="16">
        <v>83961</v>
      </c>
      <c r="E21" s="16">
        <v>83635.071216818702</v>
      </c>
      <c r="G21" s="2" t="s">
        <v>134</v>
      </c>
      <c r="H21" s="23" t="s">
        <v>183</v>
      </c>
      <c r="I21" s="23" t="s">
        <v>184</v>
      </c>
      <c r="J21" s="23" t="s">
        <v>185</v>
      </c>
      <c r="K21" s="23" t="s">
        <v>186</v>
      </c>
      <c r="L21" s="23" t="s">
        <v>187</v>
      </c>
      <c r="M21" s="23" t="s">
        <v>188</v>
      </c>
      <c r="N21" s="23" t="s">
        <v>135</v>
      </c>
      <c r="P21" t="s">
        <v>9</v>
      </c>
      <c r="Q21" s="20" t="s">
        <v>185</v>
      </c>
      <c r="T21" s="24">
        <v>11456050</v>
      </c>
      <c r="U21" s="24">
        <v>11447586</v>
      </c>
      <c r="V21" s="24">
        <v>10939310</v>
      </c>
      <c r="W21" s="24">
        <f t="shared" si="1"/>
        <v>79617.977987803926</v>
      </c>
      <c r="X21" s="24">
        <v>76896.497230352601</v>
      </c>
      <c r="Y21" s="24">
        <v>64366</v>
      </c>
      <c r="Z21" s="24">
        <v>143.88772849462299</v>
      </c>
      <c r="AA21" s="1">
        <v>177.85113575268699</v>
      </c>
      <c r="AD21" t="s">
        <v>52</v>
      </c>
      <c r="AE21" t="s">
        <v>201</v>
      </c>
      <c r="AF21" t="s">
        <v>186</v>
      </c>
      <c r="AG21">
        <v>9083748</v>
      </c>
      <c r="AH21">
        <v>8487577</v>
      </c>
      <c r="AI21">
        <v>8991227</v>
      </c>
      <c r="AJ21">
        <v>83121</v>
      </c>
      <c r="AK21">
        <v>87640.210678939198</v>
      </c>
      <c r="AL21">
        <v>79311</v>
      </c>
      <c r="AM21">
        <v>109.28341666667001</v>
      </c>
      <c r="AN21">
        <v>107.016583333333</v>
      </c>
      <c r="AO21">
        <v>102.592483473578</v>
      </c>
    </row>
    <row r="22" spans="1:41" x14ac:dyDescent="0.35">
      <c r="A22" t="s">
        <v>162</v>
      </c>
      <c r="B22" t="s">
        <v>185</v>
      </c>
      <c r="C22" s="19">
        <f t="shared" si="0"/>
        <v>1.7481049167210161E-2</v>
      </c>
      <c r="D22" s="16">
        <v>104625</v>
      </c>
      <c r="E22" s="16">
        <v>102827.46797656199</v>
      </c>
      <c r="G22" s="3" t="s">
        <v>35</v>
      </c>
      <c r="H22" s="22">
        <v>-1.0223948989728782E-2</v>
      </c>
      <c r="I22" s="22">
        <v>-8.0320744124687815E-3</v>
      </c>
      <c r="J22" s="22">
        <v>6.4748123633728838E-4</v>
      </c>
      <c r="K22" s="22">
        <v>0.10243213283633357</v>
      </c>
      <c r="L22" s="22">
        <v>0.10644388800280979</v>
      </c>
      <c r="M22" s="22">
        <v>0.12548758077042432</v>
      </c>
      <c r="N22" s="22">
        <v>5.074327446815996E-2</v>
      </c>
      <c r="P22" t="s">
        <v>19</v>
      </c>
      <c r="Q22" s="20" t="s">
        <v>185</v>
      </c>
      <c r="T22" s="24">
        <v>85957877</v>
      </c>
      <c r="U22" s="24">
        <v>78248270</v>
      </c>
      <c r="V22" s="24">
        <v>83656828</v>
      </c>
      <c r="W22" s="24">
        <f t="shared" si="1"/>
        <v>116601.44198897065</v>
      </c>
      <c r="X22" s="24">
        <v>119793.75673547</v>
      </c>
      <c r="Y22" s="24">
        <v>106386</v>
      </c>
      <c r="Z22" s="24">
        <v>737.19394489247202</v>
      </c>
      <c r="AA22" s="1">
        <v>735.51352150537798</v>
      </c>
      <c r="AD22" t="s">
        <v>52</v>
      </c>
      <c r="AE22" t="s">
        <v>201</v>
      </c>
      <c r="AF22" t="s">
        <v>183</v>
      </c>
      <c r="AG22">
        <v>8650247</v>
      </c>
      <c r="AH22">
        <v>8642735</v>
      </c>
      <c r="AI22">
        <v>9328140</v>
      </c>
      <c r="AJ22">
        <v>83388</v>
      </c>
      <c r="AK22">
        <v>90924.202243357999</v>
      </c>
      <c r="AL22">
        <v>81457</v>
      </c>
      <c r="AM22">
        <v>103.734448924731</v>
      </c>
      <c r="AN22">
        <v>106.102264784946</v>
      </c>
      <c r="AO22">
        <v>102.592483473578</v>
      </c>
    </row>
    <row r="23" spans="1:41" x14ac:dyDescent="0.35">
      <c r="A23" t="s">
        <v>162</v>
      </c>
      <c r="B23" t="s">
        <v>186</v>
      </c>
      <c r="C23" s="19">
        <f t="shared" si="0"/>
        <v>0.12173670514262191</v>
      </c>
      <c r="D23" s="16">
        <v>98342</v>
      </c>
      <c r="E23" s="16">
        <v>87669.4143546782</v>
      </c>
      <c r="G23" s="3" t="s">
        <v>9</v>
      </c>
      <c r="H23" s="22">
        <v>-0.15450452536824255</v>
      </c>
      <c r="I23" s="22">
        <v>1.8671762796840241E-3</v>
      </c>
      <c r="J23" s="22">
        <v>3.5391765134565434E-2</v>
      </c>
      <c r="K23" s="22">
        <v>3.7875132604206829E-2</v>
      </c>
      <c r="L23" s="22">
        <v>7.5975318627574229E-2</v>
      </c>
      <c r="M23" s="22">
        <v>0.13541173266968198</v>
      </c>
      <c r="N23" s="22">
        <v>1.7191322337089199E-2</v>
      </c>
      <c r="P23" t="s">
        <v>52</v>
      </c>
      <c r="Q23" s="20" t="s">
        <v>185</v>
      </c>
      <c r="T23" s="24">
        <v>69740297</v>
      </c>
      <c r="U23" s="24">
        <v>70456023</v>
      </c>
      <c r="V23" s="24">
        <v>71431661</v>
      </c>
      <c r="W23" s="24">
        <f t="shared" si="1"/>
        <v>98114.244964755024</v>
      </c>
      <c r="X23" s="24">
        <v>103649.362102934</v>
      </c>
      <c r="Y23" s="24">
        <v>95948</v>
      </c>
      <c r="Z23" s="24">
        <v>710.80704973118202</v>
      </c>
      <c r="AA23" s="1">
        <v>734.31472446236796</v>
      </c>
      <c r="AD23" t="s">
        <v>52</v>
      </c>
      <c r="AE23" t="s">
        <v>202</v>
      </c>
      <c r="AF23" t="s">
        <v>185</v>
      </c>
      <c r="AG23">
        <v>9593285</v>
      </c>
      <c r="AH23">
        <v>10716261</v>
      </c>
      <c r="AI23">
        <v>11059506</v>
      </c>
      <c r="AJ23">
        <v>102699</v>
      </c>
      <c r="AK23">
        <v>112846.330723098</v>
      </c>
      <c r="AL23">
        <v>101253</v>
      </c>
      <c r="AM23">
        <v>93.411989247311794</v>
      </c>
      <c r="AN23">
        <v>105.836659946236</v>
      </c>
      <c r="AO23">
        <v>98.0050147003695</v>
      </c>
    </row>
    <row r="24" spans="1:41" x14ac:dyDescent="0.35">
      <c r="A24" t="s">
        <v>162</v>
      </c>
      <c r="B24" t="s">
        <v>187</v>
      </c>
      <c r="C24" s="19">
        <f t="shared" si="0"/>
        <v>8.7472486242626379E-2</v>
      </c>
      <c r="D24" s="16">
        <v>97749</v>
      </c>
      <c r="E24" s="16">
        <v>89886.412057869005</v>
      </c>
      <c r="G24" s="3" t="s">
        <v>19</v>
      </c>
      <c r="H24" s="22">
        <v>-1.7032262392277397E-2</v>
      </c>
      <c r="I24" s="22">
        <v>3.1008566943715898E-2</v>
      </c>
      <c r="J24" s="22">
        <v>-2.6652112952098905E-2</v>
      </c>
      <c r="K24" s="22">
        <v>6.5329938597104009E-2</v>
      </c>
      <c r="L24" s="22">
        <v>3.9648578513286736E-2</v>
      </c>
      <c r="M24" s="22">
        <v>5.5166501900940634E-2</v>
      </c>
      <c r="N24" s="22">
        <v>2.2758152433601575E-2</v>
      </c>
      <c r="P24" t="s">
        <v>17</v>
      </c>
      <c r="Q24" s="20" t="s">
        <v>185</v>
      </c>
      <c r="T24" s="24">
        <v>82132825</v>
      </c>
      <c r="U24" s="24">
        <v>60767863</v>
      </c>
      <c r="V24" s="24">
        <v>83030927</v>
      </c>
      <c r="W24" s="24">
        <f t="shared" si="1"/>
        <v>107621.03137043284</v>
      </c>
      <c r="X24" s="24">
        <v>113742.487195751</v>
      </c>
      <c r="Y24" s="24">
        <v>104958</v>
      </c>
      <c r="Z24" s="24">
        <v>763.16704973117999</v>
      </c>
      <c r="AA24" s="1">
        <v>578.97230510752797</v>
      </c>
      <c r="AD24" t="s">
        <v>52</v>
      </c>
      <c r="AE24" t="s">
        <v>203</v>
      </c>
      <c r="AF24" t="s">
        <v>185</v>
      </c>
      <c r="AG24">
        <v>10069020</v>
      </c>
      <c r="AH24">
        <v>10358837</v>
      </c>
      <c r="AI24">
        <v>9965257</v>
      </c>
      <c r="AJ24">
        <v>93110</v>
      </c>
      <c r="AK24">
        <v>97530.842733194106</v>
      </c>
      <c r="AL24">
        <v>97972</v>
      </c>
      <c r="AM24">
        <v>108.141532258064</v>
      </c>
      <c r="AN24">
        <v>105.732224462365</v>
      </c>
      <c r="AO24">
        <v>102.175440857832</v>
      </c>
    </row>
    <row r="25" spans="1:41" x14ac:dyDescent="0.35">
      <c r="A25" t="s">
        <v>162</v>
      </c>
      <c r="B25" t="s">
        <v>188</v>
      </c>
      <c r="C25" s="19">
        <f t="shared" si="0"/>
        <v>9.8932789536171351E-2</v>
      </c>
      <c r="D25" s="16">
        <v>92753</v>
      </c>
      <c r="E25" s="16">
        <v>84402.795951832901</v>
      </c>
      <c r="G25" s="3" t="s">
        <v>52</v>
      </c>
      <c r="H25" s="22">
        <v>-7.2939574642387539E-2</v>
      </c>
      <c r="I25" s="22">
        <v>-9.1443819215274336E-2</v>
      </c>
      <c r="J25" s="22">
        <v>-5.3404690493288665E-2</v>
      </c>
      <c r="K25" s="22">
        <v>4.6653257791579916E-2</v>
      </c>
      <c r="L25" s="22">
        <v>2.8742420538018898E-2</v>
      </c>
      <c r="M25" s="22">
        <v>5.6652088137170153E-2</v>
      </c>
      <c r="N25" s="22">
        <v>-1.503879404325803E-2</v>
      </c>
      <c r="P25" t="s">
        <v>104</v>
      </c>
      <c r="Q25" s="20" t="s">
        <v>185</v>
      </c>
      <c r="T25" s="24">
        <v>22067893</v>
      </c>
      <c r="U25" s="24">
        <v>24328267</v>
      </c>
      <c r="V25" s="24">
        <v>24587429</v>
      </c>
      <c r="W25" s="24">
        <f t="shared" si="1"/>
        <v>48621.3211491439</v>
      </c>
      <c r="X25" s="24">
        <v>62827.745940031702</v>
      </c>
      <c r="Y25" s="24">
        <v>56796</v>
      </c>
      <c r="Z25" s="24">
        <v>453.87275537634298</v>
      </c>
      <c r="AA25" s="1">
        <v>428.34256048387101</v>
      </c>
      <c r="AD25" t="s">
        <v>52</v>
      </c>
      <c r="AE25" t="s">
        <v>203</v>
      </c>
      <c r="AF25" t="s">
        <v>186</v>
      </c>
      <c r="AG25">
        <v>9181730</v>
      </c>
      <c r="AH25">
        <v>9286509</v>
      </c>
      <c r="AI25">
        <v>8800818</v>
      </c>
      <c r="AJ25">
        <v>99114</v>
      </c>
      <c r="AK25">
        <v>86134.378178466097</v>
      </c>
      <c r="AL25">
        <v>88422</v>
      </c>
      <c r="AM25">
        <v>92.638194444446796</v>
      </c>
      <c r="AN25">
        <v>105.024840277777</v>
      </c>
      <c r="AO25">
        <v>102.175440857832</v>
      </c>
    </row>
    <row r="26" spans="1:41" x14ac:dyDescent="0.35">
      <c r="A26" t="s">
        <v>163</v>
      </c>
      <c r="B26" t="s">
        <v>183</v>
      </c>
      <c r="C26" s="19">
        <f t="shared" si="0"/>
        <v>-7.0747218031045001E-2</v>
      </c>
      <c r="D26" s="16">
        <v>69329</v>
      </c>
      <c r="E26" s="16">
        <v>74607.255792230906</v>
      </c>
      <c r="G26" s="3" t="s">
        <v>17</v>
      </c>
      <c r="H26" s="22">
        <v>-4.7625575055301628E-2</v>
      </c>
      <c r="I26" s="22">
        <v>-3.6468629388657026E-2</v>
      </c>
      <c r="J26" s="22">
        <v>-5.3818826602726855E-2</v>
      </c>
      <c r="K26" s="22">
        <v>4.718692934411739E-2</v>
      </c>
      <c r="L26" s="22">
        <v>3.8659323461284867E-2</v>
      </c>
      <c r="M26" s="22">
        <v>5.8889860514289794E-2</v>
      </c>
      <c r="N26" s="22">
        <v>-8.0874992781765354E-4</v>
      </c>
      <c r="P26" t="s">
        <v>21</v>
      </c>
      <c r="Q26" s="20" t="s">
        <v>185</v>
      </c>
      <c r="T26" s="24">
        <v>83545882</v>
      </c>
      <c r="U26" s="24">
        <v>80567392</v>
      </c>
      <c r="V26" s="24">
        <v>84160316</v>
      </c>
      <c r="W26" s="24">
        <f t="shared" si="1"/>
        <v>111716.49609574993</v>
      </c>
      <c r="X26" s="24">
        <v>105106.36824993401</v>
      </c>
      <c r="Y26" s="24">
        <v>104896</v>
      </c>
      <c r="Z26" s="24">
        <v>747.83836693548403</v>
      </c>
      <c r="AA26" s="1">
        <v>768.07123655914097</v>
      </c>
      <c r="AD26" t="s">
        <v>21</v>
      </c>
      <c r="AE26" t="s">
        <v>200</v>
      </c>
      <c r="AF26" t="s">
        <v>184</v>
      </c>
      <c r="AG26">
        <v>482</v>
      </c>
      <c r="AH26">
        <v>9091264</v>
      </c>
      <c r="AI26">
        <v>0</v>
      </c>
      <c r="AK26">
        <v>0</v>
      </c>
      <c r="AL26">
        <v>86662</v>
      </c>
      <c r="AN26">
        <v>104.905416666666</v>
      </c>
      <c r="AO26">
        <v>87.909090308325105</v>
      </c>
    </row>
    <row r="27" spans="1:41" x14ac:dyDescent="0.35">
      <c r="A27" t="s">
        <v>163</v>
      </c>
      <c r="B27" t="s">
        <v>184</v>
      </c>
      <c r="C27" s="19">
        <f t="shared" si="0"/>
        <v>-8.5022981363037098E-2</v>
      </c>
      <c r="D27" s="16">
        <v>62584</v>
      </c>
      <c r="E27" s="16">
        <v>68399.532146972502</v>
      </c>
      <c r="G27" s="3" t="s">
        <v>104</v>
      </c>
      <c r="H27" s="22">
        <v>-9.780018853691852E-2</v>
      </c>
      <c r="I27" s="22">
        <v>-0.15331254064800037</v>
      </c>
      <c r="J27" s="22">
        <v>-0.22612216509552741</v>
      </c>
      <c r="K27" s="22">
        <v>-0.21185202602582887</v>
      </c>
      <c r="L27" s="22">
        <v>-0.22003720097449908</v>
      </c>
      <c r="M27" s="22">
        <v>-0.12264255207631014</v>
      </c>
      <c r="N27" s="22">
        <v>-0.17271928982583029</v>
      </c>
      <c r="P27" t="s">
        <v>12</v>
      </c>
      <c r="Q27" s="20" t="s">
        <v>185</v>
      </c>
      <c r="T27" s="24">
        <v>105222802</v>
      </c>
      <c r="U27" s="24">
        <v>94886521</v>
      </c>
      <c r="V27" s="24">
        <v>101563316</v>
      </c>
      <c r="W27" s="24">
        <f t="shared" si="1"/>
        <v>109907.31778896692</v>
      </c>
      <c r="X27" s="24">
        <v>115973.08133177301</v>
      </c>
      <c r="Y27" s="24">
        <v>100520</v>
      </c>
      <c r="Z27" s="24">
        <v>957.37758064516095</v>
      </c>
      <c r="AA27" s="1">
        <v>943.96006720430205</v>
      </c>
      <c r="AD27" t="s">
        <v>52</v>
      </c>
      <c r="AE27" t="s">
        <v>203</v>
      </c>
      <c r="AF27" t="s">
        <v>183</v>
      </c>
      <c r="AG27">
        <v>8710152</v>
      </c>
      <c r="AH27">
        <v>9150518</v>
      </c>
      <c r="AI27">
        <v>9842127</v>
      </c>
      <c r="AJ27">
        <v>79893</v>
      </c>
      <c r="AK27">
        <v>96325.755267299799</v>
      </c>
      <c r="AL27">
        <v>87539</v>
      </c>
      <c r="AM27">
        <v>109.022083333333</v>
      </c>
      <c r="AN27">
        <v>104.530557795698</v>
      </c>
      <c r="AO27">
        <v>102.175440857832</v>
      </c>
    </row>
    <row r="28" spans="1:41" x14ac:dyDescent="0.35">
      <c r="A28" t="s">
        <v>163</v>
      </c>
      <c r="B28" t="s">
        <v>185</v>
      </c>
      <c r="C28" s="19">
        <f t="shared" si="0"/>
        <v>-0.16213638948905562</v>
      </c>
      <c r="D28" s="16">
        <v>65221</v>
      </c>
      <c r="E28" s="16">
        <v>77842.024861572703</v>
      </c>
      <c r="G28" s="3" t="s">
        <v>21</v>
      </c>
      <c r="H28" s="22">
        <v>0.14534461394738507</v>
      </c>
      <c r="I28" s="22">
        <v>0.2206991260422877</v>
      </c>
      <c r="J28" s="22">
        <v>6.2885169187359313E-2</v>
      </c>
      <c r="K28" s="22">
        <v>0.17063662876309138</v>
      </c>
      <c r="L28" s="22">
        <v>0.13720513615970087</v>
      </c>
      <c r="M28" s="22">
        <v>0.16524438694247268</v>
      </c>
      <c r="N28" s="22">
        <v>0.1460816174152324</v>
      </c>
      <c r="P28" t="s">
        <v>14</v>
      </c>
      <c r="Q28" s="20" t="s">
        <v>185</v>
      </c>
      <c r="T28" s="24">
        <v>121448579</v>
      </c>
      <c r="U28" s="24">
        <v>119783664</v>
      </c>
      <c r="V28" s="24">
        <v>119038808</v>
      </c>
      <c r="W28" s="24">
        <f t="shared" si="1"/>
        <v>104432.09725104144</v>
      </c>
      <c r="X28" s="24">
        <v>106524.720494797</v>
      </c>
      <c r="Y28" s="24">
        <v>101503</v>
      </c>
      <c r="Z28" s="24">
        <v>1162.9430241935399</v>
      </c>
      <c r="AA28" s="1">
        <v>1180.10186827957</v>
      </c>
      <c r="AD28" t="s">
        <v>52</v>
      </c>
      <c r="AE28" t="s">
        <v>203</v>
      </c>
      <c r="AF28" t="s">
        <v>187</v>
      </c>
      <c r="AG28">
        <v>9552297</v>
      </c>
      <c r="AH28">
        <v>9364853</v>
      </c>
      <c r="AI28">
        <v>9053300</v>
      </c>
      <c r="AJ28">
        <v>98608</v>
      </c>
      <c r="AK28">
        <v>88605.444465826702</v>
      </c>
      <c r="AL28">
        <v>89956</v>
      </c>
      <c r="AM28">
        <v>96.871626344085996</v>
      </c>
      <c r="AN28">
        <v>104.104865591397</v>
      </c>
      <c r="AO28">
        <v>102.175440857832</v>
      </c>
    </row>
    <row r="29" spans="1:41" x14ac:dyDescent="0.35">
      <c r="A29" t="s">
        <v>163</v>
      </c>
      <c r="B29" t="s">
        <v>186</v>
      </c>
      <c r="C29" s="19">
        <f t="shared" si="0"/>
        <v>-0.12840437511412328</v>
      </c>
      <c r="D29" s="16">
        <v>66820</v>
      </c>
      <c r="E29" s="16">
        <v>76663.991984527398</v>
      </c>
      <c r="G29" s="3" t="s">
        <v>12</v>
      </c>
      <c r="H29" s="22">
        <v>1.1724869241217295E-2</v>
      </c>
      <c r="I29" s="22">
        <v>4.4493533000209418E-2</v>
      </c>
      <c r="J29" s="22">
        <v>-5.2305942569718433E-2</v>
      </c>
      <c r="K29" s="22">
        <v>9.5505140221431972E-2</v>
      </c>
      <c r="L29" s="22">
        <v>8.433388575562395E-2</v>
      </c>
      <c r="M29" s="22">
        <v>7.561149747928031E-2</v>
      </c>
      <c r="N29" s="22">
        <v>3.8573862583613394E-2</v>
      </c>
      <c r="P29" t="s">
        <v>35</v>
      </c>
      <c r="Q29" s="20" t="s">
        <v>186</v>
      </c>
      <c r="T29" s="24">
        <v>56689609</v>
      </c>
      <c r="U29" s="24">
        <v>54984230</v>
      </c>
      <c r="V29" s="24">
        <v>53627613</v>
      </c>
      <c r="W29" s="24">
        <f t="shared" si="1"/>
        <v>83497.389210594149</v>
      </c>
      <c r="X29" s="24">
        <v>75738.902661680593</v>
      </c>
      <c r="Y29" s="24">
        <v>77113</v>
      </c>
      <c r="Z29" s="24">
        <v>678.93870138884802</v>
      </c>
      <c r="AA29" s="1">
        <v>713.03764583333304</v>
      </c>
      <c r="AD29" t="s">
        <v>52</v>
      </c>
      <c r="AE29" t="s">
        <v>203</v>
      </c>
      <c r="AF29" t="s">
        <v>184</v>
      </c>
      <c r="AG29">
        <v>8375768</v>
      </c>
      <c r="AH29">
        <v>8081573</v>
      </c>
      <c r="AI29">
        <v>8937230</v>
      </c>
      <c r="AJ29">
        <v>77660</v>
      </c>
      <c r="AK29">
        <v>87469.450134649698</v>
      </c>
      <c r="AL29">
        <v>77838</v>
      </c>
      <c r="AM29">
        <v>107.851249999999</v>
      </c>
      <c r="AN29">
        <v>103.82505208333301</v>
      </c>
      <c r="AO29">
        <v>102.175440857832</v>
      </c>
    </row>
    <row r="30" spans="1:41" x14ac:dyDescent="0.35">
      <c r="A30" t="s">
        <v>163</v>
      </c>
      <c r="B30" t="s">
        <v>187</v>
      </c>
      <c r="C30" s="19">
        <f t="shared" si="0"/>
        <v>-0.15320423044435871</v>
      </c>
      <c r="D30" s="16">
        <v>62838</v>
      </c>
      <c r="E30" s="16">
        <v>74206.794907554198</v>
      </c>
      <c r="G30" s="3" t="s">
        <v>14</v>
      </c>
      <c r="H30" s="22">
        <v>-1.1111145289038338E-2</v>
      </c>
      <c r="I30" s="22">
        <v>6.6700259657872518E-3</v>
      </c>
      <c r="J30" s="22">
        <v>-1.9645397660529085E-2</v>
      </c>
      <c r="K30" s="22">
        <v>7.8041953652114415E-2</v>
      </c>
      <c r="L30" s="22">
        <v>5.7143000230299501E-2</v>
      </c>
      <c r="M30" s="22">
        <v>4.3695856525385102E-2</v>
      </c>
      <c r="N30" s="22">
        <v>2.4418495592595013E-2</v>
      </c>
      <c r="P30" t="s">
        <v>9</v>
      </c>
      <c r="Q30" s="20" t="s">
        <v>186</v>
      </c>
      <c r="T30" s="24">
        <v>9008726</v>
      </c>
      <c r="U30" s="24">
        <v>9079753</v>
      </c>
      <c r="V30" s="24">
        <v>9075181</v>
      </c>
      <c r="W30" s="24">
        <f t="shared" si="1"/>
        <v>66209.424264939677</v>
      </c>
      <c r="X30" s="24">
        <v>63792.837808793302</v>
      </c>
      <c r="Y30" s="24">
        <v>54519</v>
      </c>
      <c r="Z30" s="24">
        <v>136.06410416667001</v>
      </c>
      <c r="AA30" s="1">
        <v>166.54356249999901</v>
      </c>
      <c r="AD30" t="s">
        <v>21</v>
      </c>
      <c r="AE30" t="s">
        <v>199</v>
      </c>
      <c r="AF30" t="s">
        <v>185</v>
      </c>
      <c r="AG30">
        <v>14434788</v>
      </c>
      <c r="AH30">
        <v>13946827</v>
      </c>
      <c r="AI30">
        <v>13918447</v>
      </c>
      <c r="AJ30">
        <v>133787</v>
      </c>
      <c r="AK30">
        <v>135161.88911431399</v>
      </c>
      <c r="AL30">
        <v>135059</v>
      </c>
      <c r="AM30">
        <v>107.894038978494</v>
      </c>
      <c r="AN30">
        <v>103.264536290322</v>
      </c>
      <c r="AO30">
        <v>102.97612103755201</v>
      </c>
    </row>
    <row r="31" spans="1:41" x14ac:dyDescent="0.35">
      <c r="A31" t="s">
        <v>163</v>
      </c>
      <c r="B31" t="s">
        <v>188</v>
      </c>
      <c r="C31" s="19">
        <f t="shared" si="0"/>
        <v>-8.6139982970218854E-2</v>
      </c>
      <c r="D31" s="16">
        <v>63352</v>
      </c>
      <c r="E31" s="16">
        <v>69323.527476238698</v>
      </c>
      <c r="G31" s="3" t="s">
        <v>135</v>
      </c>
      <c r="H31" s="22">
        <v>-2.5281530895466808E-2</v>
      </c>
      <c r="I31" s="22">
        <v>5.7432407657060924E-3</v>
      </c>
      <c r="J31" s="22">
        <v>-3.1220693885984474E-2</v>
      </c>
      <c r="K31" s="22">
        <v>5.319107895751074E-2</v>
      </c>
      <c r="L31" s="22">
        <v>4.4132313535671042E-2</v>
      </c>
      <c r="M31" s="22">
        <v>6.6973580799200905E-2</v>
      </c>
      <c r="N31" s="22">
        <v>1.709491112298811E-2</v>
      </c>
      <c r="P31" t="s">
        <v>19</v>
      </c>
      <c r="Q31" s="20" t="s">
        <v>186</v>
      </c>
      <c r="T31" s="24">
        <v>75407822</v>
      </c>
      <c r="U31" s="24">
        <v>65251387</v>
      </c>
      <c r="V31" s="24">
        <v>70847478</v>
      </c>
      <c r="W31" s="24">
        <f t="shared" si="1"/>
        <v>108079.42010083595</v>
      </c>
      <c r="X31" s="24">
        <v>101451.199374276</v>
      </c>
      <c r="Y31" s="24">
        <v>91979</v>
      </c>
      <c r="Z31" s="24">
        <v>697.70749999996303</v>
      </c>
      <c r="AA31" s="1">
        <v>709.41266666666604</v>
      </c>
      <c r="AD31" t="s">
        <v>52</v>
      </c>
      <c r="AE31" t="s">
        <v>202</v>
      </c>
      <c r="AF31" t="s">
        <v>183</v>
      </c>
      <c r="AG31">
        <v>9608067</v>
      </c>
      <c r="AH31">
        <v>9785448</v>
      </c>
      <c r="AI31">
        <v>9986924</v>
      </c>
      <c r="AJ31">
        <v>103414</v>
      </c>
      <c r="AK31">
        <v>101902.168279174</v>
      </c>
      <c r="AL31">
        <v>95075</v>
      </c>
      <c r="AM31">
        <v>92.909193548387094</v>
      </c>
      <c r="AN31">
        <v>102.92305107526801</v>
      </c>
      <c r="AO31">
        <v>98.0050147003695</v>
      </c>
    </row>
    <row r="32" spans="1:41" x14ac:dyDescent="0.35">
      <c r="A32" t="s">
        <v>164</v>
      </c>
      <c r="B32" t="s">
        <v>183</v>
      </c>
      <c r="C32" s="19">
        <f t="shared" si="0"/>
        <v>4.7926200211603875E-2</v>
      </c>
      <c r="D32" s="16">
        <v>87356</v>
      </c>
      <c r="E32" s="16">
        <v>83360.832072297198</v>
      </c>
      <c r="P32" t="s">
        <v>52</v>
      </c>
      <c r="Q32" s="20" t="s">
        <v>186</v>
      </c>
      <c r="T32" s="24">
        <v>63547843</v>
      </c>
      <c r="U32" s="24">
        <v>61923830</v>
      </c>
      <c r="V32" s="24">
        <v>63351229</v>
      </c>
      <c r="W32" s="24">
        <f t="shared" si="1"/>
        <v>96212.512973896752</v>
      </c>
      <c r="X32" s="24">
        <v>91924.426053961506</v>
      </c>
      <c r="Y32" s="24">
        <v>90624</v>
      </c>
      <c r="Z32" s="24">
        <v>660.49457638884303</v>
      </c>
      <c r="AA32" s="1">
        <v>683.30286111111195</v>
      </c>
      <c r="AD32" t="s">
        <v>52</v>
      </c>
      <c r="AE32" t="s">
        <v>204</v>
      </c>
      <c r="AF32" t="s">
        <v>183</v>
      </c>
      <c r="AG32">
        <v>8816959</v>
      </c>
      <c r="AH32">
        <v>8825586</v>
      </c>
      <c r="AI32">
        <v>9700862</v>
      </c>
      <c r="AJ32">
        <v>90621</v>
      </c>
      <c r="AK32">
        <v>107714.560350292</v>
      </c>
      <c r="AL32">
        <v>86079</v>
      </c>
      <c r="AM32">
        <v>97.294401881720404</v>
      </c>
      <c r="AN32">
        <v>102.529065860215</v>
      </c>
      <c r="AO32">
        <v>90.060822135394901</v>
      </c>
    </row>
    <row r="33" spans="1:41" x14ac:dyDescent="0.35">
      <c r="A33" t="s">
        <v>164</v>
      </c>
      <c r="B33" t="s">
        <v>184</v>
      </c>
      <c r="C33" s="19">
        <f t="shared" si="0"/>
        <v>8.5228869261865015E-2</v>
      </c>
      <c r="D33" s="16">
        <v>88429</v>
      </c>
      <c r="E33" s="16">
        <v>81484.194260466305</v>
      </c>
      <c r="P33" t="s">
        <v>17</v>
      </c>
      <c r="Q33" s="20" t="s">
        <v>186</v>
      </c>
      <c r="T33" s="24">
        <v>70773824</v>
      </c>
      <c r="U33" s="24">
        <v>56126769</v>
      </c>
      <c r="V33" s="24">
        <v>68744179</v>
      </c>
      <c r="W33" s="24">
        <f t="shared" si="1"/>
        <v>98615.109474164783</v>
      </c>
      <c r="X33" s="24">
        <v>94171.343469465704</v>
      </c>
      <c r="Y33" s="24">
        <v>95715</v>
      </c>
      <c r="Z33" s="24">
        <v>717.67728472218903</v>
      </c>
      <c r="AA33" s="1">
        <v>586.39534722222299</v>
      </c>
      <c r="AD33" t="s">
        <v>52</v>
      </c>
      <c r="AE33" t="s">
        <v>204</v>
      </c>
      <c r="AF33" t="s">
        <v>185</v>
      </c>
      <c r="AG33">
        <v>10091243</v>
      </c>
      <c r="AH33">
        <v>10106526</v>
      </c>
      <c r="AI33">
        <v>10271984</v>
      </c>
      <c r="AJ33">
        <v>110226</v>
      </c>
      <c r="AK33">
        <v>114056.080137236</v>
      </c>
      <c r="AL33">
        <v>100366</v>
      </c>
      <c r="AM33">
        <v>91.550591397849402</v>
      </c>
      <c r="AN33">
        <v>100.697163978494</v>
      </c>
      <c r="AO33">
        <v>90.060822135394901</v>
      </c>
    </row>
    <row r="34" spans="1:41" x14ac:dyDescent="0.35">
      <c r="A34" t="s">
        <v>164</v>
      </c>
      <c r="B34" t="s">
        <v>185</v>
      </c>
      <c r="C34" s="19">
        <f t="shared" si="0"/>
        <v>4.2637548486850196E-3</v>
      </c>
      <c r="D34" s="16">
        <v>102514</v>
      </c>
      <c r="E34" s="16">
        <v>102078.761187041</v>
      </c>
      <c r="G34" s="2" t="s">
        <v>167</v>
      </c>
      <c r="H34" s="2" t="s">
        <v>138</v>
      </c>
      <c r="P34" t="s">
        <v>104</v>
      </c>
      <c r="Q34" s="20" t="s">
        <v>186</v>
      </c>
      <c r="T34" s="24">
        <v>22918453</v>
      </c>
      <c r="U34" s="24">
        <v>23116155</v>
      </c>
      <c r="V34" s="24">
        <v>27503327</v>
      </c>
      <c r="W34" s="24">
        <f t="shared" si="1"/>
        <v>55389.685864763575</v>
      </c>
      <c r="X34" s="24">
        <v>70278.680944519205</v>
      </c>
      <c r="Y34" s="24">
        <v>58054</v>
      </c>
      <c r="Z34" s="24">
        <v>413.76752083332701</v>
      </c>
      <c r="AA34" s="1">
        <v>398.183819444444</v>
      </c>
      <c r="AD34" t="s">
        <v>21</v>
      </c>
      <c r="AE34" t="s">
        <v>199</v>
      </c>
      <c r="AF34" t="s">
        <v>183</v>
      </c>
      <c r="AG34">
        <v>9845910</v>
      </c>
      <c r="AH34">
        <v>9224309</v>
      </c>
      <c r="AI34">
        <v>9521011</v>
      </c>
      <c r="AJ34">
        <v>105915</v>
      </c>
      <c r="AK34">
        <v>92458.434258053996</v>
      </c>
      <c r="AL34">
        <v>91678</v>
      </c>
      <c r="AM34">
        <v>92.960658602150403</v>
      </c>
      <c r="AN34">
        <v>100.61629704300999</v>
      </c>
      <c r="AO34">
        <v>102.97612103755201</v>
      </c>
    </row>
    <row r="35" spans="1:41" x14ac:dyDescent="0.35">
      <c r="A35" t="s">
        <v>164</v>
      </c>
      <c r="B35" t="s">
        <v>186</v>
      </c>
      <c r="C35" s="19">
        <f t="shared" si="0"/>
        <v>8.8027609373941607E-2</v>
      </c>
      <c r="D35" s="16">
        <v>88802</v>
      </c>
      <c r="E35" s="16">
        <v>81617.414149165998</v>
      </c>
      <c r="G35" s="2" t="s">
        <v>134</v>
      </c>
      <c r="H35" s="23" t="s">
        <v>183</v>
      </c>
      <c r="I35" s="23" t="s">
        <v>184</v>
      </c>
      <c r="J35" s="23" t="s">
        <v>185</v>
      </c>
      <c r="K35" s="23" t="s">
        <v>186</v>
      </c>
      <c r="L35" s="23" t="s">
        <v>187</v>
      </c>
      <c r="M35" s="23" t="s">
        <v>188</v>
      </c>
      <c r="N35" s="23" t="s">
        <v>135</v>
      </c>
      <c r="P35" t="s">
        <v>21</v>
      </c>
      <c r="Q35" s="20" t="s">
        <v>186</v>
      </c>
      <c r="T35" s="24">
        <v>68961062</v>
      </c>
      <c r="U35" s="24">
        <v>63739175</v>
      </c>
      <c r="V35" s="24">
        <v>67490298</v>
      </c>
      <c r="W35" s="24">
        <f t="shared" si="1"/>
        <v>98669.837436699672</v>
      </c>
      <c r="X35" s="24">
        <v>84287.470232548498</v>
      </c>
      <c r="Y35" s="24">
        <v>83200</v>
      </c>
      <c r="Z35" s="24">
        <v>698.90722222220199</v>
      </c>
      <c r="AA35" s="1">
        <v>766.09652777777603</v>
      </c>
      <c r="AD35" t="s">
        <v>17</v>
      </c>
      <c r="AE35" t="s">
        <v>205</v>
      </c>
      <c r="AF35" t="s">
        <v>188</v>
      </c>
      <c r="AG35">
        <v>9765595</v>
      </c>
      <c r="AH35">
        <v>8961782</v>
      </c>
      <c r="AI35">
        <v>8993913</v>
      </c>
      <c r="AJ35">
        <v>110050</v>
      </c>
      <c r="AK35">
        <v>93000.708306723303</v>
      </c>
      <c r="AL35">
        <v>89614</v>
      </c>
      <c r="AM35">
        <v>88.738125000002697</v>
      </c>
      <c r="AN35">
        <v>100.004236111111</v>
      </c>
      <c r="AO35">
        <v>96.708009322223603</v>
      </c>
    </row>
    <row r="36" spans="1:41" x14ac:dyDescent="0.35">
      <c r="A36" t="s">
        <v>164</v>
      </c>
      <c r="B36" t="s">
        <v>187</v>
      </c>
      <c r="C36" s="19">
        <f t="shared" si="0"/>
        <v>5.7434315932257451E-2</v>
      </c>
      <c r="D36" s="16">
        <v>90274</v>
      </c>
      <c r="E36" s="16">
        <v>85370.787234583404</v>
      </c>
      <c r="G36" s="3" t="s">
        <v>35</v>
      </c>
      <c r="H36" s="21">
        <v>79884</v>
      </c>
      <c r="I36" s="21">
        <v>74650</v>
      </c>
      <c r="J36" s="21">
        <v>86868</v>
      </c>
      <c r="K36" s="21">
        <v>83497</v>
      </c>
      <c r="L36" s="21">
        <v>84874</v>
      </c>
      <c r="M36" s="21">
        <v>82894</v>
      </c>
      <c r="N36" s="21">
        <v>492667</v>
      </c>
      <c r="O36" s="1">
        <f>+N36/6</f>
        <v>82111.166666666672</v>
      </c>
      <c r="P36" t="s">
        <v>12</v>
      </c>
      <c r="Q36" s="20" t="s">
        <v>186</v>
      </c>
      <c r="T36" s="24">
        <v>86190837</v>
      </c>
      <c r="U36" s="24">
        <v>77415207</v>
      </c>
      <c r="V36" s="24">
        <v>76814543</v>
      </c>
      <c r="W36" s="24">
        <f t="shared" si="1"/>
        <v>96090.401843237181</v>
      </c>
      <c r="X36" s="24">
        <v>87712.961329033598</v>
      </c>
      <c r="Y36" s="24">
        <v>84841</v>
      </c>
      <c r="Z36" s="24">
        <v>896.97654861109402</v>
      </c>
      <c r="AA36" s="1">
        <v>912.47561805555495</v>
      </c>
      <c r="AD36" t="s">
        <v>52</v>
      </c>
      <c r="AE36" t="s">
        <v>201</v>
      </c>
      <c r="AF36" t="s">
        <v>188</v>
      </c>
      <c r="AG36">
        <v>8668578</v>
      </c>
      <c r="AH36">
        <v>8592844</v>
      </c>
      <c r="AI36">
        <v>8713534</v>
      </c>
      <c r="AJ36">
        <v>86018</v>
      </c>
      <c r="AK36">
        <v>84933.449832551094</v>
      </c>
      <c r="AL36">
        <v>85948</v>
      </c>
      <c r="AM36">
        <v>100.776618055558</v>
      </c>
      <c r="AN36">
        <v>99.977645833333398</v>
      </c>
      <c r="AO36">
        <v>102.592483473578</v>
      </c>
    </row>
    <row r="37" spans="1:41" x14ac:dyDescent="0.35">
      <c r="A37" t="s">
        <v>164</v>
      </c>
      <c r="B37" t="s">
        <v>188</v>
      </c>
      <c r="C37" s="19">
        <f t="shared" si="0"/>
        <v>6.4259621737074335E-2</v>
      </c>
      <c r="D37" s="16">
        <v>82195</v>
      </c>
      <c r="E37" s="16">
        <v>77232.094802057894</v>
      </c>
      <c r="G37" s="3" t="s">
        <v>9</v>
      </c>
      <c r="H37" s="21">
        <v>60384</v>
      </c>
      <c r="I37" s="21">
        <v>64494</v>
      </c>
      <c r="J37" s="21">
        <v>79618</v>
      </c>
      <c r="K37" s="21">
        <v>66209</v>
      </c>
      <c r="L37" s="21">
        <v>67358</v>
      </c>
      <c r="M37" s="21">
        <v>65786</v>
      </c>
      <c r="N37" s="21">
        <v>403849</v>
      </c>
      <c r="O37" s="1">
        <f t="shared" ref="O37:O44" si="2">+N37/6</f>
        <v>67308.166666666672</v>
      </c>
      <c r="P37" t="s">
        <v>14</v>
      </c>
      <c r="Q37" s="20" t="s">
        <v>186</v>
      </c>
      <c r="T37" s="24">
        <v>102119694</v>
      </c>
      <c r="U37" s="24">
        <v>94589525</v>
      </c>
      <c r="V37" s="24">
        <v>98868927</v>
      </c>
      <c r="W37" s="24">
        <f t="shared" si="1"/>
        <v>95380.41399779811</v>
      </c>
      <c r="X37" s="24">
        <v>88475.220910353601</v>
      </c>
      <c r="Y37" s="24">
        <v>83740</v>
      </c>
      <c r="Z37" s="24">
        <v>1070.6568541667</v>
      </c>
      <c r="AA37" s="1">
        <v>1129.5668125</v>
      </c>
      <c r="AD37" t="s">
        <v>52</v>
      </c>
      <c r="AE37" t="s">
        <v>204</v>
      </c>
      <c r="AF37" t="s">
        <v>184</v>
      </c>
      <c r="AG37">
        <v>8593961</v>
      </c>
      <c r="AH37">
        <v>8443155</v>
      </c>
      <c r="AI37">
        <v>8813232</v>
      </c>
      <c r="AJ37">
        <v>92296</v>
      </c>
      <c r="AK37">
        <v>97858.667398687801</v>
      </c>
      <c r="AL37">
        <v>84677</v>
      </c>
      <c r="AM37">
        <v>93.112708333333202</v>
      </c>
      <c r="AN37">
        <v>99.709895833333306</v>
      </c>
      <c r="AO37">
        <v>90.060822135394901</v>
      </c>
    </row>
    <row r="38" spans="1:41" x14ac:dyDescent="0.35">
      <c r="A38" t="s">
        <v>165</v>
      </c>
      <c r="B38" t="s">
        <v>183</v>
      </c>
      <c r="C38" s="19">
        <f t="shared" si="0"/>
        <v>-3.6557843495179654E-2</v>
      </c>
      <c r="D38" s="16">
        <v>90310</v>
      </c>
      <c r="E38" s="16">
        <v>93736.815843337201</v>
      </c>
      <c r="G38" s="3" t="s">
        <v>19</v>
      </c>
      <c r="H38" s="21">
        <v>98023</v>
      </c>
      <c r="I38" s="21">
        <v>96929</v>
      </c>
      <c r="J38" s="21">
        <v>116601</v>
      </c>
      <c r="K38" s="21">
        <v>108079</v>
      </c>
      <c r="L38" s="21">
        <v>106440</v>
      </c>
      <c r="M38" s="21">
        <v>99731</v>
      </c>
      <c r="N38" s="21">
        <v>625803</v>
      </c>
      <c r="O38" s="1">
        <f t="shared" si="2"/>
        <v>104300.5</v>
      </c>
      <c r="P38" t="s">
        <v>35</v>
      </c>
      <c r="Q38" s="20" t="s">
        <v>187</v>
      </c>
      <c r="T38" s="24">
        <v>58167859</v>
      </c>
      <c r="U38" s="24">
        <v>54803030</v>
      </c>
      <c r="V38" s="24">
        <v>54314368</v>
      </c>
      <c r="W38" s="24">
        <f t="shared" si="1"/>
        <v>84874.118776368734</v>
      </c>
      <c r="X38" s="24">
        <v>76708.815440430597</v>
      </c>
      <c r="Y38" s="24">
        <v>74468</v>
      </c>
      <c r="Z38" s="24">
        <v>685.34271505385595</v>
      </c>
      <c r="AA38" s="1">
        <v>735.92599462365695</v>
      </c>
      <c r="AD38" t="s">
        <v>17</v>
      </c>
      <c r="AE38" t="s">
        <v>205</v>
      </c>
      <c r="AF38" t="s">
        <v>187</v>
      </c>
      <c r="AG38">
        <v>10633331</v>
      </c>
      <c r="AH38">
        <v>9905507</v>
      </c>
      <c r="AI38">
        <v>9592051</v>
      </c>
      <c r="AJ38">
        <v>115778</v>
      </c>
      <c r="AK38">
        <v>99185.695008362905</v>
      </c>
      <c r="AL38">
        <v>99481</v>
      </c>
      <c r="AM38">
        <v>91.842493279568203</v>
      </c>
      <c r="AN38">
        <v>99.571801075268695</v>
      </c>
      <c r="AO38">
        <v>96.708009322223603</v>
      </c>
    </row>
    <row r="39" spans="1:41" x14ac:dyDescent="0.35">
      <c r="A39" t="s">
        <v>165</v>
      </c>
      <c r="B39" t="s">
        <v>184</v>
      </c>
      <c r="C39" s="19">
        <f t="shared" si="0"/>
        <v>-2.3583256624310711E-2</v>
      </c>
      <c r="D39" s="16">
        <v>88729</v>
      </c>
      <c r="E39" s="16">
        <v>90872.059089486895</v>
      </c>
      <c r="G39" s="3" t="s">
        <v>52</v>
      </c>
      <c r="H39" s="21">
        <v>89088</v>
      </c>
      <c r="I39" s="21">
        <v>80468</v>
      </c>
      <c r="J39" s="21">
        <v>98114</v>
      </c>
      <c r="K39" s="21">
        <v>96213</v>
      </c>
      <c r="L39" s="21">
        <v>98507</v>
      </c>
      <c r="M39" s="21">
        <v>94984</v>
      </c>
      <c r="N39" s="21">
        <v>557374</v>
      </c>
      <c r="O39" s="1">
        <f t="shared" si="2"/>
        <v>92895.666666666672</v>
      </c>
      <c r="P39" t="s">
        <v>9</v>
      </c>
      <c r="Q39" s="20" t="s">
        <v>187</v>
      </c>
      <c r="T39" s="24">
        <v>9147343</v>
      </c>
      <c r="U39" s="24">
        <v>8889781</v>
      </c>
      <c r="V39" s="24">
        <v>8905745</v>
      </c>
      <c r="W39" s="24">
        <f t="shared" si="1"/>
        <v>67357.648903807582</v>
      </c>
      <c r="X39" s="24">
        <v>62601.807712389098</v>
      </c>
      <c r="Y39" s="24">
        <v>50528</v>
      </c>
      <c r="Z39" s="24">
        <v>135.80258736558901</v>
      </c>
      <c r="AA39" s="1">
        <v>175.93728494623599</v>
      </c>
      <c r="AD39" t="s">
        <v>21</v>
      </c>
      <c r="AE39" t="s">
        <v>206</v>
      </c>
      <c r="AF39" t="s">
        <v>185</v>
      </c>
      <c r="AG39">
        <v>12134655</v>
      </c>
      <c r="AH39">
        <v>11175328</v>
      </c>
      <c r="AI39">
        <v>11603924</v>
      </c>
      <c r="AJ39">
        <v>136369</v>
      </c>
      <c r="AK39">
        <v>132233.08198363299</v>
      </c>
      <c r="AL39">
        <v>112300</v>
      </c>
      <c r="AM39">
        <v>88.983924731182796</v>
      </c>
      <c r="AN39">
        <v>99.512997311827903</v>
      </c>
      <c r="AO39">
        <v>87.753564014610305</v>
      </c>
    </row>
    <row r="40" spans="1:41" x14ac:dyDescent="0.35">
      <c r="A40" t="s">
        <v>165</v>
      </c>
      <c r="B40" t="s">
        <v>185</v>
      </c>
      <c r="C40" s="19">
        <f t="shared" si="0"/>
        <v>-6.2699340279338656E-2</v>
      </c>
      <c r="D40" s="16">
        <v>102590</v>
      </c>
      <c r="E40" s="16">
        <v>109452.60620063401</v>
      </c>
      <c r="G40" s="3" t="s">
        <v>17</v>
      </c>
      <c r="H40" s="21">
        <v>94257</v>
      </c>
      <c r="I40" s="21">
        <v>90467</v>
      </c>
      <c r="J40" s="21">
        <v>107621</v>
      </c>
      <c r="K40" s="21">
        <v>98615</v>
      </c>
      <c r="L40" s="21">
        <v>103129</v>
      </c>
      <c r="M40" s="21">
        <v>98841</v>
      </c>
      <c r="N40" s="21">
        <v>592930</v>
      </c>
      <c r="O40" s="1">
        <f t="shared" si="2"/>
        <v>98821.666666666672</v>
      </c>
      <c r="P40" t="s">
        <v>19</v>
      </c>
      <c r="Q40" s="20" t="s">
        <v>187</v>
      </c>
      <c r="T40" s="24">
        <v>74812494</v>
      </c>
      <c r="U40" s="24">
        <v>65264021</v>
      </c>
      <c r="V40" s="24">
        <v>71496620</v>
      </c>
      <c r="W40" s="24">
        <f t="shared" si="1"/>
        <v>106439.66891972424</v>
      </c>
      <c r="X40" s="24">
        <v>102380.748841316</v>
      </c>
      <c r="Y40" s="24">
        <v>91170</v>
      </c>
      <c r="Z40" s="24">
        <v>702.86289650546405</v>
      </c>
      <c r="AA40" s="1">
        <v>715.84662634408596</v>
      </c>
      <c r="AD40" t="s">
        <v>17</v>
      </c>
      <c r="AE40" t="s">
        <v>205</v>
      </c>
      <c r="AF40" t="s">
        <v>186</v>
      </c>
      <c r="AG40">
        <v>10424061</v>
      </c>
      <c r="AH40">
        <v>9296042</v>
      </c>
      <c r="AI40">
        <v>9442984</v>
      </c>
      <c r="AJ40">
        <v>114189</v>
      </c>
      <c r="AK40">
        <v>97644.282781550195</v>
      </c>
      <c r="AL40">
        <v>93766</v>
      </c>
      <c r="AM40">
        <v>91.287437500003307</v>
      </c>
      <c r="AN40">
        <v>99.140513888888805</v>
      </c>
      <c r="AO40">
        <v>96.708009322223603</v>
      </c>
    </row>
    <row r="41" spans="1:41" x14ac:dyDescent="0.35">
      <c r="A41" t="s">
        <v>165</v>
      </c>
      <c r="B41" t="s">
        <v>186</v>
      </c>
      <c r="C41" s="19">
        <f t="shared" si="0"/>
        <v>6.1474711737484977E-2</v>
      </c>
      <c r="D41" s="16">
        <v>92950</v>
      </c>
      <c r="E41" s="16">
        <v>87566.852956726507</v>
      </c>
      <c r="G41" s="3" t="s">
        <v>104</v>
      </c>
      <c r="H41" s="21">
        <v>59235</v>
      </c>
      <c r="I41" s="21">
        <v>50189</v>
      </c>
      <c r="J41" s="21">
        <v>48621</v>
      </c>
      <c r="K41" s="21">
        <v>55390</v>
      </c>
      <c r="L41" s="21">
        <v>51136</v>
      </c>
      <c r="M41" s="21">
        <v>54985</v>
      </c>
      <c r="N41" s="21">
        <v>319556</v>
      </c>
      <c r="O41" s="1">
        <f t="shared" si="2"/>
        <v>53259.333333333336</v>
      </c>
      <c r="P41" t="s">
        <v>52</v>
      </c>
      <c r="Q41" s="20" t="s">
        <v>187</v>
      </c>
      <c r="T41" s="24">
        <v>67037213</v>
      </c>
      <c r="U41" s="24">
        <v>63482871</v>
      </c>
      <c r="V41" s="24">
        <v>65990977</v>
      </c>
      <c r="W41" s="24">
        <f t="shared" si="1"/>
        <v>98506.919271722916</v>
      </c>
      <c r="X41" s="24">
        <v>95754.775960810599</v>
      </c>
      <c r="Y41" s="24">
        <v>93276</v>
      </c>
      <c r="Z41" s="24">
        <v>680.533037634479</v>
      </c>
      <c r="AA41" s="1">
        <v>680.58934811827896</v>
      </c>
      <c r="AD41" t="s">
        <v>35</v>
      </c>
      <c r="AE41" t="s">
        <v>207</v>
      </c>
      <c r="AF41" t="s">
        <v>185</v>
      </c>
      <c r="AG41">
        <v>8235621</v>
      </c>
      <c r="AH41">
        <v>8049567</v>
      </c>
      <c r="AI41">
        <v>8298377</v>
      </c>
      <c r="AJ41">
        <v>87492</v>
      </c>
      <c r="AK41">
        <v>93859.205990877294</v>
      </c>
      <c r="AL41">
        <v>82909</v>
      </c>
      <c r="AM41">
        <v>94.130524193548297</v>
      </c>
      <c r="AN41">
        <v>97.089059139784794</v>
      </c>
      <c r="AO41">
        <v>88.413034538205693</v>
      </c>
    </row>
    <row r="42" spans="1:41" x14ac:dyDescent="0.35">
      <c r="A42" t="s">
        <v>165</v>
      </c>
      <c r="B42" t="s">
        <v>187</v>
      </c>
      <c r="C42" s="19">
        <f t="shared" si="0"/>
        <v>8.436998610193247E-2</v>
      </c>
      <c r="D42" s="16">
        <v>96241</v>
      </c>
      <c r="E42" s="16">
        <v>88752.917577481901</v>
      </c>
      <c r="G42" s="3" t="s">
        <v>21</v>
      </c>
      <c r="H42" s="21">
        <v>94182</v>
      </c>
      <c r="I42" s="21">
        <v>98444</v>
      </c>
      <c r="J42" s="21">
        <v>111716</v>
      </c>
      <c r="K42" s="21">
        <v>98670</v>
      </c>
      <c r="L42" s="21">
        <v>98584</v>
      </c>
      <c r="M42" s="21">
        <v>90441</v>
      </c>
      <c r="N42" s="21">
        <v>592037</v>
      </c>
      <c r="O42" s="1">
        <f t="shared" si="2"/>
        <v>98672.833333333328</v>
      </c>
      <c r="P42" t="s">
        <v>17</v>
      </c>
      <c r="Q42" s="20" t="s">
        <v>187</v>
      </c>
      <c r="T42" s="24">
        <v>73742656</v>
      </c>
      <c r="U42" s="24">
        <v>60189101</v>
      </c>
      <c r="V42" s="24">
        <v>72481112</v>
      </c>
      <c r="W42" s="24">
        <f t="shared" si="1"/>
        <v>103128.6168598495</v>
      </c>
      <c r="X42" s="24">
        <v>99290.496576228004</v>
      </c>
      <c r="Y42" s="24">
        <v>102539</v>
      </c>
      <c r="Z42" s="24">
        <v>715.05522177433397</v>
      </c>
      <c r="AA42" s="1">
        <v>586.98848118279795</v>
      </c>
      <c r="AD42" t="s">
        <v>35</v>
      </c>
      <c r="AE42" t="s">
        <v>207</v>
      </c>
      <c r="AF42" t="s">
        <v>184</v>
      </c>
      <c r="AG42">
        <v>6875470</v>
      </c>
      <c r="AH42">
        <v>6659969</v>
      </c>
      <c r="AI42">
        <v>7302104</v>
      </c>
      <c r="AJ42">
        <v>77417</v>
      </c>
      <c r="AK42">
        <v>82590.803794259002</v>
      </c>
      <c r="AL42">
        <v>68621</v>
      </c>
      <c r="AM42">
        <v>88.811354166666703</v>
      </c>
      <c r="AN42">
        <v>97.053749999999994</v>
      </c>
      <c r="AO42">
        <v>88.413034538205693</v>
      </c>
    </row>
    <row r="43" spans="1:41" x14ac:dyDescent="0.35">
      <c r="A43" t="s">
        <v>165</v>
      </c>
      <c r="B43" t="s">
        <v>188</v>
      </c>
      <c r="C43" s="19">
        <f t="shared" si="0"/>
        <v>0.10836142143202854</v>
      </c>
      <c r="D43" s="16">
        <v>90893</v>
      </c>
      <c r="E43" s="16">
        <v>82006.6435392204</v>
      </c>
      <c r="G43" s="3" t="s">
        <v>12</v>
      </c>
      <c r="H43" s="21">
        <v>94580</v>
      </c>
      <c r="I43" s="21">
        <v>94181</v>
      </c>
      <c r="J43" s="21">
        <v>109907</v>
      </c>
      <c r="K43" s="21">
        <v>96090</v>
      </c>
      <c r="L43" s="21">
        <v>101426</v>
      </c>
      <c r="M43" s="21">
        <v>94148</v>
      </c>
      <c r="N43" s="21">
        <v>590332</v>
      </c>
      <c r="O43" s="1">
        <f t="shared" si="2"/>
        <v>98388.666666666672</v>
      </c>
      <c r="P43" t="s">
        <v>104</v>
      </c>
      <c r="Q43" s="20" t="s">
        <v>187</v>
      </c>
      <c r="T43" s="24">
        <v>22044863</v>
      </c>
      <c r="U43" s="24">
        <v>21671516</v>
      </c>
      <c r="V43" s="24">
        <v>25657509</v>
      </c>
      <c r="W43" s="24">
        <f t="shared" si="1"/>
        <v>51136.143631106366</v>
      </c>
      <c r="X43" s="24">
        <v>65562.101248790597</v>
      </c>
      <c r="Y43" s="24">
        <v>57312</v>
      </c>
      <c r="Z43" s="24">
        <v>431.10139784944602</v>
      </c>
      <c r="AA43" s="1">
        <v>378.13289650537598</v>
      </c>
      <c r="AD43" t="s">
        <v>104</v>
      </c>
      <c r="AE43" t="s">
        <v>208</v>
      </c>
      <c r="AF43" t="s">
        <v>183</v>
      </c>
      <c r="AG43">
        <v>5276274</v>
      </c>
      <c r="AH43">
        <v>4807860</v>
      </c>
      <c r="AI43">
        <v>4923547</v>
      </c>
      <c r="AJ43">
        <v>53103</v>
      </c>
      <c r="AK43">
        <v>51233.575784599299</v>
      </c>
      <c r="AL43">
        <v>50043</v>
      </c>
      <c r="AM43">
        <v>99.358319892473006</v>
      </c>
      <c r="AN43">
        <v>96.074999999999903</v>
      </c>
      <c r="AO43">
        <v>96.1</v>
      </c>
    </row>
    <row r="44" spans="1:41" x14ac:dyDescent="0.35">
      <c r="A44" t="s">
        <v>166</v>
      </c>
      <c r="B44" t="s">
        <v>183</v>
      </c>
      <c r="C44" s="19">
        <f t="shared" si="0"/>
        <v>1.0534797415678421E-2</v>
      </c>
      <c r="D44" s="16">
        <v>94558</v>
      </c>
      <c r="E44" s="16">
        <v>93572.235455741597</v>
      </c>
      <c r="G44" s="3" t="s">
        <v>14</v>
      </c>
      <c r="H44" s="21">
        <v>87467</v>
      </c>
      <c r="I44" s="21">
        <v>87729</v>
      </c>
      <c r="J44" s="21">
        <v>104432</v>
      </c>
      <c r="K44" s="21">
        <v>95380</v>
      </c>
      <c r="L44" s="21">
        <v>96977</v>
      </c>
      <c r="M44" s="21">
        <v>88623</v>
      </c>
      <c r="N44" s="21">
        <v>560608</v>
      </c>
      <c r="O44" s="1">
        <f t="shared" si="2"/>
        <v>93434.666666666672</v>
      </c>
      <c r="P44" t="s">
        <v>21</v>
      </c>
      <c r="Q44" s="20" t="s">
        <v>187</v>
      </c>
      <c r="T44" s="24">
        <v>69312860</v>
      </c>
      <c r="U44" s="24">
        <v>64322764</v>
      </c>
      <c r="V44" s="24">
        <v>69413821</v>
      </c>
      <c r="W44" s="24">
        <f t="shared" si="1"/>
        <v>98584.37491891731</v>
      </c>
      <c r="X44" s="24">
        <v>86689.724540740703</v>
      </c>
      <c r="Y44" s="24">
        <v>83234</v>
      </c>
      <c r="Z44" s="24">
        <v>703.08159946246803</v>
      </c>
      <c r="AA44" s="1">
        <v>772.79788306451701</v>
      </c>
      <c r="AD44" t="s">
        <v>52</v>
      </c>
      <c r="AE44" t="s">
        <v>203</v>
      </c>
      <c r="AF44" t="s">
        <v>188</v>
      </c>
      <c r="AG44">
        <v>8885351</v>
      </c>
      <c r="AH44">
        <v>7487057</v>
      </c>
      <c r="AI44">
        <v>8861795</v>
      </c>
      <c r="AJ44">
        <v>95333</v>
      </c>
      <c r="AK44">
        <v>86731.165506106205</v>
      </c>
      <c r="AL44">
        <v>78286</v>
      </c>
      <c r="AM44">
        <v>93.2032500000021</v>
      </c>
      <c r="AN44">
        <v>95.637451388888906</v>
      </c>
      <c r="AO44">
        <v>102.175440857832</v>
      </c>
    </row>
    <row r="45" spans="1:41" x14ac:dyDescent="0.35">
      <c r="A45" t="s">
        <v>166</v>
      </c>
      <c r="B45" t="s">
        <v>184</v>
      </c>
      <c r="C45" s="19">
        <f t="shared" si="0"/>
        <v>3.4531373713728941E-2</v>
      </c>
      <c r="D45" s="16">
        <v>95328</v>
      </c>
      <c r="E45" s="16">
        <v>92146.069633243198</v>
      </c>
      <c r="G45" s="3" t="s">
        <v>135</v>
      </c>
      <c r="H45" s="21">
        <v>757100</v>
      </c>
      <c r="I45" s="21">
        <v>737551</v>
      </c>
      <c r="J45" s="21">
        <v>863498</v>
      </c>
      <c r="K45" s="21">
        <v>798143</v>
      </c>
      <c r="L45" s="21">
        <v>808431</v>
      </c>
      <c r="M45" s="21">
        <v>770433</v>
      </c>
      <c r="N45" s="21">
        <v>4735156</v>
      </c>
      <c r="O45" s="1"/>
      <c r="P45" t="s">
        <v>12</v>
      </c>
      <c r="Q45" s="20" t="s">
        <v>187</v>
      </c>
      <c r="T45" s="24">
        <v>91733344</v>
      </c>
      <c r="U45" s="24">
        <v>82703323</v>
      </c>
      <c r="V45" s="24">
        <v>81915473</v>
      </c>
      <c r="W45" s="24">
        <f t="shared" si="1"/>
        <v>101426.41194159759</v>
      </c>
      <c r="X45" s="24">
        <v>93537.609893396206</v>
      </c>
      <c r="Y45" s="24">
        <v>89239</v>
      </c>
      <c r="Z45" s="24">
        <v>904.43250672044906</v>
      </c>
      <c r="AA45" s="1">
        <v>926.76504704301203</v>
      </c>
      <c r="AD45" t="s">
        <v>21</v>
      </c>
      <c r="AE45" t="s">
        <v>206</v>
      </c>
      <c r="AF45" t="s">
        <v>187</v>
      </c>
      <c r="AG45">
        <v>9115554</v>
      </c>
      <c r="AH45">
        <v>8278367</v>
      </c>
      <c r="AI45">
        <v>8999545</v>
      </c>
      <c r="AJ45">
        <v>111235</v>
      </c>
      <c r="AK45">
        <v>102554.75771447401</v>
      </c>
      <c r="AL45">
        <v>86832</v>
      </c>
      <c r="AM45">
        <v>81.948877688171393</v>
      </c>
      <c r="AN45">
        <v>95.337553763440894</v>
      </c>
      <c r="AO45">
        <v>87.753564014610305</v>
      </c>
    </row>
    <row r="46" spans="1:41" x14ac:dyDescent="0.35">
      <c r="A46" t="s">
        <v>166</v>
      </c>
      <c r="B46" t="s">
        <v>185</v>
      </c>
      <c r="C46" s="19">
        <f t="shared" si="0"/>
        <v>-5.9011852467854342E-2</v>
      </c>
      <c r="D46" s="16">
        <v>110937</v>
      </c>
      <c r="E46" s="16">
        <v>117894.152323752</v>
      </c>
      <c r="P46" t="s">
        <v>14</v>
      </c>
      <c r="Q46" s="20" t="s">
        <v>187</v>
      </c>
      <c r="T46" s="24">
        <v>105849472</v>
      </c>
      <c r="U46" s="24">
        <v>98915635</v>
      </c>
      <c r="V46" s="24">
        <v>102511638</v>
      </c>
      <c r="W46" s="24">
        <f t="shared" si="1"/>
        <v>96977.25913896675</v>
      </c>
      <c r="X46" s="24">
        <v>91734.987583395501</v>
      </c>
      <c r="Y46" s="24">
        <v>85314</v>
      </c>
      <c r="Z46" s="24">
        <v>1091.4875604838401</v>
      </c>
      <c r="AA46" s="1">
        <v>1159.43601478494</v>
      </c>
      <c r="AD46" t="s">
        <v>35</v>
      </c>
      <c r="AE46" t="s">
        <v>207</v>
      </c>
      <c r="AF46" t="s">
        <v>187</v>
      </c>
      <c r="AG46">
        <v>8044748</v>
      </c>
      <c r="AH46">
        <v>7548158</v>
      </c>
      <c r="AI46">
        <v>7880724</v>
      </c>
      <c r="AJ46">
        <v>94971</v>
      </c>
      <c r="AK46">
        <v>89135.317800844394</v>
      </c>
      <c r="AL46">
        <v>79295</v>
      </c>
      <c r="AM46">
        <v>84.707056451612502</v>
      </c>
      <c r="AN46">
        <v>95.190497311827897</v>
      </c>
      <c r="AO46">
        <v>88.413034538205693</v>
      </c>
    </row>
    <row r="47" spans="1:41" x14ac:dyDescent="0.35">
      <c r="A47" t="s">
        <v>166</v>
      </c>
      <c r="B47" t="s">
        <v>186</v>
      </c>
      <c r="C47" s="19">
        <f t="shared" si="0"/>
        <v>4.5029670277698441E-2</v>
      </c>
      <c r="D47" s="16">
        <v>99588</v>
      </c>
      <c r="E47" s="16">
        <v>95296.815805752398</v>
      </c>
      <c r="P47" t="s">
        <v>35</v>
      </c>
      <c r="Q47" s="20" t="s">
        <v>188</v>
      </c>
      <c r="T47" s="24">
        <v>55050641</v>
      </c>
      <c r="U47" s="24">
        <v>52614602</v>
      </c>
      <c r="V47" s="24">
        <v>52149704</v>
      </c>
      <c r="W47" s="24">
        <f t="shared" si="1"/>
        <v>82894.480952612023</v>
      </c>
      <c r="X47" s="24">
        <v>73651.634559358703</v>
      </c>
      <c r="Y47" s="24">
        <v>72434</v>
      </c>
      <c r="Z47" s="24">
        <v>664.10502083330005</v>
      </c>
      <c r="AA47" s="1">
        <v>726.37779861110903</v>
      </c>
      <c r="AD47" t="s">
        <v>21</v>
      </c>
      <c r="AE47" t="s">
        <v>206</v>
      </c>
      <c r="AF47" t="s">
        <v>188</v>
      </c>
      <c r="AG47">
        <v>8215276</v>
      </c>
      <c r="AH47">
        <v>7322575</v>
      </c>
      <c r="AI47">
        <v>8371963</v>
      </c>
      <c r="AJ47">
        <v>104027</v>
      </c>
      <c r="AK47">
        <v>95403.114340816101</v>
      </c>
      <c r="AL47">
        <v>77124</v>
      </c>
      <c r="AM47">
        <v>78.972444444447007</v>
      </c>
      <c r="AN47">
        <v>94.944937499999895</v>
      </c>
      <c r="AO47">
        <v>87.753564014610305</v>
      </c>
    </row>
    <row r="48" spans="1:41" x14ac:dyDescent="0.35">
      <c r="A48" t="s">
        <v>166</v>
      </c>
      <c r="B48" t="s">
        <v>187</v>
      </c>
      <c r="C48" s="19">
        <f t="shared" si="0"/>
        <v>1.2349893024937719E-2</v>
      </c>
      <c r="D48" s="16">
        <v>100782</v>
      </c>
      <c r="E48" s="16">
        <v>99552.536819912901</v>
      </c>
      <c r="P48" t="s">
        <v>9</v>
      </c>
      <c r="Q48" s="20" t="s">
        <v>188</v>
      </c>
      <c r="T48" s="24">
        <v>8389021</v>
      </c>
      <c r="U48" s="24">
        <v>8351760</v>
      </c>
      <c r="V48" s="24">
        <v>8242586</v>
      </c>
      <c r="W48" s="24">
        <f t="shared" si="1"/>
        <v>65786.464746061436</v>
      </c>
      <c r="X48" s="24">
        <v>57940.215084195101</v>
      </c>
      <c r="Y48" s="24">
        <v>50502</v>
      </c>
      <c r="Z48" s="24">
        <v>127.518951388891</v>
      </c>
      <c r="AA48" s="1">
        <v>165.37378472222201</v>
      </c>
      <c r="AD48" t="s">
        <v>52</v>
      </c>
      <c r="AE48" t="s">
        <v>209</v>
      </c>
      <c r="AF48" t="s">
        <v>184</v>
      </c>
      <c r="AG48">
        <v>7737545</v>
      </c>
      <c r="AH48">
        <v>7317776</v>
      </c>
      <c r="AI48">
        <v>7828350</v>
      </c>
      <c r="AJ48">
        <v>86383</v>
      </c>
      <c r="AK48">
        <v>91121.865633877896</v>
      </c>
      <c r="AL48">
        <v>77592</v>
      </c>
      <c r="AM48">
        <v>89.572968750000001</v>
      </c>
      <c r="AN48">
        <v>94.310677083333303</v>
      </c>
      <c r="AO48">
        <v>85.910778843728195</v>
      </c>
    </row>
    <row r="49" spans="1:41" x14ac:dyDescent="0.35">
      <c r="A49" t="s">
        <v>166</v>
      </c>
      <c r="B49" t="s">
        <v>188</v>
      </c>
      <c r="C49" s="19">
        <f t="shared" si="0"/>
        <v>-8.4724827025789429E-3</v>
      </c>
      <c r="D49" s="16">
        <v>92900</v>
      </c>
      <c r="E49" s="16">
        <v>93693.819263044701</v>
      </c>
      <c r="G49" s="2" t="s">
        <v>318</v>
      </c>
      <c r="H49" s="2" t="s">
        <v>138</v>
      </c>
      <c r="P49" t="s">
        <v>19</v>
      </c>
      <c r="Q49" s="20" t="s">
        <v>188</v>
      </c>
      <c r="T49" s="24">
        <v>68401234</v>
      </c>
      <c r="U49" s="24">
        <v>60531165</v>
      </c>
      <c r="V49" s="24">
        <v>66004932</v>
      </c>
      <c r="W49" s="24">
        <f t="shared" si="1"/>
        <v>99730.924913831608</v>
      </c>
      <c r="X49" s="24">
        <v>94516.836745981898</v>
      </c>
      <c r="Y49" s="24">
        <v>84667</v>
      </c>
      <c r="Z49" s="24">
        <v>685.85781249997694</v>
      </c>
      <c r="AA49" s="1">
        <v>714.92968749999898</v>
      </c>
      <c r="AD49" t="s">
        <v>52</v>
      </c>
      <c r="AE49" t="s">
        <v>202</v>
      </c>
      <c r="AF49" t="s">
        <v>186</v>
      </c>
      <c r="AG49">
        <v>9158680</v>
      </c>
      <c r="AH49">
        <v>9576095</v>
      </c>
      <c r="AI49">
        <v>9492874</v>
      </c>
      <c r="AJ49">
        <v>105948</v>
      </c>
      <c r="AK49">
        <v>96861.107094596402</v>
      </c>
      <c r="AL49">
        <v>101661</v>
      </c>
      <c r="AM49">
        <v>86.444750000002401</v>
      </c>
      <c r="AN49">
        <v>94.196472222222198</v>
      </c>
      <c r="AO49">
        <v>98.0050147003695</v>
      </c>
    </row>
    <row r="50" spans="1:41" x14ac:dyDescent="0.35">
      <c r="G50" s="2" t="s">
        <v>134</v>
      </c>
      <c r="H50" t="s">
        <v>183</v>
      </c>
      <c r="I50" t="s">
        <v>184</v>
      </c>
      <c r="J50" t="s">
        <v>185</v>
      </c>
      <c r="K50" t="s">
        <v>186</v>
      </c>
      <c r="L50" t="s">
        <v>187</v>
      </c>
      <c r="M50" t="s">
        <v>188</v>
      </c>
      <c r="N50" t="s">
        <v>135</v>
      </c>
      <c r="P50" t="s">
        <v>52</v>
      </c>
      <c r="Q50" s="20" t="s">
        <v>188</v>
      </c>
      <c r="T50" s="24">
        <v>61955803</v>
      </c>
      <c r="U50" s="24">
        <v>56625266</v>
      </c>
      <c r="V50" s="24">
        <v>61950178</v>
      </c>
      <c r="W50" s="24">
        <f t="shared" si="1"/>
        <v>94983.846731419646</v>
      </c>
      <c r="X50" s="24">
        <v>89891.461027112993</v>
      </c>
      <c r="Y50" s="24">
        <v>87257</v>
      </c>
      <c r="Z50" s="24">
        <v>652.27725694442404</v>
      </c>
      <c r="AA50" s="1">
        <v>648.95060416666502</v>
      </c>
      <c r="AD50" t="s">
        <v>14</v>
      </c>
      <c r="AE50" t="s">
        <v>210</v>
      </c>
      <c r="AF50" t="s">
        <v>185</v>
      </c>
      <c r="AG50">
        <v>13261296</v>
      </c>
      <c r="AH50">
        <v>12324134</v>
      </c>
      <c r="AI50">
        <v>12285555</v>
      </c>
      <c r="AJ50">
        <v>144485</v>
      </c>
      <c r="AK50">
        <v>142204.97606273901</v>
      </c>
      <c r="AL50">
        <v>130998</v>
      </c>
      <c r="AM50">
        <v>91.782983870967797</v>
      </c>
      <c r="AN50">
        <v>94.079153225806394</v>
      </c>
      <c r="AO50">
        <v>86.393284871267298</v>
      </c>
    </row>
    <row r="51" spans="1:41" x14ac:dyDescent="0.35">
      <c r="G51" s="3" t="s">
        <v>35</v>
      </c>
      <c r="H51" s="7">
        <v>80709.165611504082</v>
      </c>
      <c r="I51" s="7">
        <v>75254.450766061898</v>
      </c>
      <c r="J51" s="7">
        <v>86811.791143378621</v>
      </c>
      <c r="K51" s="7">
        <v>75738.901912873233</v>
      </c>
      <c r="L51" s="7">
        <v>76708.815421646985</v>
      </c>
      <c r="M51" s="7">
        <v>73651.633794592068</v>
      </c>
      <c r="N51" s="7">
        <v>78145.793108342797</v>
      </c>
      <c r="P51" t="s">
        <v>17</v>
      </c>
      <c r="Q51" s="20" t="s">
        <v>188</v>
      </c>
      <c r="T51" s="24">
        <v>67894596</v>
      </c>
      <c r="U51" s="24">
        <v>56337211</v>
      </c>
      <c r="V51" s="24">
        <v>68140216</v>
      </c>
      <c r="W51" s="24">
        <f t="shared" si="1"/>
        <v>98841.137802439582</v>
      </c>
      <c r="X51" s="24">
        <v>93343.985702152393</v>
      </c>
      <c r="Y51" s="24">
        <v>96632</v>
      </c>
      <c r="Z51" s="24">
        <v>686.90625694440598</v>
      </c>
      <c r="AA51" s="1">
        <v>583.009340277776</v>
      </c>
      <c r="AD51" t="s">
        <v>35</v>
      </c>
      <c r="AE51" t="s">
        <v>207</v>
      </c>
      <c r="AF51" t="s">
        <v>188</v>
      </c>
      <c r="AG51">
        <v>7766438</v>
      </c>
      <c r="AH51">
        <v>7328305</v>
      </c>
      <c r="AI51">
        <v>7519760</v>
      </c>
      <c r="AJ51">
        <v>92697</v>
      </c>
      <c r="AK51">
        <v>85052.613258630998</v>
      </c>
      <c r="AL51">
        <v>77975</v>
      </c>
      <c r="AM51">
        <v>83.783194444446707</v>
      </c>
      <c r="AN51">
        <v>93.983069444444396</v>
      </c>
      <c r="AO51">
        <v>88.413034538205693</v>
      </c>
    </row>
    <row r="52" spans="1:41" x14ac:dyDescent="0.35">
      <c r="G52" s="3" t="s">
        <v>9</v>
      </c>
      <c r="H52" s="7">
        <v>71418.475026048516</v>
      </c>
      <c r="I52" s="7">
        <v>64373.812827105903</v>
      </c>
      <c r="J52" s="7">
        <v>76896.500794948137</v>
      </c>
      <c r="K52" s="7">
        <v>63792.835122870012</v>
      </c>
      <c r="L52" s="7">
        <v>62601.806226379835</v>
      </c>
      <c r="M52" s="7">
        <v>57940.221079547809</v>
      </c>
      <c r="N52" s="7">
        <v>66170.608512816703</v>
      </c>
      <c r="P52" t="s">
        <v>104</v>
      </c>
      <c r="Q52" s="20" t="s">
        <v>188</v>
      </c>
      <c r="T52" s="24">
        <v>21234671</v>
      </c>
      <c r="U52" s="24">
        <v>20581648</v>
      </c>
      <c r="V52" s="24">
        <v>24526145</v>
      </c>
      <c r="W52" s="24">
        <f t="shared" si="1"/>
        <v>54984.980493932955</v>
      </c>
      <c r="X52" s="24">
        <v>62671.149746462797</v>
      </c>
      <c r="Y52" s="24">
        <v>55329</v>
      </c>
      <c r="Z52" s="24">
        <v>386.19038888889003</v>
      </c>
      <c r="AA52" s="1">
        <v>371.98894444444397</v>
      </c>
      <c r="AD52" t="s">
        <v>17</v>
      </c>
      <c r="AE52" t="s">
        <v>205</v>
      </c>
      <c r="AF52" t="s">
        <v>183</v>
      </c>
      <c r="AG52">
        <v>9803963</v>
      </c>
      <c r="AH52">
        <v>9351475</v>
      </c>
      <c r="AI52">
        <v>10008295</v>
      </c>
      <c r="AJ52">
        <v>108357</v>
      </c>
      <c r="AK52">
        <v>103489.822578739</v>
      </c>
      <c r="AL52">
        <v>100241</v>
      </c>
      <c r="AM52">
        <v>90.478434139784994</v>
      </c>
      <c r="AN52">
        <v>93.290053763440795</v>
      </c>
      <c r="AO52">
        <v>96.708009322223603</v>
      </c>
    </row>
    <row r="53" spans="1:41" x14ac:dyDescent="0.35">
      <c r="G53" s="3" t="s">
        <v>19</v>
      </c>
      <c r="H53" s="7">
        <v>99721.482621577321</v>
      </c>
      <c r="I53" s="7">
        <v>94013.769588042283</v>
      </c>
      <c r="J53" s="7">
        <v>119793.75626292173</v>
      </c>
      <c r="K53" s="7">
        <v>101451.19907456578</v>
      </c>
      <c r="L53" s="7">
        <v>102380.74995739129</v>
      </c>
      <c r="M53" s="7">
        <v>94516.836523597594</v>
      </c>
      <c r="N53" s="7">
        <v>101979.63233801603</v>
      </c>
      <c r="P53" t="s">
        <v>21</v>
      </c>
      <c r="Q53" s="20" t="s">
        <v>188</v>
      </c>
      <c r="T53" s="24">
        <v>61609762</v>
      </c>
      <c r="U53" s="24">
        <v>57062378</v>
      </c>
      <c r="V53" s="24">
        <v>62147929</v>
      </c>
      <c r="W53" s="24">
        <f t="shared" si="1"/>
        <v>90441.295886189997</v>
      </c>
      <c r="X53" s="24">
        <v>77615.477931896705</v>
      </c>
      <c r="Y53" s="24">
        <v>74403</v>
      </c>
      <c r="Z53" s="24">
        <v>681.21272916664998</v>
      </c>
      <c r="AA53" s="1">
        <v>766.93589583332903</v>
      </c>
      <c r="AD53" t="s">
        <v>19</v>
      </c>
      <c r="AE53" t="s">
        <v>211</v>
      </c>
      <c r="AF53" t="s">
        <v>185</v>
      </c>
      <c r="AG53">
        <v>11511184</v>
      </c>
      <c r="AH53">
        <v>10777878</v>
      </c>
      <c r="AI53">
        <v>12734359</v>
      </c>
      <c r="AJ53">
        <v>128144</v>
      </c>
      <c r="AK53">
        <v>152834.02529188801</v>
      </c>
      <c r="AL53">
        <v>115557</v>
      </c>
      <c r="AM53">
        <v>89.829758064516099</v>
      </c>
      <c r="AN53">
        <v>93.268743279569804</v>
      </c>
      <c r="AO53">
        <v>83.321494048065702</v>
      </c>
    </row>
    <row r="54" spans="1:41" x14ac:dyDescent="0.35">
      <c r="G54" s="3" t="s">
        <v>52</v>
      </c>
      <c r="H54" s="7">
        <v>96097.297931304376</v>
      </c>
      <c r="I54" s="7">
        <v>88566.896341299711</v>
      </c>
      <c r="J54" s="7">
        <v>103649.36192286159</v>
      </c>
      <c r="K54" s="7">
        <v>91924.426381168494</v>
      </c>
      <c r="L54" s="7">
        <v>95754.77544497019</v>
      </c>
      <c r="M54" s="7">
        <v>89891.461724622321</v>
      </c>
      <c r="N54" s="7">
        <v>94314.036624371089</v>
      </c>
      <c r="P54" t="s">
        <v>12</v>
      </c>
      <c r="Q54" s="20" t="s">
        <v>188</v>
      </c>
      <c r="T54" s="24">
        <v>81552299</v>
      </c>
      <c r="U54" s="24">
        <v>75977016</v>
      </c>
      <c r="V54" s="24">
        <v>76654091</v>
      </c>
      <c r="W54" s="24">
        <f t="shared" si="1"/>
        <v>94147.924898962199</v>
      </c>
      <c r="X54" s="24">
        <v>87529.744913138202</v>
      </c>
      <c r="Y54" s="24">
        <v>82897</v>
      </c>
      <c r="Z54" s="24">
        <v>866.21451388886601</v>
      </c>
      <c r="AA54" s="1">
        <v>916.52278472222304</v>
      </c>
      <c r="AD54" t="s">
        <v>52</v>
      </c>
      <c r="AE54" t="s">
        <v>209</v>
      </c>
      <c r="AF54" t="s">
        <v>185</v>
      </c>
      <c r="AG54">
        <v>8864263</v>
      </c>
      <c r="AH54">
        <v>8817575</v>
      </c>
      <c r="AI54">
        <v>8910877</v>
      </c>
      <c r="AJ54">
        <v>100936</v>
      </c>
      <c r="AK54">
        <v>103722.45893508699</v>
      </c>
      <c r="AL54">
        <v>94564</v>
      </c>
      <c r="AM54">
        <v>87.820551075268796</v>
      </c>
      <c r="AN54">
        <v>93.244986559139704</v>
      </c>
      <c r="AO54">
        <v>85.910778843728195</v>
      </c>
    </row>
    <row r="55" spans="1:41" x14ac:dyDescent="0.35">
      <c r="G55" s="3" t="s">
        <v>17</v>
      </c>
      <c r="H55" s="7">
        <v>98970.529137755831</v>
      </c>
      <c r="I55" s="7">
        <v>93891.078977988567</v>
      </c>
      <c r="J55" s="7">
        <v>113742.48720068342</v>
      </c>
      <c r="K55" s="7">
        <v>94171.342926581943</v>
      </c>
      <c r="L55" s="7">
        <v>99290.497716516998</v>
      </c>
      <c r="M55" s="7">
        <v>93343.985503519725</v>
      </c>
      <c r="N55" s="7">
        <v>98901.653577174395</v>
      </c>
      <c r="P55" t="s">
        <v>14</v>
      </c>
      <c r="Q55" s="20" t="s">
        <v>188</v>
      </c>
      <c r="T55" s="24">
        <v>94585305</v>
      </c>
      <c r="U55" s="24">
        <v>90483162</v>
      </c>
      <c r="V55" s="24">
        <v>94887860</v>
      </c>
      <c r="W55" s="24">
        <f t="shared" si="1"/>
        <v>88622.605041916933</v>
      </c>
      <c r="X55" s="24">
        <v>84912.668231757503</v>
      </c>
      <c r="Y55" s="24">
        <v>80484</v>
      </c>
      <c r="Z55" s="24">
        <v>1067.2819305555599</v>
      </c>
      <c r="AA55" s="1">
        <v>1124.23888888889</v>
      </c>
      <c r="AD55" t="s">
        <v>52</v>
      </c>
      <c r="AE55" t="s">
        <v>202</v>
      </c>
      <c r="AF55" t="s">
        <v>187</v>
      </c>
      <c r="AG55">
        <v>9852862</v>
      </c>
      <c r="AH55">
        <v>8809963</v>
      </c>
      <c r="AI55">
        <v>9726713</v>
      </c>
      <c r="AJ55">
        <v>112187</v>
      </c>
      <c r="AK55">
        <v>99247.099121789302</v>
      </c>
      <c r="AL55">
        <v>94647</v>
      </c>
      <c r="AM55">
        <v>87.825067204300893</v>
      </c>
      <c r="AN55">
        <v>93.082641129032197</v>
      </c>
      <c r="AO55">
        <v>98.0050147003695</v>
      </c>
    </row>
    <row r="56" spans="1:41" x14ac:dyDescent="0.35">
      <c r="G56" s="3" t="s">
        <v>104</v>
      </c>
      <c r="H56" s="7">
        <v>65656.190772777001</v>
      </c>
      <c r="I56" s="7">
        <v>59276.890137330549</v>
      </c>
      <c r="J56" s="7">
        <v>62827.744508308817</v>
      </c>
      <c r="K56" s="7">
        <v>70278.680709689186</v>
      </c>
      <c r="L56" s="7">
        <v>65562.102835619022</v>
      </c>
      <c r="M56" s="7">
        <v>62671.149330207933</v>
      </c>
      <c r="N56" s="7">
        <v>64378.79304898878</v>
      </c>
      <c r="AD56" t="s">
        <v>21</v>
      </c>
      <c r="AE56" t="s">
        <v>206</v>
      </c>
      <c r="AF56" t="s">
        <v>186</v>
      </c>
      <c r="AG56">
        <v>9436243</v>
      </c>
      <c r="AH56">
        <v>8281450</v>
      </c>
      <c r="AI56">
        <v>8927179</v>
      </c>
      <c r="AJ56">
        <v>115132</v>
      </c>
      <c r="AK56">
        <v>101730.10039471</v>
      </c>
      <c r="AL56">
        <v>89000</v>
      </c>
      <c r="AM56">
        <v>81.960034722225302</v>
      </c>
      <c r="AN56">
        <v>93.050416666666607</v>
      </c>
      <c r="AO56">
        <v>87.753564014610305</v>
      </c>
    </row>
    <row r="57" spans="1:41" x14ac:dyDescent="0.35">
      <c r="G57" s="3" t="s">
        <v>21</v>
      </c>
      <c r="H57" s="7">
        <v>82230.272851224712</v>
      </c>
      <c r="I57" s="7">
        <v>80645.58799000275</v>
      </c>
      <c r="J57" s="7">
        <v>105106.36569159791</v>
      </c>
      <c r="K57" s="7">
        <v>84287.468760115968</v>
      </c>
      <c r="L57" s="7">
        <v>86689.723483811526</v>
      </c>
      <c r="M57" s="7">
        <v>77615.476189205961</v>
      </c>
      <c r="N57" s="7">
        <v>86095.815827659841</v>
      </c>
      <c r="AD57" t="s">
        <v>21</v>
      </c>
      <c r="AE57" t="s">
        <v>206</v>
      </c>
      <c r="AF57" t="s">
        <v>184</v>
      </c>
      <c r="AG57">
        <v>10208666</v>
      </c>
      <c r="AH57">
        <v>8383686</v>
      </c>
      <c r="AI57">
        <v>9462132</v>
      </c>
      <c r="AJ57">
        <v>114376</v>
      </c>
      <c r="AK57">
        <v>107826.183988659</v>
      </c>
      <c r="AL57">
        <v>90420</v>
      </c>
      <c r="AM57">
        <v>89.255052083333297</v>
      </c>
      <c r="AN57">
        <v>92.719635416666605</v>
      </c>
      <c r="AO57">
        <v>87.753564014610305</v>
      </c>
    </row>
    <row r="58" spans="1:41" x14ac:dyDescent="0.35">
      <c r="G58" s="3" t="s">
        <v>12</v>
      </c>
      <c r="H58" s="7">
        <v>93483.914855320545</v>
      </c>
      <c r="I58" s="7">
        <v>90169.057720509227</v>
      </c>
      <c r="J58" s="7">
        <v>115973.08102654947</v>
      </c>
      <c r="K58" s="7">
        <v>87712.963717160732</v>
      </c>
      <c r="L58" s="7">
        <v>93537.607177092999</v>
      </c>
      <c r="M58" s="7">
        <v>87529.744564065797</v>
      </c>
      <c r="N58" s="7">
        <v>94734.394843449802</v>
      </c>
      <c r="AD58" t="s">
        <v>19</v>
      </c>
      <c r="AE58" t="s">
        <v>211</v>
      </c>
      <c r="AF58" t="s">
        <v>184</v>
      </c>
      <c r="AG58">
        <v>9772019</v>
      </c>
      <c r="AH58">
        <v>9381120</v>
      </c>
      <c r="AI58">
        <v>10262903</v>
      </c>
      <c r="AJ58">
        <v>116566</v>
      </c>
      <c r="AK58">
        <v>123172.340685341</v>
      </c>
      <c r="AL58">
        <v>101574</v>
      </c>
      <c r="AM58">
        <v>83.832552083333297</v>
      </c>
      <c r="AN58">
        <v>92.357135416666594</v>
      </c>
      <c r="AO58">
        <v>83.321494048065702</v>
      </c>
    </row>
    <row r="59" spans="1:41" x14ac:dyDescent="0.35">
      <c r="G59" s="3" t="s">
        <v>14</v>
      </c>
      <c r="H59" s="7">
        <v>88449.777032274753</v>
      </c>
      <c r="I59" s="7">
        <v>87147.722998845522</v>
      </c>
      <c r="J59" s="7">
        <v>106524.71989201094</v>
      </c>
      <c r="K59" s="7">
        <v>88475.221876370095</v>
      </c>
      <c r="L59" s="7">
        <v>91734.987037433137</v>
      </c>
      <c r="M59" s="7">
        <v>84912.669871614125</v>
      </c>
      <c r="N59" s="7">
        <v>91207.516451424759</v>
      </c>
      <c r="AD59" t="s">
        <v>12</v>
      </c>
      <c r="AE59" t="s">
        <v>212</v>
      </c>
      <c r="AF59" t="s">
        <v>187</v>
      </c>
      <c r="AG59">
        <v>12491601</v>
      </c>
      <c r="AH59">
        <v>10640804</v>
      </c>
      <c r="AI59">
        <v>11040349</v>
      </c>
      <c r="AJ59">
        <v>145442</v>
      </c>
      <c r="AK59">
        <v>126657.92363845299</v>
      </c>
      <c r="AL59">
        <v>115304</v>
      </c>
      <c r="AM59">
        <v>85.887224462365296</v>
      </c>
      <c r="AN59">
        <v>92.284697580645101</v>
      </c>
      <c r="AO59">
        <v>87.166669283279703</v>
      </c>
    </row>
    <row r="60" spans="1:41" x14ac:dyDescent="0.35">
      <c r="G60" s="3" t="s">
        <v>135</v>
      </c>
      <c r="H60" s="7">
        <v>89006.676194120271</v>
      </c>
      <c r="I60" s="7">
        <v>84802.065030260317</v>
      </c>
      <c r="J60" s="7">
        <v>103992.46982725291</v>
      </c>
      <c r="K60" s="7">
        <v>87162.965550193272</v>
      </c>
      <c r="L60" s="7">
        <v>89822.515346125525</v>
      </c>
      <c r="M60" s="7">
        <v>83649.432438433316</v>
      </c>
      <c r="N60" s="7">
        <v>89739.354064397587</v>
      </c>
      <c r="AD60" t="s">
        <v>14</v>
      </c>
      <c r="AE60" t="s">
        <v>210</v>
      </c>
      <c r="AF60" t="s">
        <v>184</v>
      </c>
      <c r="AG60">
        <v>10786735</v>
      </c>
      <c r="AH60">
        <v>9714100</v>
      </c>
      <c r="AI60">
        <v>9895521</v>
      </c>
      <c r="AJ60">
        <v>122901</v>
      </c>
      <c r="AK60">
        <v>114540.39380543301</v>
      </c>
      <c r="AL60">
        <v>105517</v>
      </c>
      <c r="AM60">
        <v>87.767968749999994</v>
      </c>
      <c r="AN60">
        <v>92.062239583333294</v>
      </c>
      <c r="AO60">
        <v>86.393284871267298</v>
      </c>
    </row>
    <row r="61" spans="1:41" x14ac:dyDescent="0.35">
      <c r="AD61" t="s">
        <v>52</v>
      </c>
      <c r="AE61" t="s">
        <v>213</v>
      </c>
      <c r="AF61" t="s">
        <v>183</v>
      </c>
      <c r="AG61">
        <v>9145687</v>
      </c>
      <c r="AH61">
        <v>8652871</v>
      </c>
      <c r="AI61">
        <v>8798808</v>
      </c>
      <c r="AJ61">
        <v>104947</v>
      </c>
      <c r="AK61">
        <v>97460.262379580498</v>
      </c>
      <c r="AL61">
        <v>94129</v>
      </c>
      <c r="AM61">
        <v>87.145624999999995</v>
      </c>
      <c r="AN61">
        <v>91.925712365591295</v>
      </c>
      <c r="AO61">
        <v>90.280982690474303</v>
      </c>
    </row>
    <row r="62" spans="1:41" x14ac:dyDescent="0.35">
      <c r="AD62" t="s">
        <v>12</v>
      </c>
      <c r="AE62" t="s">
        <v>214</v>
      </c>
      <c r="AF62" t="s">
        <v>187</v>
      </c>
      <c r="AG62">
        <v>8978069</v>
      </c>
      <c r="AH62">
        <v>7896871</v>
      </c>
      <c r="AI62">
        <v>8386135</v>
      </c>
      <c r="AJ62">
        <v>100366</v>
      </c>
      <c r="AK62">
        <v>100813.754067595</v>
      </c>
      <c r="AL62">
        <v>86067</v>
      </c>
      <c r="AM62">
        <v>89.453225806451997</v>
      </c>
      <c r="AN62">
        <v>91.752594086021503</v>
      </c>
      <c r="AO62">
        <v>83.184435661200894</v>
      </c>
    </row>
    <row r="63" spans="1:41" x14ac:dyDescent="0.35">
      <c r="AD63" t="s">
        <v>12</v>
      </c>
      <c r="AE63" t="s">
        <v>212</v>
      </c>
      <c r="AF63" t="s">
        <v>188</v>
      </c>
      <c r="AG63">
        <v>10402007</v>
      </c>
      <c r="AH63">
        <v>9844291</v>
      </c>
      <c r="AI63">
        <v>10054624</v>
      </c>
      <c r="AJ63">
        <v>123365</v>
      </c>
      <c r="AK63">
        <v>115349.413844457</v>
      </c>
      <c r="AL63">
        <v>107293</v>
      </c>
      <c r="AM63">
        <v>84.319277777780201</v>
      </c>
      <c r="AN63">
        <v>91.751868055555505</v>
      </c>
      <c r="AO63">
        <v>87.166669283279703</v>
      </c>
    </row>
    <row r="64" spans="1:41" x14ac:dyDescent="0.35">
      <c r="AD64" t="s">
        <v>12</v>
      </c>
      <c r="AE64" t="s">
        <v>212</v>
      </c>
      <c r="AF64" t="s">
        <v>185</v>
      </c>
      <c r="AG64">
        <v>13056379</v>
      </c>
      <c r="AH64">
        <v>11059698</v>
      </c>
      <c r="AI64">
        <v>12850438</v>
      </c>
      <c r="AJ64">
        <v>131416</v>
      </c>
      <c r="AK64">
        <v>147423.75780515099</v>
      </c>
      <c r="AL64">
        <v>120956</v>
      </c>
      <c r="AM64">
        <v>99.351686827956996</v>
      </c>
      <c r="AN64">
        <v>91.435336021505293</v>
      </c>
      <c r="AO64">
        <v>87.166669283279703</v>
      </c>
    </row>
    <row r="65" spans="7:41" x14ac:dyDescent="0.35">
      <c r="AD65" t="s">
        <v>17</v>
      </c>
      <c r="AE65" t="s">
        <v>215</v>
      </c>
      <c r="AF65" t="s">
        <v>185</v>
      </c>
      <c r="AG65">
        <v>8043442</v>
      </c>
      <c r="AH65">
        <v>11605448</v>
      </c>
      <c r="AI65">
        <v>8462397</v>
      </c>
      <c r="AJ65">
        <v>96124</v>
      </c>
      <c r="AK65">
        <v>110956.319839092</v>
      </c>
      <c r="AL65">
        <v>127747</v>
      </c>
      <c r="AM65">
        <v>83.678178763440798</v>
      </c>
      <c r="AN65">
        <v>90.846780913978407</v>
      </c>
      <c r="AO65">
        <v>76.267822594261204</v>
      </c>
    </row>
    <row r="66" spans="7:41" x14ac:dyDescent="0.35">
      <c r="AD66" t="s">
        <v>17</v>
      </c>
      <c r="AE66" t="s">
        <v>215</v>
      </c>
      <c r="AF66" t="s">
        <v>188</v>
      </c>
      <c r="AG66">
        <v>6863597</v>
      </c>
      <c r="AH66">
        <v>10118432</v>
      </c>
      <c r="AI66">
        <v>6821383</v>
      </c>
      <c r="AJ66">
        <v>104113</v>
      </c>
      <c r="AK66">
        <v>89439.852208567798</v>
      </c>
      <c r="AL66">
        <v>111464</v>
      </c>
      <c r="AM66">
        <v>65.924638888889106</v>
      </c>
      <c r="AN66">
        <v>90.777312499999894</v>
      </c>
      <c r="AO66">
        <v>76.267822594261204</v>
      </c>
    </row>
    <row r="67" spans="7:41" x14ac:dyDescent="0.35">
      <c r="AD67" t="s">
        <v>19</v>
      </c>
      <c r="AE67" t="s">
        <v>216</v>
      </c>
      <c r="AF67" t="s">
        <v>186</v>
      </c>
      <c r="AG67">
        <v>10854676</v>
      </c>
      <c r="AH67">
        <v>8494729</v>
      </c>
      <c r="AI67">
        <v>9875852</v>
      </c>
      <c r="AJ67">
        <v>131512</v>
      </c>
      <c r="AK67">
        <v>120535.44440910099</v>
      </c>
      <c r="AL67">
        <v>94285</v>
      </c>
      <c r="AM67">
        <v>82.537777777780406</v>
      </c>
      <c r="AN67">
        <v>90.096416666666698</v>
      </c>
      <c r="AO67">
        <v>81.933174564661698</v>
      </c>
    </row>
    <row r="68" spans="7:41" x14ac:dyDescent="0.35">
      <c r="AD68" t="s">
        <v>19</v>
      </c>
      <c r="AE68" t="s">
        <v>217</v>
      </c>
      <c r="AF68" t="s">
        <v>183</v>
      </c>
      <c r="AG68">
        <v>9710269</v>
      </c>
      <c r="AH68">
        <v>9282853</v>
      </c>
      <c r="AI68">
        <v>9415173</v>
      </c>
      <c r="AJ68">
        <v>100627</v>
      </c>
      <c r="AK68">
        <v>104104.19406846201</v>
      </c>
      <c r="AL68">
        <v>103200</v>
      </c>
      <c r="AM68">
        <v>96.497587365591301</v>
      </c>
      <c r="AN68">
        <v>89.9501881720429</v>
      </c>
      <c r="AO68">
        <v>90.439897606894306</v>
      </c>
    </row>
    <row r="69" spans="7:41" x14ac:dyDescent="0.35">
      <c r="AD69" t="s">
        <v>12</v>
      </c>
      <c r="AE69" t="s">
        <v>212</v>
      </c>
      <c r="AF69" t="s">
        <v>186</v>
      </c>
      <c r="AG69">
        <v>11515132</v>
      </c>
      <c r="AH69">
        <v>9825275</v>
      </c>
      <c r="AI69">
        <v>10261097</v>
      </c>
      <c r="AJ69">
        <v>131009</v>
      </c>
      <c r="AK69">
        <v>117718.122128228</v>
      </c>
      <c r="AL69">
        <v>109401</v>
      </c>
      <c r="AM69">
        <v>87.895597222225305</v>
      </c>
      <c r="AN69">
        <v>89.809562499999998</v>
      </c>
      <c r="AO69">
        <v>87.166669283279703</v>
      </c>
    </row>
    <row r="70" spans="7:41" x14ac:dyDescent="0.35">
      <c r="AD70" t="s">
        <v>12</v>
      </c>
      <c r="AE70" t="s">
        <v>214</v>
      </c>
      <c r="AF70" t="s">
        <v>186</v>
      </c>
      <c r="AG70">
        <v>8567293</v>
      </c>
      <c r="AH70">
        <v>7178766</v>
      </c>
      <c r="AI70">
        <v>7520328</v>
      </c>
      <c r="AJ70">
        <v>96857</v>
      </c>
      <c r="AK70">
        <v>90405.468019633903</v>
      </c>
      <c r="AL70">
        <v>80139</v>
      </c>
      <c r="AM70">
        <v>88.453458333336101</v>
      </c>
      <c r="AN70">
        <v>89.578951388888896</v>
      </c>
      <c r="AO70">
        <v>83.184435661200894</v>
      </c>
    </row>
    <row r="71" spans="7:41" x14ac:dyDescent="0.35">
      <c r="AD71" t="s">
        <v>12</v>
      </c>
      <c r="AE71" t="s">
        <v>214</v>
      </c>
      <c r="AF71" t="s">
        <v>188</v>
      </c>
      <c r="AG71">
        <v>8028846</v>
      </c>
      <c r="AH71">
        <v>7180788</v>
      </c>
      <c r="AI71">
        <v>7763032</v>
      </c>
      <c r="AJ71">
        <v>99177</v>
      </c>
      <c r="AK71">
        <v>93323.125799852496</v>
      </c>
      <c r="AL71">
        <v>80382</v>
      </c>
      <c r="AM71">
        <v>80.954416666668806</v>
      </c>
      <c r="AN71">
        <v>89.333222222222105</v>
      </c>
      <c r="AO71">
        <v>83.184435661200894</v>
      </c>
    </row>
    <row r="72" spans="7:41" x14ac:dyDescent="0.35">
      <c r="AD72" t="s">
        <v>19</v>
      </c>
      <c r="AE72" t="s">
        <v>217</v>
      </c>
      <c r="AF72" t="s">
        <v>184</v>
      </c>
      <c r="AG72">
        <v>9353533</v>
      </c>
      <c r="AH72">
        <v>7931521</v>
      </c>
      <c r="AI72">
        <v>8588078</v>
      </c>
      <c r="AJ72">
        <v>95202</v>
      </c>
      <c r="AK72">
        <v>94958.948929032398</v>
      </c>
      <c r="AL72">
        <v>88903</v>
      </c>
      <c r="AM72">
        <v>98.249739583333294</v>
      </c>
      <c r="AN72">
        <v>89.215156249999893</v>
      </c>
      <c r="AO72">
        <v>90.439897606894306</v>
      </c>
    </row>
    <row r="73" spans="7:41" x14ac:dyDescent="0.35">
      <c r="AD73" t="s">
        <v>35</v>
      </c>
      <c r="AE73" t="s">
        <v>207</v>
      </c>
      <c r="AF73" t="s">
        <v>183</v>
      </c>
      <c r="AG73">
        <v>7439451</v>
      </c>
      <c r="AH73">
        <v>7228036</v>
      </c>
      <c r="AI73">
        <v>7936131</v>
      </c>
      <c r="AJ73">
        <v>92722</v>
      </c>
      <c r="AK73">
        <v>89761.998708126906</v>
      </c>
      <c r="AL73">
        <v>81047</v>
      </c>
      <c r="AM73">
        <v>80.234018817204202</v>
      </c>
      <c r="AN73">
        <v>89.183057795698801</v>
      </c>
      <c r="AO73">
        <v>88.413034538205693</v>
      </c>
    </row>
    <row r="74" spans="7:41" x14ac:dyDescent="0.35">
      <c r="AD74" t="s">
        <v>104</v>
      </c>
      <c r="AE74" t="s">
        <v>208</v>
      </c>
      <c r="AF74" t="s">
        <v>184</v>
      </c>
      <c r="AG74">
        <v>4562919</v>
      </c>
      <c r="AH74">
        <v>4390530</v>
      </c>
      <c r="AI74">
        <v>4436855</v>
      </c>
      <c r="AJ74">
        <v>47691</v>
      </c>
      <c r="AK74">
        <v>46169.147214359997</v>
      </c>
      <c r="AL74">
        <v>49267</v>
      </c>
      <c r="AM74">
        <v>95.677552083333296</v>
      </c>
      <c r="AN74">
        <v>89.116979166666596</v>
      </c>
      <c r="AO74">
        <v>96.1</v>
      </c>
    </row>
    <row r="75" spans="7:41" x14ac:dyDescent="0.35">
      <c r="AD75" t="s">
        <v>17</v>
      </c>
      <c r="AE75" t="s">
        <v>215</v>
      </c>
      <c r="AF75" t="s">
        <v>183</v>
      </c>
      <c r="AG75">
        <v>6780165</v>
      </c>
      <c r="AH75">
        <v>10022142</v>
      </c>
      <c r="AI75">
        <v>9125844</v>
      </c>
      <c r="AJ75">
        <v>94005</v>
      </c>
      <c r="AK75">
        <v>119655.237941546</v>
      </c>
      <c r="AL75">
        <v>112628</v>
      </c>
      <c r="AM75">
        <v>72.125544354838595</v>
      </c>
      <c r="AN75">
        <v>88.984583333333205</v>
      </c>
      <c r="AO75">
        <v>76.267822594261204</v>
      </c>
    </row>
    <row r="76" spans="7:41" x14ac:dyDescent="0.35">
      <c r="AD76" t="s">
        <v>19</v>
      </c>
      <c r="AE76" t="s">
        <v>211</v>
      </c>
      <c r="AF76" t="s">
        <v>186</v>
      </c>
      <c r="AG76">
        <v>10206022</v>
      </c>
      <c r="AH76">
        <v>9131449</v>
      </c>
      <c r="AI76">
        <v>11822524</v>
      </c>
      <c r="AJ76">
        <v>119706</v>
      </c>
      <c r="AK76">
        <v>141890.446709704</v>
      </c>
      <c r="AL76">
        <v>102713</v>
      </c>
      <c r="AM76">
        <v>85.258881944447097</v>
      </c>
      <c r="AN76">
        <v>88.9023819444445</v>
      </c>
      <c r="AO76">
        <v>83.321494048065702</v>
      </c>
    </row>
    <row r="77" spans="7:41" x14ac:dyDescent="0.35">
      <c r="AD77" t="s">
        <v>17</v>
      </c>
      <c r="AE77" t="s">
        <v>218</v>
      </c>
      <c r="AF77" t="s">
        <v>185</v>
      </c>
      <c r="AG77">
        <v>10383142</v>
      </c>
      <c r="AH77">
        <v>9051269</v>
      </c>
      <c r="AI77">
        <v>9968231</v>
      </c>
      <c r="AJ77">
        <v>120904</v>
      </c>
      <c r="AK77">
        <v>117800.627197119</v>
      </c>
      <c r="AL77">
        <v>101909</v>
      </c>
      <c r="AM77">
        <v>85.879038978494506</v>
      </c>
      <c r="AN77">
        <v>88.817063172042793</v>
      </c>
      <c r="AO77">
        <v>84.619508156945599</v>
      </c>
    </row>
    <row r="78" spans="7:41" x14ac:dyDescent="0.35">
      <c r="G78" s="2" t="s">
        <v>320</v>
      </c>
      <c r="H78" s="2" t="s">
        <v>138</v>
      </c>
      <c r="AD78" t="s">
        <v>14</v>
      </c>
      <c r="AE78" t="s">
        <v>210</v>
      </c>
      <c r="AF78" t="s">
        <v>187</v>
      </c>
      <c r="AG78">
        <v>11118522</v>
      </c>
      <c r="AH78">
        <v>9939149</v>
      </c>
      <c r="AI78">
        <v>10386944</v>
      </c>
      <c r="AJ78">
        <v>119407</v>
      </c>
      <c r="AK78">
        <v>120228.608253261</v>
      </c>
      <c r="AL78">
        <v>112007</v>
      </c>
      <c r="AM78">
        <v>93.114771505377107</v>
      </c>
      <c r="AN78">
        <v>88.736948924731195</v>
      </c>
      <c r="AO78">
        <v>86.393284871267298</v>
      </c>
    </row>
    <row r="79" spans="7:41" x14ac:dyDescent="0.35">
      <c r="G79" s="2" t="s">
        <v>134</v>
      </c>
      <c r="H79" t="s">
        <v>183</v>
      </c>
      <c r="I79" t="s">
        <v>184</v>
      </c>
      <c r="J79" t="s">
        <v>185</v>
      </c>
      <c r="K79" t="s">
        <v>186</v>
      </c>
      <c r="L79" t="s">
        <v>187</v>
      </c>
      <c r="M79" t="s">
        <v>188</v>
      </c>
      <c r="N79" t="s">
        <v>135</v>
      </c>
      <c r="AD79" t="s">
        <v>19</v>
      </c>
      <c r="AE79" t="s">
        <v>216</v>
      </c>
      <c r="AF79" t="s">
        <v>187</v>
      </c>
      <c r="AG79">
        <v>10527717</v>
      </c>
      <c r="AH79">
        <v>8347340</v>
      </c>
      <c r="AI79">
        <v>9933328</v>
      </c>
      <c r="AJ79">
        <v>125614</v>
      </c>
      <c r="AK79">
        <v>121236.941740376</v>
      </c>
      <c r="AL79">
        <v>94403</v>
      </c>
      <c r="AM79">
        <v>83.809946236558304</v>
      </c>
      <c r="AN79">
        <v>88.422231182795699</v>
      </c>
      <c r="AO79">
        <v>81.933174564661698</v>
      </c>
    </row>
    <row r="80" spans="7:41" x14ac:dyDescent="0.35">
      <c r="G80" s="3" t="s">
        <v>35</v>
      </c>
      <c r="H80" s="21">
        <v>55593223</v>
      </c>
      <c r="I80" s="21">
        <v>53339956</v>
      </c>
      <c r="J80" s="21">
        <v>62528663</v>
      </c>
      <c r="K80" s="21">
        <v>56689611</v>
      </c>
      <c r="L80" s="21">
        <v>58167857</v>
      </c>
      <c r="M80" s="21">
        <v>55050639</v>
      </c>
      <c r="N80" s="21">
        <v>341369949</v>
      </c>
      <c r="O80" s="1"/>
      <c r="AD80" t="s">
        <v>12</v>
      </c>
      <c r="AE80" t="s">
        <v>212</v>
      </c>
      <c r="AF80" t="s">
        <v>183</v>
      </c>
      <c r="AG80">
        <v>10522432</v>
      </c>
      <c r="AH80">
        <v>9602129</v>
      </c>
      <c r="AI80">
        <v>9827825</v>
      </c>
      <c r="AJ80">
        <v>124635</v>
      </c>
      <c r="AK80">
        <v>112747.508976864</v>
      </c>
      <c r="AL80">
        <v>108773</v>
      </c>
      <c r="AM80">
        <v>84.426303763440899</v>
      </c>
      <c r="AN80">
        <v>88.2765389784945</v>
      </c>
      <c r="AO80">
        <v>87.166669283279703</v>
      </c>
    </row>
    <row r="81" spans="7:41" x14ac:dyDescent="0.35">
      <c r="G81" s="3" t="s">
        <v>9</v>
      </c>
      <c r="H81" s="21">
        <v>8761301</v>
      </c>
      <c r="I81" s="21">
        <v>9618491</v>
      </c>
      <c r="J81" s="21">
        <v>11456052</v>
      </c>
      <c r="K81" s="21">
        <v>9008725</v>
      </c>
      <c r="L81" s="21">
        <v>9147344</v>
      </c>
      <c r="M81" s="21">
        <v>8389020</v>
      </c>
      <c r="N81" s="21">
        <v>56380933</v>
      </c>
      <c r="O81" s="1"/>
      <c r="AD81" t="s">
        <v>14</v>
      </c>
      <c r="AE81" t="s">
        <v>210</v>
      </c>
      <c r="AF81" t="s">
        <v>183</v>
      </c>
      <c r="AG81">
        <v>10454554</v>
      </c>
      <c r="AH81">
        <v>9376441</v>
      </c>
      <c r="AI81">
        <v>9776253</v>
      </c>
      <c r="AJ81">
        <v>119201</v>
      </c>
      <c r="AK81">
        <v>113159.87525613001</v>
      </c>
      <c r="AL81">
        <v>106283</v>
      </c>
      <c r="AM81">
        <v>87.704966397849404</v>
      </c>
      <c r="AN81">
        <v>88.221075268817202</v>
      </c>
      <c r="AO81">
        <v>86.393284871267298</v>
      </c>
    </row>
    <row r="82" spans="7:41" x14ac:dyDescent="0.35">
      <c r="G82" s="3" t="s">
        <v>19</v>
      </c>
      <c r="H82" s="21">
        <v>69982084</v>
      </c>
      <c r="I82" s="21">
        <v>70082746</v>
      </c>
      <c r="J82" s="21">
        <v>85957878</v>
      </c>
      <c r="K82" s="21">
        <v>75407823</v>
      </c>
      <c r="L82" s="21">
        <v>74812494</v>
      </c>
      <c r="M82" s="21">
        <v>68401234</v>
      </c>
      <c r="N82" s="21">
        <v>444644259</v>
      </c>
      <c r="O82" s="1"/>
      <c r="AD82" t="s">
        <v>19</v>
      </c>
      <c r="AE82" t="s">
        <v>211</v>
      </c>
      <c r="AF82" t="s">
        <v>187</v>
      </c>
      <c r="AG82">
        <v>10442437</v>
      </c>
      <c r="AH82">
        <v>9273271</v>
      </c>
      <c r="AI82">
        <v>11028814</v>
      </c>
      <c r="AJ82">
        <v>119824</v>
      </c>
      <c r="AK82">
        <v>132364.572455191</v>
      </c>
      <c r="AL82">
        <v>105127</v>
      </c>
      <c r="AM82">
        <v>87.148212365590794</v>
      </c>
      <c r="AN82">
        <v>88.210114247311793</v>
      </c>
      <c r="AO82">
        <v>83.321494048065702</v>
      </c>
    </row>
    <row r="83" spans="7:41" x14ac:dyDescent="0.35">
      <c r="G83" s="3" t="s">
        <v>52</v>
      </c>
      <c r="H83" s="21">
        <v>62434090</v>
      </c>
      <c r="I83" s="21">
        <v>56107703</v>
      </c>
      <c r="J83" s="21">
        <v>69740296</v>
      </c>
      <c r="K83" s="21">
        <v>63547843</v>
      </c>
      <c r="L83" s="21">
        <v>67037212</v>
      </c>
      <c r="M83" s="21">
        <v>61955803</v>
      </c>
      <c r="N83" s="21">
        <v>380822947</v>
      </c>
      <c r="O83" s="1"/>
      <c r="AD83" t="s">
        <v>12</v>
      </c>
      <c r="AE83" t="s">
        <v>214</v>
      </c>
      <c r="AF83" t="s">
        <v>183</v>
      </c>
      <c r="AG83">
        <v>8110029</v>
      </c>
      <c r="AH83">
        <v>7348758</v>
      </c>
      <c r="AI83">
        <v>6940427</v>
      </c>
      <c r="AJ83">
        <v>96919</v>
      </c>
      <c r="AK83">
        <v>83434.199811938597</v>
      </c>
      <c r="AL83">
        <v>83327</v>
      </c>
      <c r="AM83">
        <v>83.678790322580596</v>
      </c>
      <c r="AN83">
        <v>88.192237903225703</v>
      </c>
      <c r="AO83">
        <v>83.184435661200894</v>
      </c>
    </row>
    <row r="84" spans="7:41" x14ac:dyDescent="0.35">
      <c r="G84" s="3" t="s">
        <v>17</v>
      </c>
      <c r="H84" s="21">
        <v>69068441</v>
      </c>
      <c r="I84" s="21">
        <v>66935022</v>
      </c>
      <c r="J84" s="21">
        <v>82132824</v>
      </c>
      <c r="K84" s="21">
        <v>70773826</v>
      </c>
      <c r="L84" s="21">
        <v>73742656</v>
      </c>
      <c r="M84" s="21">
        <v>67894596</v>
      </c>
      <c r="N84" s="21">
        <v>430547365</v>
      </c>
      <c r="O84" s="1"/>
      <c r="AD84" t="s">
        <v>52</v>
      </c>
      <c r="AE84" t="s">
        <v>213</v>
      </c>
      <c r="AF84" t="s">
        <v>184</v>
      </c>
      <c r="AG84">
        <v>8664829</v>
      </c>
      <c r="AH84">
        <v>7402521</v>
      </c>
      <c r="AI84">
        <v>8182815</v>
      </c>
      <c r="AJ84">
        <v>94732</v>
      </c>
      <c r="AK84">
        <v>90637.194840407596</v>
      </c>
      <c r="AL84">
        <v>83940</v>
      </c>
      <c r="AM84">
        <v>91.4668229166667</v>
      </c>
      <c r="AN84">
        <v>88.188697916666598</v>
      </c>
      <c r="AO84">
        <v>90.280982690474303</v>
      </c>
    </row>
    <row r="85" spans="7:41" x14ac:dyDescent="0.35">
      <c r="G85" s="3" t="s">
        <v>104</v>
      </c>
      <c r="H85" s="21">
        <v>22717715</v>
      </c>
      <c r="I85" s="21">
        <v>19367684</v>
      </c>
      <c r="J85" s="21">
        <v>22067893</v>
      </c>
      <c r="K85" s="21">
        <v>22918452</v>
      </c>
      <c r="L85" s="21">
        <v>22044863</v>
      </c>
      <c r="M85" s="21">
        <v>21234672</v>
      </c>
      <c r="N85" s="21">
        <v>130351279</v>
      </c>
      <c r="O85" s="1"/>
      <c r="AD85" t="s">
        <v>35</v>
      </c>
      <c r="AE85" t="s">
        <v>207</v>
      </c>
      <c r="AF85" t="s">
        <v>186</v>
      </c>
      <c r="AG85">
        <v>7788630</v>
      </c>
      <c r="AH85">
        <v>7379575</v>
      </c>
      <c r="AI85">
        <v>7612589</v>
      </c>
      <c r="AJ85">
        <v>88733</v>
      </c>
      <c r="AK85">
        <v>86102.564309229594</v>
      </c>
      <c r="AL85">
        <v>83716</v>
      </c>
      <c r="AM85">
        <v>87.776013888891796</v>
      </c>
      <c r="AN85">
        <v>88.149638888888902</v>
      </c>
      <c r="AO85">
        <v>88.413034538205693</v>
      </c>
    </row>
    <row r="86" spans="7:41" x14ac:dyDescent="0.35">
      <c r="G86" s="3" t="s">
        <v>21</v>
      </c>
      <c r="H86" s="21">
        <v>65100759</v>
      </c>
      <c r="I86" s="21">
        <v>69364060</v>
      </c>
      <c r="J86" s="21">
        <v>83545884</v>
      </c>
      <c r="K86" s="21">
        <v>68961062</v>
      </c>
      <c r="L86" s="21">
        <v>69312859</v>
      </c>
      <c r="M86" s="21">
        <v>61609762</v>
      </c>
      <c r="N86" s="21">
        <v>417894386</v>
      </c>
      <c r="O86" s="1"/>
      <c r="AD86" t="s">
        <v>17</v>
      </c>
      <c r="AE86" t="s">
        <v>215</v>
      </c>
      <c r="AF86" t="s">
        <v>186</v>
      </c>
      <c r="AG86">
        <v>7255945</v>
      </c>
      <c r="AH86">
        <v>9747705</v>
      </c>
      <c r="AI86">
        <v>7191326</v>
      </c>
      <c r="AJ86">
        <v>93893</v>
      </c>
      <c r="AK86">
        <v>94290.432360410705</v>
      </c>
      <c r="AL86">
        <v>110725</v>
      </c>
      <c r="AM86">
        <v>77.278979166667696</v>
      </c>
      <c r="AN86">
        <v>88.035305555555496</v>
      </c>
      <c r="AO86">
        <v>76.267822594261204</v>
      </c>
    </row>
    <row r="87" spans="7:41" x14ac:dyDescent="0.35">
      <c r="G87" s="3" t="s">
        <v>12</v>
      </c>
      <c r="H87" s="21">
        <v>83477945</v>
      </c>
      <c r="I87" s="21">
        <v>86411209</v>
      </c>
      <c r="J87" s="21">
        <v>105222803</v>
      </c>
      <c r="K87" s="21">
        <v>86190837</v>
      </c>
      <c r="L87" s="21">
        <v>91733345</v>
      </c>
      <c r="M87" s="21">
        <v>81552299</v>
      </c>
      <c r="N87" s="21">
        <v>534588438</v>
      </c>
      <c r="O87" s="1"/>
      <c r="AD87" t="s">
        <v>14</v>
      </c>
      <c r="AE87" t="s">
        <v>210</v>
      </c>
      <c r="AF87" t="s">
        <v>188</v>
      </c>
      <c r="AG87">
        <v>9874453</v>
      </c>
      <c r="AH87">
        <v>9081086</v>
      </c>
      <c r="AI87">
        <v>9504324</v>
      </c>
      <c r="AJ87">
        <v>112676</v>
      </c>
      <c r="AK87">
        <v>110012.300287715</v>
      </c>
      <c r="AL87">
        <v>103181</v>
      </c>
      <c r="AM87">
        <v>87.635576388891195</v>
      </c>
      <c r="AN87">
        <v>88.011048611110994</v>
      </c>
      <c r="AO87">
        <v>86.393284871267298</v>
      </c>
    </row>
    <row r="88" spans="7:41" x14ac:dyDescent="0.35">
      <c r="G88" s="3" t="s">
        <v>14</v>
      </c>
      <c r="H88" s="21">
        <v>96535842</v>
      </c>
      <c r="I88" s="21">
        <v>99589916</v>
      </c>
      <c r="J88" s="21">
        <v>121448579</v>
      </c>
      <c r="K88" s="21">
        <v>102119692</v>
      </c>
      <c r="L88" s="21">
        <v>105849472</v>
      </c>
      <c r="M88" s="21">
        <v>94585306</v>
      </c>
      <c r="N88" s="21">
        <v>620128807</v>
      </c>
      <c r="O88" s="1"/>
      <c r="AD88" t="s">
        <v>19</v>
      </c>
      <c r="AE88" t="s">
        <v>211</v>
      </c>
      <c r="AF88" t="s">
        <v>188</v>
      </c>
      <c r="AG88">
        <v>9759385</v>
      </c>
      <c r="AH88">
        <v>8877064</v>
      </c>
      <c r="AI88">
        <v>10453622</v>
      </c>
      <c r="AJ88">
        <v>113900</v>
      </c>
      <c r="AK88">
        <v>125461.293162477</v>
      </c>
      <c r="AL88">
        <v>100889</v>
      </c>
      <c r="AM88">
        <v>85.684083333335593</v>
      </c>
      <c r="AN88">
        <v>87.988201388888797</v>
      </c>
      <c r="AO88">
        <v>83.321494048065702</v>
      </c>
    </row>
    <row r="89" spans="7:41" x14ac:dyDescent="0.35">
      <c r="G89" s="3" t="s">
        <v>135</v>
      </c>
      <c r="H89" s="21">
        <v>533671400</v>
      </c>
      <c r="I89" s="21">
        <v>530816787</v>
      </c>
      <c r="J89" s="21">
        <v>644100872</v>
      </c>
      <c r="K89" s="21">
        <v>555617871</v>
      </c>
      <c r="L89" s="21">
        <v>571848102</v>
      </c>
      <c r="M89" s="21">
        <v>520673331</v>
      </c>
      <c r="N89" s="21">
        <v>3356728363</v>
      </c>
      <c r="O89" s="1"/>
      <c r="AD89" t="s">
        <v>52</v>
      </c>
      <c r="AE89" t="s">
        <v>213</v>
      </c>
      <c r="AF89" t="s">
        <v>185</v>
      </c>
      <c r="AG89">
        <v>10031409</v>
      </c>
      <c r="AH89">
        <v>9287982</v>
      </c>
      <c r="AI89">
        <v>9683177</v>
      </c>
      <c r="AJ89">
        <v>103281</v>
      </c>
      <c r="AK89">
        <v>107255.99946334701</v>
      </c>
      <c r="AL89">
        <v>105616</v>
      </c>
      <c r="AM89">
        <v>97.127399193548399</v>
      </c>
      <c r="AN89">
        <v>87.941357526881603</v>
      </c>
      <c r="AO89">
        <v>90.280982690474303</v>
      </c>
    </row>
    <row r="90" spans="7:41" x14ac:dyDescent="0.35">
      <c r="AD90" t="s">
        <v>19</v>
      </c>
      <c r="AE90" t="s">
        <v>216</v>
      </c>
      <c r="AF90" t="s">
        <v>188</v>
      </c>
      <c r="AG90">
        <v>10084889</v>
      </c>
      <c r="AH90">
        <v>7601473</v>
      </c>
      <c r="AI90">
        <v>8830048</v>
      </c>
      <c r="AJ90">
        <v>130603</v>
      </c>
      <c r="AK90">
        <v>107771.33651194299</v>
      </c>
      <c r="AL90">
        <v>86828</v>
      </c>
      <c r="AM90">
        <v>77.217972222224304</v>
      </c>
      <c r="AN90">
        <v>87.546763888888805</v>
      </c>
      <c r="AO90">
        <v>81.933174564661698</v>
      </c>
    </row>
    <row r="91" spans="7:41" x14ac:dyDescent="0.35">
      <c r="AD91" t="s">
        <v>17</v>
      </c>
      <c r="AE91" t="s">
        <v>218</v>
      </c>
      <c r="AF91" t="s">
        <v>183</v>
      </c>
      <c r="AG91">
        <v>8456733</v>
      </c>
      <c r="AH91">
        <v>7927205</v>
      </c>
      <c r="AI91">
        <v>8166734</v>
      </c>
      <c r="AJ91">
        <v>97845</v>
      </c>
      <c r="AK91">
        <v>96511.239231655301</v>
      </c>
      <c r="AL91">
        <v>90992</v>
      </c>
      <c r="AM91">
        <v>86.429724462365499</v>
      </c>
      <c r="AN91">
        <v>87.119704301075103</v>
      </c>
      <c r="AO91">
        <v>84.619508156945599</v>
      </c>
    </row>
    <row r="92" spans="7:41" x14ac:dyDescent="0.35">
      <c r="G92" s="2" t="s">
        <v>317</v>
      </c>
      <c r="H92" s="2" t="s">
        <v>138</v>
      </c>
      <c r="AD92" t="s">
        <v>52</v>
      </c>
      <c r="AE92" t="s">
        <v>209</v>
      </c>
      <c r="AF92" t="s">
        <v>183</v>
      </c>
      <c r="AG92">
        <v>7702672</v>
      </c>
      <c r="AH92">
        <v>7827389</v>
      </c>
      <c r="AI92">
        <v>8559674</v>
      </c>
      <c r="AJ92">
        <v>88915</v>
      </c>
      <c r="AK92">
        <v>99634.457811982502</v>
      </c>
      <c r="AL92">
        <v>89848</v>
      </c>
      <c r="AM92">
        <v>86.629704301075293</v>
      </c>
      <c r="AN92">
        <v>87.117963709677298</v>
      </c>
      <c r="AO92">
        <v>85.910778843728195</v>
      </c>
    </row>
    <row r="93" spans="7:41" x14ac:dyDescent="0.35">
      <c r="G93" s="2" t="s">
        <v>134</v>
      </c>
      <c r="H93" t="s">
        <v>183</v>
      </c>
      <c r="I93" t="s">
        <v>184</v>
      </c>
      <c r="J93" t="s">
        <v>185</v>
      </c>
      <c r="K93" t="s">
        <v>186</v>
      </c>
      <c r="L93" t="s">
        <v>187</v>
      </c>
      <c r="M93" t="s">
        <v>188</v>
      </c>
      <c r="N93" t="s">
        <v>135</v>
      </c>
      <c r="AD93" t="s">
        <v>19</v>
      </c>
      <c r="AE93" t="s">
        <v>216</v>
      </c>
      <c r="AF93" t="s">
        <v>184</v>
      </c>
      <c r="AG93">
        <v>9209972</v>
      </c>
      <c r="AH93">
        <v>6943941</v>
      </c>
      <c r="AI93">
        <v>7943408</v>
      </c>
      <c r="AJ93">
        <v>111022</v>
      </c>
      <c r="AK93">
        <v>96949.833778636894</v>
      </c>
      <c r="AL93">
        <v>79726</v>
      </c>
      <c r="AM93">
        <v>82.955937500000005</v>
      </c>
      <c r="AN93">
        <v>87.097395833333195</v>
      </c>
      <c r="AO93">
        <v>81.933174564661698</v>
      </c>
    </row>
    <row r="94" spans="7:41" x14ac:dyDescent="0.35">
      <c r="G94" s="3" t="s">
        <v>35</v>
      </c>
      <c r="H94" s="18">
        <v>79883.913155749571</v>
      </c>
      <c r="I94" s="18">
        <v>74649.510140613129</v>
      </c>
      <c r="J94" s="18">
        <v>86867.647328780789</v>
      </c>
      <c r="K94" s="18">
        <v>83497.392156362301</v>
      </c>
      <c r="L94" s="18">
        <v>84874.115858132252</v>
      </c>
      <c r="M94" s="18">
        <v>82894.477941035497</v>
      </c>
      <c r="N94" s="18">
        <v>82086.417033407066</v>
      </c>
      <c r="O94" s="1"/>
      <c r="AD94" t="s">
        <v>12</v>
      </c>
      <c r="AE94" t="s">
        <v>214</v>
      </c>
      <c r="AF94" t="s">
        <v>185</v>
      </c>
      <c r="AG94">
        <v>9971997</v>
      </c>
      <c r="AH94">
        <v>7663921</v>
      </c>
      <c r="AI94">
        <v>9252924</v>
      </c>
      <c r="AJ94">
        <v>105964</v>
      </c>
      <c r="AK94">
        <v>111233.837042375</v>
      </c>
      <c r="AL94">
        <v>88006</v>
      </c>
      <c r="AM94">
        <v>94.107614247311801</v>
      </c>
      <c r="AN94">
        <v>87.083669354838605</v>
      </c>
      <c r="AO94">
        <v>83.184435661200894</v>
      </c>
    </row>
    <row r="95" spans="7:41" x14ac:dyDescent="0.35">
      <c r="G95" s="3" t="s">
        <v>9</v>
      </c>
      <c r="H95" s="18">
        <v>60384.499051931154</v>
      </c>
      <c r="I95" s="18">
        <v>64494.227108350737</v>
      </c>
      <c r="J95" s="18">
        <v>79617.991887529861</v>
      </c>
      <c r="K95" s="18">
        <v>66209.416915464491</v>
      </c>
      <c r="L95" s="18">
        <v>67357.656267436483</v>
      </c>
      <c r="M95" s="18">
        <v>65786.456904091014</v>
      </c>
      <c r="N95" s="18">
        <v>67320.316103775112</v>
      </c>
      <c r="O95" s="1"/>
      <c r="AD95" t="s">
        <v>19</v>
      </c>
      <c r="AE95" t="s">
        <v>216</v>
      </c>
      <c r="AF95" t="s">
        <v>185</v>
      </c>
      <c r="AG95">
        <v>11875178</v>
      </c>
      <c r="AH95">
        <v>9712754</v>
      </c>
      <c r="AI95">
        <v>11916585</v>
      </c>
      <c r="AJ95">
        <v>133202</v>
      </c>
      <c r="AK95">
        <v>145442.73742128001</v>
      </c>
      <c r="AL95">
        <v>111589</v>
      </c>
      <c r="AM95">
        <v>89.151444892473094</v>
      </c>
      <c r="AN95">
        <v>87.040295698924695</v>
      </c>
      <c r="AO95">
        <v>81.933174564661698</v>
      </c>
    </row>
    <row r="96" spans="7:41" x14ac:dyDescent="0.35">
      <c r="G96" s="3" t="s">
        <v>19</v>
      </c>
      <c r="H96" s="18">
        <v>98023.307121764927</v>
      </c>
      <c r="I96" s="18">
        <v>96929.236684508302</v>
      </c>
      <c r="J96" s="18">
        <v>116601.44334546565</v>
      </c>
      <c r="K96" s="18">
        <v>108079.42153409323</v>
      </c>
      <c r="L96" s="18">
        <v>106439.66891973755</v>
      </c>
      <c r="M96" s="18">
        <v>99730.924913826719</v>
      </c>
      <c r="N96" s="18">
        <v>104362.24884556186</v>
      </c>
      <c r="O96" s="1"/>
      <c r="AD96" t="s">
        <v>12</v>
      </c>
      <c r="AE96" t="s">
        <v>212</v>
      </c>
      <c r="AF96" t="s">
        <v>184</v>
      </c>
      <c r="AG96">
        <v>10786907</v>
      </c>
      <c r="AH96">
        <v>7783095</v>
      </c>
      <c r="AI96">
        <v>9438777</v>
      </c>
      <c r="AJ96">
        <v>119002</v>
      </c>
      <c r="AK96">
        <v>108284.24193226</v>
      </c>
      <c r="AL96">
        <v>89673</v>
      </c>
      <c r="AM96">
        <v>90.644739583333305</v>
      </c>
      <c r="AN96">
        <v>86.793906249999907</v>
      </c>
      <c r="AO96">
        <v>87.166669283279703</v>
      </c>
    </row>
    <row r="97" spans="7:41" x14ac:dyDescent="0.35">
      <c r="G97" s="3" t="s">
        <v>52</v>
      </c>
      <c r="H97" s="18">
        <v>89087.567763523592</v>
      </c>
      <c r="I97" s="18">
        <v>80468.088115219711</v>
      </c>
      <c r="J97" s="18">
        <v>98114.243557903494</v>
      </c>
      <c r="K97" s="18">
        <v>96212.512973887759</v>
      </c>
      <c r="L97" s="18">
        <v>98506.917802297263</v>
      </c>
      <c r="M97" s="18">
        <v>94983.846731414989</v>
      </c>
      <c r="N97" s="18">
        <v>92833.933691059719</v>
      </c>
      <c r="O97" s="1"/>
      <c r="AD97" t="s">
        <v>19</v>
      </c>
      <c r="AE97" t="s">
        <v>217</v>
      </c>
      <c r="AF97" t="s">
        <v>185</v>
      </c>
      <c r="AG97">
        <v>11426947</v>
      </c>
      <c r="AH97">
        <v>10544498</v>
      </c>
      <c r="AI97">
        <v>10813775</v>
      </c>
      <c r="AJ97">
        <v>119167</v>
      </c>
      <c r="AK97">
        <v>119568.633392345</v>
      </c>
      <c r="AL97">
        <v>121503</v>
      </c>
      <c r="AM97">
        <v>95.8903561827956</v>
      </c>
      <c r="AN97">
        <v>86.784005376343998</v>
      </c>
      <c r="AO97">
        <v>90.439897606894306</v>
      </c>
    </row>
    <row r="98" spans="7:41" x14ac:dyDescent="0.35">
      <c r="G98" s="3" t="s">
        <v>17</v>
      </c>
      <c r="H98" s="18">
        <v>94257.143623864991</v>
      </c>
      <c r="I98" s="18">
        <v>90466.855143912588</v>
      </c>
      <c r="J98" s="18">
        <v>107621.03006010341</v>
      </c>
      <c r="K98" s="18">
        <v>98615.112260925976</v>
      </c>
      <c r="L98" s="18">
        <v>103128.61685986984</v>
      </c>
      <c r="M98" s="18">
        <v>98841.13780243264</v>
      </c>
      <c r="N98" s="18">
        <v>98852.410557039999</v>
      </c>
      <c r="O98" s="1"/>
      <c r="AD98" t="s">
        <v>52</v>
      </c>
      <c r="AE98" t="s">
        <v>204</v>
      </c>
      <c r="AF98" t="s">
        <v>186</v>
      </c>
      <c r="AG98">
        <v>8756421</v>
      </c>
      <c r="AH98">
        <v>8798544</v>
      </c>
      <c r="AI98">
        <v>8843375</v>
      </c>
      <c r="AJ98">
        <v>97714</v>
      </c>
      <c r="AK98">
        <v>98193.367093686</v>
      </c>
      <c r="AL98">
        <v>101484</v>
      </c>
      <c r="AM98">
        <v>89.612979166669504</v>
      </c>
      <c r="AN98">
        <v>86.698548611111093</v>
      </c>
      <c r="AO98">
        <v>90.060822135394901</v>
      </c>
    </row>
    <row r="99" spans="7:41" x14ac:dyDescent="0.35">
      <c r="G99" s="3" t="s">
        <v>104</v>
      </c>
      <c r="H99" s="18">
        <v>59235.017013528326</v>
      </c>
      <c r="I99" s="18">
        <v>50189.202815868091</v>
      </c>
      <c r="J99" s="18">
        <v>48621.321149143812</v>
      </c>
      <c r="K99" s="18">
        <v>55389.68344794638</v>
      </c>
      <c r="L99" s="18">
        <v>51136.143631104096</v>
      </c>
      <c r="M99" s="18">
        <v>54984.983083329571</v>
      </c>
      <c r="N99" s="18">
        <v>53110.439216322055</v>
      </c>
      <c r="O99" s="1"/>
      <c r="AD99" t="s">
        <v>17</v>
      </c>
      <c r="AE99" t="s">
        <v>218</v>
      </c>
      <c r="AF99" t="s">
        <v>184</v>
      </c>
      <c r="AG99">
        <v>8174587</v>
      </c>
      <c r="AH99">
        <v>7016319</v>
      </c>
      <c r="AI99">
        <v>7651986</v>
      </c>
      <c r="AJ99">
        <v>95683</v>
      </c>
      <c r="AK99">
        <v>90428.152350019402</v>
      </c>
      <c r="AL99">
        <v>80936</v>
      </c>
      <c r="AM99">
        <v>85.434479166666605</v>
      </c>
      <c r="AN99">
        <v>86.689322916666598</v>
      </c>
      <c r="AO99">
        <v>84.619508156945599</v>
      </c>
    </row>
    <row r="100" spans="7:41" x14ac:dyDescent="0.35">
      <c r="G100" s="3" t="s">
        <v>21</v>
      </c>
      <c r="H100" s="18">
        <v>94182.037153601312</v>
      </c>
      <c r="I100" s="18">
        <v>98443.945034482836</v>
      </c>
      <c r="J100" s="18">
        <v>111716.4987701248</v>
      </c>
      <c r="K100" s="18">
        <v>98669.837436694943</v>
      </c>
      <c r="L100" s="18">
        <v>98584.373496622662</v>
      </c>
      <c r="M100" s="18">
        <v>90441.295886186737</v>
      </c>
      <c r="N100" s="18">
        <v>98866.220330422366</v>
      </c>
      <c r="O100" s="1"/>
      <c r="AD100" t="s">
        <v>21</v>
      </c>
      <c r="AE100" t="s">
        <v>206</v>
      </c>
      <c r="AF100" t="s">
        <v>183</v>
      </c>
      <c r="AG100">
        <v>8644499</v>
      </c>
      <c r="AH100">
        <v>8267945</v>
      </c>
      <c r="AI100">
        <v>8828082</v>
      </c>
      <c r="AJ100">
        <v>100807</v>
      </c>
      <c r="AK100">
        <v>100600.836177208</v>
      </c>
      <c r="AL100">
        <v>95593</v>
      </c>
      <c r="AM100">
        <v>85.753245967741904</v>
      </c>
      <c r="AN100">
        <v>86.490739247311694</v>
      </c>
      <c r="AO100">
        <v>87.753564014610305</v>
      </c>
    </row>
    <row r="101" spans="7:41" x14ac:dyDescent="0.35">
      <c r="G101" s="3" t="s">
        <v>12</v>
      </c>
      <c r="H101" s="18">
        <v>94579.557429386055</v>
      </c>
      <c r="I101" s="18">
        <v>94180.512666807525</v>
      </c>
      <c r="J101" s="18">
        <v>109907.3188334869</v>
      </c>
      <c r="K101" s="18">
        <v>96090.401843233529</v>
      </c>
      <c r="L101" s="18">
        <v>101426.41304726528</v>
      </c>
      <c r="M101" s="18">
        <v>94147.924898958605</v>
      </c>
      <c r="N101" s="18">
        <v>98539.307352812553</v>
      </c>
      <c r="O101" s="1"/>
      <c r="AD101" t="s">
        <v>19</v>
      </c>
      <c r="AE101" t="s">
        <v>211</v>
      </c>
      <c r="AF101" t="s">
        <v>183</v>
      </c>
      <c r="AG101">
        <v>10143449</v>
      </c>
      <c r="AH101">
        <v>9611332</v>
      </c>
      <c r="AI101">
        <v>10824471</v>
      </c>
      <c r="AJ101">
        <v>120493</v>
      </c>
      <c r="AK101">
        <v>129912.114645419</v>
      </c>
      <c r="AL101">
        <v>111167</v>
      </c>
      <c r="AM101">
        <v>84.183232526881696</v>
      </c>
      <c r="AN101">
        <v>86.458467741935394</v>
      </c>
      <c r="AO101">
        <v>83.321494048065702</v>
      </c>
    </row>
    <row r="102" spans="7:41" x14ac:dyDescent="0.35">
      <c r="G102" s="3" t="s">
        <v>14</v>
      </c>
      <c r="H102" s="18">
        <v>87467.135901133253</v>
      </c>
      <c r="I102" s="18">
        <v>87729.455617358282</v>
      </c>
      <c r="J102" s="18">
        <v>104432.09725104073</v>
      </c>
      <c r="K102" s="18">
        <v>95380.412129787248</v>
      </c>
      <c r="L102" s="18">
        <v>96977.259138963884</v>
      </c>
      <c r="M102" s="18">
        <v>88622.605978875741</v>
      </c>
      <c r="N102" s="18">
        <v>93516.206411310966</v>
      </c>
      <c r="O102" s="1"/>
      <c r="AD102" t="s">
        <v>17</v>
      </c>
      <c r="AE102" t="s">
        <v>215</v>
      </c>
      <c r="AF102" t="s">
        <v>187</v>
      </c>
      <c r="AG102">
        <v>7382461</v>
      </c>
      <c r="AH102">
        <v>10406454</v>
      </c>
      <c r="AI102">
        <v>7412602</v>
      </c>
      <c r="AJ102">
        <v>94838</v>
      </c>
      <c r="AK102">
        <v>97191.731131940702</v>
      </c>
      <c r="AL102">
        <v>120971</v>
      </c>
      <c r="AM102">
        <v>77.843151881720402</v>
      </c>
      <c r="AN102">
        <v>86.024590053763305</v>
      </c>
      <c r="AO102">
        <v>76.267822594261204</v>
      </c>
    </row>
    <row r="103" spans="7:41" x14ac:dyDescent="0.35">
      <c r="G103" s="3" t="s">
        <v>135</v>
      </c>
      <c r="H103" s="18">
        <v>88216.315592700819</v>
      </c>
      <c r="I103" s="18">
        <v>86072.981255208419</v>
      </c>
      <c r="J103" s="18">
        <v>100689.48841977777</v>
      </c>
      <c r="K103" s="18">
        <v>93049.76762118403</v>
      </c>
      <c r="L103" s="18">
        <v>94525.042085173714</v>
      </c>
      <c r="M103" s="18">
        <v>89500.219323820187</v>
      </c>
      <c r="N103" s="18">
        <v>92086.287345443168</v>
      </c>
      <c r="O103" s="1"/>
      <c r="AD103" t="s">
        <v>14</v>
      </c>
      <c r="AE103" t="s">
        <v>210</v>
      </c>
      <c r="AF103" t="s">
        <v>186</v>
      </c>
      <c r="AG103">
        <v>10559330</v>
      </c>
      <c r="AH103">
        <v>9508746</v>
      </c>
      <c r="AI103">
        <v>9860988</v>
      </c>
      <c r="AJ103">
        <v>127978</v>
      </c>
      <c r="AK103">
        <v>114140.67346893399</v>
      </c>
      <c r="AL103">
        <v>110654</v>
      </c>
      <c r="AM103">
        <v>82.5090486111134</v>
      </c>
      <c r="AN103">
        <v>85.932000000000002</v>
      </c>
      <c r="AO103">
        <v>86.393284871267298</v>
      </c>
    </row>
    <row r="104" spans="7:41" x14ac:dyDescent="0.35">
      <c r="AD104" t="s">
        <v>17</v>
      </c>
      <c r="AE104" t="s">
        <v>205</v>
      </c>
      <c r="AF104" t="s">
        <v>184</v>
      </c>
      <c r="AG104">
        <v>9431544</v>
      </c>
      <c r="AH104">
        <v>6624481</v>
      </c>
      <c r="AI104">
        <v>9156427</v>
      </c>
      <c r="AJ104">
        <v>99490</v>
      </c>
      <c r="AK104">
        <v>94681.163770949803</v>
      </c>
      <c r="AL104">
        <v>77384</v>
      </c>
      <c r="AM104">
        <v>94.798906249999902</v>
      </c>
      <c r="AN104">
        <v>85.605833333333294</v>
      </c>
      <c r="AO104">
        <v>96.708009322223603</v>
      </c>
    </row>
    <row r="105" spans="7:41" x14ac:dyDescent="0.35">
      <c r="AD105" t="s">
        <v>19</v>
      </c>
      <c r="AE105" t="s">
        <v>216</v>
      </c>
      <c r="AF105" t="s">
        <v>183</v>
      </c>
      <c r="AG105">
        <v>8907904</v>
      </c>
      <c r="AH105">
        <v>8088638</v>
      </c>
      <c r="AI105">
        <v>8530156</v>
      </c>
      <c r="AJ105">
        <v>103868</v>
      </c>
      <c r="AK105">
        <v>104111.132883884</v>
      </c>
      <c r="AL105">
        <v>94518</v>
      </c>
      <c r="AM105">
        <v>85.761525537634398</v>
      </c>
      <c r="AN105">
        <v>85.577963709677405</v>
      </c>
      <c r="AO105">
        <v>81.933174564661698</v>
      </c>
    </row>
    <row r="106" spans="7:41" x14ac:dyDescent="0.35">
      <c r="H106" s="2" t="s">
        <v>195</v>
      </c>
      <c r="I106" s="2" t="s">
        <v>138</v>
      </c>
      <c r="AD106" t="s">
        <v>52</v>
      </c>
      <c r="AE106" t="s">
        <v>209</v>
      </c>
      <c r="AF106" t="s">
        <v>186</v>
      </c>
      <c r="AG106">
        <v>7974107</v>
      </c>
      <c r="AH106">
        <v>7750847</v>
      </c>
      <c r="AI106">
        <v>8207416</v>
      </c>
      <c r="AJ106">
        <v>99908</v>
      </c>
      <c r="AK106">
        <v>95534.179825436004</v>
      </c>
      <c r="AL106">
        <v>90596</v>
      </c>
      <c r="AM106">
        <v>79.814388888890804</v>
      </c>
      <c r="AN106">
        <v>85.554388888888894</v>
      </c>
      <c r="AO106">
        <v>85.910778843728195</v>
      </c>
    </row>
    <row r="107" spans="7:41" ht="21.65" customHeight="1" x14ac:dyDescent="0.35">
      <c r="H107" s="2" t="s">
        <v>134</v>
      </c>
      <c r="I107" t="s">
        <v>183</v>
      </c>
      <c r="J107" t="s">
        <v>184</v>
      </c>
      <c r="K107" t="s">
        <v>185</v>
      </c>
      <c r="L107" t="s">
        <v>186</v>
      </c>
      <c r="M107" t="s">
        <v>187</v>
      </c>
      <c r="N107" t="s">
        <v>188</v>
      </c>
      <c r="O107" t="s">
        <v>135</v>
      </c>
      <c r="Q107" s="26" t="s">
        <v>3</v>
      </c>
      <c r="R107" s="27" t="s">
        <v>322</v>
      </c>
      <c r="S107" s="27" t="s">
        <v>321</v>
      </c>
      <c r="T107" s="27" t="s">
        <v>183</v>
      </c>
      <c r="U107" s="27" t="s">
        <v>184</v>
      </c>
      <c r="V107" s="27" t="s">
        <v>185</v>
      </c>
      <c r="W107" s="27" t="s">
        <v>186</v>
      </c>
      <c r="X107" s="27" t="s">
        <v>187</v>
      </c>
      <c r="Y107" s="27" t="s">
        <v>188</v>
      </c>
      <c r="Z107" s="27" t="s">
        <v>323</v>
      </c>
      <c r="AD107" t="s">
        <v>17</v>
      </c>
      <c r="AE107" t="s">
        <v>218</v>
      </c>
      <c r="AF107" t="s">
        <v>187</v>
      </c>
      <c r="AG107">
        <v>9421685</v>
      </c>
      <c r="AH107">
        <v>8513628</v>
      </c>
      <c r="AI107">
        <v>9175981</v>
      </c>
      <c r="AJ107">
        <v>113745</v>
      </c>
      <c r="AK107">
        <v>108438.12906216701</v>
      </c>
      <c r="AL107">
        <v>99913</v>
      </c>
      <c r="AM107">
        <v>82.831922043010906</v>
      </c>
      <c r="AN107">
        <v>85.210369623655794</v>
      </c>
      <c r="AO107">
        <v>84.619508156945599</v>
      </c>
    </row>
    <row r="108" spans="7:41" ht="21.65" customHeight="1" x14ac:dyDescent="0.35">
      <c r="H108" s="3" t="s">
        <v>35</v>
      </c>
      <c r="I108" s="22">
        <v>-1.0225015331305598E-2</v>
      </c>
      <c r="J108" s="22">
        <v>-8.0386026247045717E-3</v>
      </c>
      <c r="K108" s="22">
        <v>6.4341703663184369E-4</v>
      </c>
      <c r="L108" s="22">
        <v>0.10243732147601103</v>
      </c>
      <c r="M108" s="22">
        <v>0.10644539863642644</v>
      </c>
      <c r="N108" s="22">
        <v>0.12549408166858744</v>
      </c>
      <c r="O108" s="22">
        <v>5.0426565120414324E-2</v>
      </c>
      <c r="Q108" s="28" t="s">
        <v>19</v>
      </c>
      <c r="R108" s="29">
        <f t="shared" ref="R108:R116" si="3">+VLOOKUP(Q108, $G$93:$N$103,8,0)</f>
        <v>104362.24884556186</v>
      </c>
      <c r="S108" s="29">
        <f t="shared" ref="S108:S116" si="4">+VLOOKUP(Q108, $G$79:$N$89,8,0)</f>
        <v>444644259</v>
      </c>
      <c r="T108" s="30">
        <v>-1.7029184235623718E-2</v>
      </c>
      <c r="U108" s="30">
        <v>3.1011064754038253E-2</v>
      </c>
      <c r="V108" s="30">
        <v>-2.6648408206264351E-2</v>
      </c>
      <c r="W108" s="30">
        <v>6.533409678732105E-2</v>
      </c>
      <c r="X108" s="30">
        <v>3.9645333366238322E-2</v>
      </c>
      <c r="Y108" s="30">
        <v>5.5165709962450515E-2</v>
      </c>
      <c r="Z108" s="30">
        <v>2.3363650691037297E-2</v>
      </c>
      <c r="AD108" t="s">
        <v>17</v>
      </c>
      <c r="AE108" t="s">
        <v>218</v>
      </c>
      <c r="AF108" t="s">
        <v>186</v>
      </c>
      <c r="AG108">
        <v>8897255</v>
      </c>
      <c r="AH108">
        <v>7969404</v>
      </c>
      <c r="AI108">
        <v>8507946</v>
      </c>
      <c r="AJ108">
        <v>103261</v>
      </c>
      <c r="AK108">
        <v>100543.549365946</v>
      </c>
      <c r="AL108">
        <v>93547</v>
      </c>
      <c r="AM108">
        <v>86.1627083333359</v>
      </c>
      <c r="AN108">
        <v>85.191847222222194</v>
      </c>
      <c r="AO108">
        <v>84.619508156945599</v>
      </c>
    </row>
    <row r="109" spans="7:41" ht="21.65" customHeight="1" x14ac:dyDescent="0.35">
      <c r="H109" s="3" t="s">
        <v>9</v>
      </c>
      <c r="I109" s="22">
        <v>-0.15449750180318089</v>
      </c>
      <c r="J109" s="22">
        <v>1.8705476024580836E-3</v>
      </c>
      <c r="K109" s="22">
        <v>3.5391611639635556E-2</v>
      </c>
      <c r="L109" s="22">
        <v>3.7881711761829528E-2</v>
      </c>
      <c r="M109" s="22">
        <v>7.59698533914277E-2</v>
      </c>
      <c r="N109" s="22">
        <v>0.13541950096757271</v>
      </c>
      <c r="O109" s="22">
        <v>1.7374898263716521E-2</v>
      </c>
      <c r="Q109" s="28" t="s">
        <v>21</v>
      </c>
      <c r="R109" s="29">
        <f t="shared" si="3"/>
        <v>98866.220330422366</v>
      </c>
      <c r="S109" s="29">
        <f t="shared" si="4"/>
        <v>417894386</v>
      </c>
      <c r="T109" s="30">
        <v>0.1453450643900982</v>
      </c>
      <c r="U109" s="30">
        <v>0.22069845961922252</v>
      </c>
      <c r="V109" s="30">
        <v>6.2889940443020098E-2</v>
      </c>
      <c r="W109" s="30">
        <v>0.17063472053611584</v>
      </c>
      <c r="X109" s="30">
        <v>0.13720945845481158</v>
      </c>
      <c r="Y109" s="30">
        <v>0.16524822531159677</v>
      </c>
      <c r="Z109" s="30">
        <v>0.14832781802457573</v>
      </c>
      <c r="AD109" t="s">
        <v>52</v>
      </c>
      <c r="AE109" t="s">
        <v>209</v>
      </c>
      <c r="AF109" t="s">
        <v>187</v>
      </c>
      <c r="AG109">
        <v>8338573</v>
      </c>
      <c r="AH109">
        <v>8045367</v>
      </c>
      <c r="AI109">
        <v>8447917</v>
      </c>
      <c r="AJ109">
        <v>102522</v>
      </c>
      <c r="AK109">
        <v>98333.6091489377</v>
      </c>
      <c r="AL109">
        <v>94583</v>
      </c>
      <c r="AM109">
        <v>81.334731182795494</v>
      </c>
      <c r="AN109">
        <v>85.061619623655901</v>
      </c>
      <c r="AO109">
        <v>85.910778843728195</v>
      </c>
    </row>
    <row r="110" spans="7:41" ht="21.65" customHeight="1" x14ac:dyDescent="0.35">
      <c r="H110" s="3" t="s">
        <v>19</v>
      </c>
      <c r="I110" s="22">
        <v>-1.7029184235623718E-2</v>
      </c>
      <c r="J110" s="22">
        <v>3.1011064754038253E-2</v>
      </c>
      <c r="K110" s="22">
        <v>-2.6648408206264351E-2</v>
      </c>
      <c r="L110" s="22">
        <v>6.533409678732105E-2</v>
      </c>
      <c r="M110" s="22">
        <v>3.9645333366238322E-2</v>
      </c>
      <c r="N110" s="22">
        <v>5.5165709962450515E-2</v>
      </c>
      <c r="O110" s="22">
        <v>2.3363650691037297E-2</v>
      </c>
      <c r="Q110" s="28" t="s">
        <v>17</v>
      </c>
      <c r="R110" s="29">
        <f t="shared" si="3"/>
        <v>98852.410557039999</v>
      </c>
      <c r="S110" s="29">
        <f t="shared" si="4"/>
        <v>430547365</v>
      </c>
      <c r="T110" s="30">
        <v>-4.7624131698137506E-2</v>
      </c>
      <c r="U110" s="30">
        <v>-3.6470172367267573E-2</v>
      </c>
      <c r="V110" s="30">
        <v>-5.3818562361657496E-2</v>
      </c>
      <c r="W110" s="30">
        <v>4.7188127473221764E-2</v>
      </c>
      <c r="X110" s="30">
        <v>3.8655452753505237E-2</v>
      </c>
      <c r="Y110" s="30">
        <v>5.8891339053715797E-2</v>
      </c>
      <c r="Z110" s="30">
        <v>-4.9789885561390967E-4</v>
      </c>
      <c r="AD110" t="s">
        <v>52</v>
      </c>
      <c r="AE110" t="s">
        <v>202</v>
      </c>
      <c r="AF110" t="s">
        <v>188</v>
      </c>
      <c r="AG110">
        <v>9332724</v>
      </c>
      <c r="AH110">
        <v>5548449</v>
      </c>
      <c r="AI110">
        <v>8611586</v>
      </c>
      <c r="AJ110">
        <v>106831</v>
      </c>
      <c r="AK110">
        <v>87868.825803742497</v>
      </c>
      <c r="AL110">
        <v>65233</v>
      </c>
      <c r="AM110">
        <v>87.359756944446204</v>
      </c>
      <c r="AN110">
        <v>85.055881944444394</v>
      </c>
      <c r="AO110">
        <v>98.0050147003695</v>
      </c>
    </row>
    <row r="111" spans="7:41" ht="21.65" customHeight="1" x14ac:dyDescent="0.35">
      <c r="H111" s="3" t="s">
        <v>52</v>
      </c>
      <c r="I111" s="22">
        <v>-7.2944092276056804E-2</v>
      </c>
      <c r="J111" s="22">
        <v>-9.1442836552277806E-2</v>
      </c>
      <c r="K111" s="22">
        <v>-5.3402339023345458E-2</v>
      </c>
      <c r="L111" s="22">
        <v>4.664795595175697E-2</v>
      </c>
      <c r="M111" s="22">
        <v>2.8741567661121126E-2</v>
      </c>
      <c r="N111" s="22">
        <v>5.6650374897595057E-2</v>
      </c>
      <c r="O111" s="22">
        <v>-1.5693347313785799E-2</v>
      </c>
      <c r="Q111" s="28" t="s">
        <v>12</v>
      </c>
      <c r="R111" s="29">
        <f t="shared" si="3"/>
        <v>98539.307352812553</v>
      </c>
      <c r="S111" s="29">
        <f t="shared" si="4"/>
        <v>534588438</v>
      </c>
      <c r="T111" s="30">
        <v>1.1720118651012523E-2</v>
      </c>
      <c r="U111" s="30">
        <v>4.4488154226168364E-2</v>
      </c>
      <c r="V111" s="30">
        <v>-5.2303190873009053E-2</v>
      </c>
      <c r="W111" s="30">
        <v>9.5509691738232538E-2</v>
      </c>
      <c r="X111" s="30">
        <v>8.4338333086034112E-2</v>
      </c>
      <c r="Y111" s="30">
        <v>7.5610643762918262E-2</v>
      </c>
      <c r="Z111" s="30">
        <v>4.0164002901485141E-2</v>
      </c>
      <c r="AD111" t="s">
        <v>14</v>
      </c>
      <c r="AE111" t="s">
        <v>219</v>
      </c>
      <c r="AF111" t="s">
        <v>184</v>
      </c>
      <c r="AG111">
        <v>8633173</v>
      </c>
      <c r="AH111">
        <v>8598782</v>
      </c>
      <c r="AI111">
        <v>9039330</v>
      </c>
      <c r="AJ111">
        <v>94843</v>
      </c>
      <c r="AK111">
        <v>103083.75351310401</v>
      </c>
      <c r="AL111">
        <v>101225</v>
      </c>
      <c r="AM111">
        <v>91.0260416666667</v>
      </c>
      <c r="AN111">
        <v>84.946979166666594</v>
      </c>
      <c r="AO111">
        <v>87.689184144336295</v>
      </c>
    </row>
    <row r="112" spans="7:41" ht="21.65" customHeight="1" x14ac:dyDescent="0.35">
      <c r="H112" s="3" t="s">
        <v>17</v>
      </c>
      <c r="I112" s="22">
        <v>-4.7624131698137506E-2</v>
      </c>
      <c r="J112" s="22">
        <v>-3.6470172367267573E-2</v>
      </c>
      <c r="K112" s="22">
        <v>-5.3818562361657496E-2</v>
      </c>
      <c r="L112" s="22">
        <v>4.7188127473221764E-2</v>
      </c>
      <c r="M112" s="22">
        <v>3.8655452753505237E-2</v>
      </c>
      <c r="N112" s="22">
        <v>5.8891339053715797E-2</v>
      </c>
      <c r="O112" s="22">
        <v>-4.9789885561390967E-4</v>
      </c>
      <c r="Q112" s="28" t="s">
        <v>14</v>
      </c>
      <c r="R112" s="29">
        <f t="shared" si="3"/>
        <v>93516.206411310966</v>
      </c>
      <c r="S112" s="29">
        <f t="shared" si="4"/>
        <v>620128807</v>
      </c>
      <c r="T112" s="30">
        <v>-1.1109594213933871E-2</v>
      </c>
      <c r="U112" s="30">
        <v>6.6752474820308549E-3</v>
      </c>
      <c r="V112" s="30">
        <v>-1.964447916963874E-2</v>
      </c>
      <c r="W112" s="30">
        <v>7.8046600019449963E-2</v>
      </c>
      <c r="X112" s="30">
        <v>5.7145831387010571E-2</v>
      </c>
      <c r="Y112" s="30">
        <v>4.3691196059091553E-2</v>
      </c>
      <c r="Z112" s="30">
        <v>2.5312496707612597E-2</v>
      </c>
      <c r="AD112" t="s">
        <v>52</v>
      </c>
      <c r="AE112" t="s">
        <v>209</v>
      </c>
      <c r="AF112" t="s">
        <v>188</v>
      </c>
      <c r="AG112">
        <v>7705173</v>
      </c>
      <c r="AH112">
        <v>8028120</v>
      </c>
      <c r="AI112">
        <v>8336385</v>
      </c>
      <c r="AJ112">
        <v>95735</v>
      </c>
      <c r="AK112">
        <v>97035.378589267493</v>
      </c>
      <c r="AL112">
        <v>95248</v>
      </c>
      <c r="AM112">
        <v>80.484638888890004</v>
      </c>
      <c r="AN112">
        <v>84.286708333333294</v>
      </c>
      <c r="AO112">
        <v>85.910778843728195</v>
      </c>
    </row>
    <row r="113" spans="7:41" ht="21.65" customHeight="1" x14ac:dyDescent="0.35">
      <c r="G113" t="s">
        <v>319</v>
      </c>
      <c r="H113" s="3" t="s">
        <v>104</v>
      </c>
      <c r="I113" s="22">
        <v>-9.779997413299657E-2</v>
      </c>
      <c r="J113" s="22">
        <v>-0.15330911085936583</v>
      </c>
      <c r="K113" s="22">
        <v>-0.22611703587873089</v>
      </c>
      <c r="L113" s="22">
        <v>-0.21185652763242735</v>
      </c>
      <c r="M113" s="22">
        <v>-0.22003502908813799</v>
      </c>
      <c r="N113" s="22">
        <v>-0.12264281617655881</v>
      </c>
      <c r="O113" s="22">
        <v>-0.17503207654253661</v>
      </c>
      <c r="Q113" s="28" t="s">
        <v>52</v>
      </c>
      <c r="R113" s="29">
        <f t="shared" si="3"/>
        <v>92833.933691059719</v>
      </c>
      <c r="S113" s="29">
        <f t="shared" si="4"/>
        <v>380822947</v>
      </c>
      <c r="T113" s="30">
        <v>-7.2944092276056804E-2</v>
      </c>
      <c r="U113" s="30">
        <v>-9.1442836552277806E-2</v>
      </c>
      <c r="V113" s="30">
        <v>-5.3402339023345458E-2</v>
      </c>
      <c r="W113" s="30">
        <v>4.664795595175697E-2</v>
      </c>
      <c r="X113" s="30">
        <v>2.8741567661121126E-2</v>
      </c>
      <c r="Y113" s="30">
        <v>5.6650374897595057E-2</v>
      </c>
      <c r="Z113" s="30">
        <v>-1.5693347313785799E-2</v>
      </c>
      <c r="AD113" t="s">
        <v>12</v>
      </c>
      <c r="AE113" t="s">
        <v>214</v>
      </c>
      <c r="AF113" t="s">
        <v>184</v>
      </c>
      <c r="AG113">
        <v>8633392</v>
      </c>
      <c r="AH113">
        <v>5721232</v>
      </c>
      <c r="AI113">
        <v>6975617</v>
      </c>
      <c r="AJ113">
        <v>97344</v>
      </c>
      <c r="AK113">
        <v>83857.241146778295</v>
      </c>
      <c r="AL113">
        <v>68029</v>
      </c>
      <c r="AM113">
        <v>88.689479166666601</v>
      </c>
      <c r="AN113">
        <v>84.099947916666594</v>
      </c>
      <c r="AO113">
        <v>83.184435661200894</v>
      </c>
    </row>
    <row r="114" spans="7:41" ht="21.65" customHeight="1" x14ac:dyDescent="0.35">
      <c r="H114" s="3" t="s">
        <v>21</v>
      </c>
      <c r="I114" s="22">
        <v>0.1453450643900982</v>
      </c>
      <c r="J114" s="22">
        <v>0.22069845961922252</v>
      </c>
      <c r="K114" s="22">
        <v>6.2889940443020098E-2</v>
      </c>
      <c r="L114" s="22">
        <v>0.17063472053611584</v>
      </c>
      <c r="M114" s="22">
        <v>0.13720945845481158</v>
      </c>
      <c r="N114" s="22">
        <v>0.16524822531159677</v>
      </c>
      <c r="O114" s="22">
        <v>0.14832781802457573</v>
      </c>
      <c r="Q114" s="28" t="s">
        <v>35</v>
      </c>
      <c r="R114" s="29">
        <f t="shared" si="3"/>
        <v>82086.417033407066</v>
      </c>
      <c r="S114" s="29">
        <f t="shared" si="4"/>
        <v>341369949</v>
      </c>
      <c r="T114" s="30">
        <v>-1.0225015331305598E-2</v>
      </c>
      <c r="U114" s="30">
        <v>-8.0386026247045717E-3</v>
      </c>
      <c r="V114" s="30">
        <v>6.4341703663184369E-4</v>
      </c>
      <c r="W114" s="30">
        <v>0.10243732147601103</v>
      </c>
      <c r="X114" s="30">
        <v>0.10644539863642644</v>
      </c>
      <c r="Y114" s="30">
        <v>0.12549408166858744</v>
      </c>
      <c r="Z114" s="30">
        <v>5.0426565120414324E-2</v>
      </c>
      <c r="AD114" t="s">
        <v>52</v>
      </c>
      <c r="AE114" t="s">
        <v>213</v>
      </c>
      <c r="AF114" t="s">
        <v>187</v>
      </c>
      <c r="AG114">
        <v>9618226</v>
      </c>
      <c r="AH114">
        <v>9008388</v>
      </c>
      <c r="AI114">
        <v>9215483</v>
      </c>
      <c r="AJ114">
        <v>104885</v>
      </c>
      <c r="AK114">
        <v>102075.575408776</v>
      </c>
      <c r="AL114">
        <v>107420</v>
      </c>
      <c r="AM114">
        <v>91.702916666667093</v>
      </c>
      <c r="AN114">
        <v>83.861081989247197</v>
      </c>
      <c r="AO114">
        <v>90.280982690474303</v>
      </c>
    </row>
    <row r="115" spans="7:41" ht="21.65" customHeight="1" x14ac:dyDescent="0.35">
      <c r="H115" s="3" t="s">
        <v>12</v>
      </c>
      <c r="I115" s="22">
        <v>1.1720118651012523E-2</v>
      </c>
      <c r="J115" s="22">
        <v>4.4488154226168364E-2</v>
      </c>
      <c r="K115" s="22">
        <v>-5.2303190873009053E-2</v>
      </c>
      <c r="L115" s="22">
        <v>9.5509691738232538E-2</v>
      </c>
      <c r="M115" s="22">
        <v>8.4338333086034112E-2</v>
      </c>
      <c r="N115" s="22">
        <v>7.5610643762918262E-2</v>
      </c>
      <c r="O115" s="22">
        <v>4.0164002901485141E-2</v>
      </c>
      <c r="Q115" s="28" t="s">
        <v>9</v>
      </c>
      <c r="R115" s="29">
        <f t="shared" si="3"/>
        <v>67320.316103775112</v>
      </c>
      <c r="S115" s="29">
        <f t="shared" si="4"/>
        <v>56380933</v>
      </c>
      <c r="T115" s="30">
        <v>-0.15449750180318089</v>
      </c>
      <c r="U115" s="30">
        <v>1.8705476024580836E-3</v>
      </c>
      <c r="V115" s="30">
        <v>3.5391611639635556E-2</v>
      </c>
      <c r="W115" s="30">
        <v>3.7881711761829528E-2</v>
      </c>
      <c r="X115" s="30">
        <v>7.59698533914277E-2</v>
      </c>
      <c r="Y115" s="30">
        <v>0.13541950096757271</v>
      </c>
      <c r="Z115" s="30">
        <v>1.7374898263716521E-2</v>
      </c>
      <c r="AD115" t="s">
        <v>52</v>
      </c>
      <c r="AE115" t="s">
        <v>213</v>
      </c>
      <c r="AF115" t="s">
        <v>186</v>
      </c>
      <c r="AG115">
        <v>9111030</v>
      </c>
      <c r="AH115">
        <v>8555235</v>
      </c>
      <c r="AI115">
        <v>8917153</v>
      </c>
      <c r="AJ115">
        <v>101623</v>
      </c>
      <c r="AK115">
        <v>98771.109411515601</v>
      </c>
      <c r="AL115">
        <v>102328</v>
      </c>
      <c r="AM115">
        <v>89.655222222224793</v>
      </c>
      <c r="AN115">
        <v>83.606104166666697</v>
      </c>
      <c r="AO115">
        <v>90.280982690474303</v>
      </c>
    </row>
    <row r="116" spans="7:41" ht="21.65" customHeight="1" x14ac:dyDescent="0.35">
      <c r="H116" s="3" t="s">
        <v>14</v>
      </c>
      <c r="I116" s="22">
        <v>-1.1109594213933871E-2</v>
      </c>
      <c r="J116" s="22">
        <v>6.6752474820308549E-3</v>
      </c>
      <c r="K116" s="22">
        <v>-1.964447916963874E-2</v>
      </c>
      <c r="L116" s="22">
        <v>7.8046600019449963E-2</v>
      </c>
      <c r="M116" s="22">
        <v>5.7145831387010571E-2</v>
      </c>
      <c r="N116" s="22">
        <v>4.3691196059091553E-2</v>
      </c>
      <c r="O116" s="22">
        <v>2.5312496707612597E-2</v>
      </c>
      <c r="Q116" s="28" t="s">
        <v>104</v>
      </c>
      <c r="R116" s="29">
        <f t="shared" si="3"/>
        <v>53110.439216322055</v>
      </c>
      <c r="S116" s="29">
        <f t="shared" si="4"/>
        <v>130351279</v>
      </c>
      <c r="T116" s="30">
        <v>-9.779997413299657E-2</v>
      </c>
      <c r="U116" s="30">
        <v>-0.15330911085936583</v>
      </c>
      <c r="V116" s="30">
        <v>-0.22611703587873089</v>
      </c>
      <c r="W116" s="30">
        <v>-0.21185652763242735</v>
      </c>
      <c r="X116" s="30">
        <v>-0.22003502908813799</v>
      </c>
      <c r="Y116" s="30">
        <v>-0.12264281617655881</v>
      </c>
      <c r="Z116" s="30">
        <v>-0.17503207654253661</v>
      </c>
      <c r="AD116" t="s">
        <v>17</v>
      </c>
      <c r="AE116" t="s">
        <v>218</v>
      </c>
      <c r="AF116" t="s">
        <v>188</v>
      </c>
      <c r="AG116">
        <v>8822885</v>
      </c>
      <c r="AH116">
        <v>8091213</v>
      </c>
      <c r="AI116">
        <v>8617270</v>
      </c>
      <c r="AJ116">
        <v>102565</v>
      </c>
      <c r="AK116">
        <v>101835.50220142301</v>
      </c>
      <c r="AL116">
        <v>96967</v>
      </c>
      <c r="AM116">
        <v>86.022659722224304</v>
      </c>
      <c r="AN116">
        <v>83.442527777777798</v>
      </c>
      <c r="AO116">
        <v>84.619508156945599</v>
      </c>
    </row>
    <row r="117" spans="7:41" ht="7.25" customHeight="1" x14ac:dyDescent="0.35">
      <c r="H117" s="3" t="s">
        <v>135</v>
      </c>
      <c r="I117" s="22">
        <v>-8.8797900923264228E-3</v>
      </c>
      <c r="J117" s="22">
        <v>1.4986854677354833E-2</v>
      </c>
      <c r="K117" s="22">
        <v>-3.1761736334966151E-2</v>
      </c>
      <c r="L117" s="22">
        <v>6.7537881872557604E-2</v>
      </c>
      <c r="M117" s="22">
        <v>5.2353540990555558E-2</v>
      </c>
      <c r="N117" s="22">
        <v>6.9944131296923118E-2</v>
      </c>
      <c r="O117" s="22">
        <v>2.6152776621964691E-2</v>
      </c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D117" t="s">
        <v>14</v>
      </c>
      <c r="AE117" t="s">
        <v>219</v>
      </c>
      <c r="AF117" t="s">
        <v>185</v>
      </c>
      <c r="AG117">
        <v>10444114</v>
      </c>
      <c r="AH117">
        <v>10527945</v>
      </c>
      <c r="AI117">
        <v>10061544</v>
      </c>
      <c r="AJ117">
        <v>124619</v>
      </c>
      <c r="AK117">
        <v>114740.990965758</v>
      </c>
      <c r="AL117">
        <v>126391</v>
      </c>
      <c r="AM117">
        <v>83.808158602150499</v>
      </c>
      <c r="AN117">
        <v>83.296848118279499</v>
      </c>
      <c r="AO117">
        <v>87.689184144336295</v>
      </c>
    </row>
    <row r="118" spans="7:41" ht="15.5" x14ac:dyDescent="0.35">
      <c r="Q118" s="32" t="s">
        <v>135</v>
      </c>
      <c r="R118" s="29">
        <f>+VLOOKUP(Q118, $G$93:$N$103,8,0)</f>
        <v>92086.287345443168</v>
      </c>
      <c r="S118" s="29">
        <f>+VLOOKUP(Q118, $G$79:$N$89,8,0)</f>
        <v>3356728363</v>
      </c>
      <c r="T118" s="33">
        <v>-8.8797900923264228E-3</v>
      </c>
      <c r="U118" s="33">
        <v>1.4986854677354833E-2</v>
      </c>
      <c r="V118" s="33">
        <v>-3.1761736334966151E-2</v>
      </c>
      <c r="W118" s="33">
        <v>6.7537881872557604E-2</v>
      </c>
      <c r="X118" s="33">
        <v>5.2353540990555558E-2</v>
      </c>
      <c r="Y118" s="33">
        <v>6.9944131296923118E-2</v>
      </c>
      <c r="Z118" s="33">
        <v>2.6152776621964691E-2</v>
      </c>
      <c r="AD118" t="s">
        <v>17</v>
      </c>
      <c r="AE118" t="s">
        <v>215</v>
      </c>
      <c r="AF118" t="s">
        <v>184</v>
      </c>
      <c r="AG118">
        <v>6432948</v>
      </c>
      <c r="AH118">
        <v>9340743</v>
      </c>
      <c r="AI118">
        <v>8486811</v>
      </c>
      <c r="AJ118">
        <v>89316</v>
      </c>
      <c r="AK118">
        <v>111276.42485808401</v>
      </c>
      <c r="AL118">
        <v>112557</v>
      </c>
      <c r="AM118">
        <v>72.024687499999999</v>
      </c>
      <c r="AN118">
        <v>82.986666666666594</v>
      </c>
      <c r="AO118">
        <v>76.267822594261204</v>
      </c>
    </row>
    <row r="119" spans="7:41" x14ac:dyDescent="0.35">
      <c r="AD119" t="s">
        <v>14</v>
      </c>
      <c r="AE119" t="s">
        <v>220</v>
      </c>
      <c r="AF119" t="s">
        <v>183</v>
      </c>
      <c r="AG119">
        <v>8810471</v>
      </c>
      <c r="AH119">
        <v>7655103</v>
      </c>
      <c r="AI119">
        <v>8074691</v>
      </c>
      <c r="AJ119">
        <v>111534</v>
      </c>
      <c r="AK119">
        <v>103102.316128647</v>
      </c>
      <c r="AL119">
        <v>92554</v>
      </c>
      <c r="AM119">
        <v>78.993588709677397</v>
      </c>
      <c r="AN119">
        <v>82.709422043010704</v>
      </c>
      <c r="AO119">
        <v>78.317261234215806</v>
      </c>
    </row>
    <row r="120" spans="7:41" x14ac:dyDescent="0.35">
      <c r="AD120" t="s">
        <v>19</v>
      </c>
      <c r="AE120" t="s">
        <v>217</v>
      </c>
      <c r="AF120" t="s">
        <v>186</v>
      </c>
      <c r="AG120">
        <v>10790778</v>
      </c>
      <c r="AH120">
        <v>9071064</v>
      </c>
      <c r="AI120">
        <v>9209970</v>
      </c>
      <c r="AJ120">
        <v>126182</v>
      </c>
      <c r="AK120">
        <v>101835.254692923</v>
      </c>
      <c r="AL120">
        <v>110002</v>
      </c>
      <c r="AM120">
        <v>85.517687500002907</v>
      </c>
      <c r="AN120">
        <v>82.462527777777794</v>
      </c>
      <c r="AO120">
        <v>90.439897606894306</v>
      </c>
    </row>
    <row r="121" spans="7:41" x14ac:dyDescent="0.35">
      <c r="AD121" t="s">
        <v>52</v>
      </c>
      <c r="AE121" t="s">
        <v>204</v>
      </c>
      <c r="AF121" t="s">
        <v>187</v>
      </c>
      <c r="AG121">
        <v>9447544</v>
      </c>
      <c r="AH121">
        <v>9124921</v>
      </c>
      <c r="AI121">
        <v>9087634</v>
      </c>
      <c r="AJ121">
        <v>97118</v>
      </c>
      <c r="AK121">
        <v>100905.517266297</v>
      </c>
      <c r="AL121">
        <v>110744</v>
      </c>
      <c r="AM121">
        <v>97.279206989247001</v>
      </c>
      <c r="AN121">
        <v>82.396586021505399</v>
      </c>
      <c r="AO121">
        <v>90.060822135394901</v>
      </c>
    </row>
    <row r="122" spans="7:41" x14ac:dyDescent="0.35">
      <c r="AD122" t="s">
        <v>52</v>
      </c>
      <c r="AE122" t="s">
        <v>204</v>
      </c>
      <c r="AF122" t="s">
        <v>188</v>
      </c>
      <c r="AG122">
        <v>9047987</v>
      </c>
      <c r="AH122">
        <v>8602758</v>
      </c>
      <c r="AI122">
        <v>8459137</v>
      </c>
      <c r="AJ122">
        <v>101784</v>
      </c>
      <c r="AK122">
        <v>93926.935431288395</v>
      </c>
      <c r="AL122">
        <v>104612</v>
      </c>
      <c r="AM122">
        <v>88.8943125000023</v>
      </c>
      <c r="AN122">
        <v>82.234736111111104</v>
      </c>
      <c r="AO122">
        <v>90.060822135394901</v>
      </c>
    </row>
    <row r="123" spans="7:41" x14ac:dyDescent="0.35">
      <c r="AD123" t="s">
        <v>104</v>
      </c>
      <c r="AE123" t="s">
        <v>221</v>
      </c>
      <c r="AF123" t="s">
        <v>188</v>
      </c>
      <c r="AG123">
        <v>5531944</v>
      </c>
      <c r="AH123">
        <v>5349573</v>
      </c>
      <c r="AI123">
        <v>5534499</v>
      </c>
      <c r="AJ123">
        <v>78409</v>
      </c>
      <c r="AK123">
        <v>68307.626624218305</v>
      </c>
      <c r="AL123">
        <v>65243</v>
      </c>
      <c r="AM123">
        <v>70.552027777777994</v>
      </c>
      <c r="AN123">
        <v>81.994402777777793</v>
      </c>
      <c r="AO123">
        <v>81.023149648384205</v>
      </c>
    </row>
    <row r="124" spans="7:41" x14ac:dyDescent="0.35">
      <c r="G124" s="2" t="s">
        <v>317</v>
      </c>
      <c r="H124" s="2" t="s">
        <v>138</v>
      </c>
      <c r="AD124" t="s">
        <v>14</v>
      </c>
      <c r="AE124" t="s">
        <v>220</v>
      </c>
      <c r="AF124" t="s">
        <v>186</v>
      </c>
      <c r="AG124">
        <v>9202315</v>
      </c>
      <c r="AH124">
        <v>8068931</v>
      </c>
      <c r="AI124">
        <v>8382743</v>
      </c>
      <c r="AJ124">
        <v>124487</v>
      </c>
      <c r="AK124">
        <v>107035.70151324</v>
      </c>
      <c r="AL124">
        <v>98611</v>
      </c>
      <c r="AM124">
        <v>73.922041666669003</v>
      </c>
      <c r="AN124">
        <v>81.826159722222201</v>
      </c>
      <c r="AO124">
        <v>78.317261234215806</v>
      </c>
    </row>
    <row r="125" spans="7:41" x14ac:dyDescent="0.35">
      <c r="G125" s="2" t="s">
        <v>134</v>
      </c>
      <c r="H125" t="s">
        <v>183</v>
      </c>
      <c r="I125" t="s">
        <v>184</v>
      </c>
      <c r="J125" t="s">
        <v>185</v>
      </c>
      <c r="K125" t="s">
        <v>186</v>
      </c>
      <c r="L125" t="s">
        <v>187</v>
      </c>
      <c r="M125" t="s">
        <v>188</v>
      </c>
      <c r="N125" t="s">
        <v>135</v>
      </c>
      <c r="AD125" t="s">
        <v>19</v>
      </c>
      <c r="AE125" t="s">
        <v>217</v>
      </c>
      <c r="AF125" t="s">
        <v>187</v>
      </c>
      <c r="AG125">
        <v>10615489</v>
      </c>
      <c r="AH125">
        <v>9158754</v>
      </c>
      <c r="AI125">
        <v>9571674</v>
      </c>
      <c r="AJ125">
        <v>117692</v>
      </c>
      <c r="AK125">
        <v>105834.634924114</v>
      </c>
      <c r="AL125">
        <v>112608</v>
      </c>
      <c r="AM125">
        <v>90.196975806451803</v>
      </c>
      <c r="AN125">
        <v>81.333037634408598</v>
      </c>
      <c r="AO125">
        <v>90.439897606894306</v>
      </c>
    </row>
    <row r="126" spans="7:41" x14ac:dyDescent="0.35">
      <c r="G126" s="3" t="s">
        <v>35</v>
      </c>
      <c r="H126" s="18">
        <v>79883.913155749571</v>
      </c>
      <c r="I126" s="18">
        <v>74649.510140613129</v>
      </c>
      <c r="J126" s="18">
        <v>86867.647328780789</v>
      </c>
      <c r="K126" s="18">
        <v>83497.392156362301</v>
      </c>
      <c r="L126" s="18">
        <v>84874.115858132252</v>
      </c>
      <c r="M126" s="18">
        <v>82894.477941035497</v>
      </c>
      <c r="N126" s="18">
        <v>82086.417033407066</v>
      </c>
      <c r="AD126" t="s">
        <v>14</v>
      </c>
      <c r="AE126" t="s">
        <v>219</v>
      </c>
      <c r="AF126" t="s">
        <v>188</v>
      </c>
      <c r="AG126">
        <v>8676751</v>
      </c>
      <c r="AH126">
        <v>8553825</v>
      </c>
      <c r="AI126">
        <v>8588432</v>
      </c>
      <c r="AJ126">
        <v>103752</v>
      </c>
      <c r="AK126">
        <v>97941.746068288601</v>
      </c>
      <c r="AL126">
        <v>106091</v>
      </c>
      <c r="AM126">
        <v>83.629631944446203</v>
      </c>
      <c r="AN126">
        <v>80.627215277777694</v>
      </c>
      <c r="AO126">
        <v>87.689184144336295</v>
      </c>
    </row>
    <row r="127" spans="7:41" x14ac:dyDescent="0.35">
      <c r="G127" s="3" t="s">
        <v>9</v>
      </c>
      <c r="H127" s="18">
        <v>60384.499051931154</v>
      </c>
      <c r="I127" s="18">
        <v>64494.227108350737</v>
      </c>
      <c r="J127" s="18">
        <v>79617.991887529861</v>
      </c>
      <c r="K127" s="18">
        <v>66209.416915464491</v>
      </c>
      <c r="L127" s="18">
        <v>67357.656267436483</v>
      </c>
      <c r="M127" s="18">
        <v>65786.456904091014</v>
      </c>
      <c r="N127" s="18">
        <v>67320.316103775112</v>
      </c>
      <c r="AD127" t="s">
        <v>52</v>
      </c>
      <c r="AE127" t="s">
        <v>213</v>
      </c>
      <c r="AF127" t="s">
        <v>188</v>
      </c>
      <c r="AG127">
        <v>8653464</v>
      </c>
      <c r="AH127">
        <v>8327283</v>
      </c>
      <c r="AI127">
        <v>8551514</v>
      </c>
      <c r="AJ127">
        <v>97911</v>
      </c>
      <c r="AK127">
        <v>94721.103128868301</v>
      </c>
      <c r="AL127">
        <v>103371</v>
      </c>
      <c r="AM127">
        <v>88.380590277780001</v>
      </c>
      <c r="AN127">
        <v>80.5569722222222</v>
      </c>
      <c r="AO127">
        <v>90.280982690474303</v>
      </c>
    </row>
    <row r="128" spans="7:41" x14ac:dyDescent="0.35">
      <c r="G128" s="3" t="s">
        <v>19</v>
      </c>
      <c r="H128" s="18">
        <v>98023.307121764927</v>
      </c>
      <c r="I128" s="18">
        <v>96929.236684508302</v>
      </c>
      <c r="J128" s="18">
        <v>116601.44334546565</v>
      </c>
      <c r="K128" s="18">
        <v>108079.42153409323</v>
      </c>
      <c r="L128" s="18">
        <v>106439.66891973755</v>
      </c>
      <c r="M128" s="18">
        <v>99730.924913826719</v>
      </c>
      <c r="N128" s="18">
        <v>104362.24884556186</v>
      </c>
      <c r="AD128" t="s">
        <v>21</v>
      </c>
      <c r="AE128" t="s">
        <v>197</v>
      </c>
      <c r="AF128" t="s">
        <v>184</v>
      </c>
      <c r="AG128">
        <v>9907585</v>
      </c>
      <c r="AH128">
        <v>7387253</v>
      </c>
      <c r="AI128">
        <v>7452820</v>
      </c>
      <c r="AJ128">
        <v>93776</v>
      </c>
      <c r="AK128">
        <v>72374.255859590296</v>
      </c>
      <c r="AL128">
        <v>92441</v>
      </c>
      <c r="AM128">
        <v>105.65171874999901</v>
      </c>
      <c r="AN128">
        <v>79.9133854166666</v>
      </c>
      <c r="AO128">
        <v>102.97612103755201</v>
      </c>
    </row>
    <row r="129" spans="7:41" x14ac:dyDescent="0.35">
      <c r="G129" s="3" t="s">
        <v>52</v>
      </c>
      <c r="H129" s="18">
        <v>89087.567763523592</v>
      </c>
      <c r="I129" s="18">
        <v>80468.088115219711</v>
      </c>
      <c r="J129" s="18">
        <v>98114.243557903494</v>
      </c>
      <c r="K129" s="18">
        <v>96212.512973887759</v>
      </c>
      <c r="L129" s="18">
        <v>98506.917802297263</v>
      </c>
      <c r="M129" s="18">
        <v>94983.846731414989</v>
      </c>
      <c r="N129" s="18">
        <v>92833.933691059719</v>
      </c>
      <c r="AD129" t="s">
        <v>14</v>
      </c>
      <c r="AE129" t="s">
        <v>220</v>
      </c>
      <c r="AF129" t="s">
        <v>185</v>
      </c>
      <c r="AG129">
        <v>10730113</v>
      </c>
      <c r="AH129">
        <v>10029563</v>
      </c>
      <c r="AI129">
        <v>10292298</v>
      </c>
      <c r="AJ129">
        <v>130369</v>
      </c>
      <c r="AK129">
        <v>131418.007644825</v>
      </c>
      <c r="AL129">
        <v>125699</v>
      </c>
      <c r="AM129">
        <v>82.305463709677397</v>
      </c>
      <c r="AN129">
        <v>79.790120967741899</v>
      </c>
      <c r="AO129">
        <v>78.317261234215806</v>
      </c>
    </row>
    <row r="130" spans="7:41" x14ac:dyDescent="0.35">
      <c r="G130" s="3" t="s">
        <v>17</v>
      </c>
      <c r="H130" s="18">
        <v>94257.143623864991</v>
      </c>
      <c r="I130" s="18">
        <v>90466.855143912588</v>
      </c>
      <c r="J130" s="18">
        <v>107621.03006010341</v>
      </c>
      <c r="K130" s="18">
        <v>98615.112260925976</v>
      </c>
      <c r="L130" s="18">
        <v>103128.61685986984</v>
      </c>
      <c r="M130" s="18">
        <v>98841.13780243264</v>
      </c>
      <c r="N130" s="18">
        <v>98852.410557039999</v>
      </c>
      <c r="AD130" t="s">
        <v>14</v>
      </c>
      <c r="AE130" t="s">
        <v>220</v>
      </c>
      <c r="AF130" t="s">
        <v>184</v>
      </c>
      <c r="AG130">
        <v>8794025</v>
      </c>
      <c r="AH130">
        <v>7265441</v>
      </c>
      <c r="AI130">
        <v>8093414</v>
      </c>
      <c r="AJ130">
        <v>110701</v>
      </c>
      <c r="AK130">
        <v>103341.383682912</v>
      </c>
      <c r="AL130">
        <v>91190</v>
      </c>
      <c r="AM130">
        <v>79.439114583333307</v>
      </c>
      <c r="AN130">
        <v>79.673749999999899</v>
      </c>
      <c r="AO130">
        <v>78.317261234215806</v>
      </c>
    </row>
    <row r="131" spans="7:41" x14ac:dyDescent="0.35">
      <c r="G131" s="3" t="s">
        <v>104</v>
      </c>
      <c r="H131" s="18">
        <v>59235.017013528326</v>
      </c>
      <c r="I131" s="18">
        <v>50404.511118596369</v>
      </c>
      <c r="J131" s="18">
        <v>53803.468423936021</v>
      </c>
      <c r="K131" s="18">
        <v>60163.654552747408</v>
      </c>
      <c r="L131" s="18">
        <v>59726.516981642111</v>
      </c>
      <c r="M131" s="18">
        <v>61628.127186985083</v>
      </c>
      <c r="N131" s="18">
        <v>57167.773354429897</v>
      </c>
      <c r="AD131" t="s">
        <v>14</v>
      </c>
      <c r="AE131" t="s">
        <v>220</v>
      </c>
      <c r="AF131" t="s">
        <v>187</v>
      </c>
      <c r="AG131">
        <v>9640271</v>
      </c>
      <c r="AH131">
        <v>8610995</v>
      </c>
      <c r="AI131">
        <v>8815105</v>
      </c>
      <c r="AJ131">
        <v>125355</v>
      </c>
      <c r="AK131">
        <v>112556.346363255</v>
      </c>
      <c r="AL131">
        <v>108385</v>
      </c>
      <c r="AM131">
        <v>76.903702956988795</v>
      </c>
      <c r="AN131">
        <v>79.448071236559102</v>
      </c>
      <c r="AO131">
        <v>78.317261234215806</v>
      </c>
    </row>
    <row r="132" spans="7:41" x14ac:dyDescent="0.35">
      <c r="G132" s="3" t="s">
        <v>21</v>
      </c>
      <c r="H132" s="18">
        <v>94182.037153601312</v>
      </c>
      <c r="I132" s="18">
        <v>98443.945034482836</v>
      </c>
      <c r="J132" s="18">
        <v>111716.4987701248</v>
      </c>
      <c r="K132" s="18">
        <v>98669.837436694943</v>
      </c>
      <c r="L132" s="18">
        <v>98584.373496622662</v>
      </c>
      <c r="M132" s="18">
        <v>90441.295886186737</v>
      </c>
      <c r="N132" s="18">
        <v>98866.220330422366</v>
      </c>
      <c r="AD132" t="s">
        <v>14</v>
      </c>
      <c r="AE132" t="s">
        <v>219</v>
      </c>
      <c r="AF132" t="s">
        <v>183</v>
      </c>
      <c r="AG132">
        <v>8408861</v>
      </c>
      <c r="AH132">
        <v>9130389</v>
      </c>
      <c r="AI132">
        <v>9751690</v>
      </c>
      <c r="AJ132">
        <v>104072</v>
      </c>
      <c r="AK132">
        <v>111207.448183674</v>
      </c>
      <c r="AL132">
        <v>114960</v>
      </c>
      <c r="AM132">
        <v>80.798487903225805</v>
      </c>
      <c r="AN132">
        <v>79.422197580645104</v>
      </c>
      <c r="AO132">
        <v>87.689184144336295</v>
      </c>
    </row>
    <row r="133" spans="7:41" x14ac:dyDescent="0.35">
      <c r="G133" s="3" t="s">
        <v>12</v>
      </c>
      <c r="H133" s="18">
        <v>94579.557429386055</v>
      </c>
      <c r="I133" s="18">
        <v>94180.512666807525</v>
      </c>
      <c r="J133" s="18">
        <v>109907.3188334869</v>
      </c>
      <c r="K133" s="18">
        <v>96090.401843233529</v>
      </c>
      <c r="L133" s="18">
        <v>101426.41304726528</v>
      </c>
      <c r="M133" s="18">
        <v>94147.924898958605</v>
      </c>
      <c r="N133" s="18">
        <v>98539.307352812553</v>
      </c>
      <c r="AD133" t="s">
        <v>19</v>
      </c>
      <c r="AE133" t="s">
        <v>217</v>
      </c>
      <c r="AF133" t="s">
        <v>188</v>
      </c>
      <c r="AG133">
        <v>9523313</v>
      </c>
      <c r="AH133">
        <v>8509559</v>
      </c>
      <c r="AI133">
        <v>8876455</v>
      </c>
      <c r="AJ133">
        <v>111213</v>
      </c>
      <c r="AK133">
        <v>98147.556110493999</v>
      </c>
      <c r="AL133">
        <v>107421</v>
      </c>
      <c r="AM133">
        <v>85.631437500002093</v>
      </c>
      <c r="AN133">
        <v>79.216958333333295</v>
      </c>
      <c r="AO133">
        <v>90.439897606894306</v>
      </c>
    </row>
    <row r="134" spans="7:41" x14ac:dyDescent="0.35">
      <c r="G134" s="3" t="s">
        <v>14</v>
      </c>
      <c r="H134" s="18">
        <v>87467.135901133253</v>
      </c>
      <c r="I134" s="18">
        <v>87729.455617358282</v>
      </c>
      <c r="J134" s="18">
        <v>104432.09725104073</v>
      </c>
      <c r="K134" s="18">
        <v>95380.412129787248</v>
      </c>
      <c r="L134" s="18">
        <v>96977.259138963884</v>
      </c>
      <c r="M134" s="18">
        <v>88622.605978875741</v>
      </c>
      <c r="N134" s="18">
        <v>93516.206411310966</v>
      </c>
      <c r="AD134" t="s">
        <v>104</v>
      </c>
      <c r="AE134" t="s">
        <v>208</v>
      </c>
      <c r="AF134" t="s">
        <v>185</v>
      </c>
      <c r="AG134">
        <v>2760774</v>
      </c>
      <c r="AH134">
        <v>2802145</v>
      </c>
      <c r="AI134">
        <v>2864778</v>
      </c>
      <c r="AJ134">
        <v>30476</v>
      </c>
      <c r="AK134">
        <v>29810.388814776201</v>
      </c>
      <c r="AL134">
        <v>35477</v>
      </c>
      <c r="AM134">
        <v>90.588279569892407</v>
      </c>
      <c r="AN134">
        <v>78.984368279569907</v>
      </c>
      <c r="AO134">
        <v>96.1</v>
      </c>
    </row>
    <row r="135" spans="7:41" x14ac:dyDescent="0.35">
      <c r="G135" s="3" t="s">
        <v>135</v>
      </c>
      <c r="H135" s="18">
        <v>88216.315592700819</v>
      </c>
      <c r="I135" s="18">
        <v>86095.993760616795</v>
      </c>
      <c r="J135" s="18">
        <v>101490.07712848696</v>
      </c>
      <c r="K135" s="18">
        <v>93842.155862763131</v>
      </c>
      <c r="L135" s="18">
        <v>95802.509828006252</v>
      </c>
      <c r="M135" s="18">
        <v>90381.17829303864</v>
      </c>
      <c r="N135" s="18">
        <v>92692.916639396324</v>
      </c>
      <c r="AD135" t="s">
        <v>104</v>
      </c>
      <c r="AE135" t="s">
        <v>221</v>
      </c>
      <c r="AF135" t="s">
        <v>184</v>
      </c>
      <c r="AG135">
        <v>4849465</v>
      </c>
      <c r="AH135">
        <v>4943060</v>
      </c>
      <c r="AI135">
        <v>5010219</v>
      </c>
      <c r="AJ135">
        <v>62805</v>
      </c>
      <c r="AK135">
        <v>61836.882529780902</v>
      </c>
      <c r="AL135">
        <v>62937</v>
      </c>
      <c r="AM135">
        <v>77.214479166666607</v>
      </c>
      <c r="AN135">
        <v>78.5403645833333</v>
      </c>
      <c r="AO135">
        <v>81.023149648384205</v>
      </c>
    </row>
    <row r="136" spans="7:41" x14ac:dyDescent="0.35">
      <c r="AD136" t="s">
        <v>35</v>
      </c>
      <c r="AE136" t="s">
        <v>222</v>
      </c>
      <c r="AF136" t="s">
        <v>184</v>
      </c>
      <c r="AG136">
        <v>4820852</v>
      </c>
      <c r="AH136">
        <v>4473828</v>
      </c>
      <c r="AI136">
        <v>5017182</v>
      </c>
      <c r="AJ136">
        <v>67213</v>
      </c>
      <c r="AK136">
        <v>67826.479024795102</v>
      </c>
      <c r="AL136">
        <v>57065</v>
      </c>
      <c r="AM136">
        <v>71.724947916666594</v>
      </c>
      <c r="AN136">
        <v>78.399479166666595</v>
      </c>
      <c r="AO136">
        <v>73.970842069892498</v>
      </c>
    </row>
    <row r="137" spans="7:41" x14ac:dyDescent="0.35">
      <c r="AD137" t="s">
        <v>104</v>
      </c>
      <c r="AE137" t="s">
        <v>221</v>
      </c>
      <c r="AF137" t="s">
        <v>185</v>
      </c>
      <c r="AG137">
        <v>5651567</v>
      </c>
      <c r="AH137">
        <v>5723821</v>
      </c>
      <c r="AI137">
        <v>5820641</v>
      </c>
      <c r="AJ137">
        <v>70618</v>
      </c>
      <c r="AK137">
        <v>71839.239239153307</v>
      </c>
      <c r="AL137">
        <v>73090</v>
      </c>
      <c r="AM137">
        <v>80.030040322580604</v>
      </c>
      <c r="AN137">
        <v>78.312358870967699</v>
      </c>
      <c r="AO137">
        <v>81.023149648384205</v>
      </c>
    </row>
    <row r="138" spans="7:41" x14ac:dyDescent="0.35">
      <c r="G138" s="2" t="s">
        <v>195</v>
      </c>
      <c r="H138" s="2" t="s">
        <v>138</v>
      </c>
      <c r="P138" s="2" t="s">
        <v>320</v>
      </c>
      <c r="Q138" s="25" t="s">
        <v>138</v>
      </c>
      <c r="AD138" t="s">
        <v>14</v>
      </c>
      <c r="AE138" t="s">
        <v>219</v>
      </c>
      <c r="AF138" t="s">
        <v>187</v>
      </c>
      <c r="AG138">
        <v>9696481</v>
      </c>
      <c r="AH138">
        <v>9108123</v>
      </c>
      <c r="AI138">
        <v>9189569</v>
      </c>
      <c r="AJ138">
        <v>109070</v>
      </c>
      <c r="AK138">
        <v>104797.06014454299</v>
      </c>
      <c r="AL138">
        <v>116346</v>
      </c>
      <c r="AM138">
        <v>88.901081989248397</v>
      </c>
      <c r="AN138">
        <v>78.284509408602105</v>
      </c>
      <c r="AO138">
        <v>87.689184144336295</v>
      </c>
    </row>
    <row r="139" spans="7:41" x14ac:dyDescent="0.35">
      <c r="G139" s="2" t="s">
        <v>134</v>
      </c>
      <c r="H139" t="s">
        <v>183</v>
      </c>
      <c r="I139" t="s">
        <v>184</v>
      </c>
      <c r="J139" t="s">
        <v>185</v>
      </c>
      <c r="K139" t="s">
        <v>186</v>
      </c>
      <c r="L139" t="s">
        <v>187</v>
      </c>
      <c r="M139" t="s">
        <v>188</v>
      </c>
      <c r="N139" t="s">
        <v>135</v>
      </c>
      <c r="P139" s="2" t="s">
        <v>134</v>
      </c>
      <c r="Q139" s="20" t="s">
        <v>183</v>
      </c>
      <c r="R139" s="20" t="s">
        <v>184</v>
      </c>
      <c r="S139" s="20" t="s">
        <v>185</v>
      </c>
      <c r="T139" s="20" t="s">
        <v>186</v>
      </c>
      <c r="U139" s="20" t="s">
        <v>187</v>
      </c>
      <c r="V139" s="20" t="s">
        <v>188</v>
      </c>
      <c r="W139" s="20" t="s">
        <v>135</v>
      </c>
      <c r="AD139" t="s">
        <v>12</v>
      </c>
      <c r="AE139" t="s">
        <v>223</v>
      </c>
      <c r="AF139" t="s">
        <v>185</v>
      </c>
      <c r="AG139">
        <v>7622920</v>
      </c>
      <c r="AH139">
        <v>8746879</v>
      </c>
      <c r="AI139">
        <v>6658234</v>
      </c>
      <c r="AJ139">
        <v>102717</v>
      </c>
      <c r="AK139">
        <v>98419.858386307504</v>
      </c>
      <c r="AL139">
        <v>111907</v>
      </c>
      <c r="AM139">
        <v>74.212560483870902</v>
      </c>
      <c r="AN139">
        <v>78.161821236559106</v>
      </c>
      <c r="AO139">
        <v>67.651321791845902</v>
      </c>
    </row>
    <row r="140" spans="7:41" x14ac:dyDescent="0.35">
      <c r="G140" s="3" t="s">
        <v>35</v>
      </c>
      <c r="H140" s="22">
        <v>-1.0225015331305598E-2</v>
      </c>
      <c r="I140" s="22">
        <v>-8.0386026247045717E-3</v>
      </c>
      <c r="J140" s="22">
        <v>6.4341703663184369E-4</v>
      </c>
      <c r="K140" s="22">
        <v>0.10243732147601103</v>
      </c>
      <c r="L140" s="22">
        <v>0.10644539863642644</v>
      </c>
      <c r="M140" s="22">
        <v>0.12549408166858744</v>
      </c>
      <c r="N140" s="22">
        <v>5.0426565120414324E-2</v>
      </c>
      <c r="P140" s="3" t="s">
        <v>35</v>
      </c>
      <c r="Q140" s="21">
        <v>55593223</v>
      </c>
      <c r="R140" s="21">
        <v>53339956</v>
      </c>
      <c r="S140" s="21">
        <v>62528663</v>
      </c>
      <c r="T140" s="21">
        <v>56689611</v>
      </c>
      <c r="U140" s="21">
        <v>58167857</v>
      </c>
      <c r="V140" s="21">
        <v>55050639</v>
      </c>
      <c r="W140" s="21">
        <v>341369949</v>
      </c>
      <c r="AD140" t="s">
        <v>104</v>
      </c>
      <c r="AE140" t="s">
        <v>221</v>
      </c>
      <c r="AF140" t="s">
        <v>187</v>
      </c>
      <c r="AG140">
        <v>5697147</v>
      </c>
      <c r="AH140">
        <v>5558760</v>
      </c>
      <c r="AI140">
        <v>5793381</v>
      </c>
      <c r="AJ140">
        <v>73684</v>
      </c>
      <c r="AK140">
        <v>71502.784526909905</v>
      </c>
      <c r="AL140">
        <v>71144</v>
      </c>
      <c r="AM140">
        <v>77.318716397849101</v>
      </c>
      <c r="AN140">
        <v>78.133501344086</v>
      </c>
      <c r="AO140">
        <v>81.023149648384205</v>
      </c>
    </row>
    <row r="141" spans="7:41" x14ac:dyDescent="0.35">
      <c r="G141" s="3" t="s">
        <v>9</v>
      </c>
      <c r="H141" s="22">
        <v>-0.15449750180318089</v>
      </c>
      <c r="I141" s="22">
        <v>1.8705476024580836E-3</v>
      </c>
      <c r="J141" s="22">
        <v>3.5391611639635556E-2</v>
      </c>
      <c r="K141" s="22">
        <v>3.7881711761829528E-2</v>
      </c>
      <c r="L141" s="22">
        <v>7.59698533914277E-2</v>
      </c>
      <c r="M141" s="22">
        <v>0.13541950096757271</v>
      </c>
      <c r="N141" s="22">
        <v>1.7374898263716521E-2</v>
      </c>
      <c r="P141" s="3" t="s">
        <v>9</v>
      </c>
      <c r="Q141" s="21">
        <v>8761301</v>
      </c>
      <c r="R141" s="21">
        <v>9618491</v>
      </c>
      <c r="S141" s="21">
        <v>11456052</v>
      </c>
      <c r="T141" s="21">
        <v>9008725</v>
      </c>
      <c r="U141" s="21">
        <v>9147344</v>
      </c>
      <c r="V141" s="21">
        <v>8389020</v>
      </c>
      <c r="W141" s="21">
        <v>56380933</v>
      </c>
      <c r="AD141" t="s">
        <v>14</v>
      </c>
      <c r="AE141" t="s">
        <v>220</v>
      </c>
      <c r="AF141" t="s">
        <v>188</v>
      </c>
      <c r="AG141">
        <v>8419492</v>
      </c>
      <c r="AH141">
        <v>7766880</v>
      </c>
      <c r="AI141">
        <v>8274129</v>
      </c>
      <c r="AJ141">
        <v>114958</v>
      </c>
      <c r="AK141">
        <v>105648.84895751601</v>
      </c>
      <c r="AL141">
        <v>99642</v>
      </c>
      <c r="AM141">
        <v>73.239979166668405</v>
      </c>
      <c r="AN141">
        <v>77.948111111111004</v>
      </c>
      <c r="AO141">
        <v>78.317261234215806</v>
      </c>
    </row>
    <row r="142" spans="7:41" x14ac:dyDescent="0.35">
      <c r="G142" s="3" t="s">
        <v>19</v>
      </c>
      <c r="H142" s="22">
        <v>-1.7029184235623718E-2</v>
      </c>
      <c r="I142" s="22">
        <v>3.1011064754038253E-2</v>
      </c>
      <c r="J142" s="22">
        <v>-2.6648408206264351E-2</v>
      </c>
      <c r="K142" s="22">
        <v>6.533409678732105E-2</v>
      </c>
      <c r="L142" s="22">
        <v>3.9645333366238322E-2</v>
      </c>
      <c r="M142" s="22">
        <v>5.5165709962450515E-2</v>
      </c>
      <c r="N142" s="22">
        <v>2.3363650691037297E-2</v>
      </c>
      <c r="P142" s="3" t="s">
        <v>19</v>
      </c>
      <c r="Q142" s="21">
        <v>69982084</v>
      </c>
      <c r="R142" s="21">
        <v>70082746</v>
      </c>
      <c r="S142" s="21">
        <v>85957878</v>
      </c>
      <c r="T142" s="21">
        <v>75407823</v>
      </c>
      <c r="U142" s="21">
        <v>74812494</v>
      </c>
      <c r="V142" s="21">
        <v>68401234</v>
      </c>
      <c r="W142" s="21">
        <v>444644259</v>
      </c>
      <c r="AD142" t="s">
        <v>35</v>
      </c>
      <c r="AE142" t="s">
        <v>222</v>
      </c>
      <c r="AF142" t="s">
        <v>183</v>
      </c>
      <c r="AG142">
        <v>4804352</v>
      </c>
      <c r="AH142">
        <v>4780613</v>
      </c>
      <c r="AI142">
        <v>5600362</v>
      </c>
      <c r="AJ142">
        <v>70105</v>
      </c>
      <c r="AK142">
        <v>75710.403406093494</v>
      </c>
      <c r="AL142">
        <v>61482</v>
      </c>
      <c r="AM142">
        <v>68.530987903225807</v>
      </c>
      <c r="AN142">
        <v>77.756122311827895</v>
      </c>
      <c r="AO142">
        <v>73.970842069892498</v>
      </c>
    </row>
    <row r="143" spans="7:41" x14ac:dyDescent="0.35">
      <c r="G143" s="3" t="s">
        <v>52</v>
      </c>
      <c r="H143" s="22">
        <v>-7.2944092276056804E-2</v>
      </c>
      <c r="I143" s="22">
        <v>-9.1442836552277806E-2</v>
      </c>
      <c r="J143" s="22">
        <v>-5.3402339023345458E-2</v>
      </c>
      <c r="K143" s="22">
        <v>4.664795595175697E-2</v>
      </c>
      <c r="L143" s="22">
        <v>2.8741567661121126E-2</v>
      </c>
      <c r="M143" s="22">
        <v>5.6650374897595057E-2</v>
      </c>
      <c r="N143" s="22">
        <v>-1.5693347313785799E-2</v>
      </c>
      <c r="P143" s="3" t="s">
        <v>52</v>
      </c>
      <c r="Q143" s="21">
        <v>62434090</v>
      </c>
      <c r="R143" s="21">
        <v>56107703</v>
      </c>
      <c r="S143" s="21">
        <v>69740296</v>
      </c>
      <c r="T143" s="21">
        <v>63547843</v>
      </c>
      <c r="U143" s="21">
        <v>67037212</v>
      </c>
      <c r="V143" s="21">
        <v>61955803</v>
      </c>
      <c r="W143" s="21">
        <v>380822947</v>
      </c>
      <c r="AD143" t="s">
        <v>21</v>
      </c>
      <c r="AE143" t="s">
        <v>197</v>
      </c>
      <c r="AF143" t="s">
        <v>183</v>
      </c>
      <c r="AG143">
        <v>9423205</v>
      </c>
      <c r="AH143">
        <v>6602095</v>
      </c>
      <c r="AI143">
        <v>8212525</v>
      </c>
      <c r="AJ143">
        <v>88511</v>
      </c>
      <c r="AK143">
        <v>79751.740118518195</v>
      </c>
      <c r="AL143">
        <v>85167</v>
      </c>
      <c r="AM143">
        <v>106.463743279569</v>
      </c>
      <c r="AN143">
        <v>77.519260752688098</v>
      </c>
      <c r="AO143">
        <v>102.97612103755201</v>
      </c>
    </row>
    <row r="144" spans="7:41" x14ac:dyDescent="0.35">
      <c r="G144" s="3" t="s">
        <v>17</v>
      </c>
      <c r="H144" s="22">
        <v>-4.7624131698137506E-2</v>
      </c>
      <c r="I144" s="22">
        <v>-3.6470172367267573E-2</v>
      </c>
      <c r="J144" s="22">
        <v>-5.3818562361657496E-2</v>
      </c>
      <c r="K144" s="22">
        <v>4.7188127473221764E-2</v>
      </c>
      <c r="L144" s="22">
        <v>3.8655452753505237E-2</v>
      </c>
      <c r="M144" s="22">
        <v>5.8891339053715797E-2</v>
      </c>
      <c r="N144" s="22">
        <v>-4.9789885561390967E-4</v>
      </c>
      <c r="P144" s="3" t="s">
        <v>17</v>
      </c>
      <c r="Q144" s="21">
        <v>69068441</v>
      </c>
      <c r="R144" s="21">
        <v>66935022</v>
      </c>
      <c r="S144" s="21">
        <v>82132824</v>
      </c>
      <c r="T144" s="21">
        <v>70773826</v>
      </c>
      <c r="U144" s="21">
        <v>73742656</v>
      </c>
      <c r="V144" s="21">
        <v>67894596</v>
      </c>
      <c r="W144" s="21">
        <v>430547365</v>
      </c>
      <c r="AD144" t="s">
        <v>14</v>
      </c>
      <c r="AE144" t="s">
        <v>219</v>
      </c>
      <c r="AF144" t="s">
        <v>186</v>
      </c>
      <c r="AG144">
        <v>9248364</v>
      </c>
      <c r="AH144">
        <v>8834966</v>
      </c>
      <c r="AI144">
        <v>9190120</v>
      </c>
      <c r="AJ144">
        <v>116627</v>
      </c>
      <c r="AK144">
        <v>104803.34241077</v>
      </c>
      <c r="AL144">
        <v>114473</v>
      </c>
      <c r="AM144">
        <v>79.298381944446902</v>
      </c>
      <c r="AN144">
        <v>77.179374999999993</v>
      </c>
      <c r="AO144">
        <v>87.689184144336295</v>
      </c>
    </row>
    <row r="145" spans="7:41" x14ac:dyDescent="0.35">
      <c r="G145" s="3" t="s">
        <v>104</v>
      </c>
      <c r="H145" s="22">
        <v>-9.779997413299657E-2</v>
      </c>
      <c r="I145" s="22">
        <v>-0.15330911085936583</v>
      </c>
      <c r="J145" s="22">
        <v>-0.22611703587873089</v>
      </c>
      <c r="K145" s="22">
        <v>-0.21185652763242735</v>
      </c>
      <c r="L145" s="22">
        <v>-0.22003502908813799</v>
      </c>
      <c r="M145" s="22">
        <v>-0.12264281617655881</v>
      </c>
      <c r="N145" s="22">
        <v>-0.17503207654253661</v>
      </c>
      <c r="P145" s="3" t="s">
        <v>104</v>
      </c>
      <c r="Q145" s="21">
        <v>22717715</v>
      </c>
      <c r="R145" s="21">
        <v>19367684</v>
      </c>
      <c r="S145" s="21">
        <v>22067893</v>
      </c>
      <c r="T145" s="21">
        <v>22918452</v>
      </c>
      <c r="U145" s="21">
        <v>22044863</v>
      </c>
      <c r="V145" s="21">
        <v>21234672</v>
      </c>
      <c r="W145" s="21">
        <v>130351279</v>
      </c>
      <c r="AD145" t="s">
        <v>14</v>
      </c>
      <c r="AE145" t="s">
        <v>224</v>
      </c>
      <c r="AF145" t="s">
        <v>185</v>
      </c>
      <c r="AG145">
        <v>6404195</v>
      </c>
      <c r="AH145">
        <v>6510177</v>
      </c>
      <c r="AI145">
        <v>6622451</v>
      </c>
      <c r="AJ145">
        <v>88081</v>
      </c>
      <c r="AK145">
        <v>91350.882268049405</v>
      </c>
      <c r="AL145">
        <v>84663</v>
      </c>
      <c r="AM145">
        <v>72.708266129032197</v>
      </c>
      <c r="AN145">
        <v>76.894952956989201</v>
      </c>
      <c r="AO145">
        <v>72.494656792343207</v>
      </c>
    </row>
    <row r="146" spans="7:41" x14ac:dyDescent="0.35">
      <c r="G146" s="3" t="s">
        <v>21</v>
      </c>
      <c r="H146" s="22">
        <v>0.14534506439009776</v>
      </c>
      <c r="I146" s="22">
        <v>0.2206984596192223</v>
      </c>
      <c r="J146" s="22">
        <v>6.288994044302032E-2</v>
      </c>
      <c r="K146" s="22">
        <v>0.17063472053611539</v>
      </c>
      <c r="L146" s="22">
        <v>0.13720945845481158</v>
      </c>
      <c r="M146" s="22">
        <v>0.16524822531159677</v>
      </c>
      <c r="N146" s="22" t="e">
        <v>#DIV/0!</v>
      </c>
      <c r="P146" s="3" t="s">
        <v>21</v>
      </c>
      <c r="Q146" s="21">
        <v>65100759</v>
      </c>
      <c r="R146" s="21">
        <v>69364060</v>
      </c>
      <c r="S146" s="21">
        <v>83545884</v>
      </c>
      <c r="T146" s="21">
        <v>68961062</v>
      </c>
      <c r="U146" s="21">
        <v>69312859</v>
      </c>
      <c r="V146" s="21">
        <v>61609762</v>
      </c>
      <c r="W146" s="21">
        <v>417894386</v>
      </c>
      <c r="AD146" t="s">
        <v>12</v>
      </c>
      <c r="AE146" t="s">
        <v>225</v>
      </c>
      <c r="AF146" t="s">
        <v>185</v>
      </c>
      <c r="AG146">
        <v>8836273</v>
      </c>
      <c r="AH146">
        <v>8161892</v>
      </c>
      <c r="AI146">
        <v>8369765</v>
      </c>
      <c r="AJ146">
        <v>118321</v>
      </c>
      <c r="AK146">
        <v>117130.57290755</v>
      </c>
      <c r="AL146">
        <v>106219</v>
      </c>
      <c r="AM146">
        <v>74.680544354838702</v>
      </c>
      <c r="AN146">
        <v>76.840430107526799</v>
      </c>
      <c r="AO146">
        <v>71.456708642637295</v>
      </c>
    </row>
    <row r="147" spans="7:41" x14ac:dyDescent="0.35">
      <c r="G147" s="17" t="s">
        <v>206</v>
      </c>
      <c r="H147" s="22">
        <v>2.0460160354069945E-3</v>
      </c>
      <c r="I147" s="22">
        <v>6.0747334029770395E-2</v>
      </c>
      <c r="J147" s="22">
        <v>3.1278027514965334E-2</v>
      </c>
      <c r="K147" s="22">
        <v>0.13174218285475536</v>
      </c>
      <c r="L147" s="22">
        <v>8.4636634446253467E-2</v>
      </c>
      <c r="M147" s="22">
        <v>9.0395476457879154E-2</v>
      </c>
      <c r="N147" s="22">
        <v>6.7638624819748472E-2</v>
      </c>
      <c r="P147" s="17" t="s">
        <v>199</v>
      </c>
      <c r="Q147" s="21">
        <v>9845910</v>
      </c>
      <c r="R147" s="21">
        <v>11615479</v>
      </c>
      <c r="S147" s="21">
        <v>14434788</v>
      </c>
      <c r="T147" s="21">
        <v>11096009</v>
      </c>
      <c r="U147" s="21">
        <v>10814175</v>
      </c>
      <c r="V147" s="21">
        <v>9609769</v>
      </c>
      <c r="W147" s="21">
        <v>67416130</v>
      </c>
      <c r="AD147" t="s">
        <v>12</v>
      </c>
      <c r="AE147" t="s">
        <v>226</v>
      </c>
      <c r="AF147" t="s">
        <v>184</v>
      </c>
      <c r="AG147">
        <v>6759673</v>
      </c>
      <c r="AH147">
        <v>5643194</v>
      </c>
      <c r="AI147">
        <v>6191439</v>
      </c>
      <c r="AJ147">
        <v>91683</v>
      </c>
      <c r="AK147">
        <v>88476.221190046301</v>
      </c>
      <c r="AL147">
        <v>73548</v>
      </c>
      <c r="AM147">
        <v>73.7284895833333</v>
      </c>
      <c r="AN147">
        <v>76.727656249999995</v>
      </c>
      <c r="AO147">
        <v>69.978560745726497</v>
      </c>
    </row>
    <row r="148" spans="7:41" x14ac:dyDescent="0.35">
      <c r="G148" s="17" t="s">
        <v>255</v>
      </c>
      <c r="H148" s="22">
        <v>6.4478052846842715E-2</v>
      </c>
      <c r="I148" s="22">
        <v>7.6228259232509421E-2</v>
      </c>
      <c r="J148" s="22">
        <v>0.13836757051730375</v>
      </c>
      <c r="K148" s="22">
        <v>0.310549803936782</v>
      </c>
      <c r="L148" s="22">
        <v>0.24748548638379453</v>
      </c>
      <c r="M148" s="22">
        <v>0.2313877302577616</v>
      </c>
      <c r="N148" s="22">
        <v>0.17530422702842929</v>
      </c>
      <c r="P148" s="17" t="s">
        <v>197</v>
      </c>
      <c r="Q148" s="21">
        <v>9423205</v>
      </c>
      <c r="R148" s="21">
        <v>9907585</v>
      </c>
      <c r="S148" s="21">
        <v>11748511</v>
      </c>
      <c r="T148" s="21">
        <v>10181196</v>
      </c>
      <c r="U148" s="21">
        <v>9929231</v>
      </c>
      <c r="V148" s="21">
        <v>9178038</v>
      </c>
      <c r="W148" s="21">
        <v>60367766</v>
      </c>
      <c r="AD148" t="s">
        <v>12</v>
      </c>
      <c r="AE148" t="s">
        <v>223</v>
      </c>
      <c r="AF148" t="s">
        <v>184</v>
      </c>
      <c r="AG148">
        <v>6261384</v>
      </c>
      <c r="AH148">
        <v>6126513</v>
      </c>
      <c r="AI148">
        <v>6264572</v>
      </c>
      <c r="AJ148">
        <v>87411</v>
      </c>
      <c r="AK148">
        <v>92600.887191461603</v>
      </c>
      <c r="AL148">
        <v>80136</v>
      </c>
      <c r="AM148">
        <v>71.631614583333302</v>
      </c>
      <c r="AN148">
        <v>76.451562499999994</v>
      </c>
      <c r="AO148">
        <v>67.651321791845902</v>
      </c>
    </row>
    <row r="149" spans="7:41" x14ac:dyDescent="0.35">
      <c r="G149" s="17" t="s">
        <v>238</v>
      </c>
      <c r="H149" s="22">
        <v>4.1027150405152479E-2</v>
      </c>
      <c r="I149" s="22">
        <v>0.14680245461269958</v>
      </c>
      <c r="J149" s="22">
        <v>3.3014494299778319E-2</v>
      </c>
      <c r="K149" s="22">
        <v>7.5598912536282592E-2</v>
      </c>
      <c r="L149" s="22">
        <v>1.5865019573023664E-2</v>
      </c>
      <c r="M149" s="22">
        <v>7.1570763368807189E-2</v>
      </c>
      <c r="N149" s="22">
        <v>6.452905921887675E-2</v>
      </c>
      <c r="P149" s="17" t="s">
        <v>206</v>
      </c>
      <c r="Q149" s="21">
        <v>8644499</v>
      </c>
      <c r="R149" s="21">
        <v>10208666</v>
      </c>
      <c r="S149" s="21">
        <v>12134655</v>
      </c>
      <c r="T149" s="21">
        <v>9436243</v>
      </c>
      <c r="U149" s="21">
        <v>9115554</v>
      </c>
      <c r="V149" s="21">
        <v>8215276</v>
      </c>
      <c r="W149" s="21">
        <v>57754893</v>
      </c>
      <c r="AD149" t="s">
        <v>104</v>
      </c>
      <c r="AE149" t="s">
        <v>221</v>
      </c>
      <c r="AF149" t="s">
        <v>183</v>
      </c>
      <c r="AG149">
        <v>5175743</v>
      </c>
      <c r="AH149">
        <v>5320582</v>
      </c>
      <c r="AI149">
        <v>5444465</v>
      </c>
      <c r="AJ149">
        <v>68903</v>
      </c>
      <c r="AK149">
        <v>67196.4127157154</v>
      </c>
      <c r="AL149">
        <v>69803</v>
      </c>
      <c r="AM149">
        <v>75.116162634408497</v>
      </c>
      <c r="AN149">
        <v>76.222379032258004</v>
      </c>
      <c r="AO149">
        <v>81.023149648384205</v>
      </c>
    </row>
    <row r="150" spans="7:41" x14ac:dyDescent="0.35">
      <c r="G150" s="17" t="s">
        <v>197</v>
      </c>
      <c r="H150" s="22">
        <v>0.10983069269720014</v>
      </c>
      <c r="I150" s="22">
        <v>0.29570798929660791</v>
      </c>
      <c r="J150" s="22">
        <v>-1.7528123559943598E-2</v>
      </c>
      <c r="K150" s="22">
        <v>5.1940496877808995E-2</v>
      </c>
      <c r="L150" s="22">
        <v>1.7262626478675713E-3</v>
      </c>
      <c r="M150" s="22">
        <v>6.8491304048441615E-2</v>
      </c>
      <c r="N150" s="22">
        <v>7.579294396873637E-2</v>
      </c>
      <c r="P150" s="17" t="s">
        <v>242</v>
      </c>
      <c r="Q150" s="21">
        <v>6231313</v>
      </c>
      <c r="R150" s="21">
        <v>5792634</v>
      </c>
      <c r="S150" s="21">
        <v>6413220</v>
      </c>
      <c r="T150" s="21">
        <v>6117805</v>
      </c>
      <c r="U150" s="21">
        <v>6293447</v>
      </c>
      <c r="V150" s="21">
        <v>5474442</v>
      </c>
      <c r="W150" s="21">
        <v>36322861</v>
      </c>
      <c r="AD150" t="s">
        <v>14</v>
      </c>
      <c r="AE150" t="s">
        <v>224</v>
      </c>
      <c r="AF150" t="s">
        <v>183</v>
      </c>
      <c r="AG150">
        <v>5631449</v>
      </c>
      <c r="AH150">
        <v>5564635</v>
      </c>
      <c r="AI150">
        <v>5678227</v>
      </c>
      <c r="AJ150">
        <v>73234</v>
      </c>
      <c r="AK150">
        <v>78326.139695577105</v>
      </c>
      <c r="AL150">
        <v>73057</v>
      </c>
      <c r="AM150">
        <v>76.896740591397801</v>
      </c>
      <c r="AN150">
        <v>76.168138440860105</v>
      </c>
      <c r="AO150">
        <v>72.494656792343207</v>
      </c>
    </row>
    <row r="151" spans="7:41" x14ac:dyDescent="0.35">
      <c r="G151" s="17" t="s">
        <v>272</v>
      </c>
      <c r="H151" s="22">
        <v>3.1045576914555228E-2</v>
      </c>
      <c r="I151" s="22">
        <v>0.10685981429663216</v>
      </c>
      <c r="J151" s="22">
        <v>-3.2981161523049196E-2</v>
      </c>
      <c r="K151" s="22">
        <v>5.1886047166915361E-2</v>
      </c>
      <c r="L151" s="22">
        <v>4.8534358979800407E-2</v>
      </c>
      <c r="M151" s="22">
        <v>4.8805074079354194E-2</v>
      </c>
      <c r="N151" s="22">
        <v>4.005579457517161E-2</v>
      </c>
      <c r="P151" s="17" t="s">
        <v>255</v>
      </c>
      <c r="Q151" s="21">
        <v>5335932</v>
      </c>
      <c r="R151" s="21">
        <v>5666972</v>
      </c>
      <c r="S151" s="21">
        <v>7190444</v>
      </c>
      <c r="T151" s="21">
        <v>6000820</v>
      </c>
      <c r="U151" s="21">
        <v>6281220</v>
      </c>
      <c r="V151" s="21">
        <v>5245173</v>
      </c>
      <c r="W151" s="21">
        <v>35720561</v>
      </c>
      <c r="AD151" t="s">
        <v>14</v>
      </c>
      <c r="AE151" t="s">
        <v>224</v>
      </c>
      <c r="AF151" t="s">
        <v>187</v>
      </c>
      <c r="AG151">
        <v>6165922</v>
      </c>
      <c r="AH151">
        <v>5827640</v>
      </c>
      <c r="AI151">
        <v>6095216</v>
      </c>
      <c r="AJ151">
        <v>88222</v>
      </c>
      <c r="AK151">
        <v>84078.134647348998</v>
      </c>
      <c r="AL151">
        <v>76804</v>
      </c>
      <c r="AM151">
        <v>69.891283602150395</v>
      </c>
      <c r="AN151">
        <v>75.876612903225706</v>
      </c>
      <c r="AO151">
        <v>72.494656792343207</v>
      </c>
    </row>
    <row r="152" spans="7:41" x14ac:dyDescent="0.35">
      <c r="G152" s="17" t="s">
        <v>263</v>
      </c>
      <c r="H152" s="22">
        <v>-0.20946348696940498</v>
      </c>
      <c r="I152" s="22">
        <v>-5.2397776871194623E-2</v>
      </c>
      <c r="J152" s="22">
        <v>-0.10374675308350467</v>
      </c>
      <c r="K152" s="22">
        <v>-8.2421097875772231E-2</v>
      </c>
      <c r="L152" s="22">
        <v>-0.13622242423025221</v>
      </c>
      <c r="M152" s="22">
        <v>-0.1243120274480175</v>
      </c>
      <c r="N152" s="22">
        <v>-0.11712514842113131</v>
      </c>
      <c r="P152" s="17" t="s">
        <v>238</v>
      </c>
      <c r="Q152" s="21">
        <v>5732262</v>
      </c>
      <c r="R152" s="21">
        <v>6051370</v>
      </c>
      <c r="S152" s="21">
        <v>7311690</v>
      </c>
      <c r="T152" s="21">
        <v>5565095</v>
      </c>
      <c r="U152" s="21">
        <v>5573921</v>
      </c>
      <c r="V152" s="21">
        <v>5038079</v>
      </c>
      <c r="W152" s="21">
        <v>35272417</v>
      </c>
      <c r="AD152" t="s">
        <v>14</v>
      </c>
      <c r="AE152" t="s">
        <v>224</v>
      </c>
      <c r="AF152" t="s">
        <v>184</v>
      </c>
      <c r="AG152">
        <v>5584141</v>
      </c>
      <c r="AH152">
        <v>5423674</v>
      </c>
      <c r="AI152">
        <v>5441654</v>
      </c>
      <c r="AJ152">
        <v>72365</v>
      </c>
      <c r="AK152">
        <v>75062.822124771104</v>
      </c>
      <c r="AL152">
        <v>71586</v>
      </c>
      <c r="AM152">
        <v>77.166562499999998</v>
      </c>
      <c r="AN152">
        <v>75.764062499999994</v>
      </c>
      <c r="AO152">
        <v>72.494656792343207</v>
      </c>
    </row>
    <row r="153" spans="7:41" x14ac:dyDescent="0.35">
      <c r="G153" s="17" t="s">
        <v>199</v>
      </c>
      <c r="H153" s="22">
        <v>0.14553966461732437</v>
      </c>
      <c r="I153" s="22">
        <v>0.27656233627430327</v>
      </c>
      <c r="J153" s="22">
        <v>-1.0174341894361061E-2</v>
      </c>
      <c r="K153" s="22">
        <v>8.9909499455567143E-2</v>
      </c>
      <c r="L153" s="22">
        <v>2.8564307134758549E-2</v>
      </c>
      <c r="M153" s="22">
        <v>5.7854504273651575E-2</v>
      </c>
      <c r="N153" s="22">
        <v>9.2195642055459937E-2</v>
      </c>
      <c r="P153" s="17" t="s">
        <v>263</v>
      </c>
      <c r="Q153" s="21">
        <v>4507405</v>
      </c>
      <c r="R153" s="21">
        <v>5040093</v>
      </c>
      <c r="S153" s="21">
        <v>6308309</v>
      </c>
      <c r="T153" s="21">
        <v>5347175</v>
      </c>
      <c r="U153" s="21">
        <v>5521085</v>
      </c>
      <c r="V153" s="21">
        <v>4724789</v>
      </c>
      <c r="W153" s="21">
        <v>31448856</v>
      </c>
      <c r="AD153" t="s">
        <v>35</v>
      </c>
      <c r="AE153" t="s">
        <v>222</v>
      </c>
      <c r="AF153" t="s">
        <v>186</v>
      </c>
      <c r="AG153">
        <v>4982382</v>
      </c>
      <c r="AH153">
        <v>5070666</v>
      </c>
      <c r="AI153">
        <v>4902786</v>
      </c>
      <c r="AJ153">
        <v>73443</v>
      </c>
      <c r="AK153">
        <v>66279.986475853904</v>
      </c>
      <c r="AL153">
        <v>67287</v>
      </c>
      <c r="AM153">
        <v>67.839868055555698</v>
      </c>
      <c r="AN153">
        <v>75.3591319444444</v>
      </c>
      <c r="AO153">
        <v>73.970842069892498</v>
      </c>
    </row>
    <row r="154" spans="7:41" x14ac:dyDescent="0.35">
      <c r="G154" s="17" t="s">
        <v>279</v>
      </c>
      <c r="H154" s="22">
        <v>1.6306910980020239E-2</v>
      </c>
      <c r="I154" s="22">
        <v>1.5838271107408541E-2</v>
      </c>
      <c r="J154" s="22">
        <v>-2.1990310173833016E-2</v>
      </c>
      <c r="K154" s="22">
        <v>4.9873213449953546E-3</v>
      </c>
      <c r="L154" s="22">
        <v>1.3661485909339577E-2</v>
      </c>
      <c r="M154" s="22">
        <v>-1.949442872103968E-3</v>
      </c>
      <c r="N154" s="22">
        <v>7.019147208187082E-3</v>
      </c>
      <c r="P154" s="17" t="s">
        <v>253</v>
      </c>
      <c r="Q154" s="21">
        <v>4618851</v>
      </c>
      <c r="R154" s="21">
        <v>4656237</v>
      </c>
      <c r="S154" s="21">
        <v>5387372</v>
      </c>
      <c r="T154" s="21">
        <v>4686481</v>
      </c>
      <c r="U154" s="21">
        <v>5256475</v>
      </c>
      <c r="V154" s="21">
        <v>4853515</v>
      </c>
      <c r="W154" s="21">
        <v>29458931</v>
      </c>
      <c r="AD154" t="s">
        <v>35</v>
      </c>
      <c r="AE154" t="s">
        <v>222</v>
      </c>
      <c r="AF154" t="s">
        <v>185</v>
      </c>
      <c r="AG154">
        <v>5404223</v>
      </c>
      <c r="AH154">
        <v>5331605</v>
      </c>
      <c r="AI154">
        <v>5379580</v>
      </c>
      <c r="AJ154">
        <v>72883</v>
      </c>
      <c r="AK154">
        <v>72725.683286355095</v>
      </c>
      <c r="AL154">
        <v>71034</v>
      </c>
      <c r="AM154">
        <v>74.149758064516107</v>
      </c>
      <c r="AN154">
        <v>75.056935483870902</v>
      </c>
      <c r="AO154">
        <v>73.970842069892498</v>
      </c>
    </row>
    <row r="155" spans="7:41" x14ac:dyDescent="0.35">
      <c r="G155" s="17" t="s">
        <v>273</v>
      </c>
      <c r="H155" s="22">
        <v>-0.11775449593959075</v>
      </c>
      <c r="I155" s="22">
        <v>-0.10998707774938588</v>
      </c>
      <c r="J155" s="22">
        <v>-0.31825348169844669</v>
      </c>
      <c r="K155" s="22">
        <v>-8.8014947816149491E-2</v>
      </c>
      <c r="L155" s="22">
        <v>-0.17518339864145593</v>
      </c>
      <c r="M155" s="22">
        <v>-0.18138509404848258</v>
      </c>
      <c r="N155" s="22">
        <v>-0.17234549059525495</v>
      </c>
      <c r="P155" s="17" t="s">
        <v>272</v>
      </c>
      <c r="Q155" s="21">
        <v>4842988</v>
      </c>
      <c r="R155" s="21">
        <v>4490117</v>
      </c>
      <c r="S155" s="21">
        <v>5143510</v>
      </c>
      <c r="T155" s="21">
        <v>4707771</v>
      </c>
      <c r="U155" s="21">
        <v>4820413</v>
      </c>
      <c r="V155" s="21">
        <v>4407221</v>
      </c>
      <c r="W155" s="21">
        <v>28412020</v>
      </c>
      <c r="AD155" t="s">
        <v>12</v>
      </c>
      <c r="AE155" t="s">
        <v>225</v>
      </c>
      <c r="AF155" t="s">
        <v>187</v>
      </c>
      <c r="AG155">
        <v>8049012</v>
      </c>
      <c r="AH155">
        <v>7244880</v>
      </c>
      <c r="AI155">
        <v>7728624</v>
      </c>
      <c r="AJ155">
        <v>104477</v>
      </c>
      <c r="AK155">
        <v>108158.127898832</v>
      </c>
      <c r="AL155">
        <v>96590</v>
      </c>
      <c r="AM155">
        <v>77.040974462365597</v>
      </c>
      <c r="AN155">
        <v>75.006834677419306</v>
      </c>
      <c r="AO155">
        <v>71.456708642637295</v>
      </c>
    </row>
    <row r="156" spans="7:41" x14ac:dyDescent="0.35">
      <c r="G156" s="17" t="s">
        <v>253</v>
      </c>
      <c r="H156" s="22">
        <v>7.7597665065905375E-2</v>
      </c>
      <c r="I156" s="22">
        <v>7.8155099878835399E-2</v>
      </c>
      <c r="J156" s="22">
        <v>-2.4876951082871135E-2</v>
      </c>
      <c r="K156" s="22">
        <v>1.5808483047814015E-2</v>
      </c>
      <c r="L156" s="22">
        <v>4.7847650224047467E-2</v>
      </c>
      <c r="M156" s="22">
        <v>9.5248603838063994E-2</v>
      </c>
      <c r="N156" s="22">
        <v>4.6312851474444638E-2</v>
      </c>
      <c r="P156" s="17" t="s">
        <v>279</v>
      </c>
      <c r="Q156" s="21">
        <v>2903155</v>
      </c>
      <c r="R156" s="21">
        <v>3154591</v>
      </c>
      <c r="S156" s="21">
        <v>3987061</v>
      </c>
      <c r="T156" s="21">
        <v>2853081</v>
      </c>
      <c r="U156" s="21">
        <v>2870301</v>
      </c>
      <c r="V156" s="21">
        <v>2564085</v>
      </c>
      <c r="W156" s="21">
        <v>18332274</v>
      </c>
      <c r="AD156" t="s">
        <v>104</v>
      </c>
      <c r="AE156" t="s">
        <v>221</v>
      </c>
      <c r="AF156" t="s">
        <v>186</v>
      </c>
      <c r="AG156">
        <v>5606053</v>
      </c>
      <c r="AH156">
        <v>5580877</v>
      </c>
      <c r="AI156">
        <v>5824590</v>
      </c>
      <c r="AJ156">
        <v>71742</v>
      </c>
      <c r="AK156">
        <v>71887.976023851705</v>
      </c>
      <c r="AL156">
        <v>74415</v>
      </c>
      <c r="AM156">
        <v>78.141729166668497</v>
      </c>
      <c r="AN156">
        <v>74.996249999999904</v>
      </c>
      <c r="AO156">
        <v>81.023149648384205</v>
      </c>
    </row>
    <row r="157" spans="7:41" x14ac:dyDescent="0.35">
      <c r="G157" s="17" t="s">
        <v>200</v>
      </c>
      <c r="H157" s="22" t="e">
        <v>#DIV/0!</v>
      </c>
      <c r="I157" s="22" t="e">
        <v>#DIV/0!</v>
      </c>
      <c r="J157" s="22" t="e">
        <v>#DIV/0!</v>
      </c>
      <c r="K157" s="22" t="e">
        <v>#DIV/0!</v>
      </c>
      <c r="L157" s="22" t="e">
        <v>#DIV/0!</v>
      </c>
      <c r="M157" s="22" t="e">
        <v>#DIV/0!</v>
      </c>
      <c r="N157" s="22" t="e">
        <v>#DIV/0!</v>
      </c>
      <c r="P157" s="17" t="s">
        <v>273</v>
      </c>
      <c r="Q157" s="21">
        <v>3015239</v>
      </c>
      <c r="R157" s="21">
        <v>2779834</v>
      </c>
      <c r="S157" s="21">
        <v>3486324</v>
      </c>
      <c r="T157" s="21">
        <v>2969277</v>
      </c>
      <c r="U157" s="21">
        <v>2837037</v>
      </c>
      <c r="V157" s="21">
        <v>2298744</v>
      </c>
      <c r="W157" s="21">
        <v>17386455</v>
      </c>
      <c r="AD157" t="s">
        <v>12</v>
      </c>
      <c r="AE157" t="s">
        <v>226</v>
      </c>
      <c r="AF157" t="s">
        <v>183</v>
      </c>
      <c r="AG157">
        <v>6594402</v>
      </c>
      <c r="AH157">
        <v>6365361</v>
      </c>
      <c r="AI157">
        <v>6446930</v>
      </c>
      <c r="AJ157">
        <v>92005</v>
      </c>
      <c r="AK157">
        <v>92127.210807114199</v>
      </c>
      <c r="AL157">
        <v>85416</v>
      </c>
      <c r="AM157">
        <v>71.674401881720399</v>
      </c>
      <c r="AN157">
        <v>74.522291666666604</v>
      </c>
      <c r="AO157">
        <v>69.978560745726497</v>
      </c>
    </row>
    <row r="158" spans="7:41" x14ac:dyDescent="0.35">
      <c r="G158" s="17" t="s">
        <v>242</v>
      </c>
      <c r="H158" s="22">
        <v>-7.3093127767283161E-2</v>
      </c>
      <c r="I158" s="22">
        <v>-0.17234045077282623</v>
      </c>
      <c r="J158" s="22">
        <v>-0.32384263623484644</v>
      </c>
      <c r="K158" s="22">
        <v>-0.16230495862484418</v>
      </c>
      <c r="L158" s="22">
        <v>-8.3388440837751432E-2</v>
      </c>
      <c r="M158" s="22">
        <v>-7.1045164314205378E-2</v>
      </c>
      <c r="N158" s="22">
        <v>-0.15808300516247553</v>
      </c>
      <c r="P158" s="17" t="s">
        <v>200</v>
      </c>
      <c r="Q158" s="21"/>
      <c r="R158" s="21">
        <v>482</v>
      </c>
      <c r="S158" s="21"/>
      <c r="T158" s="21">
        <v>109</v>
      </c>
      <c r="U158" s="21"/>
      <c r="V158" s="21">
        <v>631</v>
      </c>
      <c r="W158" s="21">
        <v>1222</v>
      </c>
      <c r="AD158" t="s">
        <v>14</v>
      </c>
      <c r="AE158" t="s">
        <v>224</v>
      </c>
      <c r="AF158" t="s">
        <v>186</v>
      </c>
      <c r="AG158">
        <v>5833789</v>
      </c>
      <c r="AH158">
        <v>5580085</v>
      </c>
      <c r="AI158">
        <v>5978586</v>
      </c>
      <c r="AJ158">
        <v>80351</v>
      </c>
      <c r="AK158">
        <v>82469.339698031996</v>
      </c>
      <c r="AL158">
        <v>74928</v>
      </c>
      <c r="AM158">
        <v>72.603611111113494</v>
      </c>
      <c r="AN158">
        <v>74.472756944444399</v>
      </c>
      <c r="AO158">
        <v>72.494656792343207</v>
      </c>
    </row>
    <row r="159" spans="7:41" x14ac:dyDescent="0.35">
      <c r="G159" s="3" t="s">
        <v>12</v>
      </c>
      <c r="H159" s="22">
        <v>1.1720118651012523E-2</v>
      </c>
      <c r="I159" s="22">
        <v>4.4488154226168364E-2</v>
      </c>
      <c r="J159" s="22">
        <v>-5.2303190873009053E-2</v>
      </c>
      <c r="K159" s="22">
        <v>9.5509691738232538E-2</v>
      </c>
      <c r="L159" s="22">
        <v>8.4338333086034112E-2</v>
      </c>
      <c r="M159" s="22">
        <v>7.5610643762918262E-2</v>
      </c>
      <c r="N159" s="22">
        <v>4.0164002901485141E-2</v>
      </c>
      <c r="P159" s="3" t="s">
        <v>12</v>
      </c>
      <c r="Q159" s="21">
        <v>83477945</v>
      </c>
      <c r="R159" s="21">
        <v>86411209</v>
      </c>
      <c r="S159" s="21">
        <v>105222803</v>
      </c>
      <c r="T159" s="21">
        <v>86190837</v>
      </c>
      <c r="U159" s="21">
        <v>91733345</v>
      </c>
      <c r="V159" s="21">
        <v>81552299</v>
      </c>
      <c r="W159" s="21">
        <v>534588438</v>
      </c>
      <c r="AD159" t="s">
        <v>35</v>
      </c>
      <c r="AE159" t="s">
        <v>222</v>
      </c>
      <c r="AF159" t="s">
        <v>187</v>
      </c>
      <c r="AG159">
        <v>5111049</v>
      </c>
      <c r="AH159">
        <v>5120724</v>
      </c>
      <c r="AI159">
        <v>5122303</v>
      </c>
      <c r="AJ159">
        <v>73532</v>
      </c>
      <c r="AK159">
        <v>69247.601854526802</v>
      </c>
      <c r="AL159">
        <v>69526</v>
      </c>
      <c r="AM159">
        <v>69.5077889784951</v>
      </c>
      <c r="AN159">
        <v>73.652090053763402</v>
      </c>
      <c r="AO159">
        <v>73.970842069892498</v>
      </c>
    </row>
    <row r="160" spans="7:41" x14ac:dyDescent="0.35">
      <c r="G160" s="3" t="s">
        <v>14</v>
      </c>
      <c r="H160" s="22">
        <v>-1.1109594213933871E-2</v>
      </c>
      <c r="I160" s="22">
        <v>6.6752474820308549E-3</v>
      </c>
      <c r="J160" s="22">
        <v>-1.964447916963874E-2</v>
      </c>
      <c r="K160" s="22">
        <v>7.8046600019449963E-2</v>
      </c>
      <c r="L160" s="22">
        <v>5.7145831387010571E-2</v>
      </c>
      <c r="M160" s="22">
        <v>4.3691196059091553E-2</v>
      </c>
      <c r="N160" s="22">
        <v>2.5312496707612597E-2</v>
      </c>
      <c r="P160" s="3" t="s">
        <v>14</v>
      </c>
      <c r="Q160" s="21">
        <v>96535842</v>
      </c>
      <c r="R160" s="21">
        <v>99589916</v>
      </c>
      <c r="S160" s="21">
        <v>121448579</v>
      </c>
      <c r="T160" s="21">
        <v>102119692</v>
      </c>
      <c r="U160" s="21">
        <v>105849472</v>
      </c>
      <c r="V160" s="21">
        <v>94585306</v>
      </c>
      <c r="W160" s="21">
        <v>620128807</v>
      </c>
      <c r="AD160" t="s">
        <v>17</v>
      </c>
      <c r="AE160" t="s">
        <v>205</v>
      </c>
      <c r="AF160" t="s">
        <v>185</v>
      </c>
      <c r="AG160">
        <v>11745132</v>
      </c>
      <c r="AH160">
        <v>4717756</v>
      </c>
      <c r="AI160">
        <v>11158788</v>
      </c>
      <c r="AJ160">
        <v>121745</v>
      </c>
      <c r="AK160">
        <v>115386.392850045</v>
      </c>
      <c r="AL160">
        <v>64184</v>
      </c>
      <c r="AM160">
        <v>96.473595430107494</v>
      </c>
      <c r="AN160">
        <v>73.503528225806406</v>
      </c>
      <c r="AO160">
        <v>96.708009322223603</v>
      </c>
    </row>
    <row r="161" spans="7:41" x14ac:dyDescent="0.35">
      <c r="G161" s="3" t="s">
        <v>135</v>
      </c>
      <c r="H161" s="22">
        <v>-8.8797900923267559E-3</v>
      </c>
      <c r="I161" s="22">
        <v>1.4986854677354389E-2</v>
      </c>
      <c r="J161" s="22">
        <v>-3.1761736334966151E-2</v>
      </c>
      <c r="K161" s="22">
        <v>6.7537881872557604E-2</v>
      </c>
      <c r="L161" s="22">
        <v>5.2353540990555558E-2</v>
      </c>
      <c r="M161" s="22">
        <v>6.9944131296923118E-2</v>
      </c>
      <c r="N161" s="22" t="e">
        <v>#DIV/0!</v>
      </c>
      <c r="P161" s="3" t="s">
        <v>135</v>
      </c>
      <c r="Q161" s="21">
        <v>533671400</v>
      </c>
      <c r="R161" s="21">
        <v>530816787</v>
      </c>
      <c r="S161" s="21">
        <v>644100872</v>
      </c>
      <c r="T161" s="21">
        <v>555617871</v>
      </c>
      <c r="U161" s="21">
        <v>571848102</v>
      </c>
      <c r="V161" s="21">
        <v>520673331</v>
      </c>
      <c r="W161" s="21">
        <v>3356728363</v>
      </c>
      <c r="AD161" t="s">
        <v>12</v>
      </c>
      <c r="AE161" t="s">
        <v>225</v>
      </c>
      <c r="AF161" t="s">
        <v>186</v>
      </c>
      <c r="AG161">
        <v>7449348</v>
      </c>
      <c r="AH161">
        <v>6729230</v>
      </c>
      <c r="AI161">
        <v>7056157</v>
      </c>
      <c r="AJ161">
        <v>103768</v>
      </c>
      <c r="AK161">
        <v>98747.294437931603</v>
      </c>
      <c r="AL161">
        <v>91553</v>
      </c>
      <c r="AM161">
        <v>71.788694444447003</v>
      </c>
      <c r="AN161">
        <v>73.500923611111105</v>
      </c>
      <c r="AO161">
        <v>71.456708642637295</v>
      </c>
    </row>
    <row r="162" spans="7:41" x14ac:dyDescent="0.35">
      <c r="AD162" t="s">
        <v>12</v>
      </c>
      <c r="AE162" t="s">
        <v>225</v>
      </c>
      <c r="AF162" t="s">
        <v>188</v>
      </c>
      <c r="AG162">
        <v>7280441</v>
      </c>
      <c r="AH162">
        <v>6433169</v>
      </c>
      <c r="AI162">
        <v>6970187</v>
      </c>
      <c r="AJ162">
        <v>101949</v>
      </c>
      <c r="AK162">
        <v>97544.191137582995</v>
      </c>
      <c r="AL162">
        <v>87528</v>
      </c>
      <c r="AM162">
        <v>71.412736111113304</v>
      </c>
      <c r="AN162">
        <v>73.498687500000003</v>
      </c>
      <c r="AO162">
        <v>71.456708642637295</v>
      </c>
    </row>
    <row r="163" spans="7:41" x14ac:dyDescent="0.35">
      <c r="AD163" t="s">
        <v>17</v>
      </c>
      <c r="AE163" t="s">
        <v>227</v>
      </c>
      <c r="AF163" t="s">
        <v>186</v>
      </c>
      <c r="AG163">
        <v>8231659</v>
      </c>
      <c r="AH163">
        <v>7281149</v>
      </c>
      <c r="AI163">
        <v>7769698</v>
      </c>
      <c r="AJ163">
        <v>114559</v>
      </c>
      <c r="AK163">
        <v>115190.70502008501</v>
      </c>
      <c r="AL163">
        <v>99138</v>
      </c>
      <c r="AM163">
        <v>71.855097222224401</v>
      </c>
      <c r="AN163">
        <v>73.444583333333298</v>
      </c>
      <c r="AO163">
        <v>67.450733277005597</v>
      </c>
    </row>
    <row r="164" spans="7:41" x14ac:dyDescent="0.35">
      <c r="AD164" t="s">
        <v>35</v>
      </c>
      <c r="AE164" t="s">
        <v>222</v>
      </c>
      <c r="AF164" t="s">
        <v>188</v>
      </c>
      <c r="AG164">
        <v>5143879</v>
      </c>
      <c r="AH164">
        <v>5241607</v>
      </c>
      <c r="AI164">
        <v>5433861</v>
      </c>
      <c r="AJ164">
        <v>75694</v>
      </c>
      <c r="AK164">
        <v>73459.505316510098</v>
      </c>
      <c r="AL164">
        <v>71633</v>
      </c>
      <c r="AM164">
        <v>67.955951388888593</v>
      </c>
      <c r="AN164">
        <v>73.173527777777807</v>
      </c>
      <c r="AO164">
        <v>73.970842069892498</v>
      </c>
    </row>
    <row r="165" spans="7:41" x14ac:dyDescent="0.35">
      <c r="AD165" t="s">
        <v>12</v>
      </c>
      <c r="AE165" t="s">
        <v>223</v>
      </c>
      <c r="AF165" t="s">
        <v>183</v>
      </c>
      <c r="AG165">
        <v>5597127</v>
      </c>
      <c r="AH165">
        <v>5720873</v>
      </c>
      <c r="AI165">
        <v>6015543</v>
      </c>
      <c r="AJ165">
        <v>80592</v>
      </c>
      <c r="AK165">
        <v>88919.811370559997</v>
      </c>
      <c r="AL165">
        <v>78481</v>
      </c>
      <c r="AM165">
        <v>69.450349462365494</v>
      </c>
      <c r="AN165">
        <v>72.894697580645101</v>
      </c>
      <c r="AO165">
        <v>67.651321791845902</v>
      </c>
    </row>
    <row r="166" spans="7:41" x14ac:dyDescent="0.35">
      <c r="AD166" t="s">
        <v>12</v>
      </c>
      <c r="AE166" t="s">
        <v>228</v>
      </c>
      <c r="AF166" t="s">
        <v>187</v>
      </c>
      <c r="AG166">
        <v>6203228</v>
      </c>
      <c r="AH166">
        <v>5883356</v>
      </c>
      <c r="AI166">
        <v>6173901</v>
      </c>
      <c r="AJ166">
        <v>98067</v>
      </c>
      <c r="AK166">
        <v>92209.991287641795</v>
      </c>
      <c r="AL166">
        <v>80898</v>
      </c>
      <c r="AM166">
        <v>63.255161290322697</v>
      </c>
      <c r="AN166">
        <v>72.725813172043004</v>
      </c>
      <c r="AO166">
        <v>66.954795775232199</v>
      </c>
    </row>
    <row r="167" spans="7:41" x14ac:dyDescent="0.35">
      <c r="AD167" t="s">
        <v>14</v>
      </c>
      <c r="AE167" t="s">
        <v>229</v>
      </c>
      <c r="AF167" t="s">
        <v>184</v>
      </c>
      <c r="AG167">
        <v>5578523</v>
      </c>
      <c r="AH167">
        <v>4481766</v>
      </c>
      <c r="AI167">
        <v>4982206</v>
      </c>
      <c r="AJ167">
        <v>83968</v>
      </c>
      <c r="AK167">
        <v>72539.500661071594</v>
      </c>
      <c r="AL167">
        <v>61706</v>
      </c>
      <c r="AM167">
        <v>66.436406249999905</v>
      </c>
      <c r="AN167">
        <v>72.630416666666605</v>
      </c>
      <c r="AO167">
        <v>68.6826614726575</v>
      </c>
    </row>
    <row r="168" spans="7:41" x14ac:dyDescent="0.35">
      <c r="AD168" t="s">
        <v>17</v>
      </c>
      <c r="AE168" t="s">
        <v>227</v>
      </c>
      <c r="AF168" t="s">
        <v>185</v>
      </c>
      <c r="AG168">
        <v>9334129</v>
      </c>
      <c r="AH168">
        <v>8592178</v>
      </c>
      <c r="AI168">
        <v>9350387</v>
      </c>
      <c r="AJ168">
        <v>121962</v>
      </c>
      <c r="AK168">
        <v>138625.436728759</v>
      </c>
      <c r="AL168">
        <v>118438</v>
      </c>
      <c r="AM168">
        <v>76.532956989247296</v>
      </c>
      <c r="AN168">
        <v>72.546014784946095</v>
      </c>
      <c r="AO168">
        <v>67.450733277005597</v>
      </c>
    </row>
    <row r="169" spans="7:41" x14ac:dyDescent="0.35">
      <c r="AD169" t="s">
        <v>12</v>
      </c>
      <c r="AE169" t="s">
        <v>228</v>
      </c>
      <c r="AF169" t="s">
        <v>185</v>
      </c>
      <c r="AG169">
        <v>8104568</v>
      </c>
      <c r="AH169">
        <v>7092530</v>
      </c>
      <c r="AI169">
        <v>7079340</v>
      </c>
      <c r="AJ169">
        <v>116890</v>
      </c>
      <c r="AK169">
        <v>105733.12795942801</v>
      </c>
      <c r="AL169">
        <v>98496</v>
      </c>
      <c r="AM169">
        <v>69.334905913978503</v>
      </c>
      <c r="AN169">
        <v>72.008172043010703</v>
      </c>
      <c r="AO169">
        <v>66.954795775232199</v>
      </c>
    </row>
    <row r="170" spans="7:41" x14ac:dyDescent="0.35">
      <c r="AD170" t="s">
        <v>12</v>
      </c>
      <c r="AE170" t="s">
        <v>228</v>
      </c>
      <c r="AF170" t="s">
        <v>188</v>
      </c>
      <c r="AG170">
        <v>5656095</v>
      </c>
      <c r="AH170">
        <v>5266541</v>
      </c>
      <c r="AI170">
        <v>5516261</v>
      </c>
      <c r="AJ170">
        <v>88921</v>
      </c>
      <c r="AK170">
        <v>82387.837409259402</v>
      </c>
      <c r="AL170">
        <v>73156</v>
      </c>
      <c r="AM170">
        <v>63.607833333334803</v>
      </c>
      <c r="AN170">
        <v>71.990965277777704</v>
      </c>
      <c r="AO170">
        <v>66.954795775232199</v>
      </c>
    </row>
    <row r="171" spans="7:41" x14ac:dyDescent="0.35">
      <c r="AD171" t="s">
        <v>19</v>
      </c>
      <c r="AE171" t="s">
        <v>230</v>
      </c>
      <c r="AF171" t="s">
        <v>187</v>
      </c>
      <c r="AG171">
        <v>6988920</v>
      </c>
      <c r="AH171">
        <v>6207317</v>
      </c>
      <c r="AI171">
        <v>6860361</v>
      </c>
      <c r="AJ171">
        <v>101518</v>
      </c>
      <c r="AK171">
        <v>99753.260557804999</v>
      </c>
      <c r="AL171">
        <v>86263</v>
      </c>
      <c r="AM171">
        <v>68.8438239247306</v>
      </c>
      <c r="AN171">
        <v>71.957647849462305</v>
      </c>
      <c r="AO171">
        <v>68.773296674593993</v>
      </c>
    </row>
    <row r="172" spans="7:41" x14ac:dyDescent="0.35">
      <c r="AD172" t="s">
        <v>14</v>
      </c>
      <c r="AE172" t="s">
        <v>231</v>
      </c>
      <c r="AF172" t="s">
        <v>185</v>
      </c>
      <c r="AG172">
        <v>7166385</v>
      </c>
      <c r="AH172">
        <v>7340456</v>
      </c>
      <c r="AI172">
        <v>7247932</v>
      </c>
      <c r="AJ172">
        <v>105327</v>
      </c>
      <c r="AK172">
        <v>113522.216942889</v>
      </c>
      <c r="AL172">
        <v>102072</v>
      </c>
      <c r="AM172">
        <v>68.039153225806402</v>
      </c>
      <c r="AN172">
        <v>71.914650537634401</v>
      </c>
      <c r="AO172">
        <v>63.845934941054601</v>
      </c>
    </row>
    <row r="173" spans="7:41" x14ac:dyDescent="0.35">
      <c r="AD173" t="s">
        <v>14</v>
      </c>
      <c r="AE173" t="s">
        <v>232</v>
      </c>
      <c r="AF173" t="s">
        <v>187</v>
      </c>
      <c r="AG173">
        <v>6248431</v>
      </c>
      <c r="AH173">
        <v>5899066</v>
      </c>
      <c r="AI173">
        <v>6279154</v>
      </c>
      <c r="AJ173">
        <v>96954</v>
      </c>
      <c r="AK173">
        <v>92752.465157868297</v>
      </c>
      <c r="AL173">
        <v>82036</v>
      </c>
      <c r="AM173">
        <v>64.447231182795605</v>
      </c>
      <c r="AN173">
        <v>71.908487903225705</v>
      </c>
      <c r="AO173">
        <v>67.697971575339096</v>
      </c>
    </row>
    <row r="174" spans="7:41" x14ac:dyDescent="0.35">
      <c r="AD174" t="s">
        <v>12</v>
      </c>
      <c r="AE174" t="s">
        <v>225</v>
      </c>
      <c r="AF174" t="s">
        <v>183</v>
      </c>
      <c r="AG174">
        <v>7085026</v>
      </c>
      <c r="AH174">
        <v>6778287</v>
      </c>
      <c r="AI174">
        <v>6639646</v>
      </c>
      <c r="AJ174">
        <v>103325</v>
      </c>
      <c r="AK174">
        <v>92918.437401106406</v>
      </c>
      <c r="AL174">
        <v>94405</v>
      </c>
      <c r="AM174">
        <v>68.570080645161298</v>
      </c>
      <c r="AN174">
        <v>71.799959677419295</v>
      </c>
      <c r="AO174">
        <v>71.456708642637295</v>
      </c>
    </row>
    <row r="175" spans="7:41" x14ac:dyDescent="0.35">
      <c r="AD175" t="s">
        <v>14</v>
      </c>
      <c r="AE175" t="s">
        <v>233</v>
      </c>
      <c r="AF175" t="s">
        <v>187</v>
      </c>
      <c r="AG175">
        <v>6949009</v>
      </c>
      <c r="AH175">
        <v>6472697</v>
      </c>
      <c r="AI175">
        <v>6618121</v>
      </c>
      <c r="AJ175">
        <v>98815</v>
      </c>
      <c r="AK175">
        <v>95755.727606050496</v>
      </c>
      <c r="AL175">
        <v>90185</v>
      </c>
      <c r="AM175">
        <v>70.323420698924295</v>
      </c>
      <c r="AN175">
        <v>71.771263440860196</v>
      </c>
      <c r="AO175">
        <v>69.114627897013804</v>
      </c>
    </row>
    <row r="176" spans="7:41" x14ac:dyDescent="0.35">
      <c r="AD176" t="s">
        <v>14</v>
      </c>
      <c r="AE176" t="s">
        <v>224</v>
      </c>
      <c r="AF176" t="s">
        <v>188</v>
      </c>
      <c r="AG176">
        <v>5600587</v>
      </c>
      <c r="AH176">
        <v>5329797</v>
      </c>
      <c r="AI176">
        <v>5670451</v>
      </c>
      <c r="AJ176">
        <v>83423</v>
      </c>
      <c r="AK176">
        <v>78218.877983554994</v>
      </c>
      <c r="AL176">
        <v>74423</v>
      </c>
      <c r="AM176">
        <v>67.134423611112993</v>
      </c>
      <c r="AN176">
        <v>71.614909722222194</v>
      </c>
      <c r="AO176">
        <v>72.494656792343207</v>
      </c>
    </row>
    <row r="177" spans="30:41" x14ac:dyDescent="0.35">
      <c r="AD177" t="s">
        <v>12</v>
      </c>
      <c r="AE177" t="s">
        <v>223</v>
      </c>
      <c r="AF177" t="s">
        <v>186</v>
      </c>
      <c r="AG177">
        <v>5640661</v>
      </c>
      <c r="AH177">
        <v>5613337</v>
      </c>
      <c r="AI177">
        <v>5653255</v>
      </c>
      <c r="AJ177">
        <v>81489</v>
      </c>
      <c r="AK177">
        <v>83564.591030376396</v>
      </c>
      <c r="AL177">
        <v>78512</v>
      </c>
      <c r="AM177">
        <v>69.219694444446304</v>
      </c>
      <c r="AN177">
        <v>71.496493055555504</v>
      </c>
      <c r="AO177">
        <v>67.651321791845902</v>
      </c>
    </row>
    <row r="178" spans="30:41" x14ac:dyDescent="0.35">
      <c r="AD178" t="s">
        <v>19</v>
      </c>
      <c r="AE178" t="s">
        <v>230</v>
      </c>
      <c r="AF178" t="s">
        <v>188</v>
      </c>
      <c r="AG178">
        <v>6622233</v>
      </c>
      <c r="AH178">
        <v>5705212</v>
      </c>
      <c r="AI178">
        <v>6343571</v>
      </c>
      <c r="AJ178">
        <v>91333</v>
      </c>
      <c r="AK178">
        <v>92238.866281415598</v>
      </c>
      <c r="AL178">
        <v>79984</v>
      </c>
      <c r="AM178">
        <v>72.506826388891</v>
      </c>
      <c r="AN178">
        <v>71.329805555555495</v>
      </c>
      <c r="AO178">
        <v>68.773296674593993</v>
      </c>
    </row>
    <row r="179" spans="30:41" x14ac:dyDescent="0.35">
      <c r="AD179" t="s">
        <v>14</v>
      </c>
      <c r="AE179" t="s">
        <v>234</v>
      </c>
      <c r="AF179" t="s">
        <v>184</v>
      </c>
      <c r="AG179">
        <v>6795456</v>
      </c>
      <c r="AH179">
        <v>6340296</v>
      </c>
      <c r="AI179">
        <v>5883634</v>
      </c>
      <c r="AJ179">
        <v>101126</v>
      </c>
      <c r="AK179">
        <v>89023.4032674302</v>
      </c>
      <c r="AL179">
        <v>88914</v>
      </c>
      <c r="AM179">
        <v>67.197708333333296</v>
      </c>
      <c r="AN179">
        <v>71.308437499999997</v>
      </c>
      <c r="AO179">
        <v>66.090862926519506</v>
      </c>
    </row>
    <row r="180" spans="30:41" x14ac:dyDescent="0.35">
      <c r="AD180" t="s">
        <v>14</v>
      </c>
      <c r="AE180" t="s">
        <v>229</v>
      </c>
      <c r="AF180" t="s">
        <v>187</v>
      </c>
      <c r="AG180">
        <v>6072336</v>
      </c>
      <c r="AH180">
        <v>5368882</v>
      </c>
      <c r="AI180">
        <v>5512028</v>
      </c>
      <c r="AJ180">
        <v>93869</v>
      </c>
      <c r="AK180">
        <v>80253.555466750899</v>
      </c>
      <c r="AL180">
        <v>75624</v>
      </c>
      <c r="AM180">
        <v>64.689737903225307</v>
      </c>
      <c r="AN180">
        <v>70.994677419354801</v>
      </c>
      <c r="AO180">
        <v>68.6826614726575</v>
      </c>
    </row>
    <row r="181" spans="30:41" x14ac:dyDescent="0.35">
      <c r="AD181" t="s">
        <v>14</v>
      </c>
      <c r="AE181" t="s">
        <v>229</v>
      </c>
      <c r="AF181" t="s">
        <v>185</v>
      </c>
      <c r="AG181">
        <v>6937209</v>
      </c>
      <c r="AH181">
        <v>6350866</v>
      </c>
      <c r="AI181">
        <v>6270925</v>
      </c>
      <c r="AJ181">
        <v>94682</v>
      </c>
      <c r="AK181">
        <v>91302.879562936607</v>
      </c>
      <c r="AL181">
        <v>89515</v>
      </c>
      <c r="AM181">
        <v>73.268642473118206</v>
      </c>
      <c r="AN181">
        <v>70.947681451612794</v>
      </c>
      <c r="AO181">
        <v>68.6826614726575</v>
      </c>
    </row>
    <row r="182" spans="30:41" x14ac:dyDescent="0.35">
      <c r="AD182" t="s">
        <v>14</v>
      </c>
      <c r="AE182" t="s">
        <v>234</v>
      </c>
      <c r="AF182" t="s">
        <v>187</v>
      </c>
      <c r="AG182">
        <v>7841199</v>
      </c>
      <c r="AH182">
        <v>6914032</v>
      </c>
      <c r="AI182">
        <v>7139504</v>
      </c>
      <c r="AJ182">
        <v>113228</v>
      </c>
      <c r="AK182">
        <v>108025.586024467</v>
      </c>
      <c r="AL182">
        <v>97465</v>
      </c>
      <c r="AM182">
        <v>69.251122311828098</v>
      </c>
      <c r="AN182">
        <v>70.938366935483899</v>
      </c>
      <c r="AO182">
        <v>66.090862926519506</v>
      </c>
    </row>
    <row r="183" spans="30:41" x14ac:dyDescent="0.35">
      <c r="AD183" t="s">
        <v>12</v>
      </c>
      <c r="AE183" t="s">
        <v>228</v>
      </c>
      <c r="AF183" t="s">
        <v>186</v>
      </c>
      <c r="AG183">
        <v>6058057</v>
      </c>
      <c r="AH183">
        <v>5609444</v>
      </c>
      <c r="AI183">
        <v>5768539</v>
      </c>
      <c r="AJ183">
        <v>95662</v>
      </c>
      <c r="AK183">
        <v>86155.719504619701</v>
      </c>
      <c r="AL183">
        <v>79197</v>
      </c>
      <c r="AM183">
        <v>63.327736111112998</v>
      </c>
      <c r="AN183">
        <v>70.828965277777698</v>
      </c>
      <c r="AO183">
        <v>66.954795775232199</v>
      </c>
    </row>
    <row r="184" spans="30:41" x14ac:dyDescent="0.35">
      <c r="AD184" t="s">
        <v>19</v>
      </c>
      <c r="AE184" t="s">
        <v>230</v>
      </c>
      <c r="AF184" t="s">
        <v>184</v>
      </c>
      <c r="AG184">
        <v>6336945</v>
      </c>
      <c r="AH184">
        <v>5633556</v>
      </c>
      <c r="AI184">
        <v>6598922</v>
      </c>
      <c r="AJ184">
        <v>82251</v>
      </c>
      <c r="AK184">
        <v>95951.801709074498</v>
      </c>
      <c r="AL184">
        <v>79599</v>
      </c>
      <c r="AM184">
        <v>77.043750000000003</v>
      </c>
      <c r="AN184">
        <v>70.773802083333294</v>
      </c>
      <c r="AO184">
        <v>68.773296674593993</v>
      </c>
    </row>
    <row r="185" spans="30:41" x14ac:dyDescent="0.35">
      <c r="AD185" t="s">
        <v>14</v>
      </c>
      <c r="AE185" t="s">
        <v>232</v>
      </c>
      <c r="AF185" t="s">
        <v>185</v>
      </c>
      <c r="AG185">
        <v>8437311</v>
      </c>
      <c r="AH185">
        <v>8296699</v>
      </c>
      <c r="AI185">
        <v>7991828</v>
      </c>
      <c r="AJ185">
        <v>120499</v>
      </c>
      <c r="AK185">
        <v>118051.218561343</v>
      </c>
      <c r="AL185">
        <v>117534</v>
      </c>
      <c r="AM185">
        <v>70.019899193548397</v>
      </c>
      <c r="AN185">
        <v>70.589872311827904</v>
      </c>
      <c r="AO185">
        <v>67.697971575339096</v>
      </c>
    </row>
    <row r="186" spans="30:41" x14ac:dyDescent="0.35">
      <c r="AD186" t="s">
        <v>12</v>
      </c>
      <c r="AE186" t="s">
        <v>225</v>
      </c>
      <c r="AF186" t="s">
        <v>184</v>
      </c>
      <c r="AG186">
        <v>7142513</v>
      </c>
      <c r="AH186">
        <v>5195536</v>
      </c>
      <c r="AI186">
        <v>5978769</v>
      </c>
      <c r="AJ186">
        <v>103990</v>
      </c>
      <c r="AK186">
        <v>83669.807985426</v>
      </c>
      <c r="AL186">
        <v>73610</v>
      </c>
      <c r="AM186">
        <v>68.684635416666595</v>
      </c>
      <c r="AN186">
        <v>70.582187500000003</v>
      </c>
      <c r="AO186">
        <v>71.456708642637295</v>
      </c>
    </row>
    <row r="187" spans="30:41" x14ac:dyDescent="0.35">
      <c r="AD187" t="s">
        <v>14</v>
      </c>
      <c r="AE187" t="s">
        <v>229</v>
      </c>
      <c r="AF187" t="s">
        <v>188</v>
      </c>
      <c r="AG187">
        <v>5174230</v>
      </c>
      <c r="AH187">
        <v>4864150</v>
      </c>
      <c r="AI187">
        <v>5126148</v>
      </c>
      <c r="AJ187">
        <v>85600</v>
      </c>
      <c r="AK187">
        <v>74635.249119469605</v>
      </c>
      <c r="AL187">
        <v>68942</v>
      </c>
      <c r="AM187">
        <v>60.446604166667797</v>
      </c>
      <c r="AN187">
        <v>70.553923611111102</v>
      </c>
      <c r="AO187">
        <v>68.6826614726575</v>
      </c>
    </row>
    <row r="188" spans="30:41" x14ac:dyDescent="0.35">
      <c r="AD188" t="s">
        <v>17</v>
      </c>
      <c r="AE188" t="s">
        <v>227</v>
      </c>
      <c r="AF188" t="s">
        <v>183</v>
      </c>
      <c r="AG188">
        <v>8570756</v>
      </c>
      <c r="AH188">
        <v>7809154</v>
      </c>
      <c r="AI188">
        <v>8779384</v>
      </c>
      <c r="AJ188">
        <v>115835</v>
      </c>
      <c r="AK188">
        <v>130159.94548710001</v>
      </c>
      <c r="AL188">
        <v>110686</v>
      </c>
      <c r="AM188">
        <v>73.991317204300998</v>
      </c>
      <c r="AN188">
        <v>70.552096774193402</v>
      </c>
      <c r="AO188">
        <v>67.450733277005597</v>
      </c>
    </row>
    <row r="189" spans="30:41" x14ac:dyDescent="0.35">
      <c r="AD189" t="s">
        <v>14</v>
      </c>
      <c r="AE189" t="s">
        <v>233</v>
      </c>
      <c r="AF189" t="s">
        <v>188</v>
      </c>
      <c r="AG189">
        <v>6257457</v>
      </c>
      <c r="AH189">
        <v>6061446</v>
      </c>
      <c r="AI189">
        <v>6130649</v>
      </c>
      <c r="AJ189">
        <v>92416</v>
      </c>
      <c r="AK189">
        <v>88702.632326041596</v>
      </c>
      <c r="AL189">
        <v>86233</v>
      </c>
      <c r="AM189">
        <v>67.709833333334402</v>
      </c>
      <c r="AN189">
        <v>70.291715277777698</v>
      </c>
      <c r="AO189">
        <v>69.114627897013804</v>
      </c>
    </row>
    <row r="190" spans="30:41" x14ac:dyDescent="0.35">
      <c r="AD190" t="s">
        <v>17</v>
      </c>
      <c r="AE190" t="s">
        <v>227</v>
      </c>
      <c r="AF190" t="s">
        <v>187</v>
      </c>
      <c r="AG190">
        <v>8596435</v>
      </c>
      <c r="AH190">
        <v>7799406</v>
      </c>
      <c r="AI190">
        <v>8348865</v>
      </c>
      <c r="AJ190">
        <v>115114</v>
      </c>
      <c r="AK190">
        <v>123777.23603853201</v>
      </c>
      <c r="AL190">
        <v>111168</v>
      </c>
      <c r="AM190">
        <v>74.677815860214594</v>
      </c>
      <c r="AN190">
        <v>70.159005376343998</v>
      </c>
      <c r="AO190">
        <v>67.450733277005597</v>
      </c>
    </row>
    <row r="191" spans="30:41" x14ac:dyDescent="0.35">
      <c r="AD191" t="s">
        <v>12</v>
      </c>
      <c r="AE191" t="s">
        <v>223</v>
      </c>
      <c r="AF191" t="s">
        <v>187</v>
      </c>
      <c r="AG191">
        <v>5820338</v>
      </c>
      <c r="AH191">
        <v>5694757</v>
      </c>
      <c r="AI191">
        <v>5784256</v>
      </c>
      <c r="AJ191">
        <v>81432</v>
      </c>
      <c r="AK191">
        <v>85501.009199751803</v>
      </c>
      <c r="AL191">
        <v>81399</v>
      </c>
      <c r="AM191">
        <v>71.474704301074894</v>
      </c>
      <c r="AN191">
        <v>69.960624999999993</v>
      </c>
      <c r="AO191">
        <v>67.651321791845902</v>
      </c>
    </row>
    <row r="192" spans="30:41" x14ac:dyDescent="0.35">
      <c r="AD192" t="s">
        <v>14</v>
      </c>
      <c r="AE192" t="s">
        <v>232</v>
      </c>
      <c r="AF192" t="s">
        <v>188</v>
      </c>
      <c r="AG192">
        <v>5615133</v>
      </c>
      <c r="AH192">
        <v>5292469</v>
      </c>
      <c r="AI192">
        <v>5973032</v>
      </c>
      <c r="AJ192">
        <v>88182</v>
      </c>
      <c r="AK192">
        <v>88230.596093308093</v>
      </c>
      <c r="AL192">
        <v>75892</v>
      </c>
      <c r="AM192">
        <v>63.676326388889798</v>
      </c>
      <c r="AN192">
        <v>69.736916666666602</v>
      </c>
      <c r="AO192">
        <v>67.697971575339096</v>
      </c>
    </row>
    <row r="193" spans="30:41" x14ac:dyDescent="0.35">
      <c r="AD193" t="s">
        <v>19</v>
      </c>
      <c r="AE193" t="s">
        <v>230</v>
      </c>
      <c r="AF193" t="s">
        <v>183</v>
      </c>
      <c r="AG193">
        <v>6226452</v>
      </c>
      <c r="AH193">
        <v>5863078</v>
      </c>
      <c r="AI193">
        <v>6803224</v>
      </c>
      <c r="AJ193">
        <v>90802</v>
      </c>
      <c r="AK193">
        <v>98922.465408194199</v>
      </c>
      <c r="AL193">
        <v>84090</v>
      </c>
      <c r="AM193">
        <v>68.572009408602099</v>
      </c>
      <c r="AN193">
        <v>69.724186827956899</v>
      </c>
      <c r="AO193">
        <v>68.773296674593993</v>
      </c>
    </row>
    <row r="194" spans="30:41" x14ac:dyDescent="0.35">
      <c r="AD194" t="s">
        <v>14</v>
      </c>
      <c r="AE194" t="s">
        <v>234</v>
      </c>
      <c r="AF194" t="s">
        <v>185</v>
      </c>
      <c r="AG194">
        <v>8308574</v>
      </c>
      <c r="AH194">
        <v>7890988</v>
      </c>
      <c r="AI194">
        <v>8183046</v>
      </c>
      <c r="AJ194">
        <v>114164</v>
      </c>
      <c r="AK194">
        <v>123815.089321771</v>
      </c>
      <c r="AL194">
        <v>113423</v>
      </c>
      <c r="AM194">
        <v>72.777278225806398</v>
      </c>
      <c r="AN194">
        <v>69.571485215053698</v>
      </c>
      <c r="AO194">
        <v>66.090862926519506</v>
      </c>
    </row>
    <row r="195" spans="30:41" x14ac:dyDescent="0.35">
      <c r="AD195" t="s">
        <v>14</v>
      </c>
      <c r="AE195" t="s">
        <v>229</v>
      </c>
      <c r="AF195" t="s">
        <v>183</v>
      </c>
      <c r="AG195">
        <v>5251866</v>
      </c>
      <c r="AH195">
        <v>5042939</v>
      </c>
      <c r="AI195">
        <v>5120553</v>
      </c>
      <c r="AJ195">
        <v>80688</v>
      </c>
      <c r="AK195">
        <v>74553.798546937207</v>
      </c>
      <c r="AL195">
        <v>72719</v>
      </c>
      <c r="AM195">
        <v>65.088380376344105</v>
      </c>
      <c r="AN195">
        <v>69.348360215053702</v>
      </c>
      <c r="AO195">
        <v>68.6826614726575</v>
      </c>
    </row>
    <row r="196" spans="30:41" x14ac:dyDescent="0.35">
      <c r="AD196" t="s">
        <v>12</v>
      </c>
      <c r="AE196" t="s">
        <v>226</v>
      </c>
      <c r="AF196" t="s">
        <v>186</v>
      </c>
      <c r="AG196">
        <v>6994807</v>
      </c>
      <c r="AH196">
        <v>5949895</v>
      </c>
      <c r="AI196">
        <v>6027263</v>
      </c>
      <c r="AJ196">
        <v>98740</v>
      </c>
      <c r="AK196">
        <v>86130.139712370001</v>
      </c>
      <c r="AL196">
        <v>85898</v>
      </c>
      <c r="AM196">
        <v>70.8403888888908</v>
      </c>
      <c r="AN196">
        <v>69.266993055555602</v>
      </c>
      <c r="AO196">
        <v>69.978560745726497</v>
      </c>
    </row>
    <row r="197" spans="30:41" x14ac:dyDescent="0.35">
      <c r="AD197" t="s">
        <v>14</v>
      </c>
      <c r="AE197" t="s">
        <v>229</v>
      </c>
      <c r="AF197" t="s">
        <v>186</v>
      </c>
      <c r="AG197">
        <v>6423046</v>
      </c>
      <c r="AH197">
        <v>5275543</v>
      </c>
      <c r="AI197">
        <v>5715822</v>
      </c>
      <c r="AJ197">
        <v>97399</v>
      </c>
      <c r="AK197">
        <v>83220.743782263802</v>
      </c>
      <c r="AL197">
        <v>76277</v>
      </c>
      <c r="AM197">
        <v>65.945395833334999</v>
      </c>
      <c r="AN197">
        <v>69.163159722222204</v>
      </c>
      <c r="AO197">
        <v>68.6826614726575</v>
      </c>
    </row>
    <row r="198" spans="30:41" x14ac:dyDescent="0.35">
      <c r="AD198" t="s">
        <v>17</v>
      </c>
      <c r="AE198" t="s">
        <v>227</v>
      </c>
      <c r="AF198" t="s">
        <v>188</v>
      </c>
      <c r="AG198">
        <v>7796493</v>
      </c>
      <c r="AH198">
        <v>7435945</v>
      </c>
      <c r="AI198">
        <v>8181390</v>
      </c>
      <c r="AJ198">
        <v>109674</v>
      </c>
      <c r="AK198">
        <v>121294.302675714</v>
      </c>
      <c r="AL198">
        <v>108184</v>
      </c>
      <c r="AM198">
        <v>71.087625000001907</v>
      </c>
      <c r="AN198">
        <v>68.734458333333293</v>
      </c>
      <c r="AO198">
        <v>67.450733277005597</v>
      </c>
    </row>
    <row r="199" spans="30:41" x14ac:dyDescent="0.35">
      <c r="AD199" t="s">
        <v>14</v>
      </c>
      <c r="AE199" t="s">
        <v>231</v>
      </c>
      <c r="AF199" t="s">
        <v>184</v>
      </c>
      <c r="AG199">
        <v>5628881</v>
      </c>
      <c r="AH199">
        <v>5597847</v>
      </c>
      <c r="AI199">
        <v>5952213</v>
      </c>
      <c r="AJ199">
        <v>91532</v>
      </c>
      <c r="AK199">
        <v>93227.747818171003</v>
      </c>
      <c r="AL199">
        <v>81442</v>
      </c>
      <c r="AM199">
        <v>61.496302083333298</v>
      </c>
      <c r="AN199">
        <v>68.733750000000001</v>
      </c>
      <c r="AO199">
        <v>63.845934941054601</v>
      </c>
    </row>
    <row r="200" spans="30:41" x14ac:dyDescent="0.35">
      <c r="AD200" t="s">
        <v>14</v>
      </c>
      <c r="AE200" t="s">
        <v>232</v>
      </c>
      <c r="AF200" t="s">
        <v>184</v>
      </c>
      <c r="AG200">
        <v>6710236</v>
      </c>
      <c r="AH200">
        <v>5980202</v>
      </c>
      <c r="AI200">
        <v>6245465</v>
      </c>
      <c r="AJ200">
        <v>101711</v>
      </c>
      <c r="AK200">
        <v>92254.833011497307</v>
      </c>
      <c r="AL200">
        <v>87024</v>
      </c>
      <c r="AM200">
        <v>65.973854166666598</v>
      </c>
      <c r="AN200">
        <v>68.718854166666603</v>
      </c>
      <c r="AO200">
        <v>67.697971575339096</v>
      </c>
    </row>
    <row r="201" spans="30:41" x14ac:dyDescent="0.35">
      <c r="AD201" t="s">
        <v>14</v>
      </c>
      <c r="AE201" t="s">
        <v>233</v>
      </c>
      <c r="AF201" t="s">
        <v>183</v>
      </c>
      <c r="AG201">
        <v>6335617</v>
      </c>
      <c r="AH201">
        <v>6151557</v>
      </c>
      <c r="AI201">
        <v>6580046</v>
      </c>
      <c r="AJ201">
        <v>95035</v>
      </c>
      <c r="AK201">
        <v>95204.829948658196</v>
      </c>
      <c r="AL201">
        <v>89552</v>
      </c>
      <c r="AM201">
        <v>66.665967741935404</v>
      </c>
      <c r="AN201">
        <v>68.692204301075193</v>
      </c>
      <c r="AO201">
        <v>69.114627897013804</v>
      </c>
    </row>
    <row r="202" spans="30:41" x14ac:dyDescent="0.35">
      <c r="AD202" t="s">
        <v>19</v>
      </c>
      <c r="AE202" t="s">
        <v>230</v>
      </c>
      <c r="AF202" t="s">
        <v>186</v>
      </c>
      <c r="AG202">
        <v>6799272</v>
      </c>
      <c r="AH202">
        <v>5906630</v>
      </c>
      <c r="AI202">
        <v>6754256</v>
      </c>
      <c r="AJ202">
        <v>95870</v>
      </c>
      <c r="AK202">
        <v>98210.448319182193</v>
      </c>
      <c r="AL202">
        <v>86011</v>
      </c>
      <c r="AM202">
        <v>70.921618055558099</v>
      </c>
      <c r="AN202">
        <v>68.673208333333307</v>
      </c>
      <c r="AO202">
        <v>68.773296674593993</v>
      </c>
    </row>
    <row r="203" spans="30:41" x14ac:dyDescent="0.35">
      <c r="AD203" t="s">
        <v>12</v>
      </c>
      <c r="AE203" t="s">
        <v>226</v>
      </c>
      <c r="AF203" t="s">
        <v>187</v>
      </c>
      <c r="AG203">
        <v>7695273</v>
      </c>
      <c r="AH203">
        <v>6387287</v>
      </c>
      <c r="AI203">
        <v>6536263</v>
      </c>
      <c r="AJ203">
        <v>110956</v>
      </c>
      <c r="AK203">
        <v>93403.795211652003</v>
      </c>
      <c r="AL203">
        <v>93058</v>
      </c>
      <c r="AM203">
        <v>69.354287634408394</v>
      </c>
      <c r="AN203">
        <v>68.637775537634397</v>
      </c>
      <c r="AO203">
        <v>69.978560745726497</v>
      </c>
    </row>
    <row r="204" spans="30:41" x14ac:dyDescent="0.35">
      <c r="AD204" t="s">
        <v>14</v>
      </c>
      <c r="AE204" t="s">
        <v>231</v>
      </c>
      <c r="AF204" t="s">
        <v>186</v>
      </c>
      <c r="AG204">
        <v>5886462</v>
      </c>
      <c r="AH204">
        <v>5596179</v>
      </c>
      <c r="AI204">
        <v>5692517</v>
      </c>
      <c r="AJ204">
        <v>92315</v>
      </c>
      <c r="AK204">
        <v>89160.202967590303</v>
      </c>
      <c r="AL204">
        <v>81761</v>
      </c>
      <c r="AM204">
        <v>63.765284722223299</v>
      </c>
      <c r="AN204">
        <v>68.4454652777777</v>
      </c>
      <c r="AO204">
        <v>63.845934941054601</v>
      </c>
    </row>
    <row r="205" spans="30:41" x14ac:dyDescent="0.35">
      <c r="AD205" t="s">
        <v>12</v>
      </c>
      <c r="AE205" t="s">
        <v>226</v>
      </c>
      <c r="AF205" t="s">
        <v>185</v>
      </c>
      <c r="AG205">
        <v>8123887</v>
      </c>
      <c r="AH205">
        <v>3832333</v>
      </c>
      <c r="AI205">
        <v>7527154</v>
      </c>
      <c r="AJ205">
        <v>111742</v>
      </c>
      <c r="AK205">
        <v>107563.721398195</v>
      </c>
      <c r="AL205">
        <v>56192</v>
      </c>
      <c r="AM205">
        <v>72.702291666666596</v>
      </c>
      <c r="AN205">
        <v>68.200463709677393</v>
      </c>
      <c r="AO205">
        <v>69.978560745726497</v>
      </c>
    </row>
    <row r="206" spans="30:41" x14ac:dyDescent="0.35">
      <c r="AD206" t="s">
        <v>14</v>
      </c>
      <c r="AE206" t="s">
        <v>233</v>
      </c>
      <c r="AF206" t="s">
        <v>185</v>
      </c>
      <c r="AG206">
        <v>7064048</v>
      </c>
      <c r="AH206">
        <v>7134988</v>
      </c>
      <c r="AI206">
        <v>7428169</v>
      </c>
      <c r="AJ206">
        <v>98481</v>
      </c>
      <c r="AK206">
        <v>107476.081579554</v>
      </c>
      <c r="AL206">
        <v>104701</v>
      </c>
      <c r="AM206">
        <v>71.729818548387001</v>
      </c>
      <c r="AN206">
        <v>68.146505376344095</v>
      </c>
      <c r="AO206">
        <v>69.114627897013804</v>
      </c>
    </row>
    <row r="207" spans="30:41" x14ac:dyDescent="0.35">
      <c r="AD207" t="s">
        <v>19</v>
      </c>
      <c r="AE207" t="s">
        <v>230</v>
      </c>
      <c r="AF207" t="s">
        <v>185</v>
      </c>
      <c r="AG207">
        <v>7675902</v>
      </c>
      <c r="AH207">
        <v>6617838</v>
      </c>
      <c r="AI207">
        <v>7075063</v>
      </c>
      <c r="AJ207">
        <v>102580</v>
      </c>
      <c r="AK207">
        <v>102875.14360808</v>
      </c>
      <c r="AL207">
        <v>97229</v>
      </c>
      <c r="AM207">
        <v>74.828212365591398</v>
      </c>
      <c r="AN207">
        <v>68.064791666666693</v>
      </c>
      <c r="AO207">
        <v>68.773296674593993</v>
      </c>
    </row>
    <row r="208" spans="30:41" x14ac:dyDescent="0.35">
      <c r="AD208" t="s">
        <v>14</v>
      </c>
      <c r="AE208" t="s">
        <v>232</v>
      </c>
      <c r="AF208" t="s">
        <v>186</v>
      </c>
      <c r="AG208">
        <v>6235449</v>
      </c>
      <c r="AH208">
        <v>5860234</v>
      </c>
      <c r="AI208">
        <v>6118763</v>
      </c>
      <c r="AJ208">
        <v>101240</v>
      </c>
      <c r="AK208">
        <v>90383.249564436497</v>
      </c>
      <c r="AL208">
        <v>86115</v>
      </c>
      <c r="AM208">
        <v>61.590763888889697</v>
      </c>
      <c r="AN208">
        <v>68.051131944444407</v>
      </c>
      <c r="AO208">
        <v>67.697971575339096</v>
      </c>
    </row>
    <row r="209" spans="30:41" x14ac:dyDescent="0.35">
      <c r="AD209" t="s">
        <v>14</v>
      </c>
      <c r="AE209" t="s">
        <v>232</v>
      </c>
      <c r="AF209" t="s">
        <v>183</v>
      </c>
      <c r="AG209">
        <v>5965605</v>
      </c>
      <c r="AH209">
        <v>5844912</v>
      </c>
      <c r="AI209">
        <v>6041923</v>
      </c>
      <c r="AJ209">
        <v>86281</v>
      </c>
      <c r="AK209">
        <v>89248.215076519904</v>
      </c>
      <c r="AL209">
        <v>86025</v>
      </c>
      <c r="AM209">
        <v>69.141559139784903</v>
      </c>
      <c r="AN209">
        <v>67.944126344086001</v>
      </c>
      <c r="AO209">
        <v>67.697971575339096</v>
      </c>
    </row>
    <row r="210" spans="30:41" x14ac:dyDescent="0.35">
      <c r="AD210" t="s">
        <v>12</v>
      </c>
      <c r="AE210" t="s">
        <v>226</v>
      </c>
      <c r="AF210" t="s">
        <v>188</v>
      </c>
      <c r="AG210">
        <v>6657495</v>
      </c>
      <c r="AH210">
        <v>6103751</v>
      </c>
      <c r="AI210">
        <v>6057036</v>
      </c>
      <c r="AJ210">
        <v>110583</v>
      </c>
      <c r="AK210">
        <v>86555.598595529693</v>
      </c>
      <c r="AL210">
        <v>89997</v>
      </c>
      <c r="AM210">
        <v>60.2035000000011</v>
      </c>
      <c r="AN210">
        <v>67.821784722222105</v>
      </c>
      <c r="AO210">
        <v>69.978560745726497</v>
      </c>
    </row>
    <row r="211" spans="30:41" x14ac:dyDescent="0.35">
      <c r="AD211" t="s">
        <v>19</v>
      </c>
      <c r="AE211" t="s">
        <v>235</v>
      </c>
      <c r="AF211" t="s">
        <v>185</v>
      </c>
      <c r="AG211">
        <v>8306917</v>
      </c>
      <c r="AH211">
        <v>8040097</v>
      </c>
      <c r="AI211">
        <v>7990704</v>
      </c>
      <c r="AJ211">
        <v>138702</v>
      </c>
      <c r="AK211">
        <v>125686.317185726</v>
      </c>
      <c r="AL211">
        <v>118554</v>
      </c>
      <c r="AM211">
        <v>59.890456989247298</v>
      </c>
      <c r="AN211">
        <v>67.818192204300999</v>
      </c>
      <c r="AO211">
        <v>63.576561684054397</v>
      </c>
    </row>
    <row r="212" spans="30:41" x14ac:dyDescent="0.35">
      <c r="AD212" t="s">
        <v>52</v>
      </c>
      <c r="AE212" t="s">
        <v>236</v>
      </c>
      <c r="AF212" t="s">
        <v>184</v>
      </c>
      <c r="AG212">
        <v>4837239</v>
      </c>
      <c r="AH212">
        <v>4768710</v>
      </c>
      <c r="AI212">
        <v>4625816</v>
      </c>
      <c r="AJ212">
        <v>70812</v>
      </c>
      <c r="AK212">
        <v>72935.799661020807</v>
      </c>
      <c r="AL212">
        <v>70511</v>
      </c>
      <c r="AM212">
        <v>68.310937499999994</v>
      </c>
      <c r="AN212">
        <v>67.630312500000002</v>
      </c>
      <c r="AO212">
        <v>63.423114179855602</v>
      </c>
    </row>
    <row r="213" spans="30:41" x14ac:dyDescent="0.35">
      <c r="AD213" t="s">
        <v>14</v>
      </c>
      <c r="AE213" t="s">
        <v>234</v>
      </c>
      <c r="AF213" t="s">
        <v>188</v>
      </c>
      <c r="AG213">
        <v>6861655</v>
      </c>
      <c r="AH213">
        <v>6190576</v>
      </c>
      <c r="AI213">
        <v>6627607</v>
      </c>
      <c r="AJ213">
        <v>96179</v>
      </c>
      <c r="AK213">
        <v>100280.229010909</v>
      </c>
      <c r="AL213">
        <v>91678</v>
      </c>
      <c r="AM213">
        <v>71.342347222223907</v>
      </c>
      <c r="AN213">
        <v>67.525256944444394</v>
      </c>
      <c r="AO213">
        <v>66.090862926519506</v>
      </c>
    </row>
    <row r="214" spans="30:41" x14ac:dyDescent="0.35">
      <c r="AD214" t="s">
        <v>12</v>
      </c>
      <c r="AE214" t="s">
        <v>228</v>
      </c>
      <c r="AF214" t="s">
        <v>184</v>
      </c>
      <c r="AG214">
        <v>6747684</v>
      </c>
      <c r="AH214">
        <v>5512561</v>
      </c>
      <c r="AI214">
        <v>6000084</v>
      </c>
      <c r="AJ214">
        <v>97062</v>
      </c>
      <c r="AK214">
        <v>89613.959908746998</v>
      </c>
      <c r="AL214">
        <v>81714</v>
      </c>
      <c r="AM214">
        <v>69.519427083333298</v>
      </c>
      <c r="AN214">
        <v>67.461874999999907</v>
      </c>
      <c r="AO214">
        <v>66.954795775232199</v>
      </c>
    </row>
    <row r="215" spans="30:41" x14ac:dyDescent="0.35">
      <c r="AD215" t="s">
        <v>14</v>
      </c>
      <c r="AE215" t="s">
        <v>231</v>
      </c>
      <c r="AF215" t="s">
        <v>187</v>
      </c>
      <c r="AG215">
        <v>6172549</v>
      </c>
      <c r="AH215">
        <v>5930508</v>
      </c>
      <c r="AI215">
        <v>6114127</v>
      </c>
      <c r="AJ215">
        <v>93057</v>
      </c>
      <c r="AK215">
        <v>95763.765018788195</v>
      </c>
      <c r="AL215">
        <v>88042</v>
      </c>
      <c r="AM215">
        <v>66.330504032258403</v>
      </c>
      <c r="AN215">
        <v>67.360087365591397</v>
      </c>
      <c r="AO215">
        <v>63.845934941054601</v>
      </c>
    </row>
    <row r="216" spans="30:41" x14ac:dyDescent="0.35">
      <c r="AD216" t="s">
        <v>52</v>
      </c>
      <c r="AE216" t="s">
        <v>236</v>
      </c>
      <c r="AF216" t="s">
        <v>185</v>
      </c>
      <c r="AG216">
        <v>5415183</v>
      </c>
      <c r="AH216">
        <v>5878384</v>
      </c>
      <c r="AI216">
        <v>5980162</v>
      </c>
      <c r="AJ216">
        <v>80606</v>
      </c>
      <c r="AK216">
        <v>94289.943897132296</v>
      </c>
      <c r="AL216">
        <v>87298</v>
      </c>
      <c r="AM216">
        <v>67.181135752688206</v>
      </c>
      <c r="AN216">
        <v>67.336989247311806</v>
      </c>
      <c r="AO216">
        <v>63.423114179855602</v>
      </c>
    </row>
    <row r="217" spans="30:41" x14ac:dyDescent="0.35">
      <c r="AD217" t="s">
        <v>12</v>
      </c>
      <c r="AE217" t="s">
        <v>228</v>
      </c>
      <c r="AF217" t="s">
        <v>183</v>
      </c>
      <c r="AG217">
        <v>6354838</v>
      </c>
      <c r="AH217">
        <v>6142072</v>
      </c>
      <c r="AI217">
        <v>6344765</v>
      </c>
      <c r="AJ217">
        <v>99382</v>
      </c>
      <c r="AK217">
        <v>94761.923130934898</v>
      </c>
      <c r="AL217">
        <v>91253</v>
      </c>
      <c r="AM217">
        <v>63.943494623655901</v>
      </c>
      <c r="AN217">
        <v>67.3079166666666</v>
      </c>
      <c r="AO217">
        <v>66.954795775232199</v>
      </c>
    </row>
    <row r="218" spans="30:41" x14ac:dyDescent="0.35">
      <c r="AD218" t="s">
        <v>14</v>
      </c>
      <c r="AE218" t="s">
        <v>231</v>
      </c>
      <c r="AF218" t="s">
        <v>188</v>
      </c>
      <c r="AG218">
        <v>5671532</v>
      </c>
      <c r="AH218">
        <v>5240025</v>
      </c>
      <c r="AI218">
        <v>5388089</v>
      </c>
      <c r="AJ218">
        <v>87675</v>
      </c>
      <c r="AK218">
        <v>84392.043132808903</v>
      </c>
      <c r="AL218">
        <v>77949</v>
      </c>
      <c r="AM218">
        <v>64.688409722223</v>
      </c>
      <c r="AN218">
        <v>67.223819444444402</v>
      </c>
      <c r="AO218">
        <v>63.845934941054601</v>
      </c>
    </row>
    <row r="219" spans="30:41" x14ac:dyDescent="0.35">
      <c r="AD219" t="s">
        <v>19</v>
      </c>
      <c r="AE219" t="s">
        <v>235</v>
      </c>
      <c r="AF219" t="s">
        <v>184</v>
      </c>
      <c r="AG219">
        <v>6256659</v>
      </c>
      <c r="AH219">
        <v>5965040</v>
      </c>
      <c r="AI219">
        <v>5323638</v>
      </c>
      <c r="AJ219">
        <v>109324</v>
      </c>
      <c r="AK219">
        <v>83735.853013819302</v>
      </c>
      <c r="AL219">
        <v>88940</v>
      </c>
      <c r="AM219">
        <v>57.230208333333302</v>
      </c>
      <c r="AN219">
        <v>67.067916666666605</v>
      </c>
      <c r="AO219">
        <v>63.576561684054397</v>
      </c>
    </row>
    <row r="220" spans="30:41" x14ac:dyDescent="0.35">
      <c r="AD220" t="s">
        <v>12</v>
      </c>
      <c r="AE220" t="s">
        <v>223</v>
      </c>
      <c r="AF220" t="s">
        <v>188</v>
      </c>
      <c r="AG220">
        <v>5363356</v>
      </c>
      <c r="AH220">
        <v>5319258</v>
      </c>
      <c r="AI220">
        <v>5404944</v>
      </c>
      <c r="AJ220">
        <v>77446</v>
      </c>
      <c r="AK220">
        <v>79894.144219831898</v>
      </c>
      <c r="AL220">
        <v>79319</v>
      </c>
      <c r="AM220">
        <v>69.252652777779105</v>
      </c>
      <c r="AN220">
        <v>67.061750000000004</v>
      </c>
      <c r="AO220">
        <v>67.651321791845902</v>
      </c>
    </row>
    <row r="221" spans="30:41" x14ac:dyDescent="0.35">
      <c r="AD221" t="s">
        <v>14</v>
      </c>
      <c r="AE221" t="s">
        <v>237</v>
      </c>
      <c r="AF221" t="s">
        <v>187</v>
      </c>
      <c r="AG221">
        <v>4156942</v>
      </c>
      <c r="AH221">
        <v>4494402</v>
      </c>
      <c r="AI221">
        <v>4652185</v>
      </c>
      <c r="AJ221">
        <v>81319</v>
      </c>
      <c r="AK221">
        <v>80311.940048829405</v>
      </c>
      <c r="AL221">
        <v>67218</v>
      </c>
      <c r="AM221">
        <v>51.119005376344298</v>
      </c>
      <c r="AN221">
        <v>66.862654569892499</v>
      </c>
      <c r="AO221">
        <v>57.926444284268101</v>
      </c>
    </row>
    <row r="222" spans="30:41" x14ac:dyDescent="0.35">
      <c r="AD222" t="s">
        <v>14</v>
      </c>
      <c r="AE222" t="s">
        <v>233</v>
      </c>
      <c r="AF222" t="s">
        <v>184</v>
      </c>
      <c r="AG222">
        <v>6070053</v>
      </c>
      <c r="AH222">
        <v>5995508</v>
      </c>
      <c r="AI222">
        <v>6110354</v>
      </c>
      <c r="AJ222">
        <v>88873</v>
      </c>
      <c r="AK222">
        <v>88408.977671194196</v>
      </c>
      <c r="AL222">
        <v>89715</v>
      </c>
      <c r="AM222">
        <v>68.300312500000004</v>
      </c>
      <c r="AN222">
        <v>66.828437500000007</v>
      </c>
      <c r="AO222">
        <v>69.114627897013804</v>
      </c>
    </row>
    <row r="223" spans="30:41" x14ac:dyDescent="0.35">
      <c r="AD223" t="s">
        <v>14</v>
      </c>
      <c r="AE223" t="s">
        <v>234</v>
      </c>
      <c r="AF223" t="s">
        <v>186</v>
      </c>
      <c r="AG223">
        <v>7169021</v>
      </c>
      <c r="AH223">
        <v>6302287</v>
      </c>
      <c r="AI223">
        <v>6584202</v>
      </c>
      <c r="AJ223">
        <v>103380</v>
      </c>
      <c r="AK223">
        <v>99623.482738005405</v>
      </c>
      <c r="AL223">
        <v>94601</v>
      </c>
      <c r="AM223">
        <v>69.346277777779903</v>
      </c>
      <c r="AN223">
        <v>66.619972222222202</v>
      </c>
      <c r="AO223">
        <v>66.090862926519506</v>
      </c>
    </row>
    <row r="224" spans="30:41" x14ac:dyDescent="0.35">
      <c r="AD224" t="s">
        <v>21</v>
      </c>
      <c r="AE224" t="s">
        <v>238</v>
      </c>
      <c r="AF224" t="s">
        <v>184</v>
      </c>
      <c r="AG224">
        <v>6051370</v>
      </c>
      <c r="AH224">
        <v>5729785</v>
      </c>
      <c r="AI224">
        <v>5606386</v>
      </c>
      <c r="AJ224">
        <v>96583</v>
      </c>
      <c r="AK224">
        <v>84219.142615352204</v>
      </c>
      <c r="AL224">
        <v>86134</v>
      </c>
      <c r="AM224">
        <v>62.654791666666597</v>
      </c>
      <c r="AN224">
        <v>66.521770833333306</v>
      </c>
      <c r="AO224">
        <v>66.569024345279999</v>
      </c>
    </row>
    <row r="225" spans="30:41" x14ac:dyDescent="0.35">
      <c r="AD225" t="s">
        <v>19</v>
      </c>
      <c r="AE225" t="s">
        <v>239</v>
      </c>
      <c r="AF225" t="s">
        <v>188</v>
      </c>
      <c r="AG225">
        <v>6079662</v>
      </c>
      <c r="AH225">
        <v>5272514</v>
      </c>
      <c r="AI225">
        <v>5467984</v>
      </c>
      <c r="AJ225">
        <v>99417</v>
      </c>
      <c r="AK225">
        <v>90533.9378495977</v>
      </c>
      <c r="AL225">
        <v>79383</v>
      </c>
      <c r="AM225">
        <v>61.1528750000003</v>
      </c>
      <c r="AN225">
        <v>66.418819444444395</v>
      </c>
      <c r="AO225">
        <v>60.397061823201099</v>
      </c>
    </row>
    <row r="226" spans="30:41" x14ac:dyDescent="0.35">
      <c r="AD226" t="s">
        <v>52</v>
      </c>
      <c r="AE226" t="s">
        <v>240</v>
      </c>
      <c r="AF226" t="s">
        <v>184</v>
      </c>
      <c r="AG226">
        <v>5248583</v>
      </c>
      <c r="AH226">
        <v>4604128</v>
      </c>
      <c r="AI226">
        <v>4741119</v>
      </c>
      <c r="AJ226">
        <v>99477</v>
      </c>
      <c r="AK226">
        <v>83591.3782599939</v>
      </c>
      <c r="AL226">
        <v>69324</v>
      </c>
      <c r="AM226">
        <v>52.761874999999897</v>
      </c>
      <c r="AN226">
        <v>66.415104166666595</v>
      </c>
      <c r="AO226">
        <v>56.717795741490399</v>
      </c>
    </row>
    <row r="227" spans="30:41" x14ac:dyDescent="0.35">
      <c r="AD227" t="s">
        <v>19</v>
      </c>
      <c r="AE227" t="s">
        <v>239</v>
      </c>
      <c r="AF227" t="s">
        <v>185</v>
      </c>
      <c r="AG227">
        <v>6761612</v>
      </c>
      <c r="AH227">
        <v>6134959</v>
      </c>
      <c r="AI227">
        <v>6459263</v>
      </c>
      <c r="AJ227">
        <v>101192</v>
      </c>
      <c r="AK227">
        <v>106946.645456165</v>
      </c>
      <c r="AL227">
        <v>92402</v>
      </c>
      <c r="AM227">
        <v>66.819845430107506</v>
      </c>
      <c r="AN227">
        <v>66.394012096774205</v>
      </c>
      <c r="AO227">
        <v>60.397061823201099</v>
      </c>
    </row>
    <row r="228" spans="30:41" x14ac:dyDescent="0.35">
      <c r="AD228" t="s">
        <v>14</v>
      </c>
      <c r="AE228" t="s">
        <v>234</v>
      </c>
      <c r="AF228" t="s">
        <v>183</v>
      </c>
      <c r="AG228">
        <v>6901710</v>
      </c>
      <c r="AH228">
        <v>6152401</v>
      </c>
      <c r="AI228">
        <v>6077617</v>
      </c>
      <c r="AJ228">
        <v>102430</v>
      </c>
      <c r="AK228">
        <v>91958.510286923498</v>
      </c>
      <c r="AL228">
        <v>92789</v>
      </c>
      <c r="AM228">
        <v>67.379798387096798</v>
      </c>
      <c r="AN228">
        <v>66.305618279569799</v>
      </c>
      <c r="AO228">
        <v>66.090862926519506</v>
      </c>
    </row>
    <row r="229" spans="30:41" x14ac:dyDescent="0.35">
      <c r="AD229" t="s">
        <v>14</v>
      </c>
      <c r="AE229" t="s">
        <v>233</v>
      </c>
      <c r="AF229" t="s">
        <v>186</v>
      </c>
      <c r="AG229">
        <v>6479343</v>
      </c>
      <c r="AH229">
        <v>6086905</v>
      </c>
      <c r="AI229">
        <v>6323102</v>
      </c>
      <c r="AJ229">
        <v>94569</v>
      </c>
      <c r="AK229">
        <v>91487.173478267199</v>
      </c>
      <c r="AL229">
        <v>91832</v>
      </c>
      <c r="AM229">
        <v>68.514347222223805</v>
      </c>
      <c r="AN229">
        <v>66.283097222222196</v>
      </c>
      <c r="AO229">
        <v>69.114627897013804</v>
      </c>
    </row>
    <row r="230" spans="30:41" x14ac:dyDescent="0.35">
      <c r="AD230" t="s">
        <v>17</v>
      </c>
      <c r="AE230" t="s">
        <v>227</v>
      </c>
      <c r="AF230" t="s">
        <v>184</v>
      </c>
      <c r="AG230">
        <v>7937803</v>
      </c>
      <c r="AH230">
        <v>6425955</v>
      </c>
      <c r="AI230">
        <v>7824592</v>
      </c>
      <c r="AJ230">
        <v>109020</v>
      </c>
      <c r="AK230">
        <v>116004.55495073801</v>
      </c>
      <c r="AL230">
        <v>97060</v>
      </c>
      <c r="AM230">
        <v>72.810312499999995</v>
      </c>
      <c r="AN230">
        <v>66.206041666666593</v>
      </c>
      <c r="AO230">
        <v>67.450733277005597</v>
      </c>
    </row>
    <row r="231" spans="30:41" x14ac:dyDescent="0.35">
      <c r="AD231" t="s">
        <v>21</v>
      </c>
      <c r="AE231" t="s">
        <v>238</v>
      </c>
      <c r="AF231" t="s">
        <v>185</v>
      </c>
      <c r="AG231">
        <v>7311690</v>
      </c>
      <c r="AH231">
        <v>7510713</v>
      </c>
      <c r="AI231">
        <v>7284371</v>
      </c>
      <c r="AJ231">
        <v>113038</v>
      </c>
      <c r="AK231">
        <v>109425.83890846001</v>
      </c>
      <c r="AL231">
        <v>113640</v>
      </c>
      <c r="AM231">
        <v>64.683198924731201</v>
      </c>
      <c r="AN231">
        <v>66.091948924731099</v>
      </c>
      <c r="AO231">
        <v>66.569024345279999</v>
      </c>
    </row>
    <row r="232" spans="30:41" x14ac:dyDescent="0.35">
      <c r="AD232" t="s">
        <v>52</v>
      </c>
      <c r="AE232" t="s">
        <v>236</v>
      </c>
      <c r="AF232" t="s">
        <v>183</v>
      </c>
      <c r="AG232">
        <v>4956015</v>
      </c>
      <c r="AH232">
        <v>4982684</v>
      </c>
      <c r="AI232">
        <v>4883987</v>
      </c>
      <c r="AJ232">
        <v>72234</v>
      </c>
      <c r="AK232">
        <v>77006.415061076303</v>
      </c>
      <c r="AL232">
        <v>75403</v>
      </c>
      <c r="AM232">
        <v>68.610772849462293</v>
      </c>
      <c r="AN232">
        <v>66.080893817204199</v>
      </c>
      <c r="AO232">
        <v>63.423114179855602</v>
      </c>
    </row>
    <row r="233" spans="30:41" x14ac:dyDescent="0.35">
      <c r="AD233" t="s">
        <v>19</v>
      </c>
      <c r="AE233" t="s">
        <v>235</v>
      </c>
      <c r="AF233" t="s">
        <v>188</v>
      </c>
      <c r="AG233">
        <v>4958196</v>
      </c>
      <c r="AH233">
        <v>4488061</v>
      </c>
      <c r="AI233">
        <v>4890751</v>
      </c>
      <c r="AJ233">
        <v>81687</v>
      </c>
      <c r="AK233">
        <v>76926.953668943694</v>
      </c>
      <c r="AL233">
        <v>68083</v>
      </c>
      <c r="AM233">
        <v>60.697388888889897</v>
      </c>
      <c r="AN233">
        <v>65.920069444444394</v>
      </c>
      <c r="AO233">
        <v>63.576561684054397</v>
      </c>
    </row>
    <row r="234" spans="30:41" x14ac:dyDescent="0.35">
      <c r="AD234" t="s">
        <v>19</v>
      </c>
      <c r="AE234" t="s">
        <v>241</v>
      </c>
      <c r="AF234" t="s">
        <v>185</v>
      </c>
      <c r="AG234">
        <v>7356206</v>
      </c>
      <c r="AH234">
        <v>7136134</v>
      </c>
      <c r="AI234">
        <v>6851115</v>
      </c>
      <c r="AJ234">
        <v>107881</v>
      </c>
      <c r="AK234">
        <v>109301.103561139</v>
      </c>
      <c r="AL234">
        <v>108560</v>
      </c>
      <c r="AM234">
        <v>68.187856182795699</v>
      </c>
      <c r="AN234">
        <v>65.734516129032201</v>
      </c>
      <c r="AO234">
        <v>62.681117153293101</v>
      </c>
    </row>
    <row r="235" spans="30:41" x14ac:dyDescent="0.35">
      <c r="AD235" t="s">
        <v>21</v>
      </c>
      <c r="AE235" t="s">
        <v>238</v>
      </c>
      <c r="AF235" t="s">
        <v>183</v>
      </c>
      <c r="AG235">
        <v>5732262</v>
      </c>
      <c r="AH235">
        <v>5500316</v>
      </c>
      <c r="AI235">
        <v>6038665</v>
      </c>
      <c r="AJ235">
        <v>94435</v>
      </c>
      <c r="AK235">
        <v>90712.8413626533</v>
      </c>
      <c r="AL235">
        <v>83798</v>
      </c>
      <c r="AM235">
        <v>60.700913978494597</v>
      </c>
      <c r="AN235">
        <v>65.637607526881695</v>
      </c>
      <c r="AO235">
        <v>66.569024345279999</v>
      </c>
    </row>
    <row r="236" spans="30:41" x14ac:dyDescent="0.35">
      <c r="AD236" t="s">
        <v>14</v>
      </c>
      <c r="AE236" t="s">
        <v>231</v>
      </c>
      <c r="AF236" t="s">
        <v>183</v>
      </c>
      <c r="AG236">
        <v>5374283</v>
      </c>
      <c r="AH236">
        <v>5757214</v>
      </c>
      <c r="AI236">
        <v>6409046</v>
      </c>
      <c r="AJ236">
        <v>86907</v>
      </c>
      <c r="AK236">
        <v>100382.994394507</v>
      </c>
      <c r="AL236">
        <v>87928</v>
      </c>
      <c r="AM236">
        <v>61.839637096774098</v>
      </c>
      <c r="AN236">
        <v>65.476814516128997</v>
      </c>
      <c r="AO236">
        <v>63.845934941054601</v>
      </c>
    </row>
    <row r="237" spans="30:41" x14ac:dyDescent="0.35">
      <c r="AD237" t="s">
        <v>14</v>
      </c>
      <c r="AE237" t="s">
        <v>237</v>
      </c>
      <c r="AF237" t="s">
        <v>188</v>
      </c>
      <c r="AG237">
        <v>3636438</v>
      </c>
      <c r="AH237">
        <v>4214268</v>
      </c>
      <c r="AI237">
        <v>4299976</v>
      </c>
      <c r="AJ237">
        <v>72885</v>
      </c>
      <c r="AK237">
        <v>74231.660731639306</v>
      </c>
      <c r="AL237">
        <v>64377</v>
      </c>
      <c r="AM237">
        <v>49.892645833333198</v>
      </c>
      <c r="AN237">
        <v>65.462638888888904</v>
      </c>
      <c r="AO237">
        <v>57.926444284268101</v>
      </c>
    </row>
    <row r="238" spans="30:41" x14ac:dyDescent="0.35">
      <c r="AD238" t="s">
        <v>19</v>
      </c>
      <c r="AE238" t="s">
        <v>235</v>
      </c>
      <c r="AF238" t="s">
        <v>187</v>
      </c>
      <c r="AG238">
        <v>5861971</v>
      </c>
      <c r="AH238">
        <v>4831829</v>
      </c>
      <c r="AI238">
        <v>5126037</v>
      </c>
      <c r="AJ238">
        <v>98423</v>
      </c>
      <c r="AK238">
        <v>80627.785295687907</v>
      </c>
      <c r="AL238">
        <v>73966</v>
      </c>
      <c r="AM238">
        <v>59.5589448924732</v>
      </c>
      <c r="AN238">
        <v>65.324771505376305</v>
      </c>
      <c r="AO238">
        <v>63.576561684054397</v>
      </c>
    </row>
    <row r="239" spans="30:41" x14ac:dyDescent="0.35">
      <c r="AD239" t="s">
        <v>19</v>
      </c>
      <c r="AE239" t="s">
        <v>239</v>
      </c>
      <c r="AF239" t="s">
        <v>187</v>
      </c>
      <c r="AG239">
        <v>6363639</v>
      </c>
      <c r="AH239">
        <v>5587376</v>
      </c>
      <c r="AI239">
        <v>5917459</v>
      </c>
      <c r="AJ239">
        <v>103452</v>
      </c>
      <c r="AK239">
        <v>97975.944451106494</v>
      </c>
      <c r="AL239">
        <v>86017</v>
      </c>
      <c r="AM239">
        <v>61.513017473118303</v>
      </c>
      <c r="AN239">
        <v>64.956330645161302</v>
      </c>
      <c r="AO239">
        <v>60.397061823201099</v>
      </c>
    </row>
    <row r="240" spans="30:41" x14ac:dyDescent="0.35">
      <c r="AD240" t="s">
        <v>14</v>
      </c>
      <c r="AE240" t="s">
        <v>237</v>
      </c>
      <c r="AF240" t="s">
        <v>185</v>
      </c>
      <c r="AG240">
        <v>5387484</v>
      </c>
      <c r="AH240">
        <v>5889750</v>
      </c>
      <c r="AI240">
        <v>5779916</v>
      </c>
      <c r="AJ240">
        <v>90735</v>
      </c>
      <c r="AK240">
        <v>99780.262864671095</v>
      </c>
      <c r="AL240">
        <v>90921</v>
      </c>
      <c r="AM240">
        <v>59.375712365591397</v>
      </c>
      <c r="AN240">
        <v>64.778931451612905</v>
      </c>
      <c r="AO240">
        <v>57.926444284268101</v>
      </c>
    </row>
    <row r="241" spans="30:41" x14ac:dyDescent="0.35">
      <c r="AD241" t="s">
        <v>19</v>
      </c>
      <c r="AE241" t="s">
        <v>239</v>
      </c>
      <c r="AF241" t="s">
        <v>186</v>
      </c>
      <c r="AG241">
        <v>6003071</v>
      </c>
      <c r="AH241">
        <v>5208389</v>
      </c>
      <c r="AI241">
        <v>5601213</v>
      </c>
      <c r="AJ241">
        <v>93900</v>
      </c>
      <c r="AK241">
        <v>92739.829586351305</v>
      </c>
      <c r="AL241">
        <v>80689</v>
      </c>
      <c r="AM241">
        <v>63.930562500000903</v>
      </c>
      <c r="AN241">
        <v>64.548604166666607</v>
      </c>
      <c r="AO241">
        <v>60.397061823201099</v>
      </c>
    </row>
    <row r="242" spans="30:41" x14ac:dyDescent="0.35">
      <c r="AD242" t="s">
        <v>21</v>
      </c>
      <c r="AE242" t="s">
        <v>242</v>
      </c>
      <c r="AF242" t="s">
        <v>183</v>
      </c>
      <c r="AG242">
        <v>6231313</v>
      </c>
      <c r="AH242">
        <v>6163135</v>
      </c>
      <c r="AI242">
        <v>6784347</v>
      </c>
      <c r="AJ242">
        <v>99750</v>
      </c>
      <c r="AK242">
        <v>107615.984902882</v>
      </c>
      <c r="AL242">
        <v>95903</v>
      </c>
      <c r="AM242">
        <v>62.469307795698903</v>
      </c>
      <c r="AN242">
        <v>64.264327956989206</v>
      </c>
      <c r="AO242">
        <v>63.0421886183778</v>
      </c>
    </row>
    <row r="243" spans="30:41" x14ac:dyDescent="0.35">
      <c r="AD243" t="s">
        <v>19</v>
      </c>
      <c r="AE243" t="s">
        <v>241</v>
      </c>
      <c r="AF243" t="s">
        <v>188</v>
      </c>
      <c r="AG243">
        <v>5233390</v>
      </c>
      <c r="AH243">
        <v>5403075</v>
      </c>
      <c r="AI243">
        <v>5561717</v>
      </c>
      <c r="AJ243">
        <v>81223</v>
      </c>
      <c r="AK243">
        <v>88730.347228787301</v>
      </c>
      <c r="AL243">
        <v>84102</v>
      </c>
      <c r="AM243">
        <v>64.432083333335001</v>
      </c>
      <c r="AN243">
        <v>64.243958333333296</v>
      </c>
      <c r="AO243">
        <v>62.681117153293101</v>
      </c>
    </row>
    <row r="244" spans="30:41" x14ac:dyDescent="0.35">
      <c r="AD244" t="s">
        <v>19</v>
      </c>
      <c r="AE244" t="s">
        <v>239</v>
      </c>
      <c r="AF244" t="s">
        <v>183</v>
      </c>
      <c r="AG244">
        <v>5718851</v>
      </c>
      <c r="AH244">
        <v>4979107</v>
      </c>
      <c r="AI244">
        <v>5383615</v>
      </c>
      <c r="AJ244">
        <v>91183</v>
      </c>
      <c r="AK244">
        <v>89137.037590658394</v>
      </c>
      <c r="AL244">
        <v>77811</v>
      </c>
      <c r="AM244">
        <v>62.718353494623599</v>
      </c>
      <c r="AN244">
        <v>63.989361559139702</v>
      </c>
      <c r="AO244">
        <v>60.397061823201099</v>
      </c>
    </row>
    <row r="245" spans="30:41" x14ac:dyDescent="0.35">
      <c r="AD245" t="s">
        <v>19</v>
      </c>
      <c r="AE245" t="s">
        <v>235</v>
      </c>
      <c r="AF245" t="s">
        <v>183</v>
      </c>
      <c r="AG245">
        <v>5093224</v>
      </c>
      <c r="AH245">
        <v>5105255</v>
      </c>
      <c r="AI245">
        <v>5267588</v>
      </c>
      <c r="AJ245">
        <v>86584</v>
      </c>
      <c r="AK245">
        <v>82854.243645282797</v>
      </c>
      <c r="AL245">
        <v>79905</v>
      </c>
      <c r="AM245">
        <v>58.824086021505302</v>
      </c>
      <c r="AN245">
        <v>63.891323924731097</v>
      </c>
      <c r="AO245">
        <v>63.576561684054397</v>
      </c>
    </row>
    <row r="246" spans="30:41" x14ac:dyDescent="0.35">
      <c r="AD246" t="s">
        <v>35</v>
      </c>
      <c r="AE246" t="s">
        <v>243</v>
      </c>
      <c r="AF246" t="s">
        <v>188</v>
      </c>
      <c r="AG246">
        <v>6418284</v>
      </c>
      <c r="AH246">
        <v>5710411</v>
      </c>
      <c r="AI246">
        <v>5965518</v>
      </c>
      <c r="AJ246">
        <v>107588</v>
      </c>
      <c r="AK246">
        <v>92906.652912237303</v>
      </c>
      <c r="AL246">
        <v>89553</v>
      </c>
      <c r="AM246">
        <v>59.655993055556998</v>
      </c>
      <c r="AN246">
        <v>63.765576388888803</v>
      </c>
      <c r="AO246">
        <v>64.209802769831995</v>
      </c>
    </row>
    <row r="247" spans="30:41" x14ac:dyDescent="0.35">
      <c r="AD247" t="s">
        <v>21</v>
      </c>
      <c r="AE247" t="s">
        <v>238</v>
      </c>
      <c r="AF247" t="s">
        <v>188</v>
      </c>
      <c r="AG247">
        <v>5038079</v>
      </c>
      <c r="AH247">
        <v>5006299</v>
      </c>
      <c r="AI247">
        <v>5346486</v>
      </c>
      <c r="AJ247">
        <v>86063</v>
      </c>
      <c r="AK247">
        <v>80314.916931467407</v>
      </c>
      <c r="AL247">
        <v>78580</v>
      </c>
      <c r="AM247">
        <v>58.539347222222098</v>
      </c>
      <c r="AN247">
        <v>63.709965277777698</v>
      </c>
      <c r="AO247">
        <v>66.569024345279999</v>
      </c>
    </row>
    <row r="248" spans="30:41" x14ac:dyDescent="0.35">
      <c r="AD248" t="s">
        <v>52</v>
      </c>
      <c r="AE248" t="s">
        <v>240</v>
      </c>
      <c r="AF248" t="s">
        <v>185</v>
      </c>
      <c r="AG248">
        <v>5607846</v>
      </c>
      <c r="AH248">
        <v>5205947</v>
      </c>
      <c r="AI248">
        <v>5355794</v>
      </c>
      <c r="AJ248">
        <v>99615</v>
      </c>
      <c r="AK248">
        <v>94428.803697004405</v>
      </c>
      <c r="AL248">
        <v>81791</v>
      </c>
      <c r="AM248">
        <v>56.295147849462303</v>
      </c>
      <c r="AN248">
        <v>63.649193548386997</v>
      </c>
      <c r="AO248">
        <v>56.717795741490399</v>
      </c>
    </row>
    <row r="249" spans="30:41" x14ac:dyDescent="0.35">
      <c r="AD249" t="s">
        <v>21</v>
      </c>
      <c r="AE249" t="s">
        <v>242</v>
      </c>
      <c r="AF249" t="s">
        <v>188</v>
      </c>
      <c r="AG249">
        <v>5474442</v>
      </c>
      <c r="AH249">
        <v>5554799</v>
      </c>
      <c r="AI249">
        <v>6405068</v>
      </c>
      <c r="AJ249">
        <v>94382</v>
      </c>
      <c r="AK249">
        <v>101599.71469697299</v>
      </c>
      <c r="AL249">
        <v>87396</v>
      </c>
      <c r="AM249">
        <v>58.003312500000597</v>
      </c>
      <c r="AN249">
        <v>63.558638888888801</v>
      </c>
      <c r="AO249">
        <v>63.0421886183778</v>
      </c>
    </row>
    <row r="250" spans="30:41" x14ac:dyDescent="0.35">
      <c r="AD250" t="s">
        <v>21</v>
      </c>
      <c r="AE250" t="s">
        <v>238</v>
      </c>
      <c r="AF250" t="s">
        <v>186</v>
      </c>
      <c r="AG250">
        <v>5565095</v>
      </c>
      <c r="AH250">
        <v>5761791</v>
      </c>
      <c r="AI250">
        <v>5784602</v>
      </c>
      <c r="AJ250">
        <v>93466</v>
      </c>
      <c r="AK250">
        <v>86896.305723160898</v>
      </c>
      <c r="AL250">
        <v>90685</v>
      </c>
      <c r="AM250">
        <v>59.541659722222803</v>
      </c>
      <c r="AN250">
        <v>63.536083333333302</v>
      </c>
      <c r="AO250">
        <v>66.569024345279999</v>
      </c>
    </row>
    <row r="251" spans="30:41" x14ac:dyDescent="0.35">
      <c r="AD251" t="s">
        <v>52</v>
      </c>
      <c r="AE251" t="s">
        <v>240</v>
      </c>
      <c r="AF251" t="s">
        <v>187</v>
      </c>
      <c r="AG251">
        <v>5433265</v>
      </c>
      <c r="AH251">
        <v>4930016</v>
      </c>
      <c r="AI251">
        <v>5784989</v>
      </c>
      <c r="AJ251">
        <v>102379</v>
      </c>
      <c r="AK251">
        <v>101996.01040504</v>
      </c>
      <c r="AL251">
        <v>77633</v>
      </c>
      <c r="AM251">
        <v>53.070020161290898</v>
      </c>
      <c r="AN251">
        <v>63.504536290322498</v>
      </c>
      <c r="AO251">
        <v>56.717795741490399</v>
      </c>
    </row>
    <row r="252" spans="30:41" x14ac:dyDescent="0.35">
      <c r="AD252" t="s">
        <v>12</v>
      </c>
      <c r="AE252" t="s">
        <v>244</v>
      </c>
      <c r="AF252" t="s">
        <v>185</v>
      </c>
      <c r="AG252">
        <v>6011558</v>
      </c>
      <c r="AH252">
        <v>6496963</v>
      </c>
      <c r="AI252">
        <v>6336415</v>
      </c>
      <c r="AJ252">
        <v>96560</v>
      </c>
      <c r="AK252">
        <v>115277.345253835</v>
      </c>
      <c r="AL252">
        <v>102480</v>
      </c>
      <c r="AM252">
        <v>62.257096774193499</v>
      </c>
      <c r="AN252">
        <v>63.397654569892403</v>
      </c>
      <c r="AO252">
        <v>54.966698955874797</v>
      </c>
    </row>
    <row r="253" spans="30:41" x14ac:dyDescent="0.35">
      <c r="AD253" t="s">
        <v>19</v>
      </c>
      <c r="AE253" t="s">
        <v>235</v>
      </c>
      <c r="AF253" t="s">
        <v>186</v>
      </c>
      <c r="AG253">
        <v>6572691</v>
      </c>
      <c r="AH253">
        <v>5536075</v>
      </c>
      <c r="AI253">
        <v>5417520</v>
      </c>
      <c r="AJ253">
        <v>109172</v>
      </c>
      <c r="AK253">
        <v>85212.529921365</v>
      </c>
      <c r="AL253">
        <v>87396</v>
      </c>
      <c r="AM253">
        <v>60.205152777778899</v>
      </c>
      <c r="AN253">
        <v>63.344361111111098</v>
      </c>
      <c r="AO253">
        <v>63.576561684054397</v>
      </c>
    </row>
    <row r="254" spans="30:41" x14ac:dyDescent="0.35">
      <c r="AD254" t="s">
        <v>19</v>
      </c>
      <c r="AE254" t="s">
        <v>239</v>
      </c>
      <c r="AF254" t="s">
        <v>184</v>
      </c>
      <c r="AG254">
        <v>5364219</v>
      </c>
      <c r="AH254">
        <v>4813520</v>
      </c>
      <c r="AI254">
        <v>4935251</v>
      </c>
      <c r="AJ254">
        <v>83272</v>
      </c>
      <c r="AK254">
        <v>81713.429644091593</v>
      </c>
      <c r="AL254">
        <v>76043</v>
      </c>
      <c r="AM254">
        <v>64.418281250000007</v>
      </c>
      <c r="AN254">
        <v>63.3001041666666</v>
      </c>
      <c r="AO254">
        <v>60.397061823201099</v>
      </c>
    </row>
    <row r="255" spans="30:41" x14ac:dyDescent="0.35">
      <c r="AD255" t="s">
        <v>21</v>
      </c>
      <c r="AE255" t="s">
        <v>238</v>
      </c>
      <c r="AF255" t="s">
        <v>187</v>
      </c>
      <c r="AG255">
        <v>5573921</v>
      </c>
      <c r="AH255">
        <v>5740738</v>
      </c>
      <c r="AI255">
        <v>5918957</v>
      </c>
      <c r="AJ255">
        <v>90325</v>
      </c>
      <c r="AK255">
        <v>88914.581187183503</v>
      </c>
      <c r="AL255">
        <v>90873</v>
      </c>
      <c r="AM255">
        <v>61.709469086021898</v>
      </c>
      <c r="AN255">
        <v>63.173212365591397</v>
      </c>
      <c r="AO255">
        <v>66.569024345279999</v>
      </c>
    </row>
    <row r="256" spans="30:41" x14ac:dyDescent="0.35">
      <c r="AD256" t="s">
        <v>52</v>
      </c>
      <c r="AE256" t="s">
        <v>236</v>
      </c>
      <c r="AF256" t="s">
        <v>186</v>
      </c>
      <c r="AG256">
        <v>5189960</v>
      </c>
      <c r="AH256">
        <v>4932323</v>
      </c>
      <c r="AI256">
        <v>5097573</v>
      </c>
      <c r="AJ256">
        <v>84966</v>
      </c>
      <c r="AK256">
        <v>80374.056818532597</v>
      </c>
      <c r="AL256">
        <v>78641</v>
      </c>
      <c r="AM256">
        <v>61.082729166667498</v>
      </c>
      <c r="AN256">
        <v>62.719756944444399</v>
      </c>
      <c r="AO256">
        <v>63.423114179855602</v>
      </c>
    </row>
    <row r="257" spans="30:41" x14ac:dyDescent="0.35">
      <c r="AD257" t="s">
        <v>35</v>
      </c>
      <c r="AE257" t="s">
        <v>243</v>
      </c>
      <c r="AF257" t="s">
        <v>187</v>
      </c>
      <c r="AG257">
        <v>6795114</v>
      </c>
      <c r="AH257">
        <v>6136818</v>
      </c>
      <c r="AI257">
        <v>6401465</v>
      </c>
      <c r="AJ257">
        <v>104197</v>
      </c>
      <c r="AK257">
        <v>99696.074872661397</v>
      </c>
      <c r="AL257">
        <v>97919</v>
      </c>
      <c r="AM257">
        <v>65.214032258064407</v>
      </c>
      <c r="AN257">
        <v>62.672345430107498</v>
      </c>
      <c r="AO257">
        <v>64.209802769831995</v>
      </c>
    </row>
    <row r="258" spans="30:41" x14ac:dyDescent="0.35">
      <c r="AD258" t="s">
        <v>19</v>
      </c>
      <c r="AE258" t="s">
        <v>241</v>
      </c>
      <c r="AF258" t="s">
        <v>184</v>
      </c>
      <c r="AG258">
        <v>5940355</v>
      </c>
      <c r="AH258">
        <v>5505677</v>
      </c>
      <c r="AI258">
        <v>5673452</v>
      </c>
      <c r="AJ258">
        <v>89945</v>
      </c>
      <c r="AK258">
        <v>90512.9407078847</v>
      </c>
      <c r="AL258">
        <v>87983</v>
      </c>
      <c r="AM258">
        <v>66.044062499999995</v>
      </c>
      <c r="AN258">
        <v>62.576927083333302</v>
      </c>
      <c r="AO258">
        <v>62.681117153293101</v>
      </c>
    </row>
    <row r="259" spans="30:41" x14ac:dyDescent="0.35">
      <c r="AD259" t="s">
        <v>19</v>
      </c>
      <c r="AE259" t="s">
        <v>241</v>
      </c>
      <c r="AF259" t="s">
        <v>183</v>
      </c>
      <c r="AG259">
        <v>5892825</v>
      </c>
      <c r="AH259">
        <v>6030239</v>
      </c>
      <c r="AI259">
        <v>6325176</v>
      </c>
      <c r="AJ259">
        <v>88742</v>
      </c>
      <c r="AK259">
        <v>100910.392728501</v>
      </c>
      <c r="AL259">
        <v>96474</v>
      </c>
      <c r="AM259">
        <v>66.403844086021493</v>
      </c>
      <c r="AN259">
        <v>62.506424731182797</v>
      </c>
      <c r="AO259">
        <v>62.681117153293101</v>
      </c>
    </row>
    <row r="260" spans="30:41" x14ac:dyDescent="0.35">
      <c r="AD260" t="s">
        <v>14</v>
      </c>
      <c r="AE260" t="s">
        <v>245</v>
      </c>
      <c r="AF260" t="s">
        <v>185</v>
      </c>
      <c r="AG260">
        <v>4720487</v>
      </c>
      <c r="AH260">
        <v>4986772</v>
      </c>
      <c r="AI260">
        <v>4986231</v>
      </c>
      <c r="AJ260">
        <v>87795</v>
      </c>
      <c r="AK260">
        <v>90615.795529805604</v>
      </c>
      <c r="AL260">
        <v>80110</v>
      </c>
      <c r="AM260">
        <v>53.767056451612902</v>
      </c>
      <c r="AN260">
        <v>62.249334677419299</v>
      </c>
      <c r="AO260">
        <v>55.026064794188201</v>
      </c>
    </row>
    <row r="261" spans="30:41" x14ac:dyDescent="0.35">
      <c r="AD261" t="s">
        <v>12</v>
      </c>
      <c r="AE261" t="s">
        <v>244</v>
      </c>
      <c r="AF261" t="s">
        <v>183</v>
      </c>
      <c r="AG261">
        <v>5263425</v>
      </c>
      <c r="AH261">
        <v>4818334</v>
      </c>
      <c r="AI261">
        <v>5182983</v>
      </c>
      <c r="AJ261">
        <v>91017</v>
      </c>
      <c r="AK261">
        <v>94293.154567289894</v>
      </c>
      <c r="AL261">
        <v>77441</v>
      </c>
      <c r="AM261">
        <v>57.829032258064501</v>
      </c>
      <c r="AN261">
        <v>62.2191330645161</v>
      </c>
      <c r="AO261">
        <v>54.966698955874797</v>
      </c>
    </row>
    <row r="262" spans="30:41" x14ac:dyDescent="0.35">
      <c r="AD262" t="s">
        <v>52</v>
      </c>
      <c r="AE262" t="s">
        <v>236</v>
      </c>
      <c r="AF262" t="s">
        <v>188</v>
      </c>
      <c r="AG262">
        <v>4650711</v>
      </c>
      <c r="AH262">
        <v>4818380</v>
      </c>
      <c r="AI262">
        <v>5036876</v>
      </c>
      <c r="AJ262">
        <v>76221</v>
      </c>
      <c r="AK262">
        <v>79417.040957913196</v>
      </c>
      <c r="AL262">
        <v>77515</v>
      </c>
      <c r="AM262">
        <v>61.015986111111197</v>
      </c>
      <c r="AN262">
        <v>62.160680555555501</v>
      </c>
      <c r="AO262">
        <v>63.423114179855602</v>
      </c>
    </row>
    <row r="263" spans="30:41" x14ac:dyDescent="0.35">
      <c r="AD263" t="s">
        <v>21</v>
      </c>
      <c r="AE263" t="s">
        <v>242</v>
      </c>
      <c r="AF263" t="s">
        <v>184</v>
      </c>
      <c r="AG263">
        <v>5792634</v>
      </c>
      <c r="AH263">
        <v>5427544</v>
      </c>
      <c r="AI263">
        <v>6590898</v>
      </c>
      <c r="AJ263">
        <v>86530</v>
      </c>
      <c r="AK263">
        <v>104547.416951172</v>
      </c>
      <c r="AL263">
        <v>87358</v>
      </c>
      <c r="AM263">
        <v>66.943906249999898</v>
      </c>
      <c r="AN263">
        <v>62.129947916666602</v>
      </c>
      <c r="AO263">
        <v>63.0421886183778</v>
      </c>
    </row>
    <row r="264" spans="30:41" x14ac:dyDescent="0.35">
      <c r="AD264" t="s">
        <v>104</v>
      </c>
      <c r="AE264" t="s">
        <v>246</v>
      </c>
      <c r="AF264" t="s">
        <v>187</v>
      </c>
      <c r="AG264">
        <v>3684960</v>
      </c>
      <c r="AH264">
        <v>3486990</v>
      </c>
      <c r="AI264">
        <v>3658508</v>
      </c>
      <c r="AJ264">
        <v>60097</v>
      </c>
      <c r="AK264">
        <v>62951.728929195699</v>
      </c>
      <c r="AL264">
        <v>56243</v>
      </c>
      <c r="AM264">
        <v>61.3171303763447</v>
      </c>
      <c r="AN264">
        <v>61.998689516128998</v>
      </c>
      <c r="AO264">
        <v>58.116081161406498</v>
      </c>
    </row>
    <row r="265" spans="30:41" x14ac:dyDescent="0.35">
      <c r="AD265" t="s">
        <v>14</v>
      </c>
      <c r="AE265" t="s">
        <v>237</v>
      </c>
      <c r="AF265" t="s">
        <v>184</v>
      </c>
      <c r="AG265">
        <v>4138428</v>
      </c>
      <c r="AH265">
        <v>4529475</v>
      </c>
      <c r="AI265">
        <v>4825489</v>
      </c>
      <c r="AJ265">
        <v>71669</v>
      </c>
      <c r="AK265">
        <v>83303.730995802194</v>
      </c>
      <c r="AL265">
        <v>73078</v>
      </c>
      <c r="AM265">
        <v>57.743645833333296</v>
      </c>
      <c r="AN265">
        <v>61.981406249999999</v>
      </c>
      <c r="AO265">
        <v>57.926444284268101</v>
      </c>
    </row>
    <row r="266" spans="30:41" x14ac:dyDescent="0.35">
      <c r="AD266" t="s">
        <v>12</v>
      </c>
      <c r="AE266" t="s">
        <v>244</v>
      </c>
      <c r="AF266" t="s">
        <v>184</v>
      </c>
      <c r="AG266">
        <v>5208573</v>
      </c>
      <c r="AH266">
        <v>5079732</v>
      </c>
      <c r="AI266">
        <v>5046556</v>
      </c>
      <c r="AJ266">
        <v>90226</v>
      </c>
      <c r="AK266">
        <v>91811.160816682401</v>
      </c>
      <c r="AL266">
        <v>82168</v>
      </c>
      <c r="AM266">
        <v>57.728281250000002</v>
      </c>
      <c r="AN266">
        <v>61.8209374999999</v>
      </c>
      <c r="AO266">
        <v>54.966698955874797</v>
      </c>
    </row>
    <row r="267" spans="30:41" x14ac:dyDescent="0.35">
      <c r="AD267" t="s">
        <v>12</v>
      </c>
      <c r="AE267" t="s">
        <v>244</v>
      </c>
      <c r="AF267" t="s">
        <v>187</v>
      </c>
      <c r="AG267">
        <v>5526601</v>
      </c>
      <c r="AH267">
        <v>5100384</v>
      </c>
      <c r="AI267">
        <v>5354974</v>
      </c>
      <c r="AJ267">
        <v>92805</v>
      </c>
      <c r="AK267">
        <v>97422.154848679595</v>
      </c>
      <c r="AL267">
        <v>82591</v>
      </c>
      <c r="AM267">
        <v>59.5504301075269</v>
      </c>
      <c r="AN267">
        <v>61.754912634408598</v>
      </c>
      <c r="AO267">
        <v>54.966698955874797</v>
      </c>
    </row>
    <row r="268" spans="30:41" x14ac:dyDescent="0.35">
      <c r="AD268" t="s">
        <v>104</v>
      </c>
      <c r="AE268" t="s">
        <v>246</v>
      </c>
      <c r="AF268" t="s">
        <v>188</v>
      </c>
      <c r="AG268">
        <v>3653879</v>
      </c>
      <c r="AH268">
        <v>3346172</v>
      </c>
      <c r="AI268">
        <v>3523283</v>
      </c>
      <c r="AJ268">
        <v>63681</v>
      </c>
      <c r="AK268">
        <v>60624.927309099498</v>
      </c>
      <c r="AL268">
        <v>54325</v>
      </c>
      <c r="AM268">
        <v>57.3775902777776</v>
      </c>
      <c r="AN268">
        <v>61.5957222222222</v>
      </c>
      <c r="AO268">
        <v>58.116081161406498</v>
      </c>
    </row>
    <row r="269" spans="30:41" x14ac:dyDescent="0.35">
      <c r="AD269" t="s">
        <v>19</v>
      </c>
      <c r="AE269" t="s">
        <v>247</v>
      </c>
      <c r="AF269" t="s">
        <v>184</v>
      </c>
      <c r="AG269">
        <v>5908629</v>
      </c>
      <c r="AH269">
        <v>5446165</v>
      </c>
      <c r="AI269">
        <v>5521781</v>
      </c>
      <c r="AJ269">
        <v>114256</v>
      </c>
      <c r="AK269">
        <v>101009.508015477</v>
      </c>
      <c r="AL269">
        <v>88485</v>
      </c>
      <c r="AM269">
        <v>51.7138541666666</v>
      </c>
      <c r="AN269">
        <v>61.548854166666601</v>
      </c>
      <c r="AO269">
        <v>54.665953766984899</v>
      </c>
    </row>
    <row r="270" spans="30:41" x14ac:dyDescent="0.35">
      <c r="AD270" t="s">
        <v>52</v>
      </c>
      <c r="AE270" t="s">
        <v>236</v>
      </c>
      <c r="AF270" t="s">
        <v>187</v>
      </c>
      <c r="AG270">
        <v>5343017</v>
      </c>
      <c r="AH270">
        <v>5157024</v>
      </c>
      <c r="AI270">
        <v>5319842</v>
      </c>
      <c r="AJ270">
        <v>85576</v>
      </c>
      <c r="AK270">
        <v>83878.5961457831</v>
      </c>
      <c r="AL270">
        <v>83948</v>
      </c>
      <c r="AM270">
        <v>62.435672043010698</v>
      </c>
      <c r="AN270">
        <v>61.431444892473102</v>
      </c>
      <c r="AO270">
        <v>63.423114179855602</v>
      </c>
    </row>
    <row r="271" spans="30:41" x14ac:dyDescent="0.35">
      <c r="AD271" t="s">
        <v>19</v>
      </c>
      <c r="AE271" t="s">
        <v>241</v>
      </c>
      <c r="AF271" t="s">
        <v>187</v>
      </c>
      <c r="AG271">
        <v>5973842</v>
      </c>
      <c r="AH271">
        <v>5803496</v>
      </c>
      <c r="AI271">
        <v>5985242</v>
      </c>
      <c r="AJ271">
        <v>90223</v>
      </c>
      <c r="AK271">
        <v>95487.1598899948</v>
      </c>
      <c r="AL271">
        <v>94546</v>
      </c>
      <c r="AM271">
        <v>66.212049731182802</v>
      </c>
      <c r="AN271">
        <v>61.382802419354803</v>
      </c>
      <c r="AO271">
        <v>62.681117153293101</v>
      </c>
    </row>
    <row r="272" spans="30:41" x14ac:dyDescent="0.35">
      <c r="AD272" t="s">
        <v>14</v>
      </c>
      <c r="AE272" t="s">
        <v>237</v>
      </c>
      <c r="AF272" t="s">
        <v>186</v>
      </c>
      <c r="AG272">
        <v>4046590</v>
      </c>
      <c r="AH272">
        <v>4241333</v>
      </c>
      <c r="AI272">
        <v>4403324</v>
      </c>
      <c r="AJ272">
        <v>75712</v>
      </c>
      <c r="AK272">
        <v>76015.780134736604</v>
      </c>
      <c r="AL272">
        <v>69296</v>
      </c>
      <c r="AM272">
        <v>53.447041666667403</v>
      </c>
      <c r="AN272">
        <v>61.205666666666602</v>
      </c>
      <c r="AO272">
        <v>57.926444284268101</v>
      </c>
    </row>
    <row r="273" spans="30:41" x14ac:dyDescent="0.35">
      <c r="AD273" t="s">
        <v>14</v>
      </c>
      <c r="AE273" t="s">
        <v>248</v>
      </c>
      <c r="AF273" t="s">
        <v>185</v>
      </c>
      <c r="AG273">
        <v>6265943</v>
      </c>
      <c r="AH273">
        <v>6281500</v>
      </c>
      <c r="AI273">
        <v>5953237</v>
      </c>
      <c r="AJ273">
        <v>100068</v>
      </c>
      <c r="AK273">
        <v>104860.497340752</v>
      </c>
      <c r="AL273">
        <v>102802</v>
      </c>
      <c r="AM273">
        <v>62.6167405913978</v>
      </c>
      <c r="AN273">
        <v>61.102661290322501</v>
      </c>
      <c r="AO273">
        <v>56.772923994003698</v>
      </c>
    </row>
    <row r="274" spans="30:41" x14ac:dyDescent="0.35">
      <c r="AD274" t="s">
        <v>12</v>
      </c>
      <c r="AE274" t="s">
        <v>249</v>
      </c>
      <c r="AF274" t="s">
        <v>188</v>
      </c>
      <c r="AG274">
        <v>6738012</v>
      </c>
      <c r="AH274">
        <v>5862529</v>
      </c>
      <c r="AI274">
        <v>6317006</v>
      </c>
      <c r="AJ274">
        <v>115441</v>
      </c>
      <c r="AK274">
        <v>106743.32737228701</v>
      </c>
      <c r="AL274">
        <v>96113</v>
      </c>
      <c r="AM274">
        <v>58.367409722223101</v>
      </c>
      <c r="AN274">
        <v>60.995958333333299</v>
      </c>
      <c r="AO274">
        <v>59.179400136818103</v>
      </c>
    </row>
    <row r="275" spans="30:41" x14ac:dyDescent="0.35">
      <c r="AD275" t="s">
        <v>35</v>
      </c>
      <c r="AE275" t="s">
        <v>243</v>
      </c>
      <c r="AF275" t="s">
        <v>186</v>
      </c>
      <c r="AG275">
        <v>6576733</v>
      </c>
      <c r="AH275">
        <v>6066983</v>
      </c>
      <c r="AI275">
        <v>6375655</v>
      </c>
      <c r="AJ275">
        <v>102894</v>
      </c>
      <c r="AK275">
        <v>99294.107247990207</v>
      </c>
      <c r="AL275">
        <v>99593</v>
      </c>
      <c r="AM275">
        <v>63.9175833333355</v>
      </c>
      <c r="AN275">
        <v>60.9176944444444</v>
      </c>
      <c r="AO275">
        <v>64.209802769831995</v>
      </c>
    </row>
    <row r="276" spans="30:41" x14ac:dyDescent="0.35">
      <c r="AD276" t="s">
        <v>12</v>
      </c>
      <c r="AE276" t="s">
        <v>250</v>
      </c>
      <c r="AF276" t="s">
        <v>185</v>
      </c>
      <c r="AG276">
        <v>5245370</v>
      </c>
      <c r="AH276">
        <v>5293162</v>
      </c>
      <c r="AI276">
        <v>6298644</v>
      </c>
      <c r="AJ276">
        <v>84718</v>
      </c>
      <c r="AK276">
        <v>115249.71206746</v>
      </c>
      <c r="AL276">
        <v>87425</v>
      </c>
      <c r="AM276">
        <v>61.915376344085999</v>
      </c>
      <c r="AN276">
        <v>60.545013440860203</v>
      </c>
      <c r="AO276">
        <v>54.652141241039402</v>
      </c>
    </row>
    <row r="277" spans="30:41" x14ac:dyDescent="0.35">
      <c r="AD277" t="s">
        <v>35</v>
      </c>
      <c r="AE277" t="s">
        <v>243</v>
      </c>
      <c r="AF277" t="s">
        <v>184</v>
      </c>
      <c r="AG277">
        <v>5866426</v>
      </c>
      <c r="AH277">
        <v>5397340</v>
      </c>
      <c r="AI277">
        <v>5656366</v>
      </c>
      <c r="AJ277">
        <v>92783</v>
      </c>
      <c r="AK277">
        <v>88091.937039207798</v>
      </c>
      <c r="AL277">
        <v>89334</v>
      </c>
      <c r="AM277">
        <v>63.227656249999903</v>
      </c>
      <c r="AN277">
        <v>60.41765625</v>
      </c>
      <c r="AO277">
        <v>64.209802769831995</v>
      </c>
    </row>
    <row r="278" spans="30:41" x14ac:dyDescent="0.35">
      <c r="AD278" t="s">
        <v>21</v>
      </c>
      <c r="AE278" t="s">
        <v>242</v>
      </c>
      <c r="AF278" t="s">
        <v>187</v>
      </c>
      <c r="AG278">
        <v>6293447</v>
      </c>
      <c r="AH278">
        <v>6101716</v>
      </c>
      <c r="AI278">
        <v>7471549</v>
      </c>
      <c r="AJ278">
        <v>108634</v>
      </c>
      <c r="AK278">
        <v>118516.65281528499</v>
      </c>
      <c r="AL278">
        <v>101268</v>
      </c>
      <c r="AM278">
        <v>57.932715053763999</v>
      </c>
      <c r="AN278">
        <v>60.2532997311827</v>
      </c>
      <c r="AO278">
        <v>63.0421886183778</v>
      </c>
    </row>
    <row r="279" spans="30:41" x14ac:dyDescent="0.35">
      <c r="AD279" t="s">
        <v>19</v>
      </c>
      <c r="AE279" t="s">
        <v>247</v>
      </c>
      <c r="AF279" t="s">
        <v>188</v>
      </c>
      <c r="AG279">
        <v>5096594</v>
      </c>
      <c r="AH279">
        <v>4512287</v>
      </c>
      <c r="AI279">
        <v>4792926</v>
      </c>
      <c r="AJ279">
        <v>96366</v>
      </c>
      <c r="AK279">
        <v>87676.616865224103</v>
      </c>
      <c r="AL279">
        <v>74908</v>
      </c>
      <c r="AM279">
        <v>52.887673611110898</v>
      </c>
      <c r="AN279">
        <v>60.237673611111099</v>
      </c>
      <c r="AO279">
        <v>54.665953766984899</v>
      </c>
    </row>
    <row r="280" spans="30:41" x14ac:dyDescent="0.35">
      <c r="AD280" t="s">
        <v>14</v>
      </c>
      <c r="AE280" t="s">
        <v>237</v>
      </c>
      <c r="AF280" t="s">
        <v>183</v>
      </c>
      <c r="AG280">
        <v>3993660</v>
      </c>
      <c r="AH280">
        <v>4422922</v>
      </c>
      <c r="AI280">
        <v>4656465</v>
      </c>
      <c r="AJ280">
        <v>73798</v>
      </c>
      <c r="AK280">
        <v>80385.830387739101</v>
      </c>
      <c r="AL280">
        <v>73443</v>
      </c>
      <c r="AM280">
        <v>54.116256720430101</v>
      </c>
      <c r="AN280">
        <v>60.222815860215</v>
      </c>
      <c r="AO280">
        <v>57.926444284268101</v>
      </c>
    </row>
    <row r="281" spans="30:41" x14ac:dyDescent="0.35">
      <c r="AD281" t="s">
        <v>17</v>
      </c>
      <c r="AE281" t="s">
        <v>251</v>
      </c>
      <c r="AF281" t="s">
        <v>184</v>
      </c>
      <c r="AG281">
        <v>6425457</v>
      </c>
      <c r="AH281">
        <v>5349294</v>
      </c>
      <c r="AI281">
        <v>6466202</v>
      </c>
      <c r="AJ281">
        <v>113574</v>
      </c>
      <c r="AK281">
        <v>114589.300985807</v>
      </c>
      <c r="AL281">
        <v>88964</v>
      </c>
      <c r="AM281">
        <v>56.575312500000003</v>
      </c>
      <c r="AN281">
        <v>60.128802083333298</v>
      </c>
      <c r="AO281">
        <v>56.429371630436002</v>
      </c>
    </row>
    <row r="282" spans="30:41" x14ac:dyDescent="0.35">
      <c r="AD282" t="s">
        <v>12</v>
      </c>
      <c r="AE282" t="s">
        <v>252</v>
      </c>
      <c r="AF282" t="s">
        <v>184</v>
      </c>
      <c r="AG282">
        <v>5719413</v>
      </c>
      <c r="AH282">
        <v>5420739</v>
      </c>
      <c r="AI282">
        <v>5485899</v>
      </c>
      <c r="AJ282">
        <v>97283</v>
      </c>
      <c r="AK282">
        <v>98291.871308202695</v>
      </c>
      <c r="AL282">
        <v>90197</v>
      </c>
      <c r="AM282">
        <v>58.791249999999899</v>
      </c>
      <c r="AN282">
        <v>60.0985937499999</v>
      </c>
      <c r="AO282">
        <v>55.812340478272901</v>
      </c>
    </row>
    <row r="283" spans="30:41" x14ac:dyDescent="0.35">
      <c r="AD283" t="s">
        <v>21</v>
      </c>
      <c r="AE283" t="s">
        <v>253</v>
      </c>
      <c r="AF283" t="s">
        <v>184</v>
      </c>
      <c r="AG283">
        <v>4656237</v>
      </c>
      <c r="AH283">
        <v>3904541</v>
      </c>
      <c r="AI283">
        <v>4318721</v>
      </c>
      <c r="AJ283">
        <v>87288</v>
      </c>
      <c r="AK283">
        <v>80960.752207412603</v>
      </c>
      <c r="AL283">
        <v>64984</v>
      </c>
      <c r="AM283">
        <v>53.343229166666603</v>
      </c>
      <c r="AN283">
        <v>60.084375000000001</v>
      </c>
      <c r="AO283">
        <v>53.343390369396602</v>
      </c>
    </row>
    <row r="284" spans="30:41" x14ac:dyDescent="0.35">
      <c r="AD284" t="s">
        <v>104</v>
      </c>
      <c r="AE284" t="s">
        <v>246</v>
      </c>
      <c r="AF284" t="s">
        <v>184</v>
      </c>
      <c r="AG284">
        <v>3462166</v>
      </c>
      <c r="AH284">
        <v>2760968</v>
      </c>
      <c r="AI284">
        <v>2773897</v>
      </c>
      <c r="AJ284">
        <v>58628</v>
      </c>
      <c r="AK284">
        <v>47730.2898795949</v>
      </c>
      <c r="AL284">
        <v>45953</v>
      </c>
      <c r="AM284">
        <v>59.053124999999902</v>
      </c>
      <c r="AN284">
        <v>60.082500000000003</v>
      </c>
      <c r="AO284">
        <v>58.116081161406498</v>
      </c>
    </row>
    <row r="285" spans="30:41" x14ac:dyDescent="0.35">
      <c r="AD285" t="s">
        <v>19</v>
      </c>
      <c r="AE285" t="s">
        <v>247</v>
      </c>
      <c r="AF285" t="s">
        <v>185</v>
      </c>
      <c r="AG285">
        <v>6432504</v>
      </c>
      <c r="AH285">
        <v>6030728</v>
      </c>
      <c r="AI285">
        <v>5870202</v>
      </c>
      <c r="AJ285">
        <v>119695</v>
      </c>
      <c r="AK285">
        <v>107383.13805009</v>
      </c>
      <c r="AL285">
        <v>100423</v>
      </c>
      <c r="AM285">
        <v>53.740665322580597</v>
      </c>
      <c r="AN285">
        <v>60.053508064516102</v>
      </c>
      <c r="AO285">
        <v>54.665953766984899</v>
      </c>
    </row>
    <row r="286" spans="30:41" x14ac:dyDescent="0.35">
      <c r="AD286" t="s">
        <v>35</v>
      </c>
      <c r="AE286" t="s">
        <v>243</v>
      </c>
      <c r="AF286" t="s">
        <v>183</v>
      </c>
      <c r="AG286">
        <v>5950274</v>
      </c>
      <c r="AH286">
        <v>5487015</v>
      </c>
      <c r="AI286">
        <v>5978000</v>
      </c>
      <c r="AJ286">
        <v>95165</v>
      </c>
      <c r="AK286">
        <v>93101.052719767395</v>
      </c>
      <c r="AL286">
        <v>91415</v>
      </c>
      <c r="AM286">
        <v>62.525759408602099</v>
      </c>
      <c r="AN286">
        <v>60.023212365591299</v>
      </c>
      <c r="AO286">
        <v>64.209802769831995</v>
      </c>
    </row>
    <row r="287" spans="30:41" x14ac:dyDescent="0.35">
      <c r="AD287" t="s">
        <v>12</v>
      </c>
      <c r="AE287" t="s">
        <v>252</v>
      </c>
      <c r="AF287" t="s">
        <v>185</v>
      </c>
      <c r="AG287">
        <v>7688902</v>
      </c>
      <c r="AH287">
        <v>7417542</v>
      </c>
      <c r="AI287">
        <v>7342313</v>
      </c>
      <c r="AJ287">
        <v>123057</v>
      </c>
      <c r="AK287">
        <v>131553.57762963299</v>
      </c>
      <c r="AL287">
        <v>123658</v>
      </c>
      <c r="AM287">
        <v>62.482526881720403</v>
      </c>
      <c r="AN287">
        <v>59.9844959677419</v>
      </c>
      <c r="AO287">
        <v>55.812340478272901</v>
      </c>
    </row>
    <row r="288" spans="30:41" x14ac:dyDescent="0.35">
      <c r="AD288" t="s">
        <v>12</v>
      </c>
      <c r="AE288" t="s">
        <v>244</v>
      </c>
      <c r="AF288" t="s">
        <v>186</v>
      </c>
      <c r="AG288">
        <v>4981514</v>
      </c>
      <c r="AH288">
        <v>4763533</v>
      </c>
      <c r="AI288">
        <v>5050689</v>
      </c>
      <c r="AJ288">
        <v>83337</v>
      </c>
      <c r="AK288">
        <v>91886.337945352905</v>
      </c>
      <c r="AL288">
        <v>79548</v>
      </c>
      <c r="AM288">
        <v>59.775868055556103</v>
      </c>
      <c r="AN288">
        <v>59.882229166666697</v>
      </c>
      <c r="AO288">
        <v>54.966698955874797</v>
      </c>
    </row>
    <row r="289" spans="30:41" x14ac:dyDescent="0.35">
      <c r="AD289" t="s">
        <v>52</v>
      </c>
      <c r="AE289" t="s">
        <v>240</v>
      </c>
      <c r="AF289" t="s">
        <v>183</v>
      </c>
      <c r="AG289">
        <v>4844291</v>
      </c>
      <c r="AH289">
        <v>4583942</v>
      </c>
      <c r="AI289">
        <v>5126510</v>
      </c>
      <c r="AJ289">
        <v>87330</v>
      </c>
      <c r="AK289">
        <v>90386.273826044198</v>
      </c>
      <c r="AL289">
        <v>76596</v>
      </c>
      <c r="AM289">
        <v>55.470860215053698</v>
      </c>
      <c r="AN289">
        <v>59.845624999999998</v>
      </c>
      <c r="AO289">
        <v>56.717795741490399</v>
      </c>
    </row>
    <row r="290" spans="30:41" x14ac:dyDescent="0.35">
      <c r="AD290" t="s">
        <v>14</v>
      </c>
      <c r="AE290" t="s">
        <v>245</v>
      </c>
      <c r="AF290" t="s">
        <v>187</v>
      </c>
      <c r="AG290">
        <v>3920329</v>
      </c>
      <c r="AH290">
        <v>3787342</v>
      </c>
      <c r="AI290">
        <v>3959260</v>
      </c>
      <c r="AJ290">
        <v>79452</v>
      </c>
      <c r="AK290">
        <v>71952.4555446343</v>
      </c>
      <c r="AL290">
        <v>63470</v>
      </c>
      <c r="AM290">
        <v>49.341861559139701</v>
      </c>
      <c r="AN290">
        <v>59.671801075268803</v>
      </c>
      <c r="AO290">
        <v>55.026064794188201</v>
      </c>
    </row>
    <row r="291" spans="30:41" x14ac:dyDescent="0.35">
      <c r="AD291" t="s">
        <v>19</v>
      </c>
      <c r="AE291" t="s">
        <v>241</v>
      </c>
      <c r="AF291" t="s">
        <v>186</v>
      </c>
      <c r="AG291">
        <v>6091625</v>
      </c>
      <c r="AH291">
        <v>5857270</v>
      </c>
      <c r="AI291">
        <v>5813915</v>
      </c>
      <c r="AJ291">
        <v>91170</v>
      </c>
      <c r="AK291">
        <v>92753.857184476597</v>
      </c>
      <c r="AL291">
        <v>98471</v>
      </c>
      <c r="AM291">
        <v>66.8157777777798</v>
      </c>
      <c r="AN291">
        <v>59.482208333333297</v>
      </c>
      <c r="AO291">
        <v>62.681117153293101</v>
      </c>
    </row>
    <row r="292" spans="30:41" x14ac:dyDescent="0.35">
      <c r="AD292" t="s">
        <v>14</v>
      </c>
      <c r="AE292" t="s">
        <v>245</v>
      </c>
      <c r="AF292" t="s">
        <v>186</v>
      </c>
      <c r="AG292">
        <v>3916169</v>
      </c>
      <c r="AH292">
        <v>3653034</v>
      </c>
      <c r="AI292">
        <v>3945923</v>
      </c>
      <c r="AJ292">
        <v>81604</v>
      </c>
      <c r="AK292">
        <v>71710.071795226002</v>
      </c>
      <c r="AL292">
        <v>61563</v>
      </c>
      <c r="AM292">
        <v>47.989861111111601</v>
      </c>
      <c r="AN292">
        <v>59.338368055555499</v>
      </c>
      <c r="AO292">
        <v>55.026064794188201</v>
      </c>
    </row>
    <row r="293" spans="30:41" x14ac:dyDescent="0.35">
      <c r="AD293" t="s">
        <v>19</v>
      </c>
      <c r="AE293" t="s">
        <v>247</v>
      </c>
      <c r="AF293" t="s">
        <v>183</v>
      </c>
      <c r="AG293">
        <v>6102849</v>
      </c>
      <c r="AH293">
        <v>5715029</v>
      </c>
      <c r="AI293">
        <v>5777456</v>
      </c>
      <c r="AJ293">
        <v>114577</v>
      </c>
      <c r="AK293">
        <v>105686.557353898</v>
      </c>
      <c r="AL293">
        <v>96389</v>
      </c>
      <c r="AM293">
        <v>53.264072580645099</v>
      </c>
      <c r="AN293">
        <v>59.291364247311797</v>
      </c>
      <c r="AO293">
        <v>54.665953766984899</v>
      </c>
    </row>
    <row r="294" spans="30:41" x14ac:dyDescent="0.35">
      <c r="AD294" t="s">
        <v>35</v>
      </c>
      <c r="AE294" t="s">
        <v>243</v>
      </c>
      <c r="AF294" t="s">
        <v>185</v>
      </c>
      <c r="AG294">
        <v>7288715</v>
      </c>
      <c r="AH294">
        <v>6146098</v>
      </c>
      <c r="AI294">
        <v>7551171</v>
      </c>
      <c r="AJ294">
        <v>112841</v>
      </c>
      <c r="AK294">
        <v>117601.532154959</v>
      </c>
      <c r="AL294">
        <v>103843</v>
      </c>
      <c r="AM294">
        <v>64.593017473118195</v>
      </c>
      <c r="AN294">
        <v>59.186317204300998</v>
      </c>
      <c r="AO294">
        <v>64.209802769831995</v>
      </c>
    </row>
    <row r="295" spans="30:41" x14ac:dyDescent="0.35">
      <c r="AD295" t="s">
        <v>12</v>
      </c>
      <c r="AE295" t="s">
        <v>249</v>
      </c>
      <c r="AF295" t="s">
        <v>184</v>
      </c>
      <c r="AG295">
        <v>6817105</v>
      </c>
      <c r="AH295">
        <v>6209815</v>
      </c>
      <c r="AI295">
        <v>6143479</v>
      </c>
      <c r="AJ295">
        <v>110154</v>
      </c>
      <c r="AK295">
        <v>103811.10089823</v>
      </c>
      <c r="AL295">
        <v>104993</v>
      </c>
      <c r="AM295">
        <v>61.886979166666599</v>
      </c>
      <c r="AN295">
        <v>59.145156249999999</v>
      </c>
      <c r="AO295">
        <v>59.179400136818103</v>
      </c>
    </row>
    <row r="296" spans="30:41" x14ac:dyDescent="0.35">
      <c r="AD296" t="s">
        <v>21</v>
      </c>
      <c r="AE296" t="s">
        <v>242</v>
      </c>
      <c r="AF296" t="s">
        <v>185</v>
      </c>
      <c r="AG296">
        <v>6413220</v>
      </c>
      <c r="AH296">
        <v>7107254</v>
      </c>
      <c r="AI296">
        <v>8857246</v>
      </c>
      <c r="AJ296">
        <v>94998</v>
      </c>
      <c r="AK296">
        <v>140497.11824119501</v>
      </c>
      <c r="AL296">
        <v>120289</v>
      </c>
      <c r="AM296">
        <v>67.5088844086021</v>
      </c>
      <c r="AN296">
        <v>59.084845430107499</v>
      </c>
      <c r="AO296">
        <v>63.0421886183778</v>
      </c>
    </row>
    <row r="297" spans="30:41" x14ac:dyDescent="0.35">
      <c r="AD297" t="s">
        <v>52</v>
      </c>
      <c r="AE297" t="s">
        <v>240</v>
      </c>
      <c r="AF297" t="s">
        <v>188</v>
      </c>
      <c r="AG297">
        <v>5011815</v>
      </c>
      <c r="AH297">
        <v>5220375</v>
      </c>
      <c r="AI297">
        <v>5379351</v>
      </c>
      <c r="AJ297">
        <v>96082</v>
      </c>
      <c r="AK297">
        <v>94844.148300792906</v>
      </c>
      <c r="AL297">
        <v>88420</v>
      </c>
      <c r="AM297">
        <v>52.162104166666303</v>
      </c>
      <c r="AN297">
        <v>59.040527777777797</v>
      </c>
      <c r="AO297">
        <v>56.717795741490399</v>
      </c>
    </row>
    <row r="298" spans="30:41" x14ac:dyDescent="0.35">
      <c r="AD298" t="s">
        <v>12</v>
      </c>
      <c r="AE298" t="s">
        <v>252</v>
      </c>
      <c r="AF298" t="s">
        <v>188</v>
      </c>
      <c r="AG298">
        <v>5354998</v>
      </c>
      <c r="AH298">
        <v>5005931</v>
      </c>
      <c r="AI298">
        <v>5487188</v>
      </c>
      <c r="AJ298">
        <v>93059</v>
      </c>
      <c r="AK298">
        <v>98314.955853465595</v>
      </c>
      <c r="AL298">
        <v>84892</v>
      </c>
      <c r="AM298">
        <v>57.544374999999597</v>
      </c>
      <c r="AN298">
        <v>58.968291666666602</v>
      </c>
      <c r="AO298">
        <v>55.812340478272901</v>
      </c>
    </row>
    <row r="299" spans="30:41" x14ac:dyDescent="0.35">
      <c r="AD299" t="s">
        <v>12</v>
      </c>
      <c r="AE299" t="s">
        <v>249</v>
      </c>
      <c r="AF299" t="s">
        <v>185</v>
      </c>
      <c r="AG299">
        <v>8284520</v>
      </c>
      <c r="AH299">
        <v>7573634</v>
      </c>
      <c r="AI299">
        <v>7751668</v>
      </c>
      <c r="AJ299">
        <v>133828</v>
      </c>
      <c r="AK299">
        <v>130985.91720224801</v>
      </c>
      <c r="AL299">
        <v>128455</v>
      </c>
      <c r="AM299">
        <v>61.904415322580597</v>
      </c>
      <c r="AN299">
        <v>58.9594758064516</v>
      </c>
      <c r="AO299">
        <v>59.179400136818103</v>
      </c>
    </row>
    <row r="300" spans="30:41" x14ac:dyDescent="0.35">
      <c r="AD300" t="s">
        <v>12</v>
      </c>
      <c r="AE300" t="s">
        <v>244</v>
      </c>
      <c r="AF300" t="s">
        <v>188</v>
      </c>
      <c r="AG300">
        <v>4650391</v>
      </c>
      <c r="AH300">
        <v>4738187</v>
      </c>
      <c r="AI300">
        <v>4846089</v>
      </c>
      <c r="AJ300">
        <v>79818</v>
      </c>
      <c r="AK300">
        <v>88164.097580068395</v>
      </c>
      <c r="AL300">
        <v>80556</v>
      </c>
      <c r="AM300">
        <v>58.262798611110902</v>
      </c>
      <c r="AN300">
        <v>58.8188125</v>
      </c>
      <c r="AO300">
        <v>54.966698955874797</v>
      </c>
    </row>
    <row r="301" spans="30:41" x14ac:dyDescent="0.35">
      <c r="AD301" t="s">
        <v>12</v>
      </c>
      <c r="AE301" t="s">
        <v>249</v>
      </c>
      <c r="AF301" t="s">
        <v>187</v>
      </c>
      <c r="AG301">
        <v>7362386</v>
      </c>
      <c r="AH301">
        <v>6405895</v>
      </c>
      <c r="AI301">
        <v>6784832</v>
      </c>
      <c r="AJ301">
        <v>122732</v>
      </c>
      <c r="AK301">
        <v>114648.549311314</v>
      </c>
      <c r="AL301">
        <v>109157</v>
      </c>
      <c r="AM301">
        <v>59.987365591397598</v>
      </c>
      <c r="AN301">
        <v>58.685309139784898</v>
      </c>
      <c r="AO301">
        <v>59.179400136818103</v>
      </c>
    </row>
    <row r="302" spans="30:41" x14ac:dyDescent="0.35">
      <c r="AD302" t="s">
        <v>104</v>
      </c>
      <c r="AE302" t="s">
        <v>254</v>
      </c>
      <c r="AF302" t="s">
        <v>185</v>
      </c>
      <c r="AG302">
        <v>2853791</v>
      </c>
      <c r="AH302">
        <v>2762190</v>
      </c>
      <c r="AI302">
        <v>2805145</v>
      </c>
      <c r="AJ302">
        <v>54817</v>
      </c>
      <c r="AK302">
        <v>56039.920217281302</v>
      </c>
      <c r="AL302">
        <v>47088</v>
      </c>
      <c r="AM302">
        <v>52.059912634408597</v>
      </c>
      <c r="AN302">
        <v>58.660141129032198</v>
      </c>
      <c r="AO302">
        <v>50.0561866937662</v>
      </c>
    </row>
    <row r="303" spans="30:41" x14ac:dyDescent="0.35">
      <c r="AD303" t="s">
        <v>12</v>
      </c>
      <c r="AE303" t="s">
        <v>252</v>
      </c>
      <c r="AF303" t="s">
        <v>187</v>
      </c>
      <c r="AG303">
        <v>5909448</v>
      </c>
      <c r="AH303">
        <v>5537331</v>
      </c>
      <c r="AI303">
        <v>5710060</v>
      </c>
      <c r="AJ303">
        <v>96883</v>
      </c>
      <c r="AK303">
        <v>102308.20515263701</v>
      </c>
      <c r="AL303">
        <v>94436</v>
      </c>
      <c r="AM303">
        <v>60.995920698925502</v>
      </c>
      <c r="AN303">
        <v>58.635819892473101</v>
      </c>
      <c r="AO303">
        <v>55.812340478272901</v>
      </c>
    </row>
    <row r="304" spans="30:41" x14ac:dyDescent="0.35">
      <c r="AD304" t="s">
        <v>52</v>
      </c>
      <c r="AE304" t="s">
        <v>240</v>
      </c>
      <c r="AF304" t="s">
        <v>186</v>
      </c>
      <c r="AG304">
        <v>5092167</v>
      </c>
      <c r="AH304">
        <v>4536700</v>
      </c>
      <c r="AI304">
        <v>5000793</v>
      </c>
      <c r="AJ304">
        <v>97996</v>
      </c>
      <c r="AK304">
        <v>88169.728562666904</v>
      </c>
      <c r="AL304">
        <v>77569</v>
      </c>
      <c r="AM304">
        <v>51.962895833332901</v>
      </c>
      <c r="AN304">
        <v>58.486166666666598</v>
      </c>
      <c r="AO304">
        <v>56.717795741490399</v>
      </c>
    </row>
    <row r="305" spans="30:41" x14ac:dyDescent="0.35">
      <c r="AD305" t="s">
        <v>17</v>
      </c>
      <c r="AE305" t="s">
        <v>251</v>
      </c>
      <c r="AF305" t="s">
        <v>185</v>
      </c>
      <c r="AG305">
        <v>8228752</v>
      </c>
      <c r="AH305">
        <v>7621814</v>
      </c>
      <c r="AI305">
        <v>8992512</v>
      </c>
      <c r="AJ305">
        <v>130225</v>
      </c>
      <c r="AK305">
        <v>159358.70456777699</v>
      </c>
      <c r="AL305">
        <v>130467</v>
      </c>
      <c r="AM305">
        <v>63.188783602150501</v>
      </c>
      <c r="AN305">
        <v>58.419657258064497</v>
      </c>
      <c r="AO305">
        <v>56.429371630436002</v>
      </c>
    </row>
    <row r="306" spans="30:41" x14ac:dyDescent="0.35">
      <c r="AD306" t="s">
        <v>21</v>
      </c>
      <c r="AE306" t="s">
        <v>255</v>
      </c>
      <c r="AF306" t="s">
        <v>187</v>
      </c>
      <c r="AG306">
        <v>6281220</v>
      </c>
      <c r="AH306">
        <v>5002160</v>
      </c>
      <c r="AI306">
        <v>5365252</v>
      </c>
      <c r="AJ306">
        <v>125623</v>
      </c>
      <c r="AK306">
        <v>100701.166094008</v>
      </c>
      <c r="AL306">
        <v>85706</v>
      </c>
      <c r="AM306">
        <v>50.000463709677298</v>
      </c>
      <c r="AN306">
        <v>58.364005376343997</v>
      </c>
      <c r="AO306">
        <v>53.278949580299098</v>
      </c>
    </row>
    <row r="307" spans="30:41" x14ac:dyDescent="0.35">
      <c r="AD307" t="s">
        <v>12</v>
      </c>
      <c r="AE307" t="s">
        <v>249</v>
      </c>
      <c r="AF307" t="s">
        <v>186</v>
      </c>
      <c r="AG307">
        <v>6763465</v>
      </c>
      <c r="AH307">
        <v>5870635</v>
      </c>
      <c r="AI307">
        <v>6212807</v>
      </c>
      <c r="AJ307">
        <v>110663</v>
      </c>
      <c r="AK307">
        <v>104982.591674408</v>
      </c>
      <c r="AL307">
        <v>100827</v>
      </c>
      <c r="AM307">
        <v>61.117826388890499</v>
      </c>
      <c r="AN307">
        <v>58.224881944444398</v>
      </c>
      <c r="AO307">
        <v>59.179400136818103</v>
      </c>
    </row>
    <row r="308" spans="30:41" x14ac:dyDescent="0.35">
      <c r="AD308" t="s">
        <v>17</v>
      </c>
      <c r="AE308" t="s">
        <v>256</v>
      </c>
      <c r="AF308" t="s">
        <v>185</v>
      </c>
      <c r="AG308">
        <v>8567236</v>
      </c>
      <c r="AH308">
        <v>7813520</v>
      </c>
      <c r="AI308">
        <v>7944867</v>
      </c>
      <c r="AJ308">
        <v>142561</v>
      </c>
      <c r="AK308">
        <v>147717.36571248699</v>
      </c>
      <c r="AL308">
        <v>134198</v>
      </c>
      <c r="AM308">
        <v>60.095282258064501</v>
      </c>
      <c r="AN308">
        <v>58.223911290322498</v>
      </c>
      <c r="AO308">
        <v>53.7842448352594</v>
      </c>
    </row>
    <row r="309" spans="30:41" x14ac:dyDescent="0.35">
      <c r="AD309" t="s">
        <v>21</v>
      </c>
      <c r="AE309" t="s">
        <v>253</v>
      </c>
      <c r="AF309" t="s">
        <v>183</v>
      </c>
      <c r="AG309">
        <v>4618851</v>
      </c>
      <c r="AH309">
        <v>4657651</v>
      </c>
      <c r="AI309">
        <v>4605271</v>
      </c>
      <c r="AJ309">
        <v>93032</v>
      </c>
      <c r="AK309">
        <v>86332.544577857698</v>
      </c>
      <c r="AL309">
        <v>80011</v>
      </c>
      <c r="AM309">
        <v>49.648111559139799</v>
      </c>
      <c r="AN309">
        <v>58.212950268817202</v>
      </c>
      <c r="AO309">
        <v>53.343390369396602</v>
      </c>
    </row>
    <row r="310" spans="30:41" x14ac:dyDescent="0.35">
      <c r="AD310" t="s">
        <v>14</v>
      </c>
      <c r="AE310" t="s">
        <v>257</v>
      </c>
      <c r="AF310" t="s">
        <v>187</v>
      </c>
      <c r="AG310">
        <v>5517917</v>
      </c>
      <c r="AH310">
        <v>4904568</v>
      </c>
      <c r="AI310">
        <v>5180877</v>
      </c>
      <c r="AJ310">
        <v>99456</v>
      </c>
      <c r="AK310">
        <v>91256.129549487203</v>
      </c>
      <c r="AL310">
        <v>84320</v>
      </c>
      <c r="AM310">
        <v>55.4809274193547</v>
      </c>
      <c r="AN310">
        <v>58.165813172043002</v>
      </c>
      <c r="AO310">
        <v>56.772923994003698</v>
      </c>
    </row>
    <row r="311" spans="30:41" x14ac:dyDescent="0.35">
      <c r="AD311" t="s">
        <v>21</v>
      </c>
      <c r="AE311" t="s">
        <v>255</v>
      </c>
      <c r="AF311" t="s">
        <v>184</v>
      </c>
      <c r="AG311">
        <v>5666972</v>
      </c>
      <c r="AH311">
        <v>4883197</v>
      </c>
      <c r="AI311">
        <v>5091005</v>
      </c>
      <c r="AJ311">
        <v>102838</v>
      </c>
      <c r="AK311">
        <v>95553.787873146997</v>
      </c>
      <c r="AL311">
        <v>83961</v>
      </c>
      <c r="AM311">
        <v>55.105989583333297</v>
      </c>
      <c r="AN311">
        <v>58.160052083333298</v>
      </c>
      <c r="AO311">
        <v>53.278949580299098</v>
      </c>
    </row>
    <row r="312" spans="30:41" x14ac:dyDescent="0.35">
      <c r="AD312" t="s">
        <v>14</v>
      </c>
      <c r="AE312" t="s">
        <v>248</v>
      </c>
      <c r="AF312" t="s">
        <v>187</v>
      </c>
      <c r="AG312">
        <v>5126938</v>
      </c>
      <c r="AH312">
        <v>4961382</v>
      </c>
      <c r="AI312">
        <v>5086754</v>
      </c>
      <c r="AJ312">
        <v>92300</v>
      </c>
      <c r="AK312">
        <v>89598.2341324757</v>
      </c>
      <c r="AL312">
        <v>85349</v>
      </c>
      <c r="AM312">
        <v>55.546505376344498</v>
      </c>
      <c r="AN312">
        <v>58.130295698924698</v>
      </c>
      <c r="AO312">
        <v>56.772923994003698</v>
      </c>
    </row>
    <row r="313" spans="30:41" x14ac:dyDescent="0.35">
      <c r="AD313" t="s">
        <v>104</v>
      </c>
      <c r="AE313" t="s">
        <v>258</v>
      </c>
      <c r="AF313" t="s">
        <v>188</v>
      </c>
      <c r="AG313">
        <v>3134248</v>
      </c>
      <c r="AH313">
        <v>3113046</v>
      </c>
      <c r="AI313">
        <v>3238058</v>
      </c>
      <c r="AJ313">
        <v>56661</v>
      </c>
      <c r="AK313">
        <v>58269.006108961497</v>
      </c>
      <c r="AL313">
        <v>53643</v>
      </c>
      <c r="AM313">
        <v>55.315749999999802</v>
      </c>
      <c r="AN313">
        <v>58.0324305555555</v>
      </c>
      <c r="AO313">
        <v>55.570851329520103</v>
      </c>
    </row>
    <row r="314" spans="30:41" x14ac:dyDescent="0.35">
      <c r="AD314" t="s">
        <v>19</v>
      </c>
      <c r="AE314" t="s">
        <v>247</v>
      </c>
      <c r="AF314" t="s">
        <v>187</v>
      </c>
      <c r="AG314">
        <v>5415275</v>
      </c>
      <c r="AH314">
        <v>4774168</v>
      </c>
      <c r="AI314">
        <v>5170473</v>
      </c>
      <c r="AJ314">
        <v>97463</v>
      </c>
      <c r="AK314">
        <v>94583.050718172206</v>
      </c>
      <c r="AL314">
        <v>82521</v>
      </c>
      <c r="AM314">
        <v>55.562170698924902</v>
      </c>
      <c r="AN314">
        <v>57.8537768817204</v>
      </c>
      <c r="AO314">
        <v>54.665953766984899</v>
      </c>
    </row>
    <row r="315" spans="30:41" x14ac:dyDescent="0.35">
      <c r="AD315" t="s">
        <v>104</v>
      </c>
      <c r="AE315" t="s">
        <v>258</v>
      </c>
      <c r="AF315" t="s">
        <v>187</v>
      </c>
      <c r="AG315">
        <v>3379480</v>
      </c>
      <c r="AH315">
        <v>3181146</v>
      </c>
      <c r="AI315">
        <v>3294783</v>
      </c>
      <c r="AJ315">
        <v>56854</v>
      </c>
      <c r="AK315">
        <v>59289.774383027303</v>
      </c>
      <c r="AL315">
        <v>55072</v>
      </c>
      <c r="AM315">
        <v>59.4417137096776</v>
      </c>
      <c r="AN315">
        <v>57.762889784946204</v>
      </c>
      <c r="AO315">
        <v>55.570851329520103</v>
      </c>
    </row>
    <row r="316" spans="30:41" x14ac:dyDescent="0.35">
      <c r="AD316" t="s">
        <v>12</v>
      </c>
      <c r="AE316" t="s">
        <v>259</v>
      </c>
      <c r="AF316" t="s">
        <v>188</v>
      </c>
      <c r="AG316">
        <v>6254351</v>
      </c>
      <c r="AH316">
        <v>5596372</v>
      </c>
      <c r="AI316">
        <v>6003312</v>
      </c>
      <c r="AJ316">
        <v>124183</v>
      </c>
      <c r="AK316">
        <v>108383.536469796</v>
      </c>
      <c r="AL316">
        <v>96980</v>
      </c>
      <c r="AM316">
        <v>50.364173611111099</v>
      </c>
      <c r="AN316">
        <v>57.706736111111098</v>
      </c>
      <c r="AO316">
        <v>55.389519717073902</v>
      </c>
    </row>
    <row r="317" spans="30:41" x14ac:dyDescent="0.35">
      <c r="AD317" t="s">
        <v>104</v>
      </c>
      <c r="AE317" t="s">
        <v>258</v>
      </c>
      <c r="AF317" t="s">
        <v>186</v>
      </c>
      <c r="AG317">
        <v>3209610</v>
      </c>
      <c r="AH317">
        <v>3165034</v>
      </c>
      <c r="AI317">
        <v>3281688</v>
      </c>
      <c r="AJ317">
        <v>49295</v>
      </c>
      <c r="AK317">
        <v>59054.118124634799</v>
      </c>
      <c r="AL317">
        <v>54943</v>
      </c>
      <c r="AM317">
        <v>65.110743055556497</v>
      </c>
      <c r="AN317">
        <v>57.606256944444397</v>
      </c>
      <c r="AO317">
        <v>55.570851329520103</v>
      </c>
    </row>
    <row r="318" spans="30:41" x14ac:dyDescent="0.35">
      <c r="AD318" t="s">
        <v>12</v>
      </c>
      <c r="AE318" t="s">
        <v>259</v>
      </c>
      <c r="AF318" t="s">
        <v>185</v>
      </c>
      <c r="AG318">
        <v>7976528</v>
      </c>
      <c r="AH318">
        <v>7302910</v>
      </c>
      <c r="AI318">
        <v>7363413</v>
      </c>
      <c r="AJ318">
        <v>132061</v>
      </c>
      <c r="AK318">
        <v>132938.74719643401</v>
      </c>
      <c r="AL318">
        <v>126906</v>
      </c>
      <c r="AM318">
        <v>60.4004032258064</v>
      </c>
      <c r="AN318">
        <v>57.545739247311801</v>
      </c>
      <c r="AO318">
        <v>55.389519717073902</v>
      </c>
    </row>
    <row r="319" spans="30:41" x14ac:dyDescent="0.35">
      <c r="AD319" t="s">
        <v>12</v>
      </c>
      <c r="AE319" t="s">
        <v>249</v>
      </c>
      <c r="AF319" t="s">
        <v>183</v>
      </c>
      <c r="AG319">
        <v>6665892</v>
      </c>
      <c r="AH319">
        <v>6017118</v>
      </c>
      <c r="AI319">
        <v>6403509</v>
      </c>
      <c r="AJ319">
        <v>115829</v>
      </c>
      <c r="AK319">
        <v>108205.02870923901</v>
      </c>
      <c r="AL319">
        <v>104694</v>
      </c>
      <c r="AM319">
        <v>57.549361559139697</v>
      </c>
      <c r="AN319">
        <v>57.473151881720398</v>
      </c>
      <c r="AO319">
        <v>59.179400136818103</v>
      </c>
    </row>
    <row r="320" spans="30:41" x14ac:dyDescent="0.35">
      <c r="AD320" t="s">
        <v>14</v>
      </c>
      <c r="AE320" t="s">
        <v>248</v>
      </c>
      <c r="AF320" t="s">
        <v>184</v>
      </c>
      <c r="AG320">
        <v>5167632</v>
      </c>
      <c r="AH320">
        <v>4948762</v>
      </c>
      <c r="AI320">
        <v>5350459</v>
      </c>
      <c r="AJ320">
        <v>83153</v>
      </c>
      <c r="AK320">
        <v>94243.151393173001</v>
      </c>
      <c r="AL320">
        <v>86158</v>
      </c>
      <c r="AM320">
        <v>62.1458333333333</v>
      </c>
      <c r="AN320">
        <v>57.438541666666602</v>
      </c>
      <c r="AO320">
        <v>56.772923994003698</v>
      </c>
    </row>
    <row r="321" spans="30:41" x14ac:dyDescent="0.35">
      <c r="AD321" t="s">
        <v>21</v>
      </c>
      <c r="AE321" t="s">
        <v>255</v>
      </c>
      <c r="AF321" t="s">
        <v>183</v>
      </c>
      <c r="AG321">
        <v>5335932</v>
      </c>
      <c r="AH321">
        <v>4628856</v>
      </c>
      <c r="AI321">
        <v>5186665</v>
      </c>
      <c r="AJ321">
        <v>103626</v>
      </c>
      <c r="AK321">
        <v>97349.238591555506</v>
      </c>
      <c r="AL321">
        <v>80642</v>
      </c>
      <c r="AM321">
        <v>51.492150537634402</v>
      </c>
      <c r="AN321">
        <v>57.399811827956903</v>
      </c>
      <c r="AO321">
        <v>53.278949580299098</v>
      </c>
    </row>
    <row r="322" spans="30:41" x14ac:dyDescent="0.35">
      <c r="AD322" t="s">
        <v>14</v>
      </c>
      <c r="AE322" t="s">
        <v>245</v>
      </c>
      <c r="AF322" t="s">
        <v>184</v>
      </c>
      <c r="AG322">
        <v>3755677</v>
      </c>
      <c r="AH322">
        <v>3701008</v>
      </c>
      <c r="AI322">
        <v>3800663</v>
      </c>
      <c r="AJ322">
        <v>67129</v>
      </c>
      <c r="AK322">
        <v>69070.229488797093</v>
      </c>
      <c r="AL322">
        <v>64478</v>
      </c>
      <c r="AM322">
        <v>55.947291666666601</v>
      </c>
      <c r="AN322">
        <v>57.3997395833333</v>
      </c>
      <c r="AO322">
        <v>55.026064794188201</v>
      </c>
    </row>
    <row r="323" spans="30:41" x14ac:dyDescent="0.35">
      <c r="AD323" t="s">
        <v>21</v>
      </c>
      <c r="AE323" t="s">
        <v>255</v>
      </c>
      <c r="AF323" t="s">
        <v>186</v>
      </c>
      <c r="AG323">
        <v>6000820</v>
      </c>
      <c r="AH323">
        <v>4984716</v>
      </c>
      <c r="AI323">
        <v>5050431</v>
      </c>
      <c r="AJ323">
        <v>124230</v>
      </c>
      <c r="AK323">
        <v>94792.2331743471</v>
      </c>
      <c r="AL323">
        <v>86933</v>
      </c>
      <c r="AM323">
        <v>48.304131944444997</v>
      </c>
      <c r="AN323">
        <v>57.3397222222222</v>
      </c>
      <c r="AO323">
        <v>53.278949580299098</v>
      </c>
    </row>
    <row r="324" spans="30:41" x14ac:dyDescent="0.35">
      <c r="AD324" t="s">
        <v>104</v>
      </c>
      <c r="AE324" t="s">
        <v>246</v>
      </c>
      <c r="AF324" t="s">
        <v>186</v>
      </c>
      <c r="AG324">
        <v>3673070</v>
      </c>
      <c r="AH324">
        <v>3443434</v>
      </c>
      <c r="AI324">
        <v>3668538</v>
      </c>
      <c r="AJ324">
        <v>62892</v>
      </c>
      <c r="AK324">
        <v>63124.3148675376</v>
      </c>
      <c r="AL324">
        <v>60075</v>
      </c>
      <c r="AM324">
        <v>58.402895833333197</v>
      </c>
      <c r="AN324">
        <v>57.319013888888897</v>
      </c>
      <c r="AO324">
        <v>58.116081161406498</v>
      </c>
    </row>
    <row r="325" spans="30:41" x14ac:dyDescent="0.35">
      <c r="AD325" t="s">
        <v>12</v>
      </c>
      <c r="AE325" t="s">
        <v>252</v>
      </c>
      <c r="AF325" t="s">
        <v>186</v>
      </c>
      <c r="AG325">
        <v>5786403</v>
      </c>
      <c r="AH325">
        <v>5193865</v>
      </c>
      <c r="AI325">
        <v>5686640</v>
      </c>
      <c r="AJ325">
        <v>103783</v>
      </c>
      <c r="AK325">
        <v>101888.58144040201</v>
      </c>
      <c r="AL325">
        <v>90688</v>
      </c>
      <c r="AM325">
        <v>55.754708333333497</v>
      </c>
      <c r="AN325">
        <v>57.271763888888799</v>
      </c>
      <c r="AO325">
        <v>55.812340478272901</v>
      </c>
    </row>
    <row r="326" spans="30:41" x14ac:dyDescent="0.35">
      <c r="AD326" t="s">
        <v>104</v>
      </c>
      <c r="AE326" t="s">
        <v>246</v>
      </c>
      <c r="AF326" t="s">
        <v>185</v>
      </c>
      <c r="AG326">
        <v>3979052</v>
      </c>
      <c r="AH326">
        <v>3580872</v>
      </c>
      <c r="AI326">
        <v>3702137</v>
      </c>
      <c r="AJ326">
        <v>68100</v>
      </c>
      <c r="AK326">
        <v>63702.456785033501</v>
      </c>
      <c r="AL326">
        <v>62561</v>
      </c>
      <c r="AM326">
        <v>58.4298655913978</v>
      </c>
      <c r="AN326">
        <v>57.238266129032198</v>
      </c>
      <c r="AO326">
        <v>58.116081161406498</v>
      </c>
    </row>
    <row r="327" spans="30:41" x14ac:dyDescent="0.35">
      <c r="AD327" t="s">
        <v>14</v>
      </c>
      <c r="AE327" t="s">
        <v>260</v>
      </c>
      <c r="AF327" t="s">
        <v>187</v>
      </c>
      <c r="AG327">
        <v>3924158</v>
      </c>
      <c r="AH327">
        <v>3663874</v>
      </c>
      <c r="AI327">
        <v>3933075</v>
      </c>
      <c r="AJ327">
        <v>77425</v>
      </c>
      <c r="AK327">
        <v>76875.959932802405</v>
      </c>
      <c r="AL327">
        <v>64015</v>
      </c>
      <c r="AM327">
        <v>50.683575268817499</v>
      </c>
      <c r="AN327">
        <v>57.234643817204201</v>
      </c>
      <c r="AO327">
        <v>51.161312105083503</v>
      </c>
    </row>
    <row r="328" spans="30:41" x14ac:dyDescent="0.35">
      <c r="AD328" t="s">
        <v>14</v>
      </c>
      <c r="AE328" t="s">
        <v>261</v>
      </c>
      <c r="AF328" t="s">
        <v>184</v>
      </c>
      <c r="AG328">
        <v>4417794</v>
      </c>
      <c r="AH328">
        <v>4394655</v>
      </c>
      <c r="AI328">
        <v>4490526</v>
      </c>
      <c r="AJ328">
        <v>88391</v>
      </c>
      <c r="AK328">
        <v>83597.679010900407</v>
      </c>
      <c r="AL328">
        <v>76901</v>
      </c>
      <c r="AM328">
        <v>49.980208333333302</v>
      </c>
      <c r="AN328">
        <v>57.146770833333299</v>
      </c>
      <c r="AO328">
        <v>53.715920394326602</v>
      </c>
    </row>
    <row r="329" spans="30:41" x14ac:dyDescent="0.35">
      <c r="AD329" t="s">
        <v>12</v>
      </c>
      <c r="AE329" t="s">
        <v>250</v>
      </c>
      <c r="AF329" t="s">
        <v>186</v>
      </c>
      <c r="AG329">
        <v>4520291</v>
      </c>
      <c r="AH329">
        <v>4548748</v>
      </c>
      <c r="AI329">
        <v>40</v>
      </c>
      <c r="AJ329">
        <v>81081</v>
      </c>
      <c r="AK329">
        <v>0.72659550199253498</v>
      </c>
      <c r="AL329">
        <v>79678</v>
      </c>
      <c r="AM329">
        <v>55.7504305555561</v>
      </c>
      <c r="AN329">
        <v>57.089083333333299</v>
      </c>
      <c r="AO329">
        <v>54.652141241039402</v>
      </c>
    </row>
    <row r="330" spans="30:41" x14ac:dyDescent="0.35">
      <c r="AD330" t="s">
        <v>104</v>
      </c>
      <c r="AE330" t="s">
        <v>246</v>
      </c>
      <c r="AF330" t="s">
        <v>183</v>
      </c>
      <c r="AG330">
        <v>3719546</v>
      </c>
      <c r="AH330">
        <v>3307978</v>
      </c>
      <c r="AI330">
        <v>3381320</v>
      </c>
      <c r="AJ330">
        <v>64597</v>
      </c>
      <c r="AK330">
        <v>58182.169486084502</v>
      </c>
      <c r="AL330">
        <v>57965</v>
      </c>
      <c r="AM330">
        <v>57.580927419354801</v>
      </c>
      <c r="AN330">
        <v>57.068393817204303</v>
      </c>
      <c r="AO330">
        <v>58.116081161406498</v>
      </c>
    </row>
    <row r="331" spans="30:41" x14ac:dyDescent="0.35">
      <c r="AD331" t="s">
        <v>21</v>
      </c>
      <c r="AE331" t="s">
        <v>253</v>
      </c>
      <c r="AF331" t="s">
        <v>185</v>
      </c>
      <c r="AG331">
        <v>5387372</v>
      </c>
      <c r="AH331">
        <v>5049665</v>
      </c>
      <c r="AI331">
        <v>5142654</v>
      </c>
      <c r="AJ331">
        <v>94008</v>
      </c>
      <c r="AK331">
        <v>96406.587796308595</v>
      </c>
      <c r="AL331">
        <v>88729</v>
      </c>
      <c r="AM331">
        <v>57.3074193548387</v>
      </c>
      <c r="AN331">
        <v>56.911129032258003</v>
      </c>
      <c r="AO331">
        <v>53.343390369396602</v>
      </c>
    </row>
    <row r="332" spans="30:41" x14ac:dyDescent="0.35">
      <c r="AD332" t="s">
        <v>14</v>
      </c>
      <c r="AE332" t="s">
        <v>257</v>
      </c>
      <c r="AF332" t="s">
        <v>185</v>
      </c>
      <c r="AG332">
        <v>6302852</v>
      </c>
      <c r="AH332">
        <v>5983425</v>
      </c>
      <c r="AI332">
        <v>6091752</v>
      </c>
      <c r="AJ332">
        <v>101328</v>
      </c>
      <c r="AK332">
        <v>107300.299335355</v>
      </c>
      <c r="AL332">
        <v>105249</v>
      </c>
      <c r="AM332">
        <v>62.202479838709699</v>
      </c>
      <c r="AN332">
        <v>56.849926075268797</v>
      </c>
      <c r="AO332">
        <v>56.772923994003698</v>
      </c>
    </row>
    <row r="333" spans="30:41" x14ac:dyDescent="0.35">
      <c r="AD333" t="s">
        <v>104</v>
      </c>
      <c r="AE333" t="s">
        <v>254</v>
      </c>
      <c r="AF333" t="s">
        <v>183</v>
      </c>
      <c r="AG333">
        <v>2681978</v>
      </c>
      <c r="AH333">
        <v>2511906</v>
      </c>
      <c r="AI333">
        <v>2563659</v>
      </c>
      <c r="AJ333">
        <v>53519</v>
      </c>
      <c r="AK333">
        <v>51215.621253451704</v>
      </c>
      <c r="AL333">
        <v>44207</v>
      </c>
      <c r="AM333">
        <v>50.112426075268701</v>
      </c>
      <c r="AN333">
        <v>56.821041666666602</v>
      </c>
      <c r="AO333">
        <v>50.0561866937662</v>
      </c>
    </row>
    <row r="334" spans="30:41" x14ac:dyDescent="0.35">
      <c r="AD334" t="s">
        <v>12</v>
      </c>
      <c r="AE334" t="s">
        <v>250</v>
      </c>
      <c r="AF334" t="s">
        <v>183</v>
      </c>
      <c r="AG334">
        <v>4469325</v>
      </c>
      <c r="AH334">
        <v>4882180</v>
      </c>
      <c r="AI334">
        <v>5809913</v>
      </c>
      <c r="AJ334">
        <v>79764</v>
      </c>
      <c r="AK334">
        <v>106307.15015859601</v>
      </c>
      <c r="AL334">
        <v>86019</v>
      </c>
      <c r="AM334">
        <v>56.032036290322502</v>
      </c>
      <c r="AN334">
        <v>56.757157258064503</v>
      </c>
      <c r="AO334">
        <v>54.652141241039402</v>
      </c>
    </row>
    <row r="335" spans="30:41" x14ac:dyDescent="0.35">
      <c r="AD335" t="s">
        <v>12</v>
      </c>
      <c r="AE335" t="s">
        <v>259</v>
      </c>
      <c r="AF335" t="s">
        <v>187</v>
      </c>
      <c r="AG335">
        <v>6998744</v>
      </c>
      <c r="AH335">
        <v>6023437</v>
      </c>
      <c r="AI335">
        <v>6370430</v>
      </c>
      <c r="AJ335">
        <v>123778</v>
      </c>
      <c r="AK335">
        <v>115011.473786733</v>
      </c>
      <c r="AL335">
        <v>106130</v>
      </c>
      <c r="AM335">
        <v>56.542923387096899</v>
      </c>
      <c r="AN335">
        <v>56.755369623655902</v>
      </c>
      <c r="AO335">
        <v>55.389519717073902</v>
      </c>
    </row>
    <row r="336" spans="30:41" x14ac:dyDescent="0.35">
      <c r="AD336" t="s">
        <v>17</v>
      </c>
      <c r="AE336" t="s">
        <v>251</v>
      </c>
      <c r="AF336" t="s">
        <v>183</v>
      </c>
      <c r="AG336">
        <v>5704413</v>
      </c>
      <c r="AH336">
        <v>5200158</v>
      </c>
      <c r="AI336">
        <v>6127396</v>
      </c>
      <c r="AJ336">
        <v>104552</v>
      </c>
      <c r="AK336">
        <v>108585.220989685</v>
      </c>
      <c r="AL336">
        <v>91629</v>
      </c>
      <c r="AM336">
        <v>54.560295698924698</v>
      </c>
      <c r="AN336">
        <v>56.752170698924701</v>
      </c>
      <c r="AO336">
        <v>56.429371630436002</v>
      </c>
    </row>
    <row r="337" spans="30:41" x14ac:dyDescent="0.35">
      <c r="AD337" t="s">
        <v>17</v>
      </c>
      <c r="AE337" t="s">
        <v>256</v>
      </c>
      <c r="AF337" t="s">
        <v>184</v>
      </c>
      <c r="AG337">
        <v>7240401</v>
      </c>
      <c r="AH337">
        <v>6269034</v>
      </c>
      <c r="AI337">
        <v>6619892</v>
      </c>
      <c r="AJ337">
        <v>125714</v>
      </c>
      <c r="AK337">
        <v>123082.369567085</v>
      </c>
      <c r="AL337">
        <v>110485</v>
      </c>
      <c r="AM337">
        <v>57.594374999999999</v>
      </c>
      <c r="AN337">
        <v>56.741093749999997</v>
      </c>
      <c r="AO337">
        <v>53.7842448352594</v>
      </c>
    </row>
    <row r="338" spans="30:41" x14ac:dyDescent="0.35">
      <c r="AD338" t="s">
        <v>19</v>
      </c>
      <c r="AE338" t="s">
        <v>247</v>
      </c>
      <c r="AF338" t="s">
        <v>186</v>
      </c>
      <c r="AG338">
        <v>5259503</v>
      </c>
      <c r="AH338">
        <v>4857724</v>
      </c>
      <c r="AI338">
        <v>4977930</v>
      </c>
      <c r="AJ338">
        <v>103979</v>
      </c>
      <c r="AK338">
        <v>91060.884787971503</v>
      </c>
      <c r="AL338">
        <v>85618</v>
      </c>
      <c r="AM338">
        <v>50.582534722221801</v>
      </c>
      <c r="AN338">
        <v>56.737479166666603</v>
      </c>
      <c r="AO338">
        <v>54.665953766984899</v>
      </c>
    </row>
    <row r="339" spans="30:41" x14ac:dyDescent="0.35">
      <c r="AD339" t="s">
        <v>14</v>
      </c>
      <c r="AE339" t="s">
        <v>257</v>
      </c>
      <c r="AF339" t="s">
        <v>186</v>
      </c>
      <c r="AG339">
        <v>5337820</v>
      </c>
      <c r="AH339">
        <v>4828770</v>
      </c>
      <c r="AI339">
        <v>4996231</v>
      </c>
      <c r="AJ339">
        <v>91569</v>
      </c>
      <c r="AK339">
        <v>88003.761318118603</v>
      </c>
      <c r="AL339">
        <v>85130</v>
      </c>
      <c r="AM339">
        <v>58.292645833333999</v>
      </c>
      <c r="AN339">
        <v>56.722604166666599</v>
      </c>
      <c r="AO339">
        <v>56.772923994003698</v>
      </c>
    </row>
    <row r="340" spans="30:41" x14ac:dyDescent="0.35">
      <c r="AD340" t="s">
        <v>21</v>
      </c>
      <c r="AE340" t="s">
        <v>253</v>
      </c>
      <c r="AF340" t="s">
        <v>186</v>
      </c>
      <c r="AG340">
        <v>4686481</v>
      </c>
      <c r="AH340">
        <v>4436510</v>
      </c>
      <c r="AI340">
        <v>4711109</v>
      </c>
      <c r="AJ340">
        <v>89713</v>
      </c>
      <c r="AK340">
        <v>88316.642593883298</v>
      </c>
      <c r="AL340">
        <v>78311</v>
      </c>
      <c r="AM340">
        <v>52.238715277778297</v>
      </c>
      <c r="AN340">
        <v>56.652652777777703</v>
      </c>
      <c r="AO340">
        <v>53.343390369396602</v>
      </c>
    </row>
    <row r="341" spans="30:41" x14ac:dyDescent="0.35">
      <c r="AD341" t="s">
        <v>21</v>
      </c>
      <c r="AE341" t="s">
        <v>253</v>
      </c>
      <c r="AF341" t="s">
        <v>187</v>
      </c>
      <c r="AG341">
        <v>5256475</v>
      </c>
      <c r="AH341">
        <v>4730881</v>
      </c>
      <c r="AI341">
        <v>5014376</v>
      </c>
      <c r="AJ341">
        <v>98500</v>
      </c>
      <c r="AK341">
        <v>94001.815560954099</v>
      </c>
      <c r="AL341">
        <v>83680</v>
      </c>
      <c r="AM341">
        <v>53.365450268817703</v>
      </c>
      <c r="AN341">
        <v>56.535490591397803</v>
      </c>
      <c r="AO341">
        <v>53.343390369396602</v>
      </c>
    </row>
    <row r="342" spans="30:41" x14ac:dyDescent="0.35">
      <c r="AD342" t="s">
        <v>12</v>
      </c>
      <c r="AE342" t="s">
        <v>250</v>
      </c>
      <c r="AF342" t="s">
        <v>184</v>
      </c>
      <c r="AG342">
        <v>4465768</v>
      </c>
      <c r="AH342">
        <v>4326984</v>
      </c>
      <c r="AI342">
        <v>5250935</v>
      </c>
      <c r="AJ342">
        <v>72204</v>
      </c>
      <c r="AK342">
        <v>96079.2229409844</v>
      </c>
      <c r="AL342">
        <v>76616</v>
      </c>
      <c r="AM342">
        <v>61.849322916666601</v>
      </c>
      <c r="AN342">
        <v>56.476093749999997</v>
      </c>
      <c r="AO342">
        <v>54.652141241039402</v>
      </c>
    </row>
    <row r="343" spans="30:41" x14ac:dyDescent="0.35">
      <c r="AD343" t="s">
        <v>14</v>
      </c>
      <c r="AE343" t="s">
        <v>248</v>
      </c>
      <c r="AF343" t="s">
        <v>188</v>
      </c>
      <c r="AG343">
        <v>4731533</v>
      </c>
      <c r="AH343">
        <v>4483416</v>
      </c>
      <c r="AI343">
        <v>4716391</v>
      </c>
      <c r="AJ343">
        <v>85645</v>
      </c>
      <c r="AK343">
        <v>83074.651099494804</v>
      </c>
      <c r="AL343">
        <v>79388</v>
      </c>
      <c r="AM343">
        <v>55.2460416666665</v>
      </c>
      <c r="AN343">
        <v>56.474833333333301</v>
      </c>
      <c r="AO343">
        <v>56.772923994003698</v>
      </c>
    </row>
    <row r="344" spans="30:41" x14ac:dyDescent="0.35">
      <c r="AD344" t="s">
        <v>17</v>
      </c>
      <c r="AE344" t="s">
        <v>251</v>
      </c>
      <c r="AF344" t="s">
        <v>188</v>
      </c>
      <c r="AG344">
        <v>6223966</v>
      </c>
      <c r="AH344">
        <v>5372116</v>
      </c>
      <c r="AI344">
        <v>6188659</v>
      </c>
      <c r="AJ344">
        <v>103380</v>
      </c>
      <c r="AK344">
        <v>109670.88494854</v>
      </c>
      <c r="AL344">
        <v>95136</v>
      </c>
      <c r="AM344">
        <v>60.204909722222801</v>
      </c>
      <c r="AN344">
        <v>56.467833333333303</v>
      </c>
      <c r="AO344">
        <v>56.429371630436002</v>
      </c>
    </row>
    <row r="345" spans="30:41" x14ac:dyDescent="0.35">
      <c r="AD345" t="s">
        <v>17</v>
      </c>
      <c r="AE345" t="s">
        <v>251</v>
      </c>
      <c r="AF345" t="s">
        <v>187</v>
      </c>
      <c r="AG345">
        <v>6681528</v>
      </c>
      <c r="AH345">
        <v>6027624</v>
      </c>
      <c r="AI345">
        <v>7281451</v>
      </c>
      <c r="AJ345">
        <v>103191</v>
      </c>
      <c r="AK345">
        <v>129036.53785101901</v>
      </c>
      <c r="AL345">
        <v>106748</v>
      </c>
      <c r="AM345">
        <v>64.748965053763399</v>
      </c>
      <c r="AN345">
        <v>56.465725806451601</v>
      </c>
      <c r="AO345">
        <v>56.429371630436002</v>
      </c>
    </row>
    <row r="346" spans="30:41" x14ac:dyDescent="0.35">
      <c r="AD346" t="s">
        <v>12</v>
      </c>
      <c r="AE346" t="s">
        <v>259</v>
      </c>
      <c r="AF346" t="s">
        <v>184</v>
      </c>
      <c r="AG346">
        <v>6631508</v>
      </c>
      <c r="AH346">
        <v>5664677</v>
      </c>
      <c r="AI346">
        <v>5310382</v>
      </c>
      <c r="AJ346">
        <v>112809</v>
      </c>
      <c r="AK346">
        <v>95873.406646692107</v>
      </c>
      <c r="AL346">
        <v>100473</v>
      </c>
      <c r="AM346">
        <v>58.785260416666603</v>
      </c>
      <c r="AN346">
        <v>56.380260416666601</v>
      </c>
      <c r="AO346">
        <v>55.389519717073902</v>
      </c>
    </row>
    <row r="347" spans="30:41" x14ac:dyDescent="0.35">
      <c r="AD347" t="s">
        <v>21</v>
      </c>
      <c r="AE347" t="s">
        <v>242</v>
      </c>
      <c r="AF347" t="s">
        <v>186</v>
      </c>
      <c r="AG347">
        <v>6117805</v>
      </c>
      <c r="AH347">
        <v>6293126</v>
      </c>
      <c r="AI347">
        <v>7376601</v>
      </c>
      <c r="AJ347">
        <v>98019</v>
      </c>
      <c r="AK347">
        <v>117010.55428062299</v>
      </c>
      <c r="AL347">
        <v>111708</v>
      </c>
      <c r="AM347">
        <v>62.414381944446099</v>
      </c>
      <c r="AN347">
        <v>56.335659722222204</v>
      </c>
      <c r="AO347">
        <v>63.0421886183778</v>
      </c>
    </row>
    <row r="348" spans="30:41" x14ac:dyDescent="0.35">
      <c r="AD348" t="s">
        <v>12</v>
      </c>
      <c r="AE348" t="s">
        <v>250</v>
      </c>
      <c r="AF348" t="s">
        <v>188</v>
      </c>
      <c r="AG348">
        <v>4235429</v>
      </c>
      <c r="AH348">
        <v>4519456</v>
      </c>
      <c r="AI348">
        <v>140</v>
      </c>
      <c r="AJ348">
        <v>75558</v>
      </c>
      <c r="AK348">
        <v>2.55982651041943</v>
      </c>
      <c r="AL348">
        <v>80314</v>
      </c>
      <c r="AM348">
        <v>56.055368055555498</v>
      </c>
      <c r="AN348">
        <v>56.272319444444399</v>
      </c>
      <c r="AO348">
        <v>54.652141241039402</v>
      </c>
    </row>
    <row r="349" spans="30:41" x14ac:dyDescent="0.35">
      <c r="AD349" t="s">
        <v>14</v>
      </c>
      <c r="AE349" t="s">
        <v>257</v>
      </c>
      <c r="AF349" t="s">
        <v>188</v>
      </c>
      <c r="AG349">
        <v>5040977</v>
      </c>
      <c r="AH349">
        <v>4608563</v>
      </c>
      <c r="AI349">
        <v>4789990</v>
      </c>
      <c r="AJ349">
        <v>87789</v>
      </c>
      <c r="AK349">
        <v>84371.030484635703</v>
      </c>
      <c r="AL349">
        <v>82064</v>
      </c>
      <c r="AM349">
        <v>57.421437500000302</v>
      </c>
      <c r="AN349">
        <v>56.158374999999999</v>
      </c>
      <c r="AO349">
        <v>56.772923994003698</v>
      </c>
    </row>
    <row r="350" spans="30:41" x14ac:dyDescent="0.35">
      <c r="AD350" t="s">
        <v>21</v>
      </c>
      <c r="AE350" t="s">
        <v>255</v>
      </c>
      <c r="AF350" t="s">
        <v>188</v>
      </c>
      <c r="AG350">
        <v>5245173</v>
      </c>
      <c r="AH350">
        <v>4358586</v>
      </c>
      <c r="AI350">
        <v>4724861</v>
      </c>
      <c r="AJ350">
        <v>109201</v>
      </c>
      <c r="AK350">
        <v>88681.5792300662</v>
      </c>
      <c r="AL350">
        <v>77795</v>
      </c>
      <c r="AM350">
        <v>48.032104166666798</v>
      </c>
      <c r="AN350">
        <v>56.026687499999902</v>
      </c>
      <c r="AO350">
        <v>53.278949580299098</v>
      </c>
    </row>
    <row r="351" spans="30:41" x14ac:dyDescent="0.35">
      <c r="AD351" t="s">
        <v>12</v>
      </c>
      <c r="AE351" t="s">
        <v>262</v>
      </c>
      <c r="AF351" t="s">
        <v>188</v>
      </c>
      <c r="AG351">
        <v>3962124</v>
      </c>
      <c r="AH351">
        <v>3556361</v>
      </c>
      <c r="AI351">
        <v>3815145</v>
      </c>
      <c r="AJ351">
        <v>76950</v>
      </c>
      <c r="AK351">
        <v>78000.088291173102</v>
      </c>
      <c r="AL351">
        <v>63551</v>
      </c>
      <c r="AM351">
        <v>51.489277777777502</v>
      </c>
      <c r="AN351">
        <v>55.960576388888803</v>
      </c>
      <c r="AO351">
        <v>48.912057594834003</v>
      </c>
    </row>
    <row r="352" spans="30:41" x14ac:dyDescent="0.35">
      <c r="AD352" t="s">
        <v>104</v>
      </c>
      <c r="AE352" t="s">
        <v>254</v>
      </c>
      <c r="AF352" t="s">
        <v>184</v>
      </c>
      <c r="AG352">
        <v>2571073</v>
      </c>
      <c r="AH352">
        <v>2559403</v>
      </c>
      <c r="AI352">
        <v>2587138</v>
      </c>
      <c r="AJ352">
        <v>49026</v>
      </c>
      <c r="AK352">
        <v>51684.680707453699</v>
      </c>
      <c r="AL352">
        <v>45778</v>
      </c>
      <c r="AM352">
        <v>52.4427083333333</v>
      </c>
      <c r="AN352">
        <v>55.909114583333299</v>
      </c>
      <c r="AO352">
        <v>50.0561866937662</v>
      </c>
    </row>
    <row r="353" spans="30:41" x14ac:dyDescent="0.35">
      <c r="AD353" t="s">
        <v>12</v>
      </c>
      <c r="AE353" t="s">
        <v>252</v>
      </c>
      <c r="AF353" t="s">
        <v>183</v>
      </c>
      <c r="AG353">
        <v>5402380</v>
      </c>
      <c r="AH353">
        <v>5074248</v>
      </c>
      <c r="AI353">
        <v>5336477</v>
      </c>
      <c r="AJ353">
        <v>92811</v>
      </c>
      <c r="AK353">
        <v>95614.636565499706</v>
      </c>
      <c r="AL353">
        <v>90900</v>
      </c>
      <c r="AM353">
        <v>58.208151881720397</v>
      </c>
      <c r="AN353">
        <v>55.822083333333303</v>
      </c>
      <c r="AO353">
        <v>55.812340478272901</v>
      </c>
    </row>
    <row r="354" spans="30:41" x14ac:dyDescent="0.35">
      <c r="AD354" t="s">
        <v>14</v>
      </c>
      <c r="AE354" t="s">
        <v>248</v>
      </c>
      <c r="AF354" t="s">
        <v>186</v>
      </c>
      <c r="AG354">
        <v>4908748</v>
      </c>
      <c r="AH354">
        <v>4860857</v>
      </c>
      <c r="AI354">
        <v>4929668</v>
      </c>
      <c r="AJ354">
        <v>90275</v>
      </c>
      <c r="AK354">
        <v>86831.322744987701</v>
      </c>
      <c r="AL354">
        <v>87303</v>
      </c>
      <c r="AM354">
        <v>54.375756944444802</v>
      </c>
      <c r="AN354">
        <v>55.677999999999997</v>
      </c>
      <c r="AO354">
        <v>56.772923994003698</v>
      </c>
    </row>
    <row r="355" spans="30:41" x14ac:dyDescent="0.35">
      <c r="AD355" t="s">
        <v>14</v>
      </c>
      <c r="AE355" t="s">
        <v>260</v>
      </c>
      <c r="AF355" t="s">
        <v>185</v>
      </c>
      <c r="AG355">
        <v>4863032</v>
      </c>
      <c r="AH355">
        <v>4826621</v>
      </c>
      <c r="AI355">
        <v>4603973</v>
      </c>
      <c r="AJ355">
        <v>91558</v>
      </c>
      <c r="AK355">
        <v>89989.354748048703</v>
      </c>
      <c r="AL355">
        <v>86785</v>
      </c>
      <c r="AM355">
        <v>53.114287634408498</v>
      </c>
      <c r="AN355">
        <v>55.615752688172002</v>
      </c>
      <c r="AO355">
        <v>51.161312105083503</v>
      </c>
    </row>
    <row r="356" spans="30:41" x14ac:dyDescent="0.35">
      <c r="AD356" t="s">
        <v>21</v>
      </c>
      <c r="AE356" t="s">
        <v>263</v>
      </c>
      <c r="AF356" t="s">
        <v>184</v>
      </c>
      <c r="AG356">
        <v>5040093</v>
      </c>
      <c r="AH356">
        <v>4488193</v>
      </c>
      <c r="AI356">
        <v>4942631</v>
      </c>
      <c r="AJ356">
        <v>96582</v>
      </c>
      <c r="AK356">
        <v>101922.539069604</v>
      </c>
      <c r="AL356">
        <v>80787</v>
      </c>
      <c r="AM356">
        <v>52.1845833333333</v>
      </c>
      <c r="AN356">
        <v>55.556041666666601</v>
      </c>
      <c r="AO356">
        <v>48.493991244905999</v>
      </c>
    </row>
    <row r="357" spans="30:41" x14ac:dyDescent="0.35">
      <c r="AD357" t="s">
        <v>14</v>
      </c>
      <c r="AE357" t="s">
        <v>257</v>
      </c>
      <c r="AF357" t="s">
        <v>184</v>
      </c>
      <c r="AG357">
        <v>5222212</v>
      </c>
      <c r="AH357">
        <v>4835070</v>
      </c>
      <c r="AI357">
        <v>4932110</v>
      </c>
      <c r="AJ357">
        <v>86074</v>
      </c>
      <c r="AK357">
        <v>86874.3317152542</v>
      </c>
      <c r="AL357">
        <v>87101</v>
      </c>
      <c r="AM357">
        <v>60.671041666666603</v>
      </c>
      <c r="AN357">
        <v>55.511302083333298</v>
      </c>
      <c r="AO357">
        <v>56.772923994003698</v>
      </c>
    </row>
    <row r="358" spans="30:41" x14ac:dyDescent="0.35">
      <c r="AD358" t="s">
        <v>12</v>
      </c>
      <c r="AE358" t="s">
        <v>262</v>
      </c>
      <c r="AF358" t="s">
        <v>186</v>
      </c>
      <c r="AG358">
        <v>4232125</v>
      </c>
      <c r="AH358">
        <v>3724737</v>
      </c>
      <c r="AI358">
        <v>3927115</v>
      </c>
      <c r="AJ358">
        <v>82588</v>
      </c>
      <c r="AK358">
        <v>80289.308193298595</v>
      </c>
      <c r="AL358">
        <v>67140</v>
      </c>
      <c r="AM358">
        <v>51.243694444444202</v>
      </c>
      <c r="AN358">
        <v>55.4774305555555</v>
      </c>
      <c r="AO358">
        <v>48.912057594834003</v>
      </c>
    </row>
    <row r="359" spans="30:41" x14ac:dyDescent="0.35">
      <c r="AD359" t="s">
        <v>12</v>
      </c>
      <c r="AE359" t="s">
        <v>264</v>
      </c>
      <c r="AF359" t="s">
        <v>185</v>
      </c>
      <c r="AG359">
        <v>4881000</v>
      </c>
      <c r="AH359">
        <v>5410300</v>
      </c>
      <c r="AI359">
        <v>5577497</v>
      </c>
      <c r="AJ359">
        <v>93241</v>
      </c>
      <c r="AK359">
        <v>118254.49120105999</v>
      </c>
      <c r="AL359">
        <v>97830</v>
      </c>
      <c r="AM359">
        <v>52.347956989247301</v>
      </c>
      <c r="AN359">
        <v>55.303245967741901</v>
      </c>
      <c r="AO359">
        <v>47.1651983950185</v>
      </c>
    </row>
    <row r="360" spans="30:41" x14ac:dyDescent="0.35">
      <c r="AD360" t="s">
        <v>19</v>
      </c>
      <c r="AE360" t="s">
        <v>265</v>
      </c>
      <c r="AF360" t="s">
        <v>185</v>
      </c>
      <c r="AG360">
        <v>6484451</v>
      </c>
      <c r="AH360">
        <v>5861082</v>
      </c>
      <c r="AI360">
        <v>6725559</v>
      </c>
      <c r="AJ360">
        <v>120071</v>
      </c>
      <c r="AK360">
        <v>132658.56321990301</v>
      </c>
      <c r="AL360">
        <v>106437</v>
      </c>
      <c r="AM360">
        <v>54.005282258064497</v>
      </c>
      <c r="AN360">
        <v>55.066102150537603</v>
      </c>
      <c r="AO360">
        <v>50.698263574219901</v>
      </c>
    </row>
    <row r="361" spans="30:41" x14ac:dyDescent="0.35">
      <c r="AD361" t="s">
        <v>14</v>
      </c>
      <c r="AE361" t="s">
        <v>261</v>
      </c>
      <c r="AF361" t="s">
        <v>185</v>
      </c>
      <c r="AG361">
        <v>5004846</v>
      </c>
      <c r="AH361">
        <v>5149693</v>
      </c>
      <c r="AI361">
        <v>5184758</v>
      </c>
      <c r="AJ361">
        <v>104067</v>
      </c>
      <c r="AK361">
        <v>96521.804785971806</v>
      </c>
      <c r="AL361">
        <v>93543</v>
      </c>
      <c r="AM361">
        <v>48.092634408602102</v>
      </c>
      <c r="AN361">
        <v>55.051377688172003</v>
      </c>
      <c r="AO361">
        <v>53.715920394326602</v>
      </c>
    </row>
    <row r="362" spans="30:41" x14ac:dyDescent="0.35">
      <c r="AD362" t="s">
        <v>21</v>
      </c>
      <c r="AE362" t="s">
        <v>253</v>
      </c>
      <c r="AF362" t="s">
        <v>188</v>
      </c>
      <c r="AG362">
        <v>4853515</v>
      </c>
      <c r="AH362">
        <v>4212440</v>
      </c>
      <c r="AI362">
        <v>4387375</v>
      </c>
      <c r="AJ362">
        <v>90082</v>
      </c>
      <c r="AK362">
        <v>82247.775271086997</v>
      </c>
      <c r="AL362">
        <v>76546</v>
      </c>
      <c r="AM362">
        <v>53.878999999999898</v>
      </c>
      <c r="AN362">
        <v>55.031472222222199</v>
      </c>
      <c r="AO362">
        <v>53.343390369396602</v>
      </c>
    </row>
    <row r="363" spans="30:41" x14ac:dyDescent="0.35">
      <c r="AD363" t="s">
        <v>14</v>
      </c>
      <c r="AE363" t="s">
        <v>260</v>
      </c>
      <c r="AF363" t="s">
        <v>184</v>
      </c>
      <c r="AG363">
        <v>3822749</v>
      </c>
      <c r="AH363">
        <v>3438742</v>
      </c>
      <c r="AI363">
        <v>3648045</v>
      </c>
      <c r="AJ363">
        <v>73922</v>
      </c>
      <c r="AK363">
        <v>71304.762110225798</v>
      </c>
      <c r="AL363">
        <v>62492</v>
      </c>
      <c r="AM363">
        <v>51.7135416666666</v>
      </c>
      <c r="AN363">
        <v>55.027083333333302</v>
      </c>
      <c r="AO363">
        <v>51.161312105083503</v>
      </c>
    </row>
    <row r="364" spans="30:41" x14ac:dyDescent="0.35">
      <c r="AD364" t="s">
        <v>12</v>
      </c>
      <c r="AE364" t="s">
        <v>262</v>
      </c>
      <c r="AF364" t="s">
        <v>187</v>
      </c>
      <c r="AG364">
        <v>4505027</v>
      </c>
      <c r="AH364">
        <v>3962713</v>
      </c>
      <c r="AI364">
        <v>4270737</v>
      </c>
      <c r="AJ364">
        <v>87496</v>
      </c>
      <c r="AK364">
        <v>87314.602795427403</v>
      </c>
      <c r="AL364">
        <v>72037</v>
      </c>
      <c r="AM364">
        <v>51.488622311828102</v>
      </c>
      <c r="AN364">
        <v>55.009509408602099</v>
      </c>
      <c r="AO364">
        <v>48.912057594834003</v>
      </c>
    </row>
    <row r="365" spans="30:41" x14ac:dyDescent="0.35">
      <c r="AD365" t="s">
        <v>17</v>
      </c>
      <c r="AE365" t="s">
        <v>251</v>
      </c>
      <c r="AF365" t="s">
        <v>186</v>
      </c>
      <c r="AG365">
        <v>6471814</v>
      </c>
      <c r="AH365">
        <v>5696436</v>
      </c>
      <c r="AI365">
        <v>7202295</v>
      </c>
      <c r="AJ365">
        <v>96862</v>
      </c>
      <c r="AK365">
        <v>127633.794277718</v>
      </c>
      <c r="AL365">
        <v>103643</v>
      </c>
      <c r="AM365">
        <v>66.815000000001803</v>
      </c>
      <c r="AN365">
        <v>54.961909722222202</v>
      </c>
      <c r="AO365">
        <v>56.429371630436002</v>
      </c>
    </row>
    <row r="366" spans="30:41" x14ac:dyDescent="0.35">
      <c r="AD366" t="s">
        <v>17</v>
      </c>
      <c r="AE366" t="s">
        <v>256</v>
      </c>
      <c r="AF366" t="s">
        <v>186</v>
      </c>
      <c r="AG366">
        <v>6934665</v>
      </c>
      <c r="AH366">
        <v>5907237</v>
      </c>
      <c r="AI366">
        <v>6387424</v>
      </c>
      <c r="AJ366">
        <v>127766</v>
      </c>
      <c r="AK366">
        <v>118760.137617709</v>
      </c>
      <c r="AL366">
        <v>107627</v>
      </c>
      <c r="AM366">
        <v>54.276104166666897</v>
      </c>
      <c r="AN366">
        <v>54.886270833333299</v>
      </c>
      <c r="AO366">
        <v>53.7842448352594</v>
      </c>
    </row>
    <row r="367" spans="30:41" x14ac:dyDescent="0.35">
      <c r="AD367" t="s">
        <v>17</v>
      </c>
      <c r="AE367" t="s">
        <v>266</v>
      </c>
      <c r="AF367" t="s">
        <v>188</v>
      </c>
      <c r="AG367">
        <v>4208188</v>
      </c>
      <c r="AH367">
        <v>4380564</v>
      </c>
      <c r="AI367">
        <v>4686930</v>
      </c>
      <c r="AJ367">
        <v>81464</v>
      </c>
      <c r="AK367">
        <v>91650.577626825601</v>
      </c>
      <c r="AL367">
        <v>79872</v>
      </c>
      <c r="AM367">
        <v>51.656888888888702</v>
      </c>
      <c r="AN367">
        <v>54.844756944444399</v>
      </c>
      <c r="AO367">
        <v>51.1391180400827</v>
      </c>
    </row>
    <row r="368" spans="30:41" x14ac:dyDescent="0.35">
      <c r="AD368" t="s">
        <v>14</v>
      </c>
      <c r="AE368" t="s">
        <v>260</v>
      </c>
      <c r="AF368" t="s">
        <v>186</v>
      </c>
      <c r="AG368">
        <v>3761302</v>
      </c>
      <c r="AH368">
        <v>3445128</v>
      </c>
      <c r="AI368">
        <v>3555402</v>
      </c>
      <c r="AJ368">
        <v>75292</v>
      </c>
      <c r="AK368">
        <v>69493.953135864198</v>
      </c>
      <c r="AL368">
        <v>62920</v>
      </c>
      <c r="AM368">
        <v>49.956326388888797</v>
      </c>
      <c r="AN368">
        <v>54.754243055555499</v>
      </c>
      <c r="AO368">
        <v>51.161312105083503</v>
      </c>
    </row>
    <row r="369" spans="30:41" x14ac:dyDescent="0.35">
      <c r="AD369" t="s">
        <v>19</v>
      </c>
      <c r="AE369" t="s">
        <v>265</v>
      </c>
      <c r="AF369" t="s">
        <v>183</v>
      </c>
      <c r="AG369">
        <v>5370817</v>
      </c>
      <c r="AH369">
        <v>5124832</v>
      </c>
      <c r="AI369">
        <v>4912839</v>
      </c>
      <c r="AJ369">
        <v>97397</v>
      </c>
      <c r="AK369">
        <v>96903.494335813404</v>
      </c>
      <c r="AL369">
        <v>93693</v>
      </c>
      <c r="AM369">
        <v>55.143440860215001</v>
      </c>
      <c r="AN369">
        <v>54.6980376344085</v>
      </c>
      <c r="AO369">
        <v>50.698263574219901</v>
      </c>
    </row>
    <row r="370" spans="30:41" x14ac:dyDescent="0.35">
      <c r="AD370" t="s">
        <v>104</v>
      </c>
      <c r="AE370" t="s">
        <v>258</v>
      </c>
      <c r="AF370" t="s">
        <v>183</v>
      </c>
      <c r="AG370">
        <v>3274355</v>
      </c>
      <c r="AH370">
        <v>3197874</v>
      </c>
      <c r="AI370">
        <v>3294666</v>
      </c>
      <c r="AJ370">
        <v>58768</v>
      </c>
      <c r="AK370">
        <v>59287.6666071484</v>
      </c>
      <c r="AL370">
        <v>58583</v>
      </c>
      <c r="AM370">
        <v>55.716518817204303</v>
      </c>
      <c r="AN370">
        <v>54.5870161290322</v>
      </c>
      <c r="AO370">
        <v>55.570851329520103</v>
      </c>
    </row>
    <row r="371" spans="30:41" x14ac:dyDescent="0.35">
      <c r="AD371" t="s">
        <v>19</v>
      </c>
      <c r="AE371" t="s">
        <v>265</v>
      </c>
      <c r="AF371" t="s">
        <v>184</v>
      </c>
      <c r="AG371">
        <v>5312500</v>
      </c>
      <c r="AH371">
        <v>4919073</v>
      </c>
      <c r="AI371">
        <v>4754064</v>
      </c>
      <c r="AJ371">
        <v>96774</v>
      </c>
      <c r="AK371">
        <v>93771.729107452906</v>
      </c>
      <c r="AL371">
        <v>90235</v>
      </c>
      <c r="AM371">
        <v>54.8958333333333</v>
      </c>
      <c r="AN371">
        <v>54.513906249999899</v>
      </c>
      <c r="AO371">
        <v>50.698263574219901</v>
      </c>
    </row>
    <row r="372" spans="30:41" x14ac:dyDescent="0.35">
      <c r="AD372" t="s">
        <v>12</v>
      </c>
      <c r="AE372" t="s">
        <v>259</v>
      </c>
      <c r="AF372" t="s">
        <v>183</v>
      </c>
      <c r="AG372">
        <v>6201146</v>
      </c>
      <c r="AH372">
        <v>5440157</v>
      </c>
      <c r="AI372">
        <v>5350862</v>
      </c>
      <c r="AJ372">
        <v>106480</v>
      </c>
      <c r="AK372">
        <v>96604.228827616796</v>
      </c>
      <c r="AL372">
        <v>99825</v>
      </c>
      <c r="AM372">
        <v>58.237788978494599</v>
      </c>
      <c r="AN372">
        <v>54.497022849462297</v>
      </c>
      <c r="AO372">
        <v>55.389519717073902</v>
      </c>
    </row>
    <row r="373" spans="30:41" x14ac:dyDescent="0.35">
      <c r="AD373" t="s">
        <v>19</v>
      </c>
      <c r="AE373" t="s">
        <v>265</v>
      </c>
      <c r="AF373" t="s">
        <v>187</v>
      </c>
      <c r="AG373">
        <v>5144020</v>
      </c>
      <c r="AH373">
        <v>4795836</v>
      </c>
      <c r="AI373">
        <v>5106877</v>
      </c>
      <c r="AJ373">
        <v>99397</v>
      </c>
      <c r="AK373">
        <v>100730.808569484</v>
      </c>
      <c r="AL373">
        <v>88083</v>
      </c>
      <c r="AM373">
        <v>51.752439516129499</v>
      </c>
      <c r="AN373">
        <v>54.446686827956903</v>
      </c>
      <c r="AO373">
        <v>50.698263574219901</v>
      </c>
    </row>
    <row r="374" spans="30:41" x14ac:dyDescent="0.35">
      <c r="AD374" t="s">
        <v>12</v>
      </c>
      <c r="AE374" t="s">
        <v>250</v>
      </c>
      <c r="AF374" t="s">
        <v>187</v>
      </c>
      <c r="AG374">
        <v>4588627</v>
      </c>
      <c r="AH374">
        <v>4736377</v>
      </c>
      <c r="AI374">
        <v>49</v>
      </c>
      <c r="AJ374">
        <v>84391</v>
      </c>
      <c r="AK374">
        <v>0.89401803644813105</v>
      </c>
      <c r="AL374">
        <v>87126</v>
      </c>
      <c r="AM374">
        <v>54.3732056451612</v>
      </c>
      <c r="AN374">
        <v>54.3626680107526</v>
      </c>
      <c r="AO374">
        <v>54.652141241039402</v>
      </c>
    </row>
    <row r="375" spans="30:41" x14ac:dyDescent="0.35">
      <c r="AD375" t="s">
        <v>21</v>
      </c>
      <c r="AE375" t="s">
        <v>263</v>
      </c>
      <c r="AF375" t="s">
        <v>187</v>
      </c>
      <c r="AG375">
        <v>5521085</v>
      </c>
      <c r="AH375">
        <v>5002698</v>
      </c>
      <c r="AI375">
        <v>5431442</v>
      </c>
      <c r="AJ375">
        <v>96745</v>
      </c>
      <c r="AK375">
        <v>112002.373786268</v>
      </c>
      <c r="AL375">
        <v>92126</v>
      </c>
      <c r="AM375">
        <v>57.068346774193401</v>
      </c>
      <c r="AN375">
        <v>54.302688172042899</v>
      </c>
      <c r="AO375">
        <v>48.493991244905999</v>
      </c>
    </row>
    <row r="376" spans="30:41" x14ac:dyDescent="0.35">
      <c r="AD376" t="s">
        <v>21</v>
      </c>
      <c r="AE376" t="s">
        <v>263</v>
      </c>
      <c r="AF376" t="s">
        <v>185</v>
      </c>
      <c r="AG376">
        <v>6308309</v>
      </c>
      <c r="AH376">
        <v>5799927</v>
      </c>
      <c r="AI376">
        <v>6135148</v>
      </c>
      <c r="AJ376">
        <v>113388</v>
      </c>
      <c r="AK376">
        <v>126513.576461794</v>
      </c>
      <c r="AL376">
        <v>106836</v>
      </c>
      <c r="AM376">
        <v>55.634616935483798</v>
      </c>
      <c r="AN376">
        <v>54.288010752688102</v>
      </c>
      <c r="AO376">
        <v>48.493991244905999</v>
      </c>
    </row>
    <row r="377" spans="30:41" x14ac:dyDescent="0.35">
      <c r="AD377" t="s">
        <v>17</v>
      </c>
      <c r="AE377" t="s">
        <v>266</v>
      </c>
      <c r="AF377" t="s">
        <v>187</v>
      </c>
      <c r="AG377">
        <v>4642006</v>
      </c>
      <c r="AH377">
        <v>4525870</v>
      </c>
      <c r="AI377">
        <v>4725905</v>
      </c>
      <c r="AJ377">
        <v>85389</v>
      </c>
      <c r="AK377">
        <v>92412.722558020003</v>
      </c>
      <c r="AL377">
        <v>83413</v>
      </c>
      <c r="AM377">
        <v>54.363044354839097</v>
      </c>
      <c r="AN377">
        <v>54.2585147849462</v>
      </c>
      <c r="AO377">
        <v>51.1391180400827</v>
      </c>
    </row>
    <row r="378" spans="30:41" x14ac:dyDescent="0.35">
      <c r="AD378" t="s">
        <v>17</v>
      </c>
      <c r="AE378" t="s">
        <v>267</v>
      </c>
      <c r="AF378" t="s">
        <v>185</v>
      </c>
      <c r="AG378">
        <v>4321005</v>
      </c>
      <c r="AH378">
        <v>4272545</v>
      </c>
      <c r="AI378">
        <v>4243304</v>
      </c>
      <c r="AJ378">
        <v>92466</v>
      </c>
      <c r="AK378">
        <v>91218.694754519005</v>
      </c>
      <c r="AL378">
        <v>78753</v>
      </c>
      <c r="AM378">
        <v>46.730927419354799</v>
      </c>
      <c r="AN378">
        <v>54.252493279569897</v>
      </c>
      <c r="AO378">
        <v>46.517920556956597</v>
      </c>
    </row>
    <row r="379" spans="30:41" x14ac:dyDescent="0.35">
      <c r="AD379" t="s">
        <v>14</v>
      </c>
      <c r="AE379" t="s">
        <v>268</v>
      </c>
      <c r="AF379" t="s">
        <v>187</v>
      </c>
      <c r="AG379">
        <v>3899155</v>
      </c>
      <c r="AH379">
        <v>3684553</v>
      </c>
      <c r="AI379">
        <v>3858732</v>
      </c>
      <c r="AJ379">
        <v>76028</v>
      </c>
      <c r="AK379">
        <v>73023.278758985907</v>
      </c>
      <c r="AL379">
        <v>67962</v>
      </c>
      <c r="AM379">
        <v>51.285819892472901</v>
      </c>
      <c r="AN379">
        <v>54.214717741935402</v>
      </c>
      <c r="AO379">
        <v>52.842490794418801</v>
      </c>
    </row>
    <row r="380" spans="30:41" x14ac:dyDescent="0.35">
      <c r="AD380" t="s">
        <v>21</v>
      </c>
      <c r="AE380" t="s">
        <v>263</v>
      </c>
      <c r="AF380" t="s">
        <v>188</v>
      </c>
      <c r="AG380">
        <v>4724789</v>
      </c>
      <c r="AH380">
        <v>4288688</v>
      </c>
      <c r="AI380">
        <v>4858034</v>
      </c>
      <c r="AJ380">
        <v>87725</v>
      </c>
      <c r="AK380">
        <v>100178.058874671</v>
      </c>
      <c r="AL380">
        <v>79312</v>
      </c>
      <c r="AM380">
        <v>53.859263888889302</v>
      </c>
      <c r="AN380">
        <v>54.073590277777697</v>
      </c>
      <c r="AO380">
        <v>48.493991244905999</v>
      </c>
    </row>
    <row r="381" spans="30:41" x14ac:dyDescent="0.35">
      <c r="AD381" t="s">
        <v>19</v>
      </c>
      <c r="AE381" t="s">
        <v>265</v>
      </c>
      <c r="AF381" t="s">
        <v>186</v>
      </c>
      <c r="AG381">
        <v>5286315</v>
      </c>
      <c r="AH381">
        <v>4768102</v>
      </c>
      <c r="AI381">
        <v>4896971</v>
      </c>
      <c r="AJ381">
        <v>102922</v>
      </c>
      <c r="AK381">
        <v>96590.511425131102</v>
      </c>
      <c r="AL381">
        <v>88317</v>
      </c>
      <c r="AM381">
        <v>51.362402777778698</v>
      </c>
      <c r="AN381">
        <v>53.988374999999998</v>
      </c>
      <c r="AO381">
        <v>50.698263574219901</v>
      </c>
    </row>
    <row r="382" spans="30:41" x14ac:dyDescent="0.35">
      <c r="AD382" t="s">
        <v>14</v>
      </c>
      <c r="AE382" t="s">
        <v>257</v>
      </c>
      <c r="AF382" t="s">
        <v>183</v>
      </c>
      <c r="AG382">
        <v>5081790</v>
      </c>
      <c r="AH382">
        <v>4827976</v>
      </c>
      <c r="AI382">
        <v>5086795</v>
      </c>
      <c r="AJ382">
        <v>88172</v>
      </c>
      <c r="AK382">
        <v>89598.966710561799</v>
      </c>
      <c r="AL382">
        <v>89440</v>
      </c>
      <c r="AM382">
        <v>57.6350268817204</v>
      </c>
      <c r="AN382">
        <v>53.980114247311803</v>
      </c>
      <c r="AO382">
        <v>56.772923994003698</v>
      </c>
    </row>
    <row r="383" spans="30:41" x14ac:dyDescent="0.35">
      <c r="AD383" t="s">
        <v>17</v>
      </c>
      <c r="AE383" t="s">
        <v>256</v>
      </c>
      <c r="AF383" t="s">
        <v>187</v>
      </c>
      <c r="AG383">
        <v>7723581</v>
      </c>
      <c r="AH383">
        <v>6896889</v>
      </c>
      <c r="AI383">
        <v>7307446</v>
      </c>
      <c r="AJ383">
        <v>140094</v>
      </c>
      <c r="AK383">
        <v>135865.92528876499</v>
      </c>
      <c r="AL383">
        <v>127882</v>
      </c>
      <c r="AM383">
        <v>55.131397849463099</v>
      </c>
      <c r="AN383">
        <v>53.931518817204299</v>
      </c>
      <c r="AO383">
        <v>53.7842448352594</v>
      </c>
    </row>
    <row r="384" spans="30:41" x14ac:dyDescent="0.35">
      <c r="AD384" t="s">
        <v>21</v>
      </c>
      <c r="AE384" t="s">
        <v>255</v>
      </c>
      <c r="AF384" t="s">
        <v>185</v>
      </c>
      <c r="AG384">
        <v>7190444</v>
      </c>
      <c r="AH384">
        <v>6436913</v>
      </c>
      <c r="AI384">
        <v>6265491</v>
      </c>
      <c r="AJ384">
        <v>133870</v>
      </c>
      <c r="AK384">
        <v>117597.86308581301</v>
      </c>
      <c r="AL384">
        <v>119551</v>
      </c>
      <c r="AM384">
        <v>53.712298387096702</v>
      </c>
      <c r="AN384">
        <v>53.842325268817198</v>
      </c>
      <c r="AO384">
        <v>53.278949580299098</v>
      </c>
    </row>
    <row r="385" spans="30:41" x14ac:dyDescent="0.35">
      <c r="AD385" t="s">
        <v>14</v>
      </c>
      <c r="AE385" t="s">
        <v>261</v>
      </c>
      <c r="AF385" t="s">
        <v>183</v>
      </c>
      <c r="AG385">
        <v>4354373</v>
      </c>
      <c r="AH385">
        <v>4451525</v>
      </c>
      <c r="AI385">
        <v>4825572</v>
      </c>
      <c r="AJ385">
        <v>88817</v>
      </c>
      <c r="AK385">
        <v>89835.033702776607</v>
      </c>
      <c r="AL385">
        <v>82734</v>
      </c>
      <c r="AM385">
        <v>49.026344086021503</v>
      </c>
      <c r="AN385">
        <v>53.805067204300997</v>
      </c>
      <c r="AO385">
        <v>53.715920394326602</v>
      </c>
    </row>
    <row r="386" spans="30:41" x14ac:dyDescent="0.35">
      <c r="AD386" t="s">
        <v>14</v>
      </c>
      <c r="AE386" t="s">
        <v>261</v>
      </c>
      <c r="AF386" t="s">
        <v>186</v>
      </c>
      <c r="AG386">
        <v>4339266</v>
      </c>
      <c r="AH386">
        <v>4308565</v>
      </c>
      <c r="AI386">
        <v>4412352</v>
      </c>
      <c r="AJ386">
        <v>103649</v>
      </c>
      <c r="AK386">
        <v>82142.351779678705</v>
      </c>
      <c r="AL386">
        <v>80091</v>
      </c>
      <c r="AM386">
        <v>41.865201388888899</v>
      </c>
      <c r="AN386">
        <v>53.796118055555503</v>
      </c>
      <c r="AO386">
        <v>53.715920394326602</v>
      </c>
    </row>
    <row r="387" spans="30:41" x14ac:dyDescent="0.35">
      <c r="AD387" t="s">
        <v>104</v>
      </c>
      <c r="AE387" t="s">
        <v>269</v>
      </c>
      <c r="AF387" t="s">
        <v>187</v>
      </c>
      <c r="AG387">
        <v>2782428</v>
      </c>
      <c r="AH387">
        <v>2785143</v>
      </c>
      <c r="AI387">
        <v>2924537</v>
      </c>
      <c r="AJ387">
        <v>57323</v>
      </c>
      <c r="AK387">
        <v>57934.110457474897</v>
      </c>
      <c r="AL387">
        <v>51812</v>
      </c>
      <c r="AM387">
        <v>48.539684139785301</v>
      </c>
      <c r="AN387">
        <v>53.754778225806398</v>
      </c>
      <c r="AO387">
        <v>50.480391665747199</v>
      </c>
    </row>
    <row r="388" spans="30:41" x14ac:dyDescent="0.35">
      <c r="AD388" t="s">
        <v>17</v>
      </c>
      <c r="AE388" t="s">
        <v>266</v>
      </c>
      <c r="AF388" t="s">
        <v>184</v>
      </c>
      <c r="AG388">
        <v>4566035</v>
      </c>
      <c r="AH388">
        <v>3810704</v>
      </c>
      <c r="AI388">
        <v>4035885</v>
      </c>
      <c r="AJ388">
        <v>85216</v>
      </c>
      <c r="AK388">
        <v>78919.725859110098</v>
      </c>
      <c r="AL388">
        <v>70899</v>
      </c>
      <c r="AM388">
        <v>53.581666666666599</v>
      </c>
      <c r="AN388">
        <v>53.748645833333299</v>
      </c>
      <c r="AO388">
        <v>51.1391180400827</v>
      </c>
    </row>
    <row r="389" spans="30:41" x14ac:dyDescent="0.35">
      <c r="AD389" t="s">
        <v>14</v>
      </c>
      <c r="AE389" t="s">
        <v>268</v>
      </c>
      <c r="AF389" t="s">
        <v>185</v>
      </c>
      <c r="AG389">
        <v>4709095</v>
      </c>
      <c r="AH389">
        <v>4667423</v>
      </c>
      <c r="AI389">
        <v>4387786</v>
      </c>
      <c r="AJ389">
        <v>83164</v>
      </c>
      <c r="AK389">
        <v>83035.191192452796</v>
      </c>
      <c r="AL389">
        <v>86853</v>
      </c>
      <c r="AM389">
        <v>56.624213709677399</v>
      </c>
      <c r="AN389">
        <v>53.739395161290297</v>
      </c>
      <c r="AO389">
        <v>52.842490794418801</v>
      </c>
    </row>
    <row r="390" spans="30:41" x14ac:dyDescent="0.35">
      <c r="AD390" t="s">
        <v>12</v>
      </c>
      <c r="AE390" t="s">
        <v>262</v>
      </c>
      <c r="AF390" t="s">
        <v>185</v>
      </c>
      <c r="AG390">
        <v>4898567</v>
      </c>
      <c r="AH390">
        <v>4531729</v>
      </c>
      <c r="AI390">
        <v>4604868</v>
      </c>
      <c r="AJ390">
        <v>87858</v>
      </c>
      <c r="AK390">
        <v>94145.868473673807</v>
      </c>
      <c r="AL390">
        <v>84438</v>
      </c>
      <c r="AM390">
        <v>55.7553293010752</v>
      </c>
      <c r="AN390">
        <v>53.6695833333333</v>
      </c>
      <c r="AO390">
        <v>48.912057594834003</v>
      </c>
    </row>
    <row r="391" spans="30:41" x14ac:dyDescent="0.35">
      <c r="AD391" t="s">
        <v>14</v>
      </c>
      <c r="AE391" t="s">
        <v>261</v>
      </c>
      <c r="AF391" t="s">
        <v>187</v>
      </c>
      <c r="AG391">
        <v>4505835</v>
      </c>
      <c r="AH391">
        <v>4542065</v>
      </c>
      <c r="AI391">
        <v>4697961</v>
      </c>
      <c r="AJ391">
        <v>113845</v>
      </c>
      <c r="AK391">
        <v>87459.384834373705</v>
      </c>
      <c r="AL391">
        <v>84637</v>
      </c>
      <c r="AM391">
        <v>39.578649193548202</v>
      </c>
      <c r="AN391">
        <v>53.665349462365597</v>
      </c>
      <c r="AO391">
        <v>53.715920394326602</v>
      </c>
    </row>
    <row r="392" spans="30:41" x14ac:dyDescent="0.35">
      <c r="AD392" t="s">
        <v>14</v>
      </c>
      <c r="AE392" t="s">
        <v>268</v>
      </c>
      <c r="AF392" t="s">
        <v>188</v>
      </c>
      <c r="AG392">
        <v>3578619</v>
      </c>
      <c r="AH392">
        <v>3472407</v>
      </c>
      <c r="AI392">
        <v>3619861</v>
      </c>
      <c r="AJ392">
        <v>70314</v>
      </c>
      <c r="AK392">
        <v>68502.847204589401</v>
      </c>
      <c r="AL392">
        <v>64722</v>
      </c>
      <c r="AM392">
        <v>50.894715277777898</v>
      </c>
      <c r="AN392">
        <v>53.6513541666666</v>
      </c>
      <c r="AO392">
        <v>52.842490794418801</v>
      </c>
    </row>
    <row r="393" spans="30:41" x14ac:dyDescent="0.35">
      <c r="AD393" t="s">
        <v>104</v>
      </c>
      <c r="AE393" t="s">
        <v>269</v>
      </c>
      <c r="AF393" t="s">
        <v>183</v>
      </c>
      <c r="AG393">
        <v>2589819</v>
      </c>
      <c r="AH393">
        <v>2647542</v>
      </c>
      <c r="AI393">
        <v>3090090</v>
      </c>
      <c r="AJ393">
        <v>56752</v>
      </c>
      <c r="AK393">
        <v>61213.662018726602</v>
      </c>
      <c r="AL393">
        <v>49367</v>
      </c>
      <c r="AM393">
        <v>45.633978494623598</v>
      </c>
      <c r="AN393">
        <v>53.629596774193502</v>
      </c>
      <c r="AO393">
        <v>50.480391665747199</v>
      </c>
    </row>
    <row r="394" spans="30:41" x14ac:dyDescent="0.35">
      <c r="AD394" t="s">
        <v>17</v>
      </c>
      <c r="AE394" t="s">
        <v>256</v>
      </c>
      <c r="AF394" t="s">
        <v>188</v>
      </c>
      <c r="AG394">
        <v>6904548</v>
      </c>
      <c r="AH394">
        <v>6420726</v>
      </c>
      <c r="AI394">
        <v>6906900</v>
      </c>
      <c r="AJ394">
        <v>128989</v>
      </c>
      <c r="AK394">
        <v>128418.642703932</v>
      </c>
      <c r="AL394">
        <v>119743</v>
      </c>
      <c r="AM394">
        <v>53.528319444444001</v>
      </c>
      <c r="AN394">
        <v>53.620826388888801</v>
      </c>
      <c r="AO394">
        <v>53.7842448352594</v>
      </c>
    </row>
    <row r="395" spans="30:41" x14ac:dyDescent="0.35">
      <c r="AD395" t="s">
        <v>35</v>
      </c>
      <c r="AE395" t="s">
        <v>270</v>
      </c>
      <c r="AF395" t="s">
        <v>183</v>
      </c>
      <c r="AG395">
        <v>2882492</v>
      </c>
      <c r="AH395">
        <v>2882393</v>
      </c>
      <c r="AI395">
        <v>3196348</v>
      </c>
      <c r="AJ395">
        <v>60076</v>
      </c>
      <c r="AK395">
        <v>70225.000016785998</v>
      </c>
      <c r="AL395">
        <v>53855</v>
      </c>
      <c r="AM395">
        <v>47.981142473118197</v>
      </c>
      <c r="AN395">
        <v>53.520880376344003</v>
      </c>
      <c r="AO395">
        <v>45.515809558361902</v>
      </c>
    </row>
    <row r="396" spans="30:41" x14ac:dyDescent="0.35">
      <c r="AD396" t="s">
        <v>14</v>
      </c>
      <c r="AE396" t="s">
        <v>248</v>
      </c>
      <c r="AF396" t="s">
        <v>183</v>
      </c>
      <c r="AG396">
        <v>4687882</v>
      </c>
      <c r="AH396">
        <v>4731755</v>
      </c>
      <c r="AI396">
        <v>5048741</v>
      </c>
      <c r="AJ396">
        <v>80169</v>
      </c>
      <c r="AK396">
        <v>88928.679485193294</v>
      </c>
      <c r="AL396">
        <v>88437</v>
      </c>
      <c r="AM396">
        <v>58.475073924731198</v>
      </c>
      <c r="AN396">
        <v>53.5043212365591</v>
      </c>
      <c r="AO396">
        <v>56.772923994003698</v>
      </c>
    </row>
    <row r="397" spans="30:41" x14ac:dyDescent="0.35">
      <c r="AD397" t="s">
        <v>104</v>
      </c>
      <c r="AE397" t="s">
        <v>254</v>
      </c>
      <c r="AF397" t="s">
        <v>186</v>
      </c>
      <c r="AG397">
        <v>2733988</v>
      </c>
      <c r="AH397">
        <v>2565007</v>
      </c>
      <c r="AI397">
        <v>2671608</v>
      </c>
      <c r="AJ397">
        <v>55130</v>
      </c>
      <c r="AK397">
        <v>53372.187087369697</v>
      </c>
      <c r="AL397">
        <v>47941</v>
      </c>
      <c r="AM397">
        <v>49.591888888888498</v>
      </c>
      <c r="AN397">
        <v>53.5029930555555</v>
      </c>
      <c r="AO397">
        <v>50.0561866937662</v>
      </c>
    </row>
    <row r="398" spans="30:41" x14ac:dyDescent="0.35">
      <c r="AD398" t="s">
        <v>14</v>
      </c>
      <c r="AE398" t="s">
        <v>268</v>
      </c>
      <c r="AF398" t="s">
        <v>184</v>
      </c>
      <c r="AG398">
        <v>3926842</v>
      </c>
      <c r="AH398">
        <v>3811966</v>
      </c>
      <c r="AI398">
        <v>3954019</v>
      </c>
      <c r="AJ398">
        <v>70178</v>
      </c>
      <c r="AK398">
        <v>74826.504166560102</v>
      </c>
      <c r="AL398">
        <v>71287</v>
      </c>
      <c r="AM398">
        <v>55.955520833333303</v>
      </c>
      <c r="AN398">
        <v>53.473697916666602</v>
      </c>
      <c r="AO398">
        <v>52.842490794418801</v>
      </c>
    </row>
    <row r="399" spans="30:41" x14ac:dyDescent="0.35">
      <c r="AD399" t="s">
        <v>104</v>
      </c>
      <c r="AE399" t="s">
        <v>271</v>
      </c>
      <c r="AF399" t="s">
        <v>188</v>
      </c>
      <c r="AG399">
        <v>2920448</v>
      </c>
      <c r="AH399">
        <v>3244500</v>
      </c>
      <c r="AI399">
        <v>3350928</v>
      </c>
      <c r="AJ399">
        <v>58661</v>
      </c>
      <c r="AL399">
        <v>60709</v>
      </c>
      <c r="AM399">
        <v>49.785458333333402</v>
      </c>
      <c r="AN399">
        <v>53.443541666666597</v>
      </c>
    </row>
    <row r="400" spans="30:41" x14ac:dyDescent="0.35">
      <c r="AD400" t="s">
        <v>21</v>
      </c>
      <c r="AE400" t="s">
        <v>263</v>
      </c>
      <c r="AF400" t="s">
        <v>186</v>
      </c>
      <c r="AG400">
        <v>5347175</v>
      </c>
      <c r="AH400">
        <v>4761071</v>
      </c>
      <c r="AI400">
        <v>5240456</v>
      </c>
      <c r="AJ400">
        <v>99157</v>
      </c>
      <c r="AK400">
        <v>108064.03570567</v>
      </c>
      <c r="AL400">
        <v>89108</v>
      </c>
      <c r="AM400">
        <v>53.926201388889702</v>
      </c>
      <c r="AN400">
        <v>53.430465277777699</v>
      </c>
      <c r="AO400">
        <v>48.493991244905999</v>
      </c>
    </row>
    <row r="401" spans="30:41" x14ac:dyDescent="0.35">
      <c r="AD401" t="s">
        <v>14</v>
      </c>
      <c r="AE401" t="s">
        <v>260</v>
      </c>
      <c r="AF401" t="s">
        <v>188</v>
      </c>
      <c r="AG401">
        <v>3530697</v>
      </c>
      <c r="AH401">
        <v>3322932</v>
      </c>
      <c r="AI401">
        <v>3640606</v>
      </c>
      <c r="AJ401">
        <v>67768</v>
      </c>
      <c r="AK401">
        <v>71159.358231906197</v>
      </c>
      <c r="AL401">
        <v>62198</v>
      </c>
      <c r="AM401">
        <v>52.099784722222097</v>
      </c>
      <c r="AN401">
        <v>53.425409722222199</v>
      </c>
      <c r="AO401">
        <v>51.161312105083503</v>
      </c>
    </row>
    <row r="402" spans="30:41" x14ac:dyDescent="0.35">
      <c r="AD402" t="s">
        <v>104</v>
      </c>
      <c r="AE402" t="s">
        <v>271</v>
      </c>
      <c r="AF402" t="s">
        <v>184</v>
      </c>
      <c r="AH402">
        <v>3074727</v>
      </c>
      <c r="AI402">
        <v>2847531</v>
      </c>
      <c r="AL402">
        <v>57575</v>
      </c>
      <c r="AM402">
        <v>1.6483854166666601</v>
      </c>
      <c r="AN402">
        <v>53.403906249999999</v>
      </c>
    </row>
    <row r="403" spans="30:41" x14ac:dyDescent="0.35">
      <c r="AD403" t="s">
        <v>17</v>
      </c>
      <c r="AE403" t="s">
        <v>256</v>
      </c>
      <c r="AF403" t="s">
        <v>183</v>
      </c>
      <c r="AG403">
        <v>7338438</v>
      </c>
      <c r="AH403">
        <v>6603868</v>
      </c>
      <c r="AI403">
        <v>6908530</v>
      </c>
      <c r="AJ403">
        <v>131193</v>
      </c>
      <c r="AK403">
        <v>128448.957488587</v>
      </c>
      <c r="AL403">
        <v>123974</v>
      </c>
      <c r="AM403">
        <v>55.936397849462303</v>
      </c>
      <c r="AN403">
        <v>53.268306451612901</v>
      </c>
      <c r="AO403">
        <v>53.7842448352594</v>
      </c>
    </row>
    <row r="404" spans="30:41" x14ac:dyDescent="0.35">
      <c r="AD404" t="s">
        <v>104</v>
      </c>
      <c r="AE404" t="s">
        <v>254</v>
      </c>
      <c r="AF404" t="s">
        <v>187</v>
      </c>
      <c r="AG404">
        <v>2772388</v>
      </c>
      <c r="AH404">
        <v>2640971</v>
      </c>
      <c r="AI404">
        <v>2746292</v>
      </c>
      <c r="AJ404">
        <v>54416</v>
      </c>
      <c r="AK404">
        <v>54864.194755810502</v>
      </c>
      <c r="AL404">
        <v>49601</v>
      </c>
      <c r="AM404">
        <v>50.947862903226302</v>
      </c>
      <c r="AN404">
        <v>53.244220430107497</v>
      </c>
      <c r="AO404">
        <v>50.0561866937662</v>
      </c>
    </row>
    <row r="405" spans="30:41" x14ac:dyDescent="0.35">
      <c r="AD405" t="s">
        <v>12</v>
      </c>
      <c r="AE405" t="s">
        <v>264</v>
      </c>
      <c r="AF405" t="s">
        <v>187</v>
      </c>
      <c r="AG405">
        <v>4127750</v>
      </c>
      <c r="AH405">
        <v>4047688</v>
      </c>
      <c r="AI405">
        <v>4316063</v>
      </c>
      <c r="AJ405">
        <v>81749</v>
      </c>
      <c r="AK405">
        <v>91509.492892451206</v>
      </c>
      <c r="AL405">
        <v>76043</v>
      </c>
      <c r="AM405">
        <v>50.492768817204997</v>
      </c>
      <c r="AN405">
        <v>53.229260752688099</v>
      </c>
      <c r="AO405">
        <v>47.1651983950185</v>
      </c>
    </row>
    <row r="406" spans="30:41" x14ac:dyDescent="0.35">
      <c r="AD406" t="s">
        <v>14</v>
      </c>
      <c r="AE406" t="s">
        <v>245</v>
      </c>
      <c r="AF406" t="s">
        <v>188</v>
      </c>
      <c r="AG406">
        <v>3402026</v>
      </c>
      <c r="AH406">
        <v>3440874</v>
      </c>
      <c r="AI406">
        <v>3652011</v>
      </c>
      <c r="AJ406">
        <v>67119</v>
      </c>
      <c r="AK406">
        <v>66368.739862817107</v>
      </c>
      <c r="AL406">
        <v>64661</v>
      </c>
      <c r="AM406">
        <v>50.686368055556002</v>
      </c>
      <c r="AN406">
        <v>53.214340277777701</v>
      </c>
      <c r="AO406">
        <v>55.026064794188201</v>
      </c>
    </row>
    <row r="407" spans="30:41" x14ac:dyDescent="0.35">
      <c r="AD407" t="s">
        <v>12</v>
      </c>
      <c r="AE407" t="s">
        <v>259</v>
      </c>
      <c r="AF407" t="s">
        <v>186</v>
      </c>
      <c r="AG407">
        <v>6454839</v>
      </c>
      <c r="AH407">
        <v>5654294</v>
      </c>
      <c r="AI407">
        <v>5984606</v>
      </c>
      <c r="AJ407">
        <v>113601</v>
      </c>
      <c r="AK407">
        <v>108045.81832211099</v>
      </c>
      <c r="AL407">
        <v>106490</v>
      </c>
      <c r="AM407">
        <v>56.820069444445402</v>
      </c>
      <c r="AN407">
        <v>53.096701388888903</v>
      </c>
      <c r="AO407">
        <v>55.389519717073902</v>
      </c>
    </row>
    <row r="408" spans="30:41" x14ac:dyDescent="0.35">
      <c r="AD408" t="s">
        <v>21</v>
      </c>
      <c r="AE408" t="s">
        <v>263</v>
      </c>
      <c r="AF408" t="s">
        <v>183</v>
      </c>
      <c r="AG408">
        <v>4507405</v>
      </c>
      <c r="AH408">
        <v>3602615</v>
      </c>
      <c r="AI408">
        <v>5180133</v>
      </c>
      <c r="AJ408">
        <v>84445</v>
      </c>
      <c r="AK408">
        <v>106820.095935991</v>
      </c>
      <c r="AL408">
        <v>67864</v>
      </c>
      <c r="AM408">
        <v>53.376693548387003</v>
      </c>
      <c r="AN408">
        <v>53.085685483870897</v>
      </c>
      <c r="AO408">
        <v>48.493991244905999</v>
      </c>
    </row>
    <row r="409" spans="30:41" x14ac:dyDescent="0.35">
      <c r="AD409" t="s">
        <v>104</v>
      </c>
      <c r="AE409" t="s">
        <v>269</v>
      </c>
      <c r="AF409" t="s">
        <v>184</v>
      </c>
      <c r="AG409">
        <v>2534449</v>
      </c>
      <c r="AH409">
        <v>2424543</v>
      </c>
      <c r="AI409">
        <v>2454863</v>
      </c>
      <c r="AJ409">
        <v>51681</v>
      </c>
      <c r="AK409">
        <v>48630.034641068502</v>
      </c>
      <c r="AL409">
        <v>45780</v>
      </c>
      <c r="AM409">
        <v>49.039791666666602</v>
      </c>
      <c r="AN409">
        <v>52.960885416666599</v>
      </c>
      <c r="AO409">
        <v>50.480391665747199</v>
      </c>
    </row>
    <row r="410" spans="30:41" x14ac:dyDescent="0.35">
      <c r="AD410" t="s">
        <v>104</v>
      </c>
      <c r="AE410" t="s">
        <v>271</v>
      </c>
      <c r="AF410" t="s">
        <v>183</v>
      </c>
      <c r="AH410">
        <v>3268596</v>
      </c>
      <c r="AI410">
        <v>2996584</v>
      </c>
      <c r="AL410">
        <v>61822</v>
      </c>
      <c r="AN410">
        <v>52.8709341397849</v>
      </c>
    </row>
    <row r="412" spans="30:41" x14ac:dyDescent="0.35">
      <c r="AD412" t="s">
        <v>104</v>
      </c>
      <c r="AE412" t="s">
        <v>269</v>
      </c>
      <c r="AF412" t="s">
        <v>186</v>
      </c>
      <c r="AG412">
        <v>2791217</v>
      </c>
      <c r="AH412">
        <v>2724024</v>
      </c>
      <c r="AI412">
        <v>2835779</v>
      </c>
      <c r="AJ412">
        <v>55694</v>
      </c>
      <c r="AK412">
        <v>56175.846823394902</v>
      </c>
      <c r="AL412">
        <v>51892</v>
      </c>
      <c r="AM412">
        <v>50.116840277777499</v>
      </c>
      <c r="AN412">
        <v>52.493874999999903</v>
      </c>
      <c r="AO412">
        <v>50.480391665747199</v>
      </c>
    </row>
    <row r="413" spans="30:41" x14ac:dyDescent="0.35">
      <c r="AD413" t="s">
        <v>104</v>
      </c>
      <c r="AE413" t="s">
        <v>269</v>
      </c>
      <c r="AF413" t="s">
        <v>185</v>
      </c>
      <c r="AG413">
        <v>2824445</v>
      </c>
      <c r="AH413">
        <v>2657199</v>
      </c>
      <c r="AI413">
        <v>2753039</v>
      </c>
      <c r="AJ413">
        <v>55004</v>
      </c>
      <c r="AK413">
        <v>54536.795588454799</v>
      </c>
      <c r="AL413">
        <v>50692</v>
      </c>
      <c r="AM413">
        <v>51.349422043010698</v>
      </c>
      <c r="AN413">
        <v>52.418474462365502</v>
      </c>
      <c r="AO413">
        <v>50.480391665747199</v>
      </c>
    </row>
    <row r="414" spans="30:41" x14ac:dyDescent="0.35">
      <c r="AD414" t="s">
        <v>17</v>
      </c>
      <c r="AE414" t="s">
        <v>266</v>
      </c>
      <c r="AF414" t="s">
        <v>186</v>
      </c>
      <c r="AG414">
        <v>4569013</v>
      </c>
      <c r="AH414">
        <v>4187109</v>
      </c>
      <c r="AI414">
        <v>4400190</v>
      </c>
      <c r="AJ414">
        <v>87688</v>
      </c>
      <c r="AK414">
        <v>86043.526353957495</v>
      </c>
      <c r="AL414">
        <v>79991</v>
      </c>
      <c r="AM414">
        <v>52.105180555555798</v>
      </c>
      <c r="AN414">
        <v>52.345027777777702</v>
      </c>
      <c r="AO414">
        <v>51.1391180400827</v>
      </c>
    </row>
    <row r="415" spans="30:41" x14ac:dyDescent="0.35">
      <c r="AD415" t="s">
        <v>104</v>
      </c>
      <c r="AE415" t="s">
        <v>271</v>
      </c>
      <c r="AF415" t="s">
        <v>187</v>
      </c>
      <c r="AG415">
        <v>2960325</v>
      </c>
      <c r="AH415">
        <v>3402519</v>
      </c>
      <c r="AI415">
        <v>3412716</v>
      </c>
      <c r="AJ415">
        <v>53403</v>
      </c>
      <c r="AL415">
        <v>65082</v>
      </c>
      <c r="AM415">
        <v>55.434072580645697</v>
      </c>
      <c r="AN415">
        <v>52.280262096774102</v>
      </c>
    </row>
    <row r="416" spans="30:41" x14ac:dyDescent="0.35">
      <c r="AD416" t="s">
        <v>12</v>
      </c>
      <c r="AE416" t="s">
        <v>264</v>
      </c>
      <c r="AF416" t="s">
        <v>184</v>
      </c>
      <c r="AG416">
        <v>3908547</v>
      </c>
      <c r="AH416">
        <v>4369312</v>
      </c>
      <c r="AI416">
        <v>3688221</v>
      </c>
      <c r="AJ416">
        <v>74810</v>
      </c>
      <c r="AK416">
        <v>78197.9363324281</v>
      </c>
      <c r="AL416">
        <v>83693</v>
      </c>
      <c r="AM416">
        <v>52.246510416666602</v>
      </c>
      <c r="AN416">
        <v>52.20671875</v>
      </c>
      <c r="AO416">
        <v>47.1651983950185</v>
      </c>
    </row>
    <row r="417" spans="30:41" x14ac:dyDescent="0.35">
      <c r="AD417" t="s">
        <v>17</v>
      </c>
      <c r="AE417" t="s">
        <v>267</v>
      </c>
      <c r="AF417" t="s">
        <v>184</v>
      </c>
      <c r="AG417">
        <v>3532325</v>
      </c>
      <c r="AH417">
        <v>3440526</v>
      </c>
      <c r="AI417">
        <v>3353388</v>
      </c>
      <c r="AJ417">
        <v>87250</v>
      </c>
      <c r="AK417">
        <v>72088.089584617206</v>
      </c>
      <c r="AL417">
        <v>66018</v>
      </c>
      <c r="AM417">
        <v>40.4853124999999</v>
      </c>
      <c r="AN417">
        <v>52.114791666666598</v>
      </c>
      <c r="AO417">
        <v>46.517920556956597</v>
      </c>
    </row>
    <row r="418" spans="30:41" x14ac:dyDescent="0.35">
      <c r="AD418" t="s">
        <v>12</v>
      </c>
      <c r="AE418" t="s">
        <v>262</v>
      </c>
      <c r="AF418" t="s">
        <v>183</v>
      </c>
      <c r="AG418">
        <v>4115539</v>
      </c>
      <c r="AH418">
        <v>3886033</v>
      </c>
      <c r="AI418">
        <v>3795921</v>
      </c>
      <c r="AJ418">
        <v>80779</v>
      </c>
      <c r="AK418">
        <v>77607.061447787404</v>
      </c>
      <c r="AL418">
        <v>74604</v>
      </c>
      <c r="AM418">
        <v>50.948051075268801</v>
      </c>
      <c r="AN418">
        <v>52.088844086021403</v>
      </c>
      <c r="AO418">
        <v>48.912057594834003</v>
      </c>
    </row>
    <row r="419" spans="30:41" x14ac:dyDescent="0.35">
      <c r="AD419" t="s">
        <v>19</v>
      </c>
      <c r="AE419" t="s">
        <v>265</v>
      </c>
      <c r="AF419" t="s">
        <v>188</v>
      </c>
      <c r="AG419">
        <v>4419981</v>
      </c>
      <c r="AH419">
        <v>4237215</v>
      </c>
      <c r="AI419">
        <v>4425516</v>
      </c>
      <c r="AJ419">
        <v>92381</v>
      </c>
      <c r="AK419">
        <v>87291.274051649598</v>
      </c>
      <c r="AL419">
        <v>81409</v>
      </c>
      <c r="AM419">
        <v>47.8450972222223</v>
      </c>
      <c r="AN419">
        <v>52.048256944444397</v>
      </c>
      <c r="AO419">
        <v>50.698263574219901</v>
      </c>
    </row>
    <row r="420" spans="30:41" x14ac:dyDescent="0.35">
      <c r="AD420" t="s">
        <v>14</v>
      </c>
      <c r="AE420" t="s">
        <v>268</v>
      </c>
      <c r="AF420" t="s">
        <v>186</v>
      </c>
      <c r="AG420">
        <v>3934945</v>
      </c>
      <c r="AH420">
        <v>3569671</v>
      </c>
      <c r="AI420">
        <v>3786241</v>
      </c>
      <c r="AJ420">
        <v>75863</v>
      </c>
      <c r="AK420">
        <v>71651.442221567093</v>
      </c>
      <c r="AL420">
        <v>68990</v>
      </c>
      <c r="AM420">
        <v>51.869173611111798</v>
      </c>
      <c r="AN420">
        <v>51.741763888888897</v>
      </c>
      <c r="AO420">
        <v>52.842490794418801</v>
      </c>
    </row>
    <row r="421" spans="30:41" x14ac:dyDescent="0.35">
      <c r="AD421" t="s">
        <v>21</v>
      </c>
      <c r="AE421" t="s">
        <v>272</v>
      </c>
      <c r="AF421" t="s">
        <v>185</v>
      </c>
      <c r="AG421">
        <v>5143510</v>
      </c>
      <c r="AH421">
        <v>5393702</v>
      </c>
      <c r="AI421">
        <v>5474073</v>
      </c>
      <c r="AJ421">
        <v>109158</v>
      </c>
      <c r="AK421">
        <v>112881.475642098</v>
      </c>
      <c r="AL421">
        <v>104398</v>
      </c>
      <c r="AM421">
        <v>47.119643817204299</v>
      </c>
      <c r="AN421">
        <v>51.664657258064501</v>
      </c>
      <c r="AO421">
        <v>48.493991244905999</v>
      </c>
    </row>
    <row r="422" spans="30:41" x14ac:dyDescent="0.35">
      <c r="AD422" t="s">
        <v>17</v>
      </c>
      <c r="AE422" t="s">
        <v>266</v>
      </c>
      <c r="AF422" t="s">
        <v>183</v>
      </c>
      <c r="AG422">
        <v>4801563</v>
      </c>
      <c r="AH422">
        <v>4765753</v>
      </c>
      <c r="AI422">
        <v>4443459</v>
      </c>
      <c r="AJ422">
        <v>96082</v>
      </c>
      <c r="AK422">
        <v>86889.636636228795</v>
      </c>
      <c r="AL422">
        <v>92360</v>
      </c>
      <c r="AM422">
        <v>49.9736962365591</v>
      </c>
      <c r="AN422">
        <v>51.600020161290303</v>
      </c>
      <c r="AO422">
        <v>51.1391180400827</v>
      </c>
    </row>
    <row r="423" spans="30:41" x14ac:dyDescent="0.35">
      <c r="AD423" t="s">
        <v>14</v>
      </c>
      <c r="AE423" t="s">
        <v>245</v>
      </c>
      <c r="AF423" t="s">
        <v>183</v>
      </c>
      <c r="AG423">
        <v>3438453</v>
      </c>
      <c r="AH423">
        <v>3637023</v>
      </c>
      <c r="AI423">
        <v>3903346</v>
      </c>
      <c r="AJ423">
        <v>64521</v>
      </c>
      <c r="AK423">
        <v>70936.3113662502</v>
      </c>
      <c r="AL423">
        <v>70516</v>
      </c>
      <c r="AM423">
        <v>53.291827956989202</v>
      </c>
      <c r="AN423">
        <v>51.577251344086001</v>
      </c>
      <c r="AO423">
        <v>55.026064794188201</v>
      </c>
    </row>
    <row r="424" spans="30:41" x14ac:dyDescent="0.35">
      <c r="AD424" t="s">
        <v>12</v>
      </c>
      <c r="AE424" t="s">
        <v>262</v>
      </c>
      <c r="AF424" t="s">
        <v>184</v>
      </c>
      <c r="AG424">
        <v>3996361</v>
      </c>
      <c r="AH424">
        <v>3734887</v>
      </c>
      <c r="AI424">
        <v>3598491</v>
      </c>
      <c r="AJ424">
        <v>77401</v>
      </c>
      <c r="AK424">
        <v>73570.638941594298</v>
      </c>
      <c r="AL424">
        <v>72430</v>
      </c>
      <c r="AM424">
        <v>51.631770833333299</v>
      </c>
      <c r="AN424">
        <v>51.5654166666666</v>
      </c>
      <c r="AO424">
        <v>48.912057594834003</v>
      </c>
    </row>
    <row r="425" spans="30:41" x14ac:dyDescent="0.35">
      <c r="AD425" t="s">
        <v>104</v>
      </c>
      <c r="AE425" t="s">
        <v>208</v>
      </c>
      <c r="AF425" t="s">
        <v>186</v>
      </c>
      <c r="AG425">
        <v>1956145</v>
      </c>
      <c r="AH425">
        <v>2351099</v>
      </c>
      <c r="AI425">
        <v>2425934</v>
      </c>
      <c r="AJ425">
        <v>63999</v>
      </c>
      <c r="AK425">
        <v>25243.854937565</v>
      </c>
      <c r="AL425">
        <v>45611</v>
      </c>
      <c r="AM425">
        <v>30.565256944444499</v>
      </c>
      <c r="AN425">
        <v>51.547319444444398</v>
      </c>
      <c r="AO425">
        <v>96.1</v>
      </c>
    </row>
    <row r="426" spans="30:41" x14ac:dyDescent="0.35">
      <c r="AD426" t="s">
        <v>104</v>
      </c>
      <c r="AE426" t="s">
        <v>258</v>
      </c>
      <c r="AF426" t="s">
        <v>185</v>
      </c>
      <c r="AG426">
        <v>3225829</v>
      </c>
      <c r="AH426">
        <v>3335318</v>
      </c>
      <c r="AI426">
        <v>3381205</v>
      </c>
      <c r="AJ426">
        <v>50926</v>
      </c>
      <c r="AK426">
        <v>60844.938261794203</v>
      </c>
      <c r="AL426">
        <v>64887</v>
      </c>
      <c r="AM426">
        <v>63.343319892473097</v>
      </c>
      <c r="AN426">
        <v>51.401827956989202</v>
      </c>
      <c r="AO426">
        <v>55.570851329520103</v>
      </c>
    </row>
    <row r="427" spans="30:41" x14ac:dyDescent="0.35">
      <c r="AD427" t="s">
        <v>21</v>
      </c>
      <c r="AE427" t="s">
        <v>273</v>
      </c>
      <c r="AF427" t="s">
        <v>185</v>
      </c>
      <c r="AG427">
        <v>3486324</v>
      </c>
      <c r="AH427">
        <v>3987514</v>
      </c>
      <c r="AI427">
        <v>4665241</v>
      </c>
      <c r="AJ427">
        <v>67721</v>
      </c>
      <c r="AK427">
        <v>99333.987023066205</v>
      </c>
      <c r="AL427">
        <v>77618</v>
      </c>
      <c r="AM427">
        <v>51.481001344086003</v>
      </c>
      <c r="AN427">
        <v>51.373649193548303</v>
      </c>
      <c r="AO427">
        <v>46.965208254619697</v>
      </c>
    </row>
    <row r="428" spans="30:41" x14ac:dyDescent="0.35">
      <c r="AD428" t="s">
        <v>35</v>
      </c>
      <c r="AE428" t="s">
        <v>270</v>
      </c>
      <c r="AF428" t="s">
        <v>187</v>
      </c>
      <c r="AG428">
        <v>3056968</v>
      </c>
      <c r="AH428">
        <v>2996508</v>
      </c>
      <c r="AI428">
        <v>3108347</v>
      </c>
      <c r="AJ428">
        <v>66228</v>
      </c>
      <c r="AK428">
        <v>68291.589104097293</v>
      </c>
      <c r="AL428">
        <v>58337</v>
      </c>
      <c r="AM428">
        <v>46.158508064516198</v>
      </c>
      <c r="AN428">
        <v>51.3650873655913</v>
      </c>
      <c r="AO428">
        <v>45.515809558361902</v>
      </c>
    </row>
    <row r="429" spans="30:41" x14ac:dyDescent="0.35">
      <c r="AD429" t="s">
        <v>104</v>
      </c>
      <c r="AE429" t="s">
        <v>271</v>
      </c>
      <c r="AF429" t="s">
        <v>185</v>
      </c>
      <c r="AG429">
        <v>772435</v>
      </c>
      <c r="AH429">
        <v>3466723</v>
      </c>
      <c r="AI429">
        <v>3260483</v>
      </c>
      <c r="AJ429">
        <v>13301</v>
      </c>
      <c r="AL429">
        <v>67542</v>
      </c>
      <c r="AM429">
        <v>58.071915322580601</v>
      </c>
      <c r="AN429">
        <v>51.327123655913901</v>
      </c>
    </row>
    <row r="430" spans="30:41" x14ac:dyDescent="0.35">
      <c r="AD430" t="s">
        <v>12</v>
      </c>
      <c r="AE430" t="s">
        <v>264</v>
      </c>
      <c r="AF430" t="s">
        <v>186</v>
      </c>
      <c r="AG430">
        <v>3956770</v>
      </c>
      <c r="AH430">
        <v>3736759</v>
      </c>
      <c r="AI430">
        <v>4196291</v>
      </c>
      <c r="AJ430">
        <v>75212</v>
      </c>
      <c r="AK430">
        <v>88970.061869668702</v>
      </c>
      <c r="AL430">
        <v>72860</v>
      </c>
      <c r="AM430">
        <v>52.608159722221899</v>
      </c>
      <c r="AN430">
        <v>51.286569444444403</v>
      </c>
      <c r="AO430">
        <v>47.1651983950185</v>
      </c>
    </row>
    <row r="431" spans="30:41" x14ac:dyDescent="0.35">
      <c r="AD431" t="s">
        <v>14</v>
      </c>
      <c r="AE431" t="s">
        <v>261</v>
      </c>
      <c r="AF431" t="s">
        <v>188</v>
      </c>
      <c r="AG431">
        <v>4167586</v>
      </c>
      <c r="AH431">
        <v>4249639</v>
      </c>
      <c r="AI431">
        <v>4424901</v>
      </c>
      <c r="AJ431">
        <v>98828</v>
      </c>
      <c r="AK431">
        <v>82375.966201769596</v>
      </c>
      <c r="AL431">
        <v>83205</v>
      </c>
      <c r="AM431">
        <v>42.169993055555501</v>
      </c>
      <c r="AN431">
        <v>51.074187499999901</v>
      </c>
      <c r="AO431">
        <v>53.715920394326602</v>
      </c>
    </row>
    <row r="432" spans="30:41" x14ac:dyDescent="0.35">
      <c r="AD432" t="s">
        <v>17</v>
      </c>
      <c r="AE432" t="s">
        <v>267</v>
      </c>
      <c r="AF432" t="s">
        <v>187</v>
      </c>
      <c r="AG432">
        <v>3902377</v>
      </c>
      <c r="AH432">
        <v>3582139</v>
      </c>
      <c r="AI432">
        <v>3782649</v>
      </c>
      <c r="AJ432">
        <v>87014</v>
      </c>
      <c r="AK432">
        <v>81315.949645008499</v>
      </c>
      <c r="AL432">
        <v>70149</v>
      </c>
      <c r="AM432">
        <v>44.8474663978498</v>
      </c>
      <c r="AN432">
        <v>51.064482526881697</v>
      </c>
      <c r="AO432">
        <v>46.517920556956597</v>
      </c>
    </row>
    <row r="433" spans="30:41" x14ac:dyDescent="0.35">
      <c r="AD433" t="s">
        <v>35</v>
      </c>
      <c r="AE433" t="s">
        <v>270</v>
      </c>
      <c r="AF433" t="s">
        <v>188</v>
      </c>
      <c r="AG433">
        <v>2929767</v>
      </c>
      <c r="AH433">
        <v>2831452</v>
      </c>
      <c r="AI433">
        <v>2961210</v>
      </c>
      <c r="AJ433">
        <v>69154</v>
      </c>
      <c r="AK433">
        <v>65058.938479453602</v>
      </c>
      <c r="AL433">
        <v>55536</v>
      </c>
      <c r="AM433">
        <v>42.365895833333198</v>
      </c>
      <c r="AN433">
        <v>50.984305555555501</v>
      </c>
      <c r="AO433">
        <v>45.515809558361902</v>
      </c>
    </row>
    <row r="434" spans="30:41" x14ac:dyDescent="0.35">
      <c r="AD434" t="s">
        <v>14</v>
      </c>
      <c r="AE434" t="s">
        <v>268</v>
      </c>
      <c r="AF434" t="s">
        <v>183</v>
      </c>
      <c r="AG434">
        <v>3799222</v>
      </c>
      <c r="AH434">
        <v>3628386</v>
      </c>
      <c r="AI434">
        <v>3795219</v>
      </c>
      <c r="AJ434">
        <v>69897</v>
      </c>
      <c r="AK434">
        <v>71821.342059084796</v>
      </c>
      <c r="AL434">
        <v>71241</v>
      </c>
      <c r="AM434">
        <v>54.354247311827898</v>
      </c>
      <c r="AN434">
        <v>50.931303763440802</v>
      </c>
      <c r="AO434">
        <v>52.842490794418801</v>
      </c>
    </row>
    <row r="435" spans="30:41" x14ac:dyDescent="0.35">
      <c r="AD435" t="s">
        <v>35</v>
      </c>
      <c r="AE435" t="s">
        <v>270</v>
      </c>
      <c r="AF435" t="s">
        <v>186</v>
      </c>
      <c r="AG435">
        <v>3036566</v>
      </c>
      <c r="AH435">
        <v>2990521</v>
      </c>
      <c r="AI435">
        <v>3048808</v>
      </c>
      <c r="AJ435">
        <v>63514</v>
      </c>
      <c r="AK435">
        <v>66983.489158656201</v>
      </c>
      <c r="AL435">
        <v>58888</v>
      </c>
      <c r="AM435">
        <v>47.8091736111109</v>
      </c>
      <c r="AN435">
        <v>50.782958333333298</v>
      </c>
      <c r="AO435">
        <v>45.515809558361902</v>
      </c>
    </row>
    <row r="436" spans="30:41" x14ac:dyDescent="0.35">
      <c r="AD436" t="s">
        <v>35</v>
      </c>
      <c r="AE436" t="s">
        <v>270</v>
      </c>
      <c r="AF436" t="s">
        <v>185</v>
      </c>
      <c r="AG436">
        <v>3275101</v>
      </c>
      <c r="AH436">
        <v>3240910</v>
      </c>
      <c r="AI436">
        <v>3223366</v>
      </c>
      <c r="AJ436">
        <v>66289</v>
      </c>
      <c r="AK436">
        <v>70818.602074228402</v>
      </c>
      <c r="AL436">
        <v>63848</v>
      </c>
      <c r="AM436">
        <v>49.406357526881699</v>
      </c>
      <c r="AN436">
        <v>50.759973118279497</v>
      </c>
      <c r="AO436">
        <v>45.515809558361902</v>
      </c>
    </row>
    <row r="437" spans="30:41" x14ac:dyDescent="0.35">
      <c r="AD437" t="s">
        <v>104</v>
      </c>
      <c r="AE437" t="s">
        <v>271</v>
      </c>
      <c r="AF437" t="s">
        <v>186</v>
      </c>
      <c r="AG437">
        <v>2948369</v>
      </c>
      <c r="AH437">
        <v>3286679</v>
      </c>
      <c r="AI437">
        <v>3443208</v>
      </c>
      <c r="AJ437">
        <v>45473</v>
      </c>
      <c r="AL437">
        <v>64803</v>
      </c>
      <c r="AM437">
        <v>64.8383749999998</v>
      </c>
      <c r="AN437">
        <v>50.718111111111099</v>
      </c>
    </row>
    <row r="438" spans="30:41" x14ac:dyDescent="0.35">
      <c r="AD438" t="s">
        <v>21</v>
      </c>
      <c r="AE438" t="s">
        <v>272</v>
      </c>
      <c r="AF438" t="s">
        <v>184</v>
      </c>
      <c r="AG438">
        <v>4490117</v>
      </c>
      <c r="AH438">
        <v>4030102</v>
      </c>
      <c r="AI438">
        <v>4416424</v>
      </c>
      <c r="AJ438">
        <v>100803</v>
      </c>
      <c r="AK438">
        <v>91071.573983177004</v>
      </c>
      <c r="AL438">
        <v>80553</v>
      </c>
      <c r="AM438">
        <v>44.54328125</v>
      </c>
      <c r="AN438">
        <v>50.0305729166666</v>
      </c>
      <c r="AO438">
        <v>48.493991244905999</v>
      </c>
    </row>
    <row r="439" spans="30:41" x14ac:dyDescent="0.35">
      <c r="AD439" t="s">
        <v>104</v>
      </c>
      <c r="AE439" t="s">
        <v>269</v>
      </c>
      <c r="AF439" t="s">
        <v>188</v>
      </c>
      <c r="AG439">
        <v>2854550</v>
      </c>
      <c r="AH439">
        <v>2630192</v>
      </c>
      <c r="AI439">
        <v>2785200</v>
      </c>
      <c r="AJ439">
        <v>60188</v>
      </c>
      <c r="AK439">
        <v>55173.888862471998</v>
      </c>
      <c r="AL439">
        <v>52605</v>
      </c>
      <c r="AM439">
        <v>47.427381944444399</v>
      </c>
      <c r="AN439">
        <v>49.998763888888803</v>
      </c>
      <c r="AO439">
        <v>50.480391665747199</v>
      </c>
    </row>
    <row r="440" spans="30:41" x14ac:dyDescent="0.35">
      <c r="AD440" t="s">
        <v>17</v>
      </c>
      <c r="AE440" t="s">
        <v>266</v>
      </c>
      <c r="AF440" t="s">
        <v>185</v>
      </c>
      <c r="AG440">
        <v>5282065</v>
      </c>
      <c r="AH440">
        <v>3817957</v>
      </c>
      <c r="AI440">
        <v>5178761</v>
      </c>
      <c r="AJ440">
        <v>96360</v>
      </c>
      <c r="AK440">
        <v>101268.08453248801</v>
      </c>
      <c r="AL440">
        <v>76433</v>
      </c>
      <c r="AM440">
        <v>54.816115591397804</v>
      </c>
      <c r="AN440">
        <v>49.9515860215053</v>
      </c>
      <c r="AO440">
        <v>51.1391180400827</v>
      </c>
    </row>
    <row r="441" spans="30:41" x14ac:dyDescent="0.35">
      <c r="AD441" t="s">
        <v>14</v>
      </c>
      <c r="AE441" t="s">
        <v>260</v>
      </c>
      <c r="AF441" t="s">
        <v>183</v>
      </c>
      <c r="AG441">
        <v>3565543</v>
      </c>
      <c r="AH441">
        <v>3618133</v>
      </c>
      <c r="AI441">
        <v>3549447</v>
      </c>
      <c r="AJ441">
        <v>74195</v>
      </c>
      <c r="AK441">
        <v>69377.560690968196</v>
      </c>
      <c r="AL441">
        <v>72530</v>
      </c>
      <c r="AM441">
        <v>48.056693548387102</v>
      </c>
      <c r="AN441">
        <v>49.884361559139798</v>
      </c>
      <c r="AO441">
        <v>51.161312105083503</v>
      </c>
    </row>
    <row r="442" spans="30:41" x14ac:dyDescent="0.35">
      <c r="AD442" t="s">
        <v>21</v>
      </c>
      <c r="AE442" t="s">
        <v>273</v>
      </c>
      <c r="AF442" t="s">
        <v>184</v>
      </c>
      <c r="AG442">
        <v>2779834</v>
      </c>
      <c r="AH442">
        <v>3311640</v>
      </c>
      <c r="AI442">
        <v>3120685</v>
      </c>
      <c r="AJ442">
        <v>59138</v>
      </c>
      <c r="AK442">
        <v>66446.737071437004</v>
      </c>
      <c r="AL442">
        <v>66466</v>
      </c>
      <c r="AM442">
        <v>47.0055208333333</v>
      </c>
      <c r="AN442">
        <v>49.824427083333298</v>
      </c>
      <c r="AO442">
        <v>46.965208254619697</v>
      </c>
    </row>
    <row r="443" spans="30:41" x14ac:dyDescent="0.35">
      <c r="AD443" t="s">
        <v>21</v>
      </c>
      <c r="AE443" t="s">
        <v>273</v>
      </c>
      <c r="AF443" t="s">
        <v>187</v>
      </c>
      <c r="AG443">
        <v>2837037</v>
      </c>
      <c r="AH443">
        <v>3411281</v>
      </c>
      <c r="AI443">
        <v>3440911</v>
      </c>
      <c r="AJ443">
        <v>60430</v>
      </c>
      <c r="AK443">
        <v>73265.106943532694</v>
      </c>
      <c r="AL443">
        <v>68483</v>
      </c>
      <c r="AM443">
        <v>46.947278225807104</v>
      </c>
      <c r="AN443">
        <v>49.812385752688101</v>
      </c>
      <c r="AO443">
        <v>46.965208254619697</v>
      </c>
    </row>
    <row r="444" spans="30:41" x14ac:dyDescent="0.35">
      <c r="AD444" t="s">
        <v>14</v>
      </c>
      <c r="AE444" t="s">
        <v>274</v>
      </c>
      <c r="AF444" t="s">
        <v>185</v>
      </c>
      <c r="AG444">
        <v>3314990</v>
      </c>
      <c r="AH444">
        <v>3465965</v>
      </c>
      <c r="AI444">
        <v>3517998</v>
      </c>
      <c r="AJ444">
        <v>75155</v>
      </c>
      <c r="AK444">
        <v>84795.749823371705</v>
      </c>
      <c r="AL444">
        <v>69617</v>
      </c>
      <c r="AM444">
        <v>44.108561827956997</v>
      </c>
      <c r="AN444">
        <v>49.786041666666598</v>
      </c>
      <c r="AO444">
        <v>41.4879059956181</v>
      </c>
    </row>
    <row r="445" spans="30:41" x14ac:dyDescent="0.35">
      <c r="AD445" t="s">
        <v>35</v>
      </c>
      <c r="AE445" t="s">
        <v>270</v>
      </c>
      <c r="AF445" t="s">
        <v>184</v>
      </c>
      <c r="AG445">
        <v>2741153</v>
      </c>
      <c r="AH445">
        <v>2759308</v>
      </c>
      <c r="AI445">
        <v>2901432</v>
      </c>
      <c r="AJ445">
        <v>52977</v>
      </c>
      <c r="AK445">
        <v>63745.587844146401</v>
      </c>
      <c r="AL445">
        <v>55474</v>
      </c>
      <c r="AM445">
        <v>51.742447916666599</v>
      </c>
      <c r="AN445">
        <v>49.740937500000001</v>
      </c>
      <c r="AO445">
        <v>45.515809558361902</v>
      </c>
    </row>
    <row r="446" spans="30:41" x14ac:dyDescent="0.35">
      <c r="AD446" t="s">
        <v>21</v>
      </c>
      <c r="AE446" t="s">
        <v>273</v>
      </c>
      <c r="AF446" t="s">
        <v>183</v>
      </c>
      <c r="AG446">
        <v>3015239</v>
      </c>
      <c r="AH446">
        <v>3290007</v>
      </c>
      <c r="AI446">
        <v>3521555</v>
      </c>
      <c r="AJ446">
        <v>66153</v>
      </c>
      <c r="AK446">
        <v>74982.203981893297</v>
      </c>
      <c r="AL446">
        <v>66415</v>
      </c>
      <c r="AM446">
        <v>45.579973118279497</v>
      </c>
      <c r="AN446">
        <v>49.536807795698898</v>
      </c>
      <c r="AO446">
        <v>46.965208254619697</v>
      </c>
    </row>
    <row r="447" spans="30:41" x14ac:dyDescent="0.35">
      <c r="AD447" t="s">
        <v>19</v>
      </c>
      <c r="AE447" t="s">
        <v>275</v>
      </c>
      <c r="AF447" t="s">
        <v>184</v>
      </c>
      <c r="AG447">
        <v>4109009</v>
      </c>
      <c r="AH447">
        <v>3836060</v>
      </c>
      <c r="AI447">
        <v>3957123</v>
      </c>
      <c r="AJ447">
        <v>85439</v>
      </c>
      <c r="AK447">
        <v>88469.294435659103</v>
      </c>
      <c r="AL447">
        <v>77511</v>
      </c>
      <c r="AM447">
        <v>48.092864583333302</v>
      </c>
      <c r="AN447">
        <v>49.490677083333303</v>
      </c>
      <c r="AO447">
        <v>44.728769766304502</v>
      </c>
    </row>
    <row r="448" spans="30:41" x14ac:dyDescent="0.35">
      <c r="AD448" t="s">
        <v>12</v>
      </c>
      <c r="AE448" t="s">
        <v>264</v>
      </c>
      <c r="AF448" t="s">
        <v>188</v>
      </c>
      <c r="AG448">
        <v>3678585</v>
      </c>
      <c r="AH448">
        <v>3653533</v>
      </c>
      <c r="AI448">
        <v>3942813</v>
      </c>
      <c r="AJ448">
        <v>73911</v>
      </c>
      <c r="AK448">
        <v>83595.802487209105</v>
      </c>
      <c r="AL448">
        <v>74273</v>
      </c>
      <c r="AM448">
        <v>49.770583333332901</v>
      </c>
      <c r="AN448">
        <v>49.190458333333297</v>
      </c>
      <c r="AO448">
        <v>47.1651983950185</v>
      </c>
    </row>
    <row r="449" spans="30:41" x14ac:dyDescent="0.35">
      <c r="AD449" t="s">
        <v>19</v>
      </c>
      <c r="AE449" t="s">
        <v>275</v>
      </c>
      <c r="AF449" t="s">
        <v>185</v>
      </c>
      <c r="AG449">
        <v>4846245</v>
      </c>
      <c r="AH449">
        <v>4819017</v>
      </c>
      <c r="AI449">
        <v>4606572</v>
      </c>
      <c r="AJ449">
        <v>99290</v>
      </c>
      <c r="AK449">
        <v>102989.025644301</v>
      </c>
      <c r="AL449">
        <v>98104</v>
      </c>
      <c r="AM449">
        <v>48.809005376343997</v>
      </c>
      <c r="AN449">
        <v>49.121512096774097</v>
      </c>
      <c r="AO449">
        <v>44.728769766304502</v>
      </c>
    </row>
    <row r="450" spans="30:41" x14ac:dyDescent="0.35">
      <c r="AD450" t="s">
        <v>21</v>
      </c>
      <c r="AE450" t="s">
        <v>272</v>
      </c>
      <c r="AF450" t="s">
        <v>188</v>
      </c>
      <c r="AG450">
        <v>4407221</v>
      </c>
      <c r="AH450">
        <v>4328492</v>
      </c>
      <c r="AI450">
        <v>4503568</v>
      </c>
      <c r="AJ450">
        <v>97401</v>
      </c>
      <c r="AK450">
        <v>92868.5854203239</v>
      </c>
      <c r="AL450">
        <v>88150</v>
      </c>
      <c r="AM450">
        <v>45.248194444444302</v>
      </c>
      <c r="AN450">
        <v>49.103541666666601</v>
      </c>
      <c r="AO450">
        <v>48.493991244905999</v>
      </c>
    </row>
    <row r="451" spans="30:41" x14ac:dyDescent="0.35">
      <c r="AD451" t="s">
        <v>19</v>
      </c>
      <c r="AE451" t="s">
        <v>275</v>
      </c>
      <c r="AF451" t="s">
        <v>183</v>
      </c>
      <c r="AG451">
        <v>4092156</v>
      </c>
      <c r="AH451">
        <v>3840690</v>
      </c>
      <c r="AI451">
        <v>4060971</v>
      </c>
      <c r="AJ451">
        <v>92778</v>
      </c>
      <c r="AK451">
        <v>90791.025090058407</v>
      </c>
      <c r="AL451">
        <v>78269</v>
      </c>
      <c r="AM451">
        <v>44.107150537634404</v>
      </c>
      <c r="AN451">
        <v>49.070564516128997</v>
      </c>
      <c r="AO451">
        <v>44.728769766304502</v>
      </c>
    </row>
    <row r="452" spans="30:41" x14ac:dyDescent="0.35">
      <c r="AD452" t="s">
        <v>21</v>
      </c>
      <c r="AE452" t="s">
        <v>273</v>
      </c>
      <c r="AF452" t="s">
        <v>186</v>
      </c>
      <c r="AG452">
        <v>2969277</v>
      </c>
      <c r="AH452">
        <v>3110946</v>
      </c>
      <c r="AI452">
        <v>3271274</v>
      </c>
      <c r="AJ452">
        <v>63523</v>
      </c>
      <c r="AK452">
        <v>69653.132249833405</v>
      </c>
      <c r="AL452">
        <v>63499</v>
      </c>
      <c r="AM452">
        <v>46.743618055555203</v>
      </c>
      <c r="AN452">
        <v>48.992368055555502</v>
      </c>
      <c r="AO452">
        <v>46.965208254619697</v>
      </c>
    </row>
    <row r="453" spans="30:41" x14ac:dyDescent="0.35">
      <c r="AD453" t="s">
        <v>21</v>
      </c>
      <c r="AE453" t="s">
        <v>272</v>
      </c>
      <c r="AF453" t="s">
        <v>183</v>
      </c>
      <c r="AG453">
        <v>4842988</v>
      </c>
      <c r="AH453">
        <v>4611334</v>
      </c>
      <c r="AI453">
        <v>4908889</v>
      </c>
      <c r="AJ453">
        <v>104369</v>
      </c>
      <c r="AK453">
        <v>101226.749928851</v>
      </c>
      <c r="AL453">
        <v>94175</v>
      </c>
      <c r="AM453">
        <v>46.402379032257997</v>
      </c>
      <c r="AN453">
        <v>48.965564516129</v>
      </c>
      <c r="AO453">
        <v>48.493991244905999</v>
      </c>
    </row>
    <row r="454" spans="30:41" x14ac:dyDescent="0.35">
      <c r="AD454" t="s">
        <v>17</v>
      </c>
      <c r="AE454" t="s">
        <v>267</v>
      </c>
      <c r="AF454" t="s">
        <v>186</v>
      </c>
      <c r="AG454">
        <v>3775308</v>
      </c>
      <c r="AH454">
        <v>3458485</v>
      </c>
      <c r="AI454">
        <v>3635241</v>
      </c>
      <c r="AJ454">
        <v>86460</v>
      </c>
      <c r="AK454">
        <v>78147.116009818099</v>
      </c>
      <c r="AL454">
        <v>70689</v>
      </c>
      <c r="AM454">
        <v>43.665416666666097</v>
      </c>
      <c r="AN454">
        <v>48.925041666666601</v>
      </c>
      <c r="AO454">
        <v>46.517920556956597</v>
      </c>
    </row>
    <row r="455" spans="30:41" x14ac:dyDescent="0.35">
      <c r="AD455" t="s">
        <v>21</v>
      </c>
      <c r="AE455" t="s">
        <v>272</v>
      </c>
      <c r="AF455" t="s">
        <v>187</v>
      </c>
      <c r="AG455">
        <v>4820413</v>
      </c>
      <c r="AH455">
        <v>4603620</v>
      </c>
      <c r="AI455">
        <v>4879210</v>
      </c>
      <c r="AJ455">
        <v>105498</v>
      </c>
      <c r="AK455">
        <v>100614.73024686299</v>
      </c>
      <c r="AL455">
        <v>94142</v>
      </c>
      <c r="AM455">
        <v>45.6919825268822</v>
      </c>
      <c r="AN455">
        <v>48.900739247311797</v>
      </c>
      <c r="AO455">
        <v>48.493991244905999</v>
      </c>
    </row>
    <row r="456" spans="30:41" x14ac:dyDescent="0.35">
      <c r="AD456" t="s">
        <v>12</v>
      </c>
      <c r="AE456" t="s">
        <v>264</v>
      </c>
      <c r="AF456" t="s">
        <v>183</v>
      </c>
      <c r="AG456">
        <v>3861838</v>
      </c>
      <c r="AH456">
        <v>3996396</v>
      </c>
      <c r="AI456">
        <v>3932259</v>
      </c>
      <c r="AJ456">
        <v>76350</v>
      </c>
      <c r="AK456">
        <v>83372.045200923298</v>
      </c>
      <c r="AL456">
        <v>82131</v>
      </c>
      <c r="AM456">
        <v>50.580833333333302</v>
      </c>
      <c r="AN456">
        <v>48.6586559139784</v>
      </c>
      <c r="AO456">
        <v>47.1651983950185</v>
      </c>
    </row>
    <row r="457" spans="30:41" x14ac:dyDescent="0.35">
      <c r="AD457" t="s">
        <v>104</v>
      </c>
      <c r="AE457" t="s">
        <v>254</v>
      </c>
      <c r="AF457" t="s">
        <v>188</v>
      </c>
      <c r="AG457">
        <v>2681039</v>
      </c>
      <c r="AH457">
        <v>2482002</v>
      </c>
      <c r="AI457">
        <v>2615181</v>
      </c>
      <c r="AJ457">
        <v>56387</v>
      </c>
      <c r="AK457">
        <v>52244.914385891097</v>
      </c>
      <c r="AL457">
        <v>51448</v>
      </c>
      <c r="AM457">
        <v>47.547402777777698</v>
      </c>
      <c r="AN457">
        <v>48.242590277777701</v>
      </c>
      <c r="AO457">
        <v>50.0561866937662</v>
      </c>
    </row>
    <row r="458" spans="30:41" x14ac:dyDescent="0.35">
      <c r="AD458" t="s">
        <v>21</v>
      </c>
      <c r="AE458" t="s">
        <v>273</v>
      </c>
      <c r="AF458" t="s">
        <v>188</v>
      </c>
      <c r="AG458">
        <v>2298744</v>
      </c>
      <c r="AH458">
        <v>2996137</v>
      </c>
      <c r="AI458">
        <v>3170258</v>
      </c>
      <c r="AJ458">
        <v>55258</v>
      </c>
      <c r="AK458">
        <v>67502.263150044804</v>
      </c>
      <c r="AL458">
        <v>62470</v>
      </c>
      <c r="AM458">
        <v>41.599930555555197</v>
      </c>
      <c r="AN458">
        <v>47.961229166666598</v>
      </c>
      <c r="AO458">
        <v>46.965208254619697</v>
      </c>
    </row>
    <row r="459" spans="30:41" x14ac:dyDescent="0.35">
      <c r="AD459" t="s">
        <v>19</v>
      </c>
      <c r="AE459" t="s">
        <v>275</v>
      </c>
      <c r="AF459" t="s">
        <v>187</v>
      </c>
      <c r="AG459">
        <v>4230278</v>
      </c>
      <c r="AH459">
        <v>3887723</v>
      </c>
      <c r="AI459">
        <v>4023652</v>
      </c>
      <c r="AJ459">
        <v>91947</v>
      </c>
      <c r="AK459">
        <v>89956.691715923997</v>
      </c>
      <c r="AL459">
        <v>81125</v>
      </c>
      <c r="AM459">
        <v>46.007876344086903</v>
      </c>
      <c r="AN459">
        <v>47.922526881720401</v>
      </c>
      <c r="AO459">
        <v>44.728769766304502</v>
      </c>
    </row>
    <row r="460" spans="30:41" x14ac:dyDescent="0.35">
      <c r="AD460" t="s">
        <v>17</v>
      </c>
      <c r="AE460" t="s">
        <v>267</v>
      </c>
      <c r="AF460" t="s">
        <v>183</v>
      </c>
      <c r="AG460">
        <v>3687231</v>
      </c>
      <c r="AH460">
        <v>3641138</v>
      </c>
      <c r="AI460">
        <v>3686616</v>
      </c>
      <c r="AJ460">
        <v>86878</v>
      </c>
      <c r="AK460">
        <v>79251.514103819296</v>
      </c>
      <c r="AL460">
        <v>76982</v>
      </c>
      <c r="AM460">
        <v>42.441545698924699</v>
      </c>
      <c r="AN460">
        <v>47.298313172043002</v>
      </c>
      <c r="AO460">
        <v>46.517920556956597</v>
      </c>
    </row>
    <row r="461" spans="30:41" x14ac:dyDescent="0.35">
      <c r="AD461" t="s">
        <v>14</v>
      </c>
      <c r="AE461" t="s">
        <v>274</v>
      </c>
      <c r="AF461" t="s">
        <v>184</v>
      </c>
      <c r="AG461">
        <v>2741659</v>
      </c>
      <c r="AH461">
        <v>2775224</v>
      </c>
      <c r="AI461">
        <v>2881803</v>
      </c>
      <c r="AJ461">
        <v>63654</v>
      </c>
      <c r="AK461">
        <v>69461.279653506004</v>
      </c>
      <c r="AL461">
        <v>59116</v>
      </c>
      <c r="AM461">
        <v>43.071093749999903</v>
      </c>
      <c r="AN461">
        <v>46.945052083333302</v>
      </c>
      <c r="AO461">
        <v>41.4879059956181</v>
      </c>
    </row>
    <row r="462" spans="30:41" x14ac:dyDescent="0.35">
      <c r="AD462" t="s">
        <v>19</v>
      </c>
      <c r="AE462" t="s">
        <v>275</v>
      </c>
      <c r="AF462" t="s">
        <v>186</v>
      </c>
      <c r="AG462">
        <v>4247926</v>
      </c>
      <c r="AH462">
        <v>3876235</v>
      </c>
      <c r="AI462">
        <v>3909186</v>
      </c>
      <c r="AJ462">
        <v>94619</v>
      </c>
      <c r="AK462">
        <v>87397.564447321405</v>
      </c>
      <c r="AL462">
        <v>82618</v>
      </c>
      <c r="AM462">
        <v>44.895131944444302</v>
      </c>
      <c r="AN462">
        <v>46.917840277777699</v>
      </c>
      <c r="AO462">
        <v>44.728769766304502</v>
      </c>
    </row>
    <row r="463" spans="30:41" x14ac:dyDescent="0.35">
      <c r="AD463" t="s">
        <v>17</v>
      </c>
      <c r="AE463" t="s">
        <v>267</v>
      </c>
      <c r="AF463" t="s">
        <v>188</v>
      </c>
      <c r="AG463">
        <v>3502788</v>
      </c>
      <c r="AH463">
        <v>3300782</v>
      </c>
      <c r="AI463">
        <v>3501149</v>
      </c>
      <c r="AJ463">
        <v>77291</v>
      </c>
      <c r="AK463">
        <v>75264.511381440199</v>
      </c>
      <c r="AL463">
        <v>70744</v>
      </c>
      <c r="AM463">
        <v>45.319604166666402</v>
      </c>
      <c r="AN463">
        <v>46.657965277777699</v>
      </c>
      <c r="AO463">
        <v>46.517920556956597</v>
      </c>
    </row>
    <row r="464" spans="30:41" x14ac:dyDescent="0.35">
      <c r="AD464" t="s">
        <v>21</v>
      </c>
      <c r="AE464" t="s">
        <v>272</v>
      </c>
      <c r="AF464" t="s">
        <v>186</v>
      </c>
      <c r="AG464">
        <v>4707771</v>
      </c>
      <c r="AH464">
        <v>4566694</v>
      </c>
      <c r="AI464">
        <v>4647548</v>
      </c>
      <c r="AJ464">
        <v>100810</v>
      </c>
      <c r="AK464">
        <v>95837.611885332095</v>
      </c>
      <c r="AL464">
        <v>99361</v>
      </c>
      <c r="AM464">
        <v>46.699333333332802</v>
      </c>
      <c r="AN464">
        <v>45.960444444444398</v>
      </c>
      <c r="AO464">
        <v>48.493991244905999</v>
      </c>
    </row>
    <row r="465" spans="30:41" x14ac:dyDescent="0.35">
      <c r="AD465" t="s">
        <v>14</v>
      </c>
      <c r="AE465" t="s">
        <v>274</v>
      </c>
      <c r="AF465" t="s">
        <v>186</v>
      </c>
      <c r="AG465">
        <v>2824864</v>
      </c>
      <c r="AH465">
        <v>2649130</v>
      </c>
      <c r="AI465">
        <v>3021781</v>
      </c>
      <c r="AJ465">
        <v>65245</v>
      </c>
      <c r="AK465">
        <v>72835.230141987704</v>
      </c>
      <c r="AL465">
        <v>58050</v>
      </c>
      <c r="AM465">
        <v>43.296506944444303</v>
      </c>
      <c r="AN465">
        <v>45.635041666666602</v>
      </c>
      <c r="AO465">
        <v>41.4879059956181</v>
      </c>
    </row>
    <row r="466" spans="30:41" x14ac:dyDescent="0.35">
      <c r="AD466" t="s">
        <v>35</v>
      </c>
      <c r="AE466" t="s">
        <v>276</v>
      </c>
      <c r="AF466" t="s">
        <v>183</v>
      </c>
      <c r="AG466">
        <v>2990520</v>
      </c>
      <c r="AH466">
        <v>2895922</v>
      </c>
      <c r="AI466">
        <v>3168218</v>
      </c>
      <c r="AJ466">
        <v>70242</v>
      </c>
      <c r="AK466">
        <v>72859.643322539298</v>
      </c>
      <c r="AL466">
        <v>63836</v>
      </c>
      <c r="AM466">
        <v>42.574583333333301</v>
      </c>
      <c r="AN466">
        <v>45.364751344086002</v>
      </c>
      <c r="AO466">
        <v>43.4838537745065</v>
      </c>
    </row>
    <row r="467" spans="30:41" x14ac:dyDescent="0.35">
      <c r="AD467" t="s">
        <v>35</v>
      </c>
      <c r="AE467" t="s">
        <v>276</v>
      </c>
      <c r="AF467" t="s">
        <v>185</v>
      </c>
      <c r="AG467">
        <v>4505513</v>
      </c>
      <c r="AH467">
        <v>4555194</v>
      </c>
      <c r="AI467">
        <v>4652270</v>
      </c>
      <c r="AJ467">
        <v>107730</v>
      </c>
      <c r="AK467">
        <v>106988.455464991</v>
      </c>
      <c r="AL467">
        <v>101315</v>
      </c>
      <c r="AM467">
        <v>41.822177419354801</v>
      </c>
      <c r="AN467">
        <v>44.960557795698897</v>
      </c>
      <c r="AO467">
        <v>43.4838537745065</v>
      </c>
    </row>
    <row r="468" spans="30:41" x14ac:dyDescent="0.35">
      <c r="AD468" t="s">
        <v>35</v>
      </c>
      <c r="AE468" t="s">
        <v>276</v>
      </c>
      <c r="AF468" t="s">
        <v>187</v>
      </c>
      <c r="AG468">
        <v>3170605</v>
      </c>
      <c r="AH468">
        <v>3026444</v>
      </c>
      <c r="AI468">
        <v>3205855</v>
      </c>
      <c r="AJ468">
        <v>70139</v>
      </c>
      <c r="AK468">
        <v>73725.175832495093</v>
      </c>
      <c r="AL468">
        <v>67455</v>
      </c>
      <c r="AM468">
        <v>45.204852150537597</v>
      </c>
      <c r="AN468">
        <v>44.866283602150503</v>
      </c>
      <c r="AO468">
        <v>43.4838537745065</v>
      </c>
    </row>
    <row r="469" spans="30:41" x14ac:dyDescent="0.35">
      <c r="AD469" t="s">
        <v>35</v>
      </c>
      <c r="AE469" t="s">
        <v>276</v>
      </c>
      <c r="AF469" t="s">
        <v>184</v>
      </c>
      <c r="AG469">
        <v>3296807</v>
      </c>
      <c r="AH469">
        <v>3056310</v>
      </c>
      <c r="AI469">
        <v>3310110</v>
      </c>
      <c r="AJ469">
        <v>78360</v>
      </c>
      <c r="AK469">
        <v>76122.730118751206</v>
      </c>
      <c r="AL469">
        <v>68981</v>
      </c>
      <c r="AM469">
        <v>42.072447916666597</v>
      </c>
      <c r="AN469">
        <v>44.306718750000002</v>
      </c>
      <c r="AO469">
        <v>43.4838537745065</v>
      </c>
    </row>
    <row r="470" spans="30:41" x14ac:dyDescent="0.35">
      <c r="AD470" t="s">
        <v>14</v>
      </c>
      <c r="AE470" t="s">
        <v>274</v>
      </c>
      <c r="AF470" t="s">
        <v>187</v>
      </c>
      <c r="AG470">
        <v>2775015</v>
      </c>
      <c r="AH470">
        <v>2816787</v>
      </c>
      <c r="AI470">
        <v>2935965</v>
      </c>
      <c r="AJ470">
        <v>65907</v>
      </c>
      <c r="AK470">
        <v>70766.764724401597</v>
      </c>
      <c r="AL470">
        <v>63669</v>
      </c>
      <c r="AM470">
        <v>42.104811827957001</v>
      </c>
      <c r="AN470">
        <v>44.241034946236503</v>
      </c>
      <c r="AO470">
        <v>41.4879059956181</v>
      </c>
    </row>
    <row r="471" spans="30:41" x14ac:dyDescent="0.35">
      <c r="AD471" t="s">
        <v>35</v>
      </c>
      <c r="AE471" t="s">
        <v>276</v>
      </c>
      <c r="AF471" t="s">
        <v>188</v>
      </c>
      <c r="AG471">
        <v>2816904</v>
      </c>
      <c r="AH471">
        <v>2830209</v>
      </c>
      <c r="AI471">
        <v>3078292</v>
      </c>
      <c r="AJ471">
        <v>63107</v>
      </c>
      <c r="AK471">
        <v>70791.611853517999</v>
      </c>
      <c r="AL471">
        <v>64305</v>
      </c>
      <c r="AM471">
        <v>44.636958333333403</v>
      </c>
      <c r="AN471">
        <v>44.011965277777698</v>
      </c>
      <c r="AO471">
        <v>43.4838537745065</v>
      </c>
    </row>
    <row r="472" spans="30:41" x14ac:dyDescent="0.35">
      <c r="AD472" t="s">
        <v>35</v>
      </c>
      <c r="AE472" t="s">
        <v>277</v>
      </c>
      <c r="AF472" t="s">
        <v>183</v>
      </c>
      <c r="AG472">
        <v>3047886</v>
      </c>
      <c r="AH472">
        <v>3222757</v>
      </c>
      <c r="AI472">
        <v>3496091</v>
      </c>
      <c r="AJ472">
        <v>72434</v>
      </c>
      <c r="AK472">
        <v>84340.915088821697</v>
      </c>
      <c r="AL472">
        <v>73353</v>
      </c>
      <c r="AM472">
        <v>42.077950268817197</v>
      </c>
      <c r="AN472">
        <v>43.935067204300999</v>
      </c>
      <c r="AO472">
        <v>41.451897990650998</v>
      </c>
    </row>
    <row r="473" spans="30:41" x14ac:dyDescent="0.35">
      <c r="AD473" t="s">
        <v>19</v>
      </c>
      <c r="AE473" t="s">
        <v>275</v>
      </c>
      <c r="AF473" t="s">
        <v>188</v>
      </c>
      <c r="AG473">
        <v>3609149</v>
      </c>
      <c r="AH473">
        <v>3388587</v>
      </c>
      <c r="AI473">
        <v>3576767</v>
      </c>
      <c r="AJ473">
        <v>78353</v>
      </c>
      <c r="AK473">
        <v>79965.696201519095</v>
      </c>
      <c r="AL473">
        <v>77722</v>
      </c>
      <c r="AM473">
        <v>46.062819444443797</v>
      </c>
      <c r="AN473">
        <v>43.598624999999998</v>
      </c>
      <c r="AO473">
        <v>44.728769766304502</v>
      </c>
    </row>
    <row r="474" spans="30:41" x14ac:dyDescent="0.35">
      <c r="AD474" t="s">
        <v>35</v>
      </c>
      <c r="AE474" t="s">
        <v>276</v>
      </c>
      <c r="AF474" t="s">
        <v>186</v>
      </c>
      <c r="AG474">
        <v>3010500</v>
      </c>
      <c r="AH474">
        <v>2984682</v>
      </c>
      <c r="AI474">
        <v>3053678</v>
      </c>
      <c r="AJ474">
        <v>72425</v>
      </c>
      <c r="AK474">
        <v>70225.550716718993</v>
      </c>
      <c r="AL474">
        <v>68517</v>
      </c>
      <c r="AM474">
        <v>41.566972222222198</v>
      </c>
      <c r="AN474">
        <v>43.561437499999897</v>
      </c>
      <c r="AO474">
        <v>43.4838537745065</v>
      </c>
    </row>
    <row r="475" spans="30:41" x14ac:dyDescent="0.35">
      <c r="AD475" t="s">
        <v>14</v>
      </c>
      <c r="AE475" t="s">
        <v>274</v>
      </c>
      <c r="AF475" t="s">
        <v>183</v>
      </c>
      <c r="AG475">
        <v>2593587</v>
      </c>
      <c r="AH475">
        <v>2496107</v>
      </c>
      <c r="AI475">
        <v>2621097</v>
      </c>
      <c r="AJ475">
        <v>62540</v>
      </c>
      <c r="AK475">
        <v>63177.380626942999</v>
      </c>
      <c r="AL475">
        <v>57805</v>
      </c>
      <c r="AM475">
        <v>41.471048387096701</v>
      </c>
      <c r="AN475">
        <v>43.181814516129002</v>
      </c>
      <c r="AO475">
        <v>41.4879059956181</v>
      </c>
    </row>
    <row r="476" spans="30:41" x14ac:dyDescent="0.35">
      <c r="AD476" t="s">
        <v>35</v>
      </c>
      <c r="AE476" t="s">
        <v>278</v>
      </c>
      <c r="AF476" t="s">
        <v>183</v>
      </c>
      <c r="AG476">
        <v>1991286</v>
      </c>
      <c r="AH476">
        <v>2323976</v>
      </c>
      <c r="AI476">
        <v>0</v>
      </c>
      <c r="AJ476">
        <v>65105</v>
      </c>
      <c r="AK476">
        <v>0</v>
      </c>
      <c r="AL476">
        <v>54377</v>
      </c>
      <c r="AM476">
        <v>30.585766129032201</v>
      </c>
      <c r="AN476">
        <v>42.738481182795603</v>
      </c>
      <c r="AO476">
        <v>35.223177541544402</v>
      </c>
    </row>
    <row r="477" spans="30:41" x14ac:dyDescent="0.35">
      <c r="AD477" t="s">
        <v>35</v>
      </c>
      <c r="AE477" t="s">
        <v>277</v>
      </c>
      <c r="AF477" t="s">
        <v>185</v>
      </c>
      <c r="AG477">
        <v>3517102</v>
      </c>
      <c r="AH477">
        <v>3715064</v>
      </c>
      <c r="AI477">
        <v>3551347</v>
      </c>
      <c r="AJ477">
        <v>75789</v>
      </c>
      <c r="AK477">
        <v>85673.939962916993</v>
      </c>
      <c r="AL477">
        <v>87246</v>
      </c>
      <c r="AM477">
        <v>46.406659946236502</v>
      </c>
      <c r="AN477">
        <v>42.581451612903201</v>
      </c>
      <c r="AO477">
        <v>41.451897990650998</v>
      </c>
    </row>
    <row r="478" spans="30:41" x14ac:dyDescent="0.35">
      <c r="AD478" t="s">
        <v>35</v>
      </c>
      <c r="AE478" t="s">
        <v>278</v>
      </c>
      <c r="AF478" t="s">
        <v>184</v>
      </c>
      <c r="AG478">
        <v>1759321</v>
      </c>
      <c r="AH478">
        <v>2187190</v>
      </c>
      <c r="AI478">
        <v>0</v>
      </c>
      <c r="AJ478">
        <v>55835</v>
      </c>
      <c r="AK478">
        <v>0</v>
      </c>
      <c r="AL478">
        <v>51814</v>
      </c>
      <c r="AM478">
        <v>31.509010416666602</v>
      </c>
      <c r="AN478">
        <v>42.212187499999999</v>
      </c>
      <c r="AO478">
        <v>35.223177541544402</v>
      </c>
    </row>
    <row r="479" spans="30:41" x14ac:dyDescent="0.35">
      <c r="AD479" t="s">
        <v>21</v>
      </c>
      <c r="AE479" t="s">
        <v>279</v>
      </c>
      <c r="AF479" t="s">
        <v>184</v>
      </c>
      <c r="AG479">
        <v>3154591</v>
      </c>
      <c r="AH479">
        <v>3138435</v>
      </c>
      <c r="AI479">
        <v>3264406</v>
      </c>
      <c r="AJ479">
        <v>85216</v>
      </c>
      <c r="AK479">
        <v>83887.643432057404</v>
      </c>
      <c r="AL479">
        <v>76328</v>
      </c>
      <c r="AM479">
        <v>37.018645833333302</v>
      </c>
      <c r="AN479">
        <v>41.117760416666599</v>
      </c>
      <c r="AO479">
        <v>38.914029696684899</v>
      </c>
    </row>
    <row r="480" spans="30:41" x14ac:dyDescent="0.35">
      <c r="AD480" t="s">
        <v>35</v>
      </c>
      <c r="AE480" t="s">
        <v>277</v>
      </c>
      <c r="AF480" t="s">
        <v>184</v>
      </c>
      <c r="AG480">
        <v>2959385</v>
      </c>
      <c r="AH480">
        <v>3056100</v>
      </c>
      <c r="AI480">
        <v>3285513</v>
      </c>
      <c r="AJ480">
        <v>63027</v>
      </c>
      <c r="AK480">
        <v>79260.851098808605</v>
      </c>
      <c r="AL480">
        <v>74331</v>
      </c>
      <c r="AM480">
        <v>46.9541145833333</v>
      </c>
      <c r="AN480">
        <v>41.1148958333333</v>
      </c>
      <c r="AO480">
        <v>41.451897990650998</v>
      </c>
    </row>
    <row r="481" spans="30:41" x14ac:dyDescent="0.35">
      <c r="AD481" t="s">
        <v>35</v>
      </c>
      <c r="AE481" t="s">
        <v>280</v>
      </c>
      <c r="AF481" t="s">
        <v>187</v>
      </c>
      <c r="AG481">
        <v>2633170</v>
      </c>
      <c r="AH481">
        <v>2363562</v>
      </c>
      <c r="AI481">
        <v>2519195</v>
      </c>
      <c r="AJ481">
        <v>67050</v>
      </c>
      <c r="AK481">
        <v>68120.244426139398</v>
      </c>
      <c r="AL481">
        <v>57701</v>
      </c>
      <c r="AM481">
        <v>39.271881720430599</v>
      </c>
      <c r="AN481">
        <v>40.9621370967741</v>
      </c>
      <c r="AO481">
        <v>36.981595266169002</v>
      </c>
    </row>
    <row r="482" spans="30:41" x14ac:dyDescent="0.35">
      <c r="AD482" t="s">
        <v>35</v>
      </c>
      <c r="AE482" t="s">
        <v>280</v>
      </c>
      <c r="AF482" t="s">
        <v>186</v>
      </c>
      <c r="AG482">
        <v>2546172</v>
      </c>
      <c r="AH482">
        <v>2270465</v>
      </c>
      <c r="AI482">
        <v>2377330</v>
      </c>
      <c r="AJ482">
        <v>67717</v>
      </c>
      <c r="AK482">
        <v>64284.134742959301</v>
      </c>
      <c r="AL482">
        <v>55825</v>
      </c>
      <c r="AM482">
        <v>37.600402777777198</v>
      </c>
      <c r="AN482">
        <v>40.671312499999999</v>
      </c>
      <c r="AO482">
        <v>36.981595266169002</v>
      </c>
    </row>
    <row r="483" spans="30:41" x14ac:dyDescent="0.35">
      <c r="AD483" t="s">
        <v>35</v>
      </c>
      <c r="AE483" t="s">
        <v>277</v>
      </c>
      <c r="AF483" t="s">
        <v>188</v>
      </c>
      <c r="AG483">
        <v>3126983</v>
      </c>
      <c r="AH483">
        <v>3215061</v>
      </c>
      <c r="AI483">
        <v>3157714</v>
      </c>
      <c r="AJ483">
        <v>73943</v>
      </c>
      <c r="AK483">
        <v>76177.788076487501</v>
      </c>
      <c r="AL483">
        <v>79198</v>
      </c>
      <c r="AM483">
        <v>42.289041666666201</v>
      </c>
      <c r="AN483">
        <v>40.594993055555499</v>
      </c>
      <c r="AO483">
        <v>41.451897990650998</v>
      </c>
    </row>
    <row r="484" spans="30:41" x14ac:dyDescent="0.35">
      <c r="AD484" t="s">
        <v>35</v>
      </c>
      <c r="AE484" t="s">
        <v>277</v>
      </c>
      <c r="AF484" t="s">
        <v>187</v>
      </c>
      <c r="AG484">
        <v>3314037</v>
      </c>
      <c r="AH484">
        <v>3356932</v>
      </c>
      <c r="AI484">
        <v>3245810</v>
      </c>
      <c r="AJ484">
        <v>75267</v>
      </c>
      <c r="AK484">
        <v>78303.049224236893</v>
      </c>
      <c r="AL484">
        <v>82954</v>
      </c>
      <c r="AM484">
        <v>44.0305174731186</v>
      </c>
      <c r="AN484">
        <v>40.467244623655901</v>
      </c>
      <c r="AO484">
        <v>41.451897990650998</v>
      </c>
    </row>
    <row r="485" spans="30:41" x14ac:dyDescent="0.35">
      <c r="AD485" t="s">
        <v>21</v>
      </c>
      <c r="AE485" t="s">
        <v>279</v>
      </c>
      <c r="AF485" t="s">
        <v>188</v>
      </c>
      <c r="AG485">
        <v>2564085</v>
      </c>
      <c r="AH485">
        <v>2584678</v>
      </c>
      <c r="AI485">
        <v>2748518</v>
      </c>
      <c r="AJ485">
        <v>70493</v>
      </c>
      <c r="AK485">
        <v>70630.528090339198</v>
      </c>
      <c r="AL485">
        <v>64318</v>
      </c>
      <c r="AM485">
        <v>36.373701388888399</v>
      </c>
      <c r="AN485">
        <v>40.186222222222199</v>
      </c>
      <c r="AO485">
        <v>38.914029696684899</v>
      </c>
    </row>
    <row r="486" spans="30:41" x14ac:dyDescent="0.35">
      <c r="AD486" t="s">
        <v>35</v>
      </c>
      <c r="AE486" t="s">
        <v>281</v>
      </c>
      <c r="AF486" t="s">
        <v>187</v>
      </c>
      <c r="AG486">
        <v>2207601</v>
      </c>
      <c r="AH486">
        <v>2246607</v>
      </c>
      <c r="AI486">
        <v>2361789</v>
      </c>
      <c r="AJ486">
        <v>59548</v>
      </c>
      <c r="AK486">
        <v>70019.471582744794</v>
      </c>
      <c r="AL486">
        <v>56071</v>
      </c>
      <c r="AM486">
        <v>37.072903225806598</v>
      </c>
      <c r="AN486">
        <v>40.067426075268799</v>
      </c>
      <c r="AO486">
        <v>33.730466012000299</v>
      </c>
    </row>
    <row r="487" spans="30:41" x14ac:dyDescent="0.35">
      <c r="AD487" t="s">
        <v>35</v>
      </c>
      <c r="AE487" t="s">
        <v>277</v>
      </c>
      <c r="AF487" t="s">
        <v>186</v>
      </c>
      <c r="AG487">
        <v>3272377</v>
      </c>
      <c r="AH487">
        <v>3347309</v>
      </c>
      <c r="AI487">
        <v>3242396</v>
      </c>
      <c r="AJ487">
        <v>74649</v>
      </c>
      <c r="AK487">
        <v>78220.6883972184</v>
      </c>
      <c r="AL487">
        <v>83616</v>
      </c>
      <c r="AM487">
        <v>43.836576388888702</v>
      </c>
      <c r="AN487">
        <v>40.031784722222199</v>
      </c>
      <c r="AO487">
        <v>41.451897990650998</v>
      </c>
    </row>
    <row r="488" spans="30:41" x14ac:dyDescent="0.35">
      <c r="AD488" t="s">
        <v>21</v>
      </c>
      <c r="AE488" t="s">
        <v>279</v>
      </c>
      <c r="AF488" t="s">
        <v>186</v>
      </c>
      <c r="AG488">
        <v>2853081</v>
      </c>
      <c r="AH488">
        <v>2803706</v>
      </c>
      <c r="AI488">
        <v>2980342</v>
      </c>
      <c r="AJ488">
        <v>76970</v>
      </c>
      <c r="AK488">
        <v>76587.850236283601</v>
      </c>
      <c r="AL488">
        <v>70330</v>
      </c>
      <c r="AM488">
        <v>37.0675277777773</v>
      </c>
      <c r="AN488">
        <v>39.864805555555499</v>
      </c>
      <c r="AO488">
        <v>38.914029696684899</v>
      </c>
    </row>
    <row r="489" spans="30:41" x14ac:dyDescent="0.35">
      <c r="AD489" t="s">
        <v>21</v>
      </c>
      <c r="AE489" t="s">
        <v>279</v>
      </c>
      <c r="AF489" t="s">
        <v>185</v>
      </c>
      <c r="AG489">
        <v>3987061</v>
      </c>
      <c r="AH489">
        <v>3996313</v>
      </c>
      <c r="AI489">
        <v>3954369</v>
      </c>
      <c r="AJ489">
        <v>99383</v>
      </c>
      <c r="AK489">
        <v>101618.09054015399</v>
      </c>
      <c r="AL489">
        <v>100721</v>
      </c>
      <c r="AM489">
        <v>40.117950268817097</v>
      </c>
      <c r="AN489">
        <v>39.677016129032197</v>
      </c>
      <c r="AO489">
        <v>38.914029696684899</v>
      </c>
    </row>
    <row r="490" spans="30:41" x14ac:dyDescent="0.35">
      <c r="AD490" t="s">
        <v>35</v>
      </c>
      <c r="AE490" t="s">
        <v>280</v>
      </c>
      <c r="AF490" t="s">
        <v>188</v>
      </c>
      <c r="AG490">
        <v>2347084</v>
      </c>
      <c r="AH490">
        <v>2169032</v>
      </c>
      <c r="AI490">
        <v>2313489</v>
      </c>
      <c r="AJ490">
        <v>61962</v>
      </c>
      <c r="AK490">
        <v>62557.850578079</v>
      </c>
      <c r="AL490">
        <v>54738</v>
      </c>
      <c r="AM490">
        <v>37.879381944443999</v>
      </c>
      <c r="AN490">
        <v>39.625736111111102</v>
      </c>
      <c r="AO490">
        <v>36.981595266169002</v>
      </c>
    </row>
    <row r="491" spans="30:41" x14ac:dyDescent="0.35">
      <c r="AD491" t="s">
        <v>21</v>
      </c>
      <c r="AE491" t="s">
        <v>279</v>
      </c>
      <c r="AF491" t="s">
        <v>183</v>
      </c>
      <c r="AG491">
        <v>2903155</v>
      </c>
      <c r="AH491">
        <v>2843180</v>
      </c>
      <c r="AI491">
        <v>3055925</v>
      </c>
      <c r="AJ491">
        <v>79811</v>
      </c>
      <c r="AK491">
        <v>78530.163900253494</v>
      </c>
      <c r="AL491">
        <v>71775</v>
      </c>
      <c r="AM491">
        <v>36.375490591397799</v>
      </c>
      <c r="AN491">
        <v>39.612661290322599</v>
      </c>
      <c r="AO491">
        <v>38.914029696684899</v>
      </c>
    </row>
    <row r="492" spans="30:41" x14ac:dyDescent="0.35">
      <c r="AD492" t="s">
        <v>21</v>
      </c>
      <c r="AE492" t="s">
        <v>279</v>
      </c>
      <c r="AF492" t="s">
        <v>187</v>
      </c>
      <c r="AG492">
        <v>2870301</v>
      </c>
      <c r="AH492">
        <v>2988564</v>
      </c>
      <c r="AI492">
        <v>3074225</v>
      </c>
      <c r="AJ492">
        <v>80080</v>
      </c>
      <c r="AK492">
        <v>79000.437589271096</v>
      </c>
      <c r="AL492">
        <v>75700</v>
      </c>
      <c r="AM492">
        <v>35.843057795699501</v>
      </c>
      <c r="AN492">
        <v>39.479294354838601</v>
      </c>
      <c r="AO492">
        <v>38.914029696684899</v>
      </c>
    </row>
    <row r="493" spans="30:41" x14ac:dyDescent="0.35">
      <c r="AD493" t="s">
        <v>35</v>
      </c>
      <c r="AE493" t="s">
        <v>281</v>
      </c>
      <c r="AF493" t="s">
        <v>186</v>
      </c>
      <c r="AG493">
        <v>2112674</v>
      </c>
      <c r="AH493">
        <v>2207757</v>
      </c>
      <c r="AI493">
        <v>2226952</v>
      </c>
      <c r="AJ493">
        <v>73180</v>
      </c>
      <c r="AK493">
        <v>66021.987994702198</v>
      </c>
      <c r="AL493">
        <v>56630</v>
      </c>
      <c r="AM493">
        <v>28.8695069444443</v>
      </c>
      <c r="AN493">
        <v>38.985624999999899</v>
      </c>
      <c r="AO493">
        <v>33.730466012000299</v>
      </c>
    </row>
    <row r="494" spans="30:41" x14ac:dyDescent="0.35">
      <c r="AD494" t="s">
        <v>14</v>
      </c>
      <c r="AE494" t="s">
        <v>274</v>
      </c>
      <c r="AF494" t="s">
        <v>188</v>
      </c>
      <c r="AG494">
        <v>2452236</v>
      </c>
      <c r="AH494">
        <v>2547626</v>
      </c>
      <c r="AI494">
        <v>2546423</v>
      </c>
      <c r="AJ494">
        <v>62674</v>
      </c>
      <c r="AK494">
        <v>61377.465502089901</v>
      </c>
      <c r="AL494">
        <v>65887</v>
      </c>
      <c r="AM494">
        <v>39.127131944444102</v>
      </c>
      <c r="AN494">
        <v>38.666687500000002</v>
      </c>
      <c r="AO494">
        <v>41.4879059956181</v>
      </c>
    </row>
    <row r="495" spans="30:41" x14ac:dyDescent="0.35">
      <c r="AD495" t="s">
        <v>35</v>
      </c>
      <c r="AE495" t="s">
        <v>282</v>
      </c>
      <c r="AF495" t="s">
        <v>187</v>
      </c>
      <c r="AG495">
        <v>2717231</v>
      </c>
      <c r="AH495">
        <v>2578448</v>
      </c>
      <c r="AI495">
        <v>2696021</v>
      </c>
      <c r="AJ495">
        <v>81508</v>
      </c>
      <c r="AK495">
        <v>75386.969307890002</v>
      </c>
      <c r="AL495">
        <v>66861</v>
      </c>
      <c r="AM495">
        <v>33.3371706989251</v>
      </c>
      <c r="AN495">
        <v>38.564260752688099</v>
      </c>
      <c r="AO495">
        <v>35.762421795855801</v>
      </c>
    </row>
    <row r="496" spans="30:41" x14ac:dyDescent="0.35">
      <c r="AD496" t="s">
        <v>35</v>
      </c>
      <c r="AE496" t="s">
        <v>278</v>
      </c>
      <c r="AF496" t="s">
        <v>185</v>
      </c>
      <c r="AG496">
        <v>2134888</v>
      </c>
      <c r="AH496">
        <v>2561977</v>
      </c>
      <c r="AI496">
        <v>0</v>
      </c>
      <c r="AJ496">
        <v>71867</v>
      </c>
      <c r="AK496">
        <v>0</v>
      </c>
      <c r="AL496">
        <v>66836</v>
      </c>
      <c r="AM496">
        <v>29.706014784946198</v>
      </c>
      <c r="AN496">
        <v>38.332338709677401</v>
      </c>
      <c r="AO496">
        <v>35.223177541544402</v>
      </c>
    </row>
    <row r="497" spans="30:41" x14ac:dyDescent="0.35">
      <c r="AD497" t="s">
        <v>35</v>
      </c>
      <c r="AE497" t="s">
        <v>280</v>
      </c>
      <c r="AF497" t="s">
        <v>183</v>
      </c>
      <c r="AG497">
        <v>2430425</v>
      </c>
      <c r="AH497">
        <v>2225295</v>
      </c>
      <c r="AI497">
        <v>2459968</v>
      </c>
      <c r="AJ497">
        <v>65523</v>
      </c>
      <c r="AK497">
        <v>66518.697149075801</v>
      </c>
      <c r="AL497">
        <v>58094</v>
      </c>
      <c r="AM497">
        <v>37.092426075268797</v>
      </c>
      <c r="AN497">
        <v>38.304818548387097</v>
      </c>
      <c r="AO497">
        <v>36.981595266169002</v>
      </c>
    </row>
    <row r="498" spans="30:41" x14ac:dyDescent="0.35">
      <c r="AD498" t="s">
        <v>35</v>
      </c>
      <c r="AE498" t="s">
        <v>281</v>
      </c>
      <c r="AF498" t="s">
        <v>185</v>
      </c>
      <c r="AG498">
        <v>2244985</v>
      </c>
      <c r="AH498">
        <v>2347002</v>
      </c>
      <c r="AI498">
        <v>2311848</v>
      </c>
      <c r="AJ498">
        <v>68611</v>
      </c>
      <c r="AK498">
        <v>68538.880218183403</v>
      </c>
      <c r="AL498">
        <v>61577</v>
      </c>
      <c r="AM498">
        <v>32.720483870967698</v>
      </c>
      <c r="AN498">
        <v>38.115188172042998</v>
      </c>
      <c r="AO498">
        <v>33.730466012000299</v>
      </c>
    </row>
    <row r="499" spans="30:41" x14ac:dyDescent="0.35">
      <c r="AD499" t="s">
        <v>35</v>
      </c>
      <c r="AE499" t="s">
        <v>281</v>
      </c>
      <c r="AF499" t="s">
        <v>184</v>
      </c>
      <c r="AG499">
        <v>1917534</v>
      </c>
      <c r="AH499">
        <v>1998079</v>
      </c>
      <c r="AI499">
        <v>2209657</v>
      </c>
      <c r="AJ499">
        <v>49538</v>
      </c>
      <c r="AK499">
        <v>65509.2333623218</v>
      </c>
      <c r="AL499">
        <v>52766</v>
      </c>
      <c r="AM499">
        <v>38.708593749999899</v>
      </c>
      <c r="AN499">
        <v>37.866927083333302</v>
      </c>
      <c r="AO499">
        <v>33.730466012000299</v>
      </c>
    </row>
    <row r="500" spans="30:41" x14ac:dyDescent="0.35">
      <c r="AD500" t="s">
        <v>35</v>
      </c>
      <c r="AE500" t="s">
        <v>282</v>
      </c>
      <c r="AF500" t="s">
        <v>188</v>
      </c>
      <c r="AG500">
        <v>2564150</v>
      </c>
      <c r="AH500">
        <v>2491028</v>
      </c>
      <c r="AI500">
        <v>2577910</v>
      </c>
      <c r="AJ500">
        <v>73488</v>
      </c>
      <c r="AK500">
        <v>72084.328293413506</v>
      </c>
      <c r="AL500">
        <v>66487</v>
      </c>
      <c r="AM500">
        <v>34.892277777777501</v>
      </c>
      <c r="AN500">
        <v>37.466284722222198</v>
      </c>
      <c r="AO500">
        <v>35.762421795855801</v>
      </c>
    </row>
    <row r="501" spans="30:41" x14ac:dyDescent="0.35">
      <c r="AD501" t="s">
        <v>35</v>
      </c>
      <c r="AE501" t="s">
        <v>280</v>
      </c>
      <c r="AF501" t="s">
        <v>185</v>
      </c>
      <c r="AG501">
        <v>2766432</v>
      </c>
      <c r="AH501">
        <v>2551029</v>
      </c>
      <c r="AI501">
        <v>2533756</v>
      </c>
      <c r="AJ501">
        <v>72993</v>
      </c>
      <c r="AK501">
        <v>68513.959981004096</v>
      </c>
      <c r="AL501">
        <v>68114</v>
      </c>
      <c r="AM501">
        <v>37.899966397849397</v>
      </c>
      <c r="AN501">
        <v>37.452446236559098</v>
      </c>
      <c r="AO501">
        <v>36.981595266169002</v>
      </c>
    </row>
    <row r="502" spans="30:41" x14ac:dyDescent="0.35">
      <c r="AD502" t="s">
        <v>35</v>
      </c>
      <c r="AE502" t="s">
        <v>282</v>
      </c>
      <c r="AF502" t="s">
        <v>185</v>
      </c>
      <c r="AG502">
        <v>2828630</v>
      </c>
      <c r="AH502">
        <v>2771957</v>
      </c>
      <c r="AI502">
        <v>2790879</v>
      </c>
      <c r="AJ502">
        <v>77160</v>
      </c>
      <c r="AK502">
        <v>78039.431074642896</v>
      </c>
      <c r="AL502">
        <v>74135</v>
      </c>
      <c r="AM502">
        <v>36.6591599462365</v>
      </c>
      <c r="AN502">
        <v>37.390819892473097</v>
      </c>
      <c r="AO502">
        <v>35.762421795855801</v>
      </c>
    </row>
    <row r="503" spans="30:41" x14ac:dyDescent="0.35">
      <c r="AD503" t="s">
        <v>35</v>
      </c>
      <c r="AE503" t="s">
        <v>281</v>
      </c>
      <c r="AF503" t="s">
        <v>188</v>
      </c>
      <c r="AG503">
        <v>2119703</v>
      </c>
      <c r="AH503">
        <v>2162608</v>
      </c>
      <c r="AI503">
        <v>2297535</v>
      </c>
      <c r="AJ503">
        <v>57038</v>
      </c>
      <c r="AK503">
        <v>68114.529591218801</v>
      </c>
      <c r="AL503">
        <v>58100</v>
      </c>
      <c r="AM503">
        <v>37.163097222222099</v>
      </c>
      <c r="AN503">
        <v>37.222159722222202</v>
      </c>
      <c r="AO503">
        <v>33.730466012000299</v>
      </c>
    </row>
    <row r="504" spans="30:41" x14ac:dyDescent="0.35">
      <c r="AD504" t="s">
        <v>35</v>
      </c>
      <c r="AE504" t="s">
        <v>280</v>
      </c>
      <c r="AF504" t="s">
        <v>184</v>
      </c>
      <c r="AG504">
        <v>2348347</v>
      </c>
      <c r="AH504">
        <v>2174557</v>
      </c>
      <c r="AI504">
        <v>2290784</v>
      </c>
      <c r="AJ504">
        <v>60036</v>
      </c>
      <c r="AK504">
        <v>61943.894607911003</v>
      </c>
      <c r="AL504">
        <v>58813</v>
      </c>
      <c r="AM504">
        <v>39.115781249999998</v>
      </c>
      <c r="AN504">
        <v>36.974322916666601</v>
      </c>
      <c r="AO504">
        <v>36.981595266169002</v>
      </c>
    </row>
    <row r="505" spans="30:41" x14ac:dyDescent="0.35">
      <c r="AD505" t="s">
        <v>35</v>
      </c>
      <c r="AE505" t="s">
        <v>282</v>
      </c>
      <c r="AF505" t="s">
        <v>183</v>
      </c>
      <c r="AG505">
        <v>2537568</v>
      </c>
      <c r="AH505">
        <v>2516043</v>
      </c>
      <c r="AI505">
        <v>2743246</v>
      </c>
      <c r="AJ505">
        <v>67004</v>
      </c>
      <c r="AK505">
        <v>76707.514207493805</v>
      </c>
      <c r="AL505">
        <v>68081</v>
      </c>
      <c r="AM505">
        <v>37.871740591397803</v>
      </c>
      <c r="AN505">
        <v>36.9568010752688</v>
      </c>
      <c r="AO505">
        <v>35.762421795855801</v>
      </c>
    </row>
    <row r="506" spans="30:41" x14ac:dyDescent="0.35">
      <c r="AD506" t="s">
        <v>19</v>
      </c>
      <c r="AE506" t="s">
        <v>283</v>
      </c>
      <c r="AF506" t="s">
        <v>188</v>
      </c>
      <c r="AG506">
        <v>3014442</v>
      </c>
      <c r="AH506">
        <v>2536119</v>
      </c>
      <c r="AI506">
        <v>2785575</v>
      </c>
      <c r="AJ506">
        <v>94974</v>
      </c>
      <c r="AK506">
        <v>75032.560732402693</v>
      </c>
      <c r="AL506">
        <v>69711</v>
      </c>
      <c r="AM506">
        <v>31.739555555555398</v>
      </c>
      <c r="AN506">
        <v>36.380555555555503</v>
      </c>
      <c r="AO506">
        <v>37.124878906032698</v>
      </c>
    </row>
    <row r="507" spans="30:41" x14ac:dyDescent="0.35">
      <c r="AD507" t="s">
        <v>19</v>
      </c>
      <c r="AE507" t="s">
        <v>283</v>
      </c>
      <c r="AF507" t="s">
        <v>185</v>
      </c>
      <c r="AG507">
        <v>3280732</v>
      </c>
      <c r="AH507">
        <v>2573285</v>
      </c>
      <c r="AI507">
        <v>2613631</v>
      </c>
      <c r="AJ507">
        <v>91028</v>
      </c>
      <c r="AK507">
        <v>70401.060935859001</v>
      </c>
      <c r="AL507">
        <v>71148</v>
      </c>
      <c r="AM507">
        <v>36.041061827956902</v>
      </c>
      <c r="AN507">
        <v>36.167842741935402</v>
      </c>
      <c r="AO507">
        <v>37.124878906032698</v>
      </c>
    </row>
    <row r="508" spans="30:41" x14ac:dyDescent="0.35">
      <c r="AD508" t="s">
        <v>14</v>
      </c>
      <c r="AE508" t="s">
        <v>284</v>
      </c>
      <c r="AF508" t="s">
        <v>185</v>
      </c>
      <c r="AG508">
        <v>2126605</v>
      </c>
      <c r="AH508">
        <v>2126697</v>
      </c>
      <c r="AI508">
        <v>2149408</v>
      </c>
      <c r="AJ508">
        <v>58101</v>
      </c>
      <c r="AK508">
        <v>68357.871860251107</v>
      </c>
      <c r="AL508">
        <v>59576</v>
      </c>
      <c r="AM508">
        <v>36.601673387096703</v>
      </c>
      <c r="AN508">
        <v>35.697177419354801</v>
      </c>
      <c r="AO508">
        <v>31.443465596679001</v>
      </c>
    </row>
    <row r="509" spans="30:41" x14ac:dyDescent="0.35">
      <c r="AD509" t="s">
        <v>35</v>
      </c>
      <c r="AE509" t="s">
        <v>282</v>
      </c>
      <c r="AF509" t="s">
        <v>186</v>
      </c>
      <c r="AG509">
        <v>2621415</v>
      </c>
      <c r="AH509">
        <v>2544245</v>
      </c>
      <c r="AI509">
        <v>2598866</v>
      </c>
      <c r="AJ509">
        <v>80841</v>
      </c>
      <c r="AK509">
        <v>72670.309288202494</v>
      </c>
      <c r="AL509">
        <v>71725</v>
      </c>
      <c r="AM509">
        <v>32.426916666666301</v>
      </c>
      <c r="AN509">
        <v>35.472159722222202</v>
      </c>
      <c r="AO509">
        <v>35.762421795855801</v>
      </c>
    </row>
    <row r="510" spans="30:41" x14ac:dyDescent="0.35">
      <c r="AD510" t="s">
        <v>35</v>
      </c>
      <c r="AE510" t="s">
        <v>278</v>
      </c>
      <c r="AF510" t="s">
        <v>186</v>
      </c>
      <c r="AG510">
        <v>2039024</v>
      </c>
      <c r="AH510">
        <v>2360967</v>
      </c>
      <c r="AJ510">
        <v>71680</v>
      </c>
      <c r="AK510">
        <v>0</v>
      </c>
      <c r="AL510">
        <v>66676</v>
      </c>
      <c r="AM510">
        <v>28.4462013888886</v>
      </c>
      <c r="AN510">
        <v>35.4096458333333</v>
      </c>
      <c r="AO510">
        <v>35.223177541544402</v>
      </c>
    </row>
    <row r="511" spans="30:41" x14ac:dyDescent="0.35">
      <c r="AD511" t="s">
        <v>35</v>
      </c>
      <c r="AE511" t="s">
        <v>282</v>
      </c>
      <c r="AF511" t="s">
        <v>184</v>
      </c>
      <c r="AG511">
        <v>2407695</v>
      </c>
      <c r="AH511">
        <v>2406858</v>
      </c>
      <c r="AI511">
        <v>2499631</v>
      </c>
      <c r="AJ511">
        <v>62899</v>
      </c>
      <c r="AK511">
        <v>69895.460491147605</v>
      </c>
      <c r="AL511">
        <v>68342</v>
      </c>
      <c r="AM511">
        <v>38.2786458333333</v>
      </c>
      <c r="AN511">
        <v>35.217968749999997</v>
      </c>
      <c r="AO511">
        <v>35.762421795855801</v>
      </c>
    </row>
    <row r="512" spans="30:41" x14ac:dyDescent="0.35">
      <c r="AD512" t="s">
        <v>35</v>
      </c>
      <c r="AE512" t="s">
        <v>281</v>
      </c>
      <c r="AF512" t="s">
        <v>183</v>
      </c>
      <c r="AG512">
        <v>2001640</v>
      </c>
      <c r="AH512">
        <v>2185237</v>
      </c>
      <c r="AI512">
        <v>2380800</v>
      </c>
      <c r="AJ512">
        <v>57667</v>
      </c>
      <c r="AK512">
        <v>70583.081006143693</v>
      </c>
      <c r="AL512">
        <v>62169</v>
      </c>
      <c r="AM512">
        <v>34.710450268817198</v>
      </c>
      <c r="AN512">
        <v>35.149879032257999</v>
      </c>
      <c r="AO512">
        <v>33.730466012000299</v>
      </c>
    </row>
    <row r="513" spans="30:41" x14ac:dyDescent="0.35">
      <c r="AD513" t="s">
        <v>14</v>
      </c>
      <c r="AE513" t="s">
        <v>284</v>
      </c>
      <c r="AF513" t="s">
        <v>184</v>
      </c>
      <c r="AG513">
        <v>1815700</v>
      </c>
      <c r="AH513">
        <v>1822181</v>
      </c>
      <c r="AI513">
        <v>1858575</v>
      </c>
      <c r="AJ513">
        <v>54754</v>
      </c>
      <c r="AK513">
        <v>59108.477291901901</v>
      </c>
      <c r="AL513">
        <v>52294</v>
      </c>
      <c r="AM513">
        <v>33.1611458333333</v>
      </c>
      <c r="AN513">
        <v>34.844947916666598</v>
      </c>
      <c r="AO513">
        <v>31.443465596679001</v>
      </c>
    </row>
    <row r="514" spans="30:41" x14ac:dyDescent="0.35">
      <c r="AD514" t="s">
        <v>12</v>
      </c>
      <c r="AE514" t="s">
        <v>285</v>
      </c>
      <c r="AF514" t="s">
        <v>185</v>
      </c>
      <c r="AG514">
        <v>2493929</v>
      </c>
      <c r="AH514">
        <v>2479490</v>
      </c>
      <c r="AI514">
        <v>2476503</v>
      </c>
      <c r="AJ514">
        <v>80035</v>
      </c>
      <c r="AK514">
        <v>83393.469950881699</v>
      </c>
      <c r="AL514">
        <v>71746</v>
      </c>
      <c r="AM514">
        <v>31.160678763440799</v>
      </c>
      <c r="AN514">
        <v>34.559159946236498</v>
      </c>
      <c r="AO514">
        <v>29.696606396863501</v>
      </c>
    </row>
    <row r="515" spans="30:41" x14ac:dyDescent="0.35">
      <c r="AD515" t="s">
        <v>19</v>
      </c>
      <c r="AE515" t="s">
        <v>283</v>
      </c>
      <c r="AF515" t="s">
        <v>186</v>
      </c>
      <c r="AG515">
        <v>3295944</v>
      </c>
      <c r="AH515">
        <v>2543720</v>
      </c>
      <c r="AI515">
        <v>2568141</v>
      </c>
      <c r="AJ515">
        <v>92375</v>
      </c>
      <c r="AK515">
        <v>69175.744742501498</v>
      </c>
      <c r="AL515">
        <v>74249</v>
      </c>
      <c r="AM515">
        <v>35.679972222222297</v>
      </c>
      <c r="AN515">
        <v>34.259263888888803</v>
      </c>
      <c r="AO515">
        <v>37.124878906032698</v>
      </c>
    </row>
    <row r="516" spans="30:41" x14ac:dyDescent="0.35">
      <c r="AD516" t="s">
        <v>35</v>
      </c>
      <c r="AE516" t="s">
        <v>278</v>
      </c>
      <c r="AF516" t="s">
        <v>188</v>
      </c>
      <c r="AG516">
        <v>1986541</v>
      </c>
      <c r="AH516">
        <v>2242582</v>
      </c>
      <c r="AJ516">
        <v>69936</v>
      </c>
      <c r="AK516">
        <v>0</v>
      </c>
      <c r="AL516">
        <v>65731</v>
      </c>
      <c r="AM516">
        <v>28.405319444444402</v>
      </c>
      <c r="AN516">
        <v>34.117708333333297</v>
      </c>
      <c r="AO516">
        <v>35.223177541544402</v>
      </c>
    </row>
    <row r="517" spans="30:41" x14ac:dyDescent="0.35">
      <c r="AD517" t="s">
        <v>19</v>
      </c>
      <c r="AE517" t="s">
        <v>283</v>
      </c>
      <c r="AF517" t="s">
        <v>187</v>
      </c>
      <c r="AG517">
        <v>3248906</v>
      </c>
      <c r="AH517">
        <v>2596911</v>
      </c>
      <c r="AI517">
        <v>2772704</v>
      </c>
      <c r="AJ517">
        <v>100718</v>
      </c>
      <c r="AK517">
        <v>74685.882300600293</v>
      </c>
      <c r="AL517">
        <v>76297</v>
      </c>
      <c r="AM517">
        <v>32.257439516129097</v>
      </c>
      <c r="AN517">
        <v>34.036700268817199</v>
      </c>
      <c r="AO517">
        <v>37.124878906032698</v>
      </c>
    </row>
    <row r="518" spans="30:41" x14ac:dyDescent="0.35">
      <c r="AD518" t="s">
        <v>35</v>
      </c>
      <c r="AE518" t="s">
        <v>278</v>
      </c>
      <c r="AF518" t="s">
        <v>187</v>
      </c>
      <c r="AG518">
        <v>2076233</v>
      </c>
      <c r="AH518">
        <v>2358692</v>
      </c>
      <c r="AJ518">
        <v>77117</v>
      </c>
      <c r="AK518">
        <v>0</v>
      </c>
      <c r="AL518">
        <v>69337</v>
      </c>
      <c r="AM518">
        <v>26.923326612903399</v>
      </c>
      <c r="AN518">
        <v>34.017836021505303</v>
      </c>
      <c r="AO518">
        <v>35.223177541544402</v>
      </c>
    </row>
    <row r="519" spans="30:41" x14ac:dyDescent="0.35">
      <c r="AD519" t="s">
        <v>12</v>
      </c>
      <c r="AE519" t="s">
        <v>285</v>
      </c>
      <c r="AF519" t="s">
        <v>184</v>
      </c>
      <c r="AG519">
        <v>1815764</v>
      </c>
      <c r="AH519">
        <v>1785735</v>
      </c>
      <c r="AI519">
        <v>1698381</v>
      </c>
      <c r="AJ519">
        <v>62232</v>
      </c>
      <c r="AK519">
        <v>57191.088217385601</v>
      </c>
      <c r="AL519">
        <v>52929</v>
      </c>
      <c r="AM519">
        <v>29.177187499999999</v>
      </c>
      <c r="AN519">
        <v>33.7385937499999</v>
      </c>
      <c r="AO519">
        <v>29.696606396863501</v>
      </c>
    </row>
    <row r="520" spans="30:41" x14ac:dyDescent="0.35">
      <c r="AD520" t="s">
        <v>19</v>
      </c>
      <c r="AE520" t="s">
        <v>283</v>
      </c>
      <c r="AF520" t="s">
        <v>184</v>
      </c>
      <c r="AG520">
        <v>2518906</v>
      </c>
      <c r="AH520">
        <v>2116916</v>
      </c>
      <c r="AI520">
        <v>2095000</v>
      </c>
      <c r="AJ520">
        <v>65336</v>
      </c>
      <c r="AK520">
        <v>56431.153251777003</v>
      </c>
      <c r="AL520">
        <v>64106</v>
      </c>
      <c r="AM520">
        <v>38.552916666666597</v>
      </c>
      <c r="AN520">
        <v>33.022031249999998</v>
      </c>
      <c r="AO520">
        <v>37.124878906032698</v>
      </c>
    </row>
    <row r="521" spans="30:41" x14ac:dyDescent="0.35">
      <c r="AD521" t="s">
        <v>12</v>
      </c>
      <c r="AE521" t="s">
        <v>285</v>
      </c>
      <c r="AF521" t="s">
        <v>183</v>
      </c>
      <c r="AG521">
        <v>1773812</v>
      </c>
      <c r="AH521">
        <v>1721569</v>
      </c>
      <c r="AI521">
        <v>1786944</v>
      </c>
      <c r="AJ521">
        <v>59721</v>
      </c>
      <c r="AK521">
        <v>60173.339347917303</v>
      </c>
      <c r="AL521">
        <v>52324</v>
      </c>
      <c r="AM521">
        <v>29.701875000000001</v>
      </c>
      <c r="AN521">
        <v>32.9023051075268</v>
      </c>
      <c r="AO521">
        <v>29.696606396863501</v>
      </c>
    </row>
    <row r="522" spans="30:41" x14ac:dyDescent="0.35">
      <c r="AD522" t="s">
        <v>14</v>
      </c>
      <c r="AE522" t="s">
        <v>284</v>
      </c>
      <c r="AF522" t="s">
        <v>186</v>
      </c>
      <c r="AG522">
        <v>2012869</v>
      </c>
      <c r="AH522">
        <v>1919161</v>
      </c>
      <c r="AI522">
        <v>1971163</v>
      </c>
      <c r="AJ522">
        <v>62766</v>
      </c>
      <c r="AK522">
        <v>62689.124534930001</v>
      </c>
      <c r="AL522">
        <v>58651</v>
      </c>
      <c r="AM522">
        <v>32.069187499999799</v>
      </c>
      <c r="AN522">
        <v>32.721888888888898</v>
      </c>
      <c r="AO522">
        <v>31.443465596679001</v>
      </c>
    </row>
    <row r="523" spans="30:41" x14ac:dyDescent="0.35">
      <c r="AD523" t="s">
        <v>19</v>
      </c>
      <c r="AE523" t="s">
        <v>283</v>
      </c>
      <c r="AF523" t="s">
        <v>183</v>
      </c>
      <c r="AG523">
        <v>2723288</v>
      </c>
      <c r="AH523">
        <v>2380725</v>
      </c>
      <c r="AI523">
        <v>2338878</v>
      </c>
      <c r="AJ523">
        <v>70812</v>
      </c>
      <c r="AK523">
        <v>63000.275387293797</v>
      </c>
      <c r="AL523">
        <v>72842</v>
      </c>
      <c r="AM523">
        <v>38.457802419354799</v>
      </c>
      <c r="AN523">
        <v>32.6835551075268</v>
      </c>
      <c r="AO523">
        <v>37.124878906032698</v>
      </c>
    </row>
    <row r="524" spans="30:41" x14ac:dyDescent="0.35">
      <c r="AD524" t="s">
        <v>14</v>
      </c>
      <c r="AE524" t="s">
        <v>284</v>
      </c>
      <c r="AF524" t="s">
        <v>188</v>
      </c>
      <c r="AG524">
        <v>1893904</v>
      </c>
      <c r="AH524">
        <v>1763184</v>
      </c>
      <c r="AI524">
        <v>1914842</v>
      </c>
      <c r="AJ524">
        <v>62628</v>
      </c>
      <c r="AK524">
        <v>60897.9232588866</v>
      </c>
      <c r="AL524">
        <v>54122</v>
      </c>
      <c r="AM524">
        <v>30.2406805555555</v>
      </c>
      <c r="AN524">
        <v>32.578145833333302</v>
      </c>
      <c r="AO524">
        <v>31.443465596679001</v>
      </c>
    </row>
    <row r="525" spans="30:41" x14ac:dyDescent="0.35">
      <c r="AD525" t="s">
        <v>17</v>
      </c>
      <c r="AE525" t="s">
        <v>286</v>
      </c>
      <c r="AF525" t="s">
        <v>185</v>
      </c>
      <c r="AG525">
        <v>3340842</v>
      </c>
      <c r="AH525">
        <v>3275379</v>
      </c>
      <c r="AI525">
        <v>3244079</v>
      </c>
      <c r="AJ525">
        <v>104742</v>
      </c>
      <c r="AK525">
        <v>111581.229580645</v>
      </c>
      <c r="AL525">
        <v>101057</v>
      </c>
      <c r="AM525">
        <v>31.896055107526799</v>
      </c>
      <c r="AN525">
        <v>32.411270161290297</v>
      </c>
      <c r="AO525">
        <v>29.073700348097901</v>
      </c>
    </row>
    <row r="526" spans="30:41" x14ac:dyDescent="0.35">
      <c r="AD526" t="s">
        <v>12</v>
      </c>
      <c r="AE526" t="s">
        <v>285</v>
      </c>
      <c r="AF526" t="s">
        <v>187</v>
      </c>
      <c r="AG526">
        <v>1858752</v>
      </c>
      <c r="AH526">
        <v>1738341</v>
      </c>
      <c r="AI526">
        <v>1912427</v>
      </c>
      <c r="AJ526">
        <v>60712</v>
      </c>
      <c r="AK526">
        <v>64398.840932948697</v>
      </c>
      <c r="AL526">
        <v>53885</v>
      </c>
      <c r="AM526">
        <v>30.615779569892702</v>
      </c>
      <c r="AN526">
        <v>32.260168010752601</v>
      </c>
      <c r="AO526">
        <v>29.696606396863501</v>
      </c>
    </row>
    <row r="527" spans="30:41" x14ac:dyDescent="0.35">
      <c r="AD527" t="s">
        <v>14</v>
      </c>
      <c r="AE527" t="s">
        <v>284</v>
      </c>
      <c r="AF527" t="s">
        <v>187</v>
      </c>
      <c r="AG527">
        <v>2118463</v>
      </c>
      <c r="AH527">
        <v>1989571</v>
      </c>
      <c r="AI527">
        <v>2057060</v>
      </c>
      <c r="AJ527">
        <v>65196</v>
      </c>
      <c r="AK527">
        <v>65420.908515162599</v>
      </c>
      <c r="AL527">
        <v>62309</v>
      </c>
      <c r="AM527">
        <v>32.493548387096901</v>
      </c>
      <c r="AN527">
        <v>31.930678763440799</v>
      </c>
      <c r="AO527">
        <v>31.443465596679001</v>
      </c>
    </row>
    <row r="528" spans="30:41" x14ac:dyDescent="0.35">
      <c r="AD528" t="s">
        <v>14</v>
      </c>
      <c r="AE528" t="s">
        <v>284</v>
      </c>
      <c r="AF528" t="s">
        <v>183</v>
      </c>
      <c r="AG528">
        <v>1886916</v>
      </c>
      <c r="AH528">
        <v>1825356</v>
      </c>
      <c r="AI528">
        <v>1843766</v>
      </c>
      <c r="AJ528">
        <v>57623</v>
      </c>
      <c r="AK528">
        <v>58637.478888291902</v>
      </c>
      <c r="AL528">
        <v>57665</v>
      </c>
      <c r="AM528">
        <v>32.745651881720399</v>
      </c>
      <c r="AN528">
        <v>31.654301075268801</v>
      </c>
      <c r="AO528">
        <v>31.443465596679001</v>
      </c>
    </row>
    <row r="529" spans="30:41" x14ac:dyDescent="0.35">
      <c r="AD529" t="s">
        <v>12</v>
      </c>
      <c r="AE529" t="s">
        <v>285</v>
      </c>
      <c r="AF529" t="s">
        <v>188</v>
      </c>
      <c r="AG529">
        <v>1748913</v>
      </c>
      <c r="AH529">
        <v>1554170</v>
      </c>
      <c r="AI529">
        <v>1693183</v>
      </c>
      <c r="AJ529">
        <v>56831</v>
      </c>
      <c r="AK529">
        <v>57016.047438970301</v>
      </c>
      <c r="AL529">
        <v>49319</v>
      </c>
      <c r="AM529">
        <v>30.773847222222098</v>
      </c>
      <c r="AN529">
        <v>31.5125416666666</v>
      </c>
      <c r="AO529">
        <v>29.696606396863501</v>
      </c>
    </row>
    <row r="530" spans="30:41" x14ac:dyDescent="0.35">
      <c r="AD530" t="s">
        <v>17</v>
      </c>
      <c r="AE530" t="s">
        <v>286</v>
      </c>
      <c r="AF530" t="s">
        <v>184</v>
      </c>
      <c r="AG530">
        <v>2702396</v>
      </c>
      <c r="AH530">
        <v>2554723</v>
      </c>
      <c r="AI530">
        <v>2512624</v>
      </c>
      <c r="AJ530">
        <v>88574</v>
      </c>
      <c r="AK530">
        <v>86422.561680023005</v>
      </c>
      <c r="AL530">
        <v>81423</v>
      </c>
      <c r="AM530">
        <v>30.510156250000001</v>
      </c>
      <c r="AN530">
        <v>31.3759895833333</v>
      </c>
      <c r="AO530">
        <v>29.073700348097901</v>
      </c>
    </row>
    <row r="531" spans="30:41" x14ac:dyDescent="0.35">
      <c r="AD531" t="s">
        <v>17</v>
      </c>
      <c r="AE531" t="s">
        <v>286</v>
      </c>
      <c r="AF531" t="s">
        <v>187</v>
      </c>
      <c r="AG531">
        <v>2764626</v>
      </c>
      <c r="AH531">
        <v>2531584</v>
      </c>
      <c r="AI531">
        <v>2723405</v>
      </c>
      <c r="AJ531">
        <v>95801</v>
      </c>
      <c r="AK531">
        <v>93672.444112473298</v>
      </c>
      <c r="AL531">
        <v>83544</v>
      </c>
      <c r="AM531">
        <v>28.858017473118299</v>
      </c>
      <c r="AN531">
        <v>30.302473118279501</v>
      </c>
      <c r="AO531">
        <v>29.073700348097901</v>
      </c>
    </row>
    <row r="532" spans="30:41" x14ac:dyDescent="0.35">
      <c r="AD532" t="s">
        <v>17</v>
      </c>
      <c r="AE532" t="s">
        <v>286</v>
      </c>
      <c r="AF532" t="s">
        <v>186</v>
      </c>
      <c r="AG532">
        <v>2747750</v>
      </c>
      <c r="AH532">
        <v>2583201</v>
      </c>
      <c r="AI532">
        <v>2603333</v>
      </c>
      <c r="AJ532">
        <v>93175</v>
      </c>
      <c r="AK532">
        <v>89542.555675074793</v>
      </c>
      <c r="AL532">
        <v>87671</v>
      </c>
      <c r="AM532">
        <v>29.4901249999998</v>
      </c>
      <c r="AN532">
        <v>29.4648472222222</v>
      </c>
      <c r="AO532">
        <v>29.073700348097901</v>
      </c>
    </row>
    <row r="533" spans="30:41" x14ac:dyDescent="0.35">
      <c r="AD533" t="s">
        <v>12</v>
      </c>
      <c r="AE533" t="s">
        <v>285</v>
      </c>
      <c r="AF533" t="s">
        <v>186</v>
      </c>
      <c r="AG533">
        <v>1795576</v>
      </c>
      <c r="AH533">
        <v>1711418</v>
      </c>
      <c r="AI533">
        <v>1732452</v>
      </c>
      <c r="AJ533">
        <v>62805</v>
      </c>
      <c r="AK533">
        <v>58338.383461989702</v>
      </c>
      <c r="AL533">
        <v>59310</v>
      </c>
      <c r="AM533">
        <v>28.5897499999998</v>
      </c>
      <c r="AN533">
        <v>28.855652777777699</v>
      </c>
      <c r="AO533">
        <v>29.696606396863501</v>
      </c>
    </row>
    <row r="534" spans="30:41" x14ac:dyDescent="0.35">
      <c r="AD534" t="s">
        <v>17</v>
      </c>
      <c r="AE534" t="s">
        <v>286</v>
      </c>
      <c r="AF534" t="s">
        <v>188</v>
      </c>
      <c r="AG534">
        <v>2573810</v>
      </c>
      <c r="AH534">
        <v>2255652</v>
      </c>
      <c r="AI534">
        <v>2447882</v>
      </c>
      <c r="AJ534">
        <v>85667</v>
      </c>
      <c r="AK534">
        <v>84195.760312297003</v>
      </c>
      <c r="AL534">
        <v>79259</v>
      </c>
      <c r="AM534">
        <v>30.0443888888888</v>
      </c>
      <c r="AN534">
        <v>28.459423611111099</v>
      </c>
      <c r="AO534">
        <v>29.073700348097901</v>
      </c>
    </row>
    <row r="535" spans="30:41" x14ac:dyDescent="0.35">
      <c r="AD535" t="s">
        <v>17</v>
      </c>
      <c r="AE535" t="s">
        <v>286</v>
      </c>
      <c r="AF535" t="s">
        <v>183</v>
      </c>
      <c r="AG535">
        <v>2713915</v>
      </c>
      <c r="AH535">
        <v>2428365</v>
      </c>
      <c r="AI535">
        <v>2593216</v>
      </c>
      <c r="AJ535">
        <v>95641</v>
      </c>
      <c r="AK535">
        <v>89194.566035680196</v>
      </c>
      <c r="AL535">
        <v>86866</v>
      </c>
      <c r="AM535">
        <v>28.376108870967698</v>
      </c>
      <c r="AN535">
        <v>27.9553561827957</v>
      </c>
      <c r="AO535">
        <v>29.073700348097901</v>
      </c>
    </row>
    <row r="536" spans="30:41" x14ac:dyDescent="0.35">
      <c r="AD536" t="s">
        <v>35</v>
      </c>
      <c r="AE536" t="s">
        <v>287</v>
      </c>
      <c r="AF536" t="s">
        <v>184</v>
      </c>
      <c r="AG536">
        <v>1400399</v>
      </c>
      <c r="AH536">
        <v>1474871</v>
      </c>
      <c r="AI536">
        <v>1541006</v>
      </c>
      <c r="AJ536">
        <v>55233</v>
      </c>
      <c r="AK536">
        <v>56925.586794897899</v>
      </c>
      <c r="AL536">
        <v>53309</v>
      </c>
      <c r="AM536">
        <v>25.354583333333299</v>
      </c>
      <c r="AN536">
        <v>27.666249999999899</v>
      </c>
      <c r="AO536">
        <v>27.0705325261243</v>
      </c>
    </row>
    <row r="537" spans="30:41" x14ac:dyDescent="0.35">
      <c r="AD537" t="s">
        <v>35</v>
      </c>
      <c r="AE537" t="s">
        <v>287</v>
      </c>
      <c r="AF537" t="s">
        <v>188</v>
      </c>
      <c r="AG537">
        <v>1641535</v>
      </c>
      <c r="AH537">
        <v>1568156</v>
      </c>
      <c r="AI537">
        <v>1547662</v>
      </c>
      <c r="AJ537">
        <v>69056</v>
      </c>
      <c r="AK537">
        <v>57171.470313944897</v>
      </c>
      <c r="AL537">
        <v>57724</v>
      </c>
      <c r="AM537">
        <v>23.7712222222221</v>
      </c>
      <c r="AN537">
        <v>27.166562500000001</v>
      </c>
      <c r="AO537">
        <v>27.0705325261243</v>
      </c>
    </row>
    <row r="538" spans="30:41" x14ac:dyDescent="0.35">
      <c r="AD538" t="s">
        <v>35</v>
      </c>
      <c r="AE538" t="s">
        <v>287</v>
      </c>
      <c r="AF538" t="s">
        <v>183</v>
      </c>
      <c r="AG538">
        <v>1535141</v>
      </c>
      <c r="AH538">
        <v>1570142</v>
      </c>
      <c r="AI538">
        <v>1773063</v>
      </c>
      <c r="AJ538">
        <v>58809</v>
      </c>
      <c r="AK538">
        <v>65497.882946665697</v>
      </c>
      <c r="AL538">
        <v>58410</v>
      </c>
      <c r="AM538">
        <v>26.104025537634399</v>
      </c>
      <c r="AN538">
        <v>26.881176075268801</v>
      </c>
      <c r="AO538">
        <v>27.0705325261243</v>
      </c>
    </row>
    <row r="539" spans="30:41" x14ac:dyDescent="0.35">
      <c r="AD539" t="s">
        <v>12</v>
      </c>
      <c r="AE539" t="s">
        <v>288</v>
      </c>
      <c r="AF539" t="s">
        <v>183</v>
      </c>
      <c r="AG539">
        <v>1460734</v>
      </c>
      <c r="AH539">
        <v>1401792</v>
      </c>
      <c r="AI539">
        <v>2054446</v>
      </c>
      <c r="AJ539">
        <v>67034</v>
      </c>
      <c r="AK539">
        <v>87117.013739392394</v>
      </c>
      <c r="AL539">
        <v>52238</v>
      </c>
      <c r="AM539">
        <v>21.7908870967741</v>
      </c>
      <c r="AN539">
        <v>26.834885752688098</v>
      </c>
      <c r="AO539">
        <v>23.5825991975092</v>
      </c>
    </row>
    <row r="540" spans="30:41" x14ac:dyDescent="0.35">
      <c r="AD540" t="s">
        <v>35</v>
      </c>
      <c r="AE540" t="s">
        <v>287</v>
      </c>
      <c r="AF540" t="s">
        <v>186</v>
      </c>
      <c r="AG540">
        <v>1607803</v>
      </c>
      <c r="AH540">
        <v>1540390</v>
      </c>
      <c r="AI540">
        <v>1478234</v>
      </c>
      <c r="AJ540">
        <v>72382</v>
      </c>
      <c r="AK540">
        <v>54606.774989499499</v>
      </c>
      <c r="AL540">
        <v>57456</v>
      </c>
      <c r="AM540">
        <v>22.2127499999999</v>
      </c>
      <c r="AN540">
        <v>26.8098541666666</v>
      </c>
      <c r="AO540">
        <v>27.0705325261243</v>
      </c>
    </row>
    <row r="541" spans="30:41" x14ac:dyDescent="0.35">
      <c r="AD541" t="s">
        <v>12</v>
      </c>
      <c r="AE541" t="s">
        <v>288</v>
      </c>
      <c r="AF541" t="s">
        <v>186</v>
      </c>
      <c r="AG541">
        <v>1474556</v>
      </c>
      <c r="AH541">
        <v>1305270</v>
      </c>
      <c r="AI541">
        <v>1737266</v>
      </c>
      <c r="AJ541">
        <v>61981</v>
      </c>
      <c r="AK541">
        <v>73667.269059276805</v>
      </c>
      <c r="AL541">
        <v>48687</v>
      </c>
      <c r="AM541">
        <v>23.790472222222199</v>
      </c>
      <c r="AN541">
        <v>26.8094166666666</v>
      </c>
      <c r="AO541">
        <v>23.5825991975092</v>
      </c>
    </row>
    <row r="542" spans="30:41" x14ac:dyDescent="0.35">
      <c r="AD542" t="s">
        <v>12</v>
      </c>
      <c r="AE542" t="s">
        <v>288</v>
      </c>
      <c r="AF542" t="s">
        <v>184</v>
      </c>
      <c r="AG542">
        <v>1516617</v>
      </c>
      <c r="AH542">
        <v>1411073</v>
      </c>
      <c r="AI542">
        <v>1893865</v>
      </c>
      <c r="AJ542">
        <v>67371</v>
      </c>
      <c r="AK542">
        <v>80307.7295313582</v>
      </c>
      <c r="AL542">
        <v>53609</v>
      </c>
      <c r="AM542">
        <v>22.511302083333302</v>
      </c>
      <c r="AN542">
        <v>26.3214062499999</v>
      </c>
      <c r="AO542">
        <v>23.5825991975092</v>
      </c>
    </row>
    <row r="543" spans="30:41" x14ac:dyDescent="0.35">
      <c r="AD543" t="s">
        <v>12</v>
      </c>
      <c r="AE543" t="s">
        <v>288</v>
      </c>
      <c r="AF543" t="s">
        <v>185</v>
      </c>
      <c r="AG543">
        <v>2026405</v>
      </c>
      <c r="AH543">
        <v>1823537</v>
      </c>
      <c r="AI543">
        <v>2074140</v>
      </c>
      <c r="AJ543">
        <v>81828</v>
      </c>
      <c r="AK543">
        <v>87952.153879588703</v>
      </c>
      <c r="AL543">
        <v>69426</v>
      </c>
      <c r="AM543">
        <v>24.764193548386999</v>
      </c>
      <c r="AN543">
        <v>26.2658064516129</v>
      </c>
      <c r="AO543">
        <v>23.5825991975092</v>
      </c>
    </row>
    <row r="544" spans="30:41" x14ac:dyDescent="0.35">
      <c r="AD544" t="s">
        <v>35</v>
      </c>
      <c r="AE544" t="s">
        <v>287</v>
      </c>
      <c r="AF544" t="s">
        <v>187</v>
      </c>
      <c r="AG544">
        <v>1731113</v>
      </c>
      <c r="AH544">
        <v>1636554</v>
      </c>
      <c r="AI544">
        <v>1595309</v>
      </c>
      <c r="AJ544">
        <v>71291</v>
      </c>
      <c r="AK544">
        <v>58931.556494518503</v>
      </c>
      <c r="AL544">
        <v>62649</v>
      </c>
      <c r="AM544">
        <v>24.282190860215199</v>
      </c>
      <c r="AN544">
        <v>26.122560483870899</v>
      </c>
      <c r="AO544">
        <v>27.0705325261243</v>
      </c>
    </row>
    <row r="545" spans="30:41" x14ac:dyDescent="0.35">
      <c r="AD545" t="s">
        <v>35</v>
      </c>
      <c r="AE545" t="s">
        <v>289</v>
      </c>
      <c r="AF545" t="s">
        <v>184</v>
      </c>
      <c r="AG545">
        <v>2639017</v>
      </c>
      <c r="AH545">
        <v>2376295</v>
      </c>
      <c r="AI545">
        <v>2417235</v>
      </c>
      <c r="AJ545">
        <v>112510</v>
      </c>
      <c r="AK545">
        <v>123027.246416925</v>
      </c>
      <c r="AL545">
        <v>91273</v>
      </c>
      <c r="AM545">
        <v>23.455937500000001</v>
      </c>
      <c r="AN545">
        <v>26.034895833333302</v>
      </c>
      <c r="AO545">
        <v>19.647967156057899</v>
      </c>
    </row>
    <row r="546" spans="30:41" x14ac:dyDescent="0.35">
      <c r="AD546" t="s">
        <v>35</v>
      </c>
      <c r="AE546" t="s">
        <v>287</v>
      </c>
      <c r="AF546" t="s">
        <v>185</v>
      </c>
      <c r="AG546">
        <v>1751367</v>
      </c>
      <c r="AH546">
        <v>2452740</v>
      </c>
      <c r="AI546">
        <v>2070739</v>
      </c>
      <c r="AJ546">
        <v>70390</v>
      </c>
      <c r="AK546">
        <v>76494.195457796697</v>
      </c>
      <c r="AL546">
        <v>94474</v>
      </c>
      <c r="AM546">
        <v>24.880954301075199</v>
      </c>
      <c r="AN546">
        <v>25.962049731182699</v>
      </c>
      <c r="AO546">
        <v>27.0705325261243</v>
      </c>
    </row>
    <row r="547" spans="30:41" x14ac:dyDescent="0.35">
      <c r="AD547" t="s">
        <v>9</v>
      </c>
      <c r="AE547" t="s">
        <v>290</v>
      </c>
      <c r="AF547" t="s">
        <v>185</v>
      </c>
      <c r="AG547">
        <v>2819804</v>
      </c>
      <c r="AH547">
        <v>3107812</v>
      </c>
      <c r="AI547">
        <v>2307120</v>
      </c>
      <c r="AJ547">
        <v>231397</v>
      </c>
      <c r="AK547">
        <v>196971.94955803099</v>
      </c>
      <c r="AL547">
        <v>120140</v>
      </c>
      <c r="AM547">
        <v>12.1859744623655</v>
      </c>
      <c r="AN547">
        <v>25.868245967741899</v>
      </c>
      <c r="AO547">
        <v>11.712938172043</v>
      </c>
    </row>
    <row r="548" spans="30:41" x14ac:dyDescent="0.35">
      <c r="AD548" t="s">
        <v>12</v>
      </c>
      <c r="AE548" t="s">
        <v>288</v>
      </c>
      <c r="AF548" t="s">
        <v>187</v>
      </c>
      <c r="AG548">
        <v>1618489</v>
      </c>
      <c r="AH548">
        <v>1403201</v>
      </c>
      <c r="AI548">
        <v>1546371</v>
      </c>
      <c r="AJ548">
        <v>67663</v>
      </c>
      <c r="AK548">
        <v>65572.539602136996</v>
      </c>
      <c r="AL548">
        <v>54591</v>
      </c>
      <c r="AM548">
        <v>23.9199126344086</v>
      </c>
      <c r="AN548">
        <v>25.703689516129</v>
      </c>
      <c r="AO548">
        <v>23.5825991975092</v>
      </c>
    </row>
    <row r="549" spans="30:41" x14ac:dyDescent="0.35">
      <c r="AD549" t="s">
        <v>9</v>
      </c>
      <c r="AE549" t="s">
        <v>291</v>
      </c>
      <c r="AF549" t="s">
        <v>186</v>
      </c>
      <c r="AG549">
        <v>923700</v>
      </c>
      <c r="AH549">
        <v>804636</v>
      </c>
      <c r="AI549">
        <v>808627</v>
      </c>
      <c r="AJ549">
        <v>64034</v>
      </c>
      <c r="AK549">
        <v>61307.109918989001</v>
      </c>
      <c r="AL549">
        <v>31366</v>
      </c>
      <c r="AM549">
        <v>14.425152777777701</v>
      </c>
      <c r="AN549">
        <v>25.653395833333299</v>
      </c>
      <c r="AO549">
        <v>13.189776457714499</v>
      </c>
    </row>
    <row r="550" spans="30:41" x14ac:dyDescent="0.35">
      <c r="AD550" t="s">
        <v>12</v>
      </c>
      <c r="AE550" t="s">
        <v>288</v>
      </c>
      <c r="AF550" t="s">
        <v>188</v>
      </c>
      <c r="AG550">
        <v>1541256</v>
      </c>
      <c r="AH550">
        <v>1342678</v>
      </c>
      <c r="AI550">
        <v>2783131</v>
      </c>
      <c r="AJ550">
        <v>64660</v>
      </c>
      <c r="AK550">
        <v>118016.314452477</v>
      </c>
      <c r="AL550">
        <v>52369</v>
      </c>
      <c r="AM550">
        <v>23.836263888888901</v>
      </c>
      <c r="AN550">
        <v>25.6388125</v>
      </c>
      <c r="AO550">
        <v>23.5825991975092</v>
      </c>
    </row>
    <row r="551" spans="30:41" x14ac:dyDescent="0.35">
      <c r="AD551" t="s">
        <v>9</v>
      </c>
      <c r="AE551" t="s">
        <v>291</v>
      </c>
      <c r="AF551" t="s">
        <v>187</v>
      </c>
      <c r="AG551">
        <v>941433</v>
      </c>
      <c r="AH551">
        <v>824494</v>
      </c>
      <c r="AI551">
        <v>833750</v>
      </c>
      <c r="AJ551">
        <v>63291</v>
      </c>
      <c r="AK551">
        <v>63211.824208919701</v>
      </c>
      <c r="AL551">
        <v>32884</v>
      </c>
      <c r="AM551">
        <v>14.874764784946199</v>
      </c>
      <c r="AN551">
        <v>25.0728427419354</v>
      </c>
      <c r="AO551">
        <v>13.189776457714499</v>
      </c>
    </row>
    <row r="552" spans="30:41" x14ac:dyDescent="0.35">
      <c r="AD552" t="s">
        <v>9</v>
      </c>
      <c r="AE552" t="s">
        <v>290</v>
      </c>
      <c r="AF552" t="s">
        <v>187</v>
      </c>
      <c r="AG552">
        <v>990495</v>
      </c>
      <c r="AH552">
        <v>1099360</v>
      </c>
      <c r="AI552">
        <v>1164460</v>
      </c>
      <c r="AJ552">
        <v>84108</v>
      </c>
      <c r="AK552">
        <v>99416.536627793903</v>
      </c>
      <c r="AL552">
        <v>44103</v>
      </c>
      <c r="AM552">
        <v>11.7764180107527</v>
      </c>
      <c r="AN552">
        <v>24.927244623655898</v>
      </c>
      <c r="AO552">
        <v>11.712938172043</v>
      </c>
    </row>
    <row r="553" spans="30:41" x14ac:dyDescent="0.35">
      <c r="AD553" t="s">
        <v>35</v>
      </c>
      <c r="AE553" t="s">
        <v>289</v>
      </c>
      <c r="AF553" t="s">
        <v>183</v>
      </c>
      <c r="AG553">
        <v>2915277</v>
      </c>
      <c r="AH553">
        <v>2501860</v>
      </c>
      <c r="AI553">
        <v>2438215</v>
      </c>
      <c r="AJ553">
        <v>116590</v>
      </c>
      <c r="AK553">
        <v>124095.044501753</v>
      </c>
      <c r="AL553">
        <v>100931</v>
      </c>
      <c r="AM553">
        <v>25.004583333333301</v>
      </c>
      <c r="AN553">
        <v>24.787809139784901</v>
      </c>
      <c r="AO553">
        <v>19.647967156057899</v>
      </c>
    </row>
    <row r="554" spans="30:41" x14ac:dyDescent="0.35">
      <c r="AD554" t="s">
        <v>292</v>
      </c>
      <c r="AE554" t="s">
        <v>293</v>
      </c>
      <c r="AF554" t="s">
        <v>184</v>
      </c>
      <c r="AH554">
        <v>1269589</v>
      </c>
      <c r="AK554">
        <v>0</v>
      </c>
      <c r="AN554">
        <v>24.647343750000001</v>
      </c>
    </row>
    <row r="555" spans="30:41" x14ac:dyDescent="0.35">
      <c r="AD555" t="s">
        <v>9</v>
      </c>
      <c r="AE555" t="s">
        <v>291</v>
      </c>
      <c r="AF555" t="s">
        <v>185</v>
      </c>
      <c r="AG555">
        <v>999878</v>
      </c>
      <c r="AH555">
        <v>799458</v>
      </c>
      <c r="AI555">
        <v>825496</v>
      </c>
      <c r="AJ555">
        <v>69811</v>
      </c>
      <c r="AK555">
        <v>62586.084885250297</v>
      </c>
      <c r="AL555">
        <v>32585</v>
      </c>
      <c r="AM555">
        <v>14.322668010752601</v>
      </c>
      <c r="AN555">
        <v>24.5344825268817</v>
      </c>
      <c r="AO555">
        <v>13.189776457714499</v>
      </c>
    </row>
    <row r="556" spans="30:41" x14ac:dyDescent="0.35">
      <c r="AD556" t="s">
        <v>35</v>
      </c>
      <c r="AE556" t="s">
        <v>289</v>
      </c>
      <c r="AF556" t="s">
        <v>185</v>
      </c>
      <c r="AG556">
        <v>1656529</v>
      </c>
      <c r="AH556">
        <v>1850048</v>
      </c>
      <c r="AI556">
        <v>1911335</v>
      </c>
      <c r="AJ556">
        <v>73322</v>
      </c>
      <c r="AK556">
        <v>97279.004892406097</v>
      </c>
      <c r="AL556">
        <v>75842</v>
      </c>
      <c r="AM556">
        <v>22.592594086021499</v>
      </c>
      <c r="AN556">
        <v>24.3933534946236</v>
      </c>
      <c r="AO556">
        <v>19.647967156057899</v>
      </c>
    </row>
    <row r="557" spans="30:41" x14ac:dyDescent="0.35">
      <c r="AD557" t="s">
        <v>9</v>
      </c>
      <c r="AE557" t="s">
        <v>290</v>
      </c>
      <c r="AF557" t="s">
        <v>186</v>
      </c>
      <c r="AG557">
        <v>1141410</v>
      </c>
      <c r="AH557">
        <v>1380007</v>
      </c>
      <c r="AI557">
        <v>1376521</v>
      </c>
      <c r="AJ557">
        <v>97980</v>
      </c>
      <c r="AK557">
        <v>117521.431410399</v>
      </c>
      <c r="AL557">
        <v>59339</v>
      </c>
      <c r="AM557">
        <v>11.6494583333333</v>
      </c>
      <c r="AN557">
        <v>23.256479166666601</v>
      </c>
      <c r="AO557">
        <v>11.712938172043</v>
      </c>
    </row>
    <row r="558" spans="30:41" x14ac:dyDescent="0.35">
      <c r="AD558" t="s">
        <v>9</v>
      </c>
      <c r="AE558" t="s">
        <v>290</v>
      </c>
      <c r="AF558" t="s">
        <v>188</v>
      </c>
      <c r="AG558">
        <v>909515</v>
      </c>
      <c r="AH558">
        <v>965427</v>
      </c>
      <c r="AI558">
        <v>1000315</v>
      </c>
      <c r="AJ558">
        <v>86392</v>
      </c>
      <c r="AK558">
        <v>85402.564335872405</v>
      </c>
      <c r="AL558">
        <v>41985</v>
      </c>
      <c r="AM558">
        <v>10.527708333333299</v>
      </c>
      <c r="AN558">
        <v>22.994368055555501</v>
      </c>
      <c r="AO558">
        <v>11.712938172043</v>
      </c>
    </row>
    <row r="559" spans="30:41" x14ac:dyDescent="0.35">
      <c r="AD559" t="s">
        <v>292</v>
      </c>
      <c r="AE559" t="s">
        <v>293</v>
      </c>
      <c r="AF559" t="s">
        <v>183</v>
      </c>
      <c r="AH559">
        <v>1372026</v>
      </c>
      <c r="AK559">
        <v>0</v>
      </c>
      <c r="AN559">
        <v>22.812614247311799</v>
      </c>
    </row>
    <row r="560" spans="30:41" x14ac:dyDescent="0.35">
      <c r="AD560" t="s">
        <v>9</v>
      </c>
      <c r="AE560" t="s">
        <v>291</v>
      </c>
      <c r="AF560" t="s">
        <v>188</v>
      </c>
      <c r="AG560">
        <v>862652</v>
      </c>
      <c r="AH560">
        <v>815028</v>
      </c>
      <c r="AI560">
        <v>775038</v>
      </c>
      <c r="AJ560">
        <v>58340</v>
      </c>
      <c r="AK560">
        <v>58760.527396708698</v>
      </c>
      <c r="AL560">
        <v>37078</v>
      </c>
      <c r="AM560">
        <v>14.7866249999999</v>
      </c>
      <c r="AN560">
        <v>21.981506944444401</v>
      </c>
      <c r="AO560">
        <v>13.189776457714499</v>
      </c>
    </row>
    <row r="561" spans="30:41" x14ac:dyDescent="0.35">
      <c r="AD561" t="s">
        <v>104</v>
      </c>
      <c r="AE561" t="s">
        <v>208</v>
      </c>
      <c r="AF561" t="s">
        <v>187</v>
      </c>
      <c r="AG561">
        <v>768135</v>
      </c>
      <c r="AH561">
        <v>615986</v>
      </c>
      <c r="AI561">
        <v>638917</v>
      </c>
      <c r="AJ561">
        <v>34968</v>
      </c>
      <c r="AK561">
        <v>6648.4577346513997</v>
      </c>
      <c r="AL561">
        <v>29391</v>
      </c>
      <c r="AM561">
        <v>21.9669690860214</v>
      </c>
      <c r="AN561">
        <v>20.958555107526799</v>
      </c>
      <c r="AO561">
        <v>96.1</v>
      </c>
    </row>
    <row r="562" spans="30:41" x14ac:dyDescent="0.35">
      <c r="AD562" t="s">
        <v>292</v>
      </c>
      <c r="AE562" t="s">
        <v>293</v>
      </c>
      <c r="AF562" t="s">
        <v>185</v>
      </c>
      <c r="AH562">
        <v>285641</v>
      </c>
      <c r="AK562">
        <v>0</v>
      </c>
      <c r="AN562">
        <v>20.895282258064501</v>
      </c>
    </row>
    <row r="563" spans="30:41" x14ac:dyDescent="0.35">
      <c r="AD563" t="s">
        <v>35</v>
      </c>
      <c r="AE563" t="s">
        <v>289</v>
      </c>
      <c r="AF563" t="s">
        <v>186</v>
      </c>
      <c r="AG563">
        <v>1189667</v>
      </c>
      <c r="AH563">
        <v>1251344</v>
      </c>
      <c r="AI563">
        <v>1294400</v>
      </c>
      <c r="AJ563">
        <v>59602</v>
      </c>
      <c r="AK563">
        <v>65879.568889695598</v>
      </c>
      <c r="AL563">
        <v>60971</v>
      </c>
      <c r="AM563">
        <v>19.960159722222301</v>
      </c>
      <c r="AN563">
        <v>20.523562500000001</v>
      </c>
      <c r="AO563">
        <v>19.647967156057899</v>
      </c>
    </row>
    <row r="564" spans="30:41" x14ac:dyDescent="0.35">
      <c r="AD564" t="s">
        <v>9</v>
      </c>
      <c r="AE564" t="s">
        <v>294</v>
      </c>
      <c r="AF564" t="s">
        <v>186</v>
      </c>
      <c r="AG564">
        <v>672313</v>
      </c>
      <c r="AH564">
        <v>729144</v>
      </c>
      <c r="AI564">
        <v>700085</v>
      </c>
      <c r="AJ564">
        <v>59532</v>
      </c>
      <c r="AK564">
        <v>65712.533625454496</v>
      </c>
      <c r="AL564">
        <v>35625</v>
      </c>
      <c r="AM564">
        <v>11.2933819444444</v>
      </c>
      <c r="AN564">
        <v>20.467076388888799</v>
      </c>
      <c r="AO564">
        <v>10.6537530266343</v>
      </c>
    </row>
    <row r="565" spans="30:41" x14ac:dyDescent="0.35">
      <c r="AD565" t="s">
        <v>35</v>
      </c>
      <c r="AE565" t="s">
        <v>295</v>
      </c>
      <c r="AF565" t="s">
        <v>188</v>
      </c>
      <c r="AG565">
        <v>1010006</v>
      </c>
      <c r="AH565">
        <v>943608</v>
      </c>
      <c r="AI565">
        <v>985070</v>
      </c>
      <c r="AJ565">
        <v>55283</v>
      </c>
      <c r="AK565">
        <v>56402.980724945402</v>
      </c>
      <c r="AL565">
        <v>46408</v>
      </c>
      <c r="AM565">
        <v>18.2696111111111</v>
      </c>
      <c r="AN565">
        <v>20.332666666666601</v>
      </c>
      <c r="AO565">
        <v>17.464859694273699</v>
      </c>
    </row>
    <row r="566" spans="30:41" x14ac:dyDescent="0.35">
      <c r="AD566" t="s">
        <v>9</v>
      </c>
      <c r="AE566" t="s">
        <v>294</v>
      </c>
      <c r="AF566" t="s">
        <v>187</v>
      </c>
      <c r="AG566">
        <v>697767</v>
      </c>
      <c r="AH566">
        <v>728782</v>
      </c>
      <c r="AI566">
        <v>701198</v>
      </c>
      <c r="AJ566">
        <v>58631</v>
      </c>
      <c r="AK566">
        <v>65816.9963999545</v>
      </c>
      <c r="AL566">
        <v>35993</v>
      </c>
      <c r="AM566">
        <v>11.900940860215</v>
      </c>
      <c r="AN566">
        <v>20.247735215053702</v>
      </c>
      <c r="AO566">
        <v>10.6537530266343</v>
      </c>
    </row>
    <row r="567" spans="30:41" x14ac:dyDescent="0.35">
      <c r="AD567" t="s">
        <v>35</v>
      </c>
      <c r="AE567" t="s">
        <v>295</v>
      </c>
      <c r="AF567" t="s">
        <v>186</v>
      </c>
      <c r="AG567">
        <v>1163569</v>
      </c>
      <c r="AH567">
        <v>1072879</v>
      </c>
      <c r="AI567">
        <v>1085185</v>
      </c>
      <c r="AJ567">
        <v>60380</v>
      </c>
      <c r="AK567">
        <v>62135.3623502513</v>
      </c>
      <c r="AL567">
        <v>54531</v>
      </c>
      <c r="AM567">
        <v>19.270854166666599</v>
      </c>
      <c r="AN567">
        <v>19.6747152777777</v>
      </c>
      <c r="AO567">
        <v>17.464859694273699</v>
      </c>
    </row>
    <row r="568" spans="30:41" x14ac:dyDescent="0.35">
      <c r="AD568" t="s">
        <v>9</v>
      </c>
      <c r="AE568" t="s">
        <v>294</v>
      </c>
      <c r="AF568" t="s">
        <v>185</v>
      </c>
      <c r="AG568">
        <v>736031</v>
      </c>
      <c r="AH568">
        <v>770043</v>
      </c>
      <c r="AI568">
        <v>800677</v>
      </c>
      <c r="AJ568">
        <v>60831</v>
      </c>
      <c r="AK568">
        <v>75154.427411477198</v>
      </c>
      <c r="AL568">
        <v>39166</v>
      </c>
      <c r="AM568">
        <v>12.0996505376344</v>
      </c>
      <c r="AN568">
        <v>19.6608266129032</v>
      </c>
      <c r="AO568">
        <v>10.6537530266343</v>
      </c>
    </row>
    <row r="569" spans="30:41" x14ac:dyDescent="0.35">
      <c r="AD569" t="s">
        <v>35</v>
      </c>
      <c r="AE569" t="s">
        <v>289</v>
      </c>
      <c r="AF569" t="s">
        <v>187</v>
      </c>
      <c r="AG569">
        <v>817446</v>
      </c>
      <c r="AH569">
        <v>695614</v>
      </c>
      <c r="AI569">
        <v>723342</v>
      </c>
      <c r="AJ569">
        <v>44414</v>
      </c>
      <c r="AK569">
        <v>36815.088082889699</v>
      </c>
      <c r="AL569">
        <v>35604</v>
      </c>
      <c r="AM569">
        <v>18.405342741935399</v>
      </c>
      <c r="AN569">
        <v>19.537385752688099</v>
      </c>
      <c r="AO569">
        <v>19.647967156057899</v>
      </c>
    </row>
    <row r="570" spans="30:41" x14ac:dyDescent="0.35">
      <c r="AD570" t="s">
        <v>35</v>
      </c>
      <c r="AE570" t="s">
        <v>295</v>
      </c>
      <c r="AF570" t="s">
        <v>187</v>
      </c>
      <c r="AG570">
        <v>1187393</v>
      </c>
      <c r="AH570">
        <v>1067583</v>
      </c>
      <c r="AI570">
        <v>1118900</v>
      </c>
      <c r="AJ570">
        <v>63508</v>
      </c>
      <c r="AK570">
        <v>64065.809258510897</v>
      </c>
      <c r="AL570">
        <v>54738</v>
      </c>
      <c r="AM570">
        <v>18.696633064516099</v>
      </c>
      <c r="AN570">
        <v>19.503326612903201</v>
      </c>
      <c r="AO570">
        <v>17.464859694273699</v>
      </c>
    </row>
    <row r="571" spans="30:41" x14ac:dyDescent="0.35">
      <c r="AD571" t="s">
        <v>35</v>
      </c>
      <c r="AE571" t="s">
        <v>295</v>
      </c>
      <c r="AF571" t="s">
        <v>185</v>
      </c>
      <c r="AG571">
        <v>1249248</v>
      </c>
      <c r="AH571">
        <v>1319679</v>
      </c>
      <c r="AI571">
        <v>1334696</v>
      </c>
      <c r="AJ571">
        <v>63266</v>
      </c>
      <c r="AK571">
        <v>76421.776233198601</v>
      </c>
      <c r="AL571">
        <v>68339</v>
      </c>
      <c r="AM571">
        <v>19.745880376344001</v>
      </c>
      <c r="AN571">
        <v>19.310685483870898</v>
      </c>
      <c r="AO571">
        <v>17.464859694273699</v>
      </c>
    </row>
    <row r="572" spans="30:41" x14ac:dyDescent="0.35">
      <c r="AD572" t="s">
        <v>35</v>
      </c>
      <c r="AE572" t="s">
        <v>295</v>
      </c>
      <c r="AF572" t="s">
        <v>184</v>
      </c>
      <c r="AG572">
        <v>1139532</v>
      </c>
      <c r="AH572">
        <v>1170970</v>
      </c>
      <c r="AI572">
        <v>1124838</v>
      </c>
      <c r="AJ572">
        <v>65856</v>
      </c>
      <c r="AK572">
        <v>64405.7881535001</v>
      </c>
      <c r="AL572">
        <v>60708</v>
      </c>
      <c r="AM572">
        <v>17.303489583333299</v>
      </c>
      <c r="AN572">
        <v>19.288697916666599</v>
      </c>
      <c r="AO572">
        <v>17.464859694273699</v>
      </c>
    </row>
    <row r="573" spans="30:41" x14ac:dyDescent="0.35">
      <c r="AD573" t="s">
        <v>104</v>
      </c>
      <c r="AE573" t="s">
        <v>208</v>
      </c>
      <c r="AF573" t="s">
        <v>188</v>
      </c>
      <c r="AG573">
        <v>458564</v>
      </c>
      <c r="AH573">
        <v>416162</v>
      </c>
      <c r="AI573">
        <v>438990</v>
      </c>
      <c r="AJ573">
        <v>24195</v>
      </c>
      <c r="AK573">
        <v>4568.0532851196604</v>
      </c>
      <c r="AL573">
        <v>22277</v>
      </c>
      <c r="AM573">
        <v>18.952986111110999</v>
      </c>
      <c r="AN573">
        <v>18.681493055555499</v>
      </c>
      <c r="AO573">
        <v>96.1</v>
      </c>
    </row>
    <row r="574" spans="30:41" x14ac:dyDescent="0.35">
      <c r="AD574" t="s">
        <v>9</v>
      </c>
      <c r="AE574" t="s">
        <v>294</v>
      </c>
      <c r="AF574" t="s">
        <v>188</v>
      </c>
      <c r="AG574">
        <v>661304</v>
      </c>
      <c r="AH574">
        <v>679674</v>
      </c>
      <c r="AI574">
        <v>651821</v>
      </c>
      <c r="AJ574">
        <v>57650</v>
      </c>
      <c r="AK574">
        <v>61182.246666545398</v>
      </c>
      <c r="AL574">
        <v>39633</v>
      </c>
      <c r="AM574">
        <v>11.471006944444399</v>
      </c>
      <c r="AN574">
        <v>17.149270833333301</v>
      </c>
      <c r="AO574">
        <v>10.6537530266343</v>
      </c>
    </row>
    <row r="575" spans="30:41" x14ac:dyDescent="0.35">
      <c r="AD575" t="s">
        <v>35</v>
      </c>
      <c r="AE575" t="s">
        <v>289</v>
      </c>
      <c r="AF575" t="s">
        <v>188</v>
      </c>
      <c r="AG575">
        <v>562501</v>
      </c>
      <c r="AH575">
        <v>494849</v>
      </c>
      <c r="AI575">
        <v>514633</v>
      </c>
      <c r="AJ575">
        <v>32109</v>
      </c>
      <c r="AK575">
        <v>26192.6632517463</v>
      </c>
      <c r="AL575">
        <v>29267</v>
      </c>
      <c r="AM575">
        <v>17.5182291666667</v>
      </c>
      <c r="AN575">
        <v>16.908111111111101</v>
      </c>
      <c r="AO575">
        <v>19.647967156057899</v>
      </c>
    </row>
    <row r="576" spans="30:41" x14ac:dyDescent="0.35">
      <c r="AD576" t="s">
        <v>35</v>
      </c>
      <c r="AE576" t="s">
        <v>295</v>
      </c>
      <c r="AF576" t="s">
        <v>183</v>
      </c>
      <c r="AG576">
        <v>1117393</v>
      </c>
      <c r="AH576">
        <v>1113516</v>
      </c>
      <c r="AI576">
        <v>1152569</v>
      </c>
      <c r="AJ576">
        <v>68004</v>
      </c>
      <c r="AK576">
        <v>65993.626566487306</v>
      </c>
      <c r="AL576">
        <v>67368</v>
      </c>
      <c r="AM576">
        <v>16.4313239247311</v>
      </c>
      <c r="AN576">
        <v>16.528938172042999</v>
      </c>
      <c r="AO576">
        <v>17.464859694273699</v>
      </c>
    </row>
    <row r="577" spans="30:41" x14ac:dyDescent="0.35">
      <c r="AD577" t="s">
        <v>35</v>
      </c>
      <c r="AE577" t="s">
        <v>296</v>
      </c>
      <c r="AF577" t="s">
        <v>188</v>
      </c>
      <c r="AG577">
        <v>1148547</v>
      </c>
      <c r="AH577">
        <v>1033362</v>
      </c>
      <c r="AI577">
        <v>988627</v>
      </c>
      <c r="AJ577">
        <v>88871</v>
      </c>
      <c r="AK577">
        <v>70758.329275624099</v>
      </c>
      <c r="AL577">
        <v>68936</v>
      </c>
      <c r="AM577">
        <v>12.9237013888888</v>
      </c>
      <c r="AN577">
        <v>14.990159722222201</v>
      </c>
      <c r="AO577">
        <v>13.971887755419001</v>
      </c>
    </row>
    <row r="578" spans="30:41" x14ac:dyDescent="0.35">
      <c r="AD578" t="s">
        <v>35</v>
      </c>
      <c r="AE578" t="s">
        <v>297</v>
      </c>
      <c r="AF578" t="s">
        <v>187</v>
      </c>
      <c r="AG578">
        <v>1253650</v>
      </c>
      <c r="AH578">
        <v>1074969</v>
      </c>
      <c r="AI578">
        <v>1102124</v>
      </c>
      <c r="AJ578">
        <v>99585</v>
      </c>
      <c r="AK578">
        <v>78881.522060076604</v>
      </c>
      <c r="AL578">
        <v>72109</v>
      </c>
      <c r="AM578">
        <v>12.5887567204301</v>
      </c>
      <c r="AN578">
        <v>14.907506720430099</v>
      </c>
      <c r="AO578">
        <v>13.971887755419001</v>
      </c>
    </row>
    <row r="579" spans="30:41" x14ac:dyDescent="0.35">
      <c r="AD579" t="s">
        <v>9</v>
      </c>
      <c r="AE579" t="s">
        <v>298</v>
      </c>
      <c r="AF579" t="s">
        <v>185</v>
      </c>
      <c r="AG579">
        <v>1065936</v>
      </c>
      <c r="AH579">
        <v>1087934</v>
      </c>
      <c r="AI579">
        <v>1116118</v>
      </c>
      <c r="AJ579">
        <v>80805</v>
      </c>
      <c r="AK579">
        <v>75184.089641100902</v>
      </c>
      <c r="AL579">
        <v>74643</v>
      </c>
      <c r="AM579">
        <v>13.1914717741935</v>
      </c>
      <c r="AN579">
        <v>14.575241935483801</v>
      </c>
      <c r="AO579">
        <v>14.845130740132699</v>
      </c>
    </row>
    <row r="580" spans="30:41" x14ac:dyDescent="0.35">
      <c r="AD580" t="s">
        <v>35</v>
      </c>
      <c r="AE580" t="s">
        <v>297</v>
      </c>
      <c r="AF580" t="s">
        <v>184</v>
      </c>
      <c r="AG580">
        <v>1053961</v>
      </c>
      <c r="AH580">
        <v>983161</v>
      </c>
      <c r="AI580">
        <v>1154067</v>
      </c>
      <c r="AJ580">
        <v>82298</v>
      </c>
      <c r="AK580">
        <v>82599.217865344806</v>
      </c>
      <c r="AL580">
        <v>67948</v>
      </c>
      <c r="AM580">
        <v>12.806666666666599</v>
      </c>
      <c r="AN580">
        <v>14.46921875</v>
      </c>
      <c r="AO580">
        <v>13.971887755419001</v>
      </c>
    </row>
    <row r="581" spans="30:41" x14ac:dyDescent="0.35">
      <c r="AD581" t="s">
        <v>9</v>
      </c>
      <c r="AE581" t="s">
        <v>298</v>
      </c>
      <c r="AF581" t="s">
        <v>187</v>
      </c>
      <c r="AG581">
        <v>1111855</v>
      </c>
      <c r="AH581">
        <v>1000164</v>
      </c>
      <c r="AI581">
        <v>989268</v>
      </c>
      <c r="AJ581">
        <v>88301</v>
      </c>
      <c r="AK581">
        <v>66639.257849416303</v>
      </c>
      <c r="AL581">
        <v>69598</v>
      </c>
      <c r="AM581">
        <v>12.591673387096799</v>
      </c>
      <c r="AN581">
        <v>14.3705107526881</v>
      </c>
      <c r="AO581">
        <v>14.845130740132699</v>
      </c>
    </row>
    <row r="582" spans="30:41" x14ac:dyDescent="0.35">
      <c r="AD582" t="s">
        <v>9</v>
      </c>
      <c r="AE582" t="s">
        <v>298</v>
      </c>
      <c r="AF582" t="s">
        <v>184</v>
      </c>
      <c r="AG582">
        <v>930383</v>
      </c>
      <c r="AH582">
        <v>953267</v>
      </c>
      <c r="AI582">
        <v>1007627</v>
      </c>
      <c r="AJ582">
        <v>70360</v>
      </c>
      <c r="AK582">
        <v>67875.893660939997</v>
      </c>
      <c r="AL582">
        <v>66419</v>
      </c>
      <c r="AM582">
        <v>13.223177083333301</v>
      </c>
      <c r="AN582">
        <v>14.352395833333301</v>
      </c>
      <c r="AO582">
        <v>14.845130740132699</v>
      </c>
    </row>
    <row r="583" spans="30:41" x14ac:dyDescent="0.35">
      <c r="AD583" t="s">
        <v>35</v>
      </c>
      <c r="AE583" t="s">
        <v>296</v>
      </c>
      <c r="AF583" t="s">
        <v>185</v>
      </c>
      <c r="AG583">
        <v>1236118</v>
      </c>
      <c r="AH583">
        <v>1183693</v>
      </c>
      <c r="AI583">
        <v>1244811</v>
      </c>
      <c r="AJ583">
        <v>89209</v>
      </c>
      <c r="AK583">
        <v>89093.964351180693</v>
      </c>
      <c r="AL583">
        <v>83243</v>
      </c>
      <c r="AM583">
        <v>13.8564717741935</v>
      </c>
      <c r="AN583">
        <v>14.2197379032258</v>
      </c>
      <c r="AO583">
        <v>13.971887755419001</v>
      </c>
    </row>
    <row r="584" spans="30:41" x14ac:dyDescent="0.35">
      <c r="AD584" t="s">
        <v>35</v>
      </c>
      <c r="AE584" t="s">
        <v>297</v>
      </c>
      <c r="AF584" t="s">
        <v>183</v>
      </c>
      <c r="AG584">
        <v>1082863</v>
      </c>
      <c r="AH584">
        <v>1035404</v>
      </c>
      <c r="AI584">
        <v>1089254</v>
      </c>
      <c r="AJ584">
        <v>81075</v>
      </c>
      <c r="AK584">
        <v>77960.377335376907</v>
      </c>
      <c r="AL584">
        <v>72853</v>
      </c>
      <c r="AM584">
        <v>13.356310483870899</v>
      </c>
      <c r="AN584">
        <v>14.212211021505301</v>
      </c>
      <c r="AO584">
        <v>13.971887755419001</v>
      </c>
    </row>
    <row r="585" spans="30:41" x14ac:dyDescent="0.35">
      <c r="AD585" t="s">
        <v>35</v>
      </c>
      <c r="AE585" t="s">
        <v>297</v>
      </c>
      <c r="AF585" t="s">
        <v>185</v>
      </c>
      <c r="AG585">
        <v>1258609</v>
      </c>
      <c r="AH585">
        <v>1158814</v>
      </c>
      <c r="AI585">
        <v>1189744</v>
      </c>
      <c r="AJ585">
        <v>105768</v>
      </c>
      <c r="AK585">
        <v>85152.732667678007</v>
      </c>
      <c r="AL585">
        <v>83055</v>
      </c>
      <c r="AM585">
        <v>11.8997647849462</v>
      </c>
      <c r="AN585">
        <v>13.9522983870967</v>
      </c>
      <c r="AO585">
        <v>13.971887755419001</v>
      </c>
    </row>
    <row r="586" spans="30:41" x14ac:dyDescent="0.35">
      <c r="AD586" t="s">
        <v>35</v>
      </c>
      <c r="AE586" t="s">
        <v>296</v>
      </c>
      <c r="AF586" t="s">
        <v>187</v>
      </c>
      <c r="AG586">
        <v>1263592</v>
      </c>
      <c r="AH586">
        <v>1083884</v>
      </c>
      <c r="AI586">
        <v>1063519</v>
      </c>
      <c r="AJ586">
        <v>85039</v>
      </c>
      <c r="AK586">
        <v>76118.497816267598</v>
      </c>
      <c r="AL586">
        <v>79424</v>
      </c>
      <c r="AM586">
        <v>14.859005376343999</v>
      </c>
      <c r="AN586">
        <v>13.6468481182795</v>
      </c>
      <c r="AO586">
        <v>13.971887755419001</v>
      </c>
    </row>
    <row r="587" spans="30:41" x14ac:dyDescent="0.35">
      <c r="AD587" t="s">
        <v>35</v>
      </c>
      <c r="AE587" t="s">
        <v>296</v>
      </c>
      <c r="AF587" t="s">
        <v>184</v>
      </c>
      <c r="AG587">
        <v>1029899</v>
      </c>
      <c r="AH587">
        <v>955543</v>
      </c>
      <c r="AI587">
        <v>1078437</v>
      </c>
      <c r="AJ587">
        <v>78001</v>
      </c>
      <c r="AK587">
        <v>77186.187233842196</v>
      </c>
      <c r="AL587">
        <v>70440</v>
      </c>
      <c r="AM587">
        <v>13.203645833333301</v>
      </c>
      <c r="AN587">
        <v>13.565312499999999</v>
      </c>
      <c r="AO587">
        <v>13.971887755419001</v>
      </c>
    </row>
    <row r="588" spans="30:41" x14ac:dyDescent="0.35">
      <c r="AD588" t="s">
        <v>35</v>
      </c>
      <c r="AE588" t="s">
        <v>297</v>
      </c>
      <c r="AF588" t="s">
        <v>188</v>
      </c>
      <c r="AG588">
        <v>1165952</v>
      </c>
      <c r="AH588">
        <v>1012839</v>
      </c>
      <c r="AI588">
        <v>1024514</v>
      </c>
      <c r="AJ588">
        <v>122028</v>
      </c>
      <c r="AK588">
        <v>73326.784872190197</v>
      </c>
      <c r="AL588">
        <v>75587</v>
      </c>
      <c r="AM588">
        <v>9.5547569444444296</v>
      </c>
      <c r="AN588">
        <v>13.399701388888801</v>
      </c>
      <c r="AO588">
        <v>13.971887755419001</v>
      </c>
    </row>
    <row r="589" spans="30:41" x14ac:dyDescent="0.35">
      <c r="AD589" t="s">
        <v>9</v>
      </c>
      <c r="AE589" t="s">
        <v>291</v>
      </c>
      <c r="AF589" t="s">
        <v>183</v>
      </c>
      <c r="AG589">
        <v>871338</v>
      </c>
      <c r="AH589">
        <v>721674</v>
      </c>
      <c r="AI589">
        <v>958053</v>
      </c>
      <c r="AJ589">
        <v>48849</v>
      </c>
      <c r="AK589">
        <v>72636.043724580697</v>
      </c>
      <c r="AL589">
        <v>55690</v>
      </c>
      <c r="AM589">
        <v>17.837439516128999</v>
      </c>
      <c r="AN589">
        <v>12.9587970430107</v>
      </c>
      <c r="AO589">
        <v>13.189776457714499</v>
      </c>
    </row>
    <row r="590" spans="30:41" x14ac:dyDescent="0.35">
      <c r="AD590" t="s">
        <v>9</v>
      </c>
      <c r="AE590" t="s">
        <v>298</v>
      </c>
      <c r="AF590" t="s">
        <v>183</v>
      </c>
      <c r="AG590">
        <v>974815</v>
      </c>
      <c r="AH590">
        <v>1020760</v>
      </c>
      <c r="AI590">
        <v>1069528</v>
      </c>
      <c r="AJ590">
        <v>79900</v>
      </c>
      <c r="AK590">
        <v>72045.692363531096</v>
      </c>
      <c r="AL590">
        <v>79628</v>
      </c>
      <c r="AM590">
        <v>12.2004166666666</v>
      </c>
      <c r="AN590">
        <v>12.819173387096701</v>
      </c>
      <c r="AO590">
        <v>14.845130740132699</v>
      </c>
    </row>
    <row r="591" spans="30:41" x14ac:dyDescent="0.35">
      <c r="AD591" t="s">
        <v>9</v>
      </c>
      <c r="AE591" t="s">
        <v>290</v>
      </c>
      <c r="AF591" t="s">
        <v>183</v>
      </c>
      <c r="AG591">
        <v>1096297</v>
      </c>
      <c r="AH591">
        <v>803194</v>
      </c>
      <c r="AI591">
        <v>1543298</v>
      </c>
      <c r="AJ591">
        <v>76714</v>
      </c>
      <c r="AK591">
        <v>131760.14977041501</v>
      </c>
      <c r="AL591">
        <v>62760</v>
      </c>
      <c r="AM591">
        <v>14.2907728494623</v>
      </c>
      <c r="AN591">
        <v>12.7977688172043</v>
      </c>
      <c r="AO591">
        <v>11.712938172043</v>
      </c>
    </row>
    <row r="592" spans="30:41" x14ac:dyDescent="0.35">
      <c r="AD592" t="s">
        <v>35</v>
      </c>
      <c r="AE592" t="s">
        <v>296</v>
      </c>
      <c r="AF592" t="s">
        <v>186</v>
      </c>
      <c r="AG592">
        <v>1148081</v>
      </c>
      <c r="AH592">
        <v>1067306</v>
      </c>
      <c r="AI592">
        <v>1031473</v>
      </c>
      <c r="AJ592">
        <v>81376</v>
      </c>
      <c r="AK592">
        <v>73824.876334262095</v>
      </c>
      <c r="AL592">
        <v>83437</v>
      </c>
      <c r="AM592">
        <v>14.1084027777777</v>
      </c>
      <c r="AN592">
        <v>12.791770833333301</v>
      </c>
      <c r="AO592">
        <v>13.971887755419001</v>
      </c>
    </row>
    <row r="593" spans="30:41" x14ac:dyDescent="0.35">
      <c r="AD593" t="s">
        <v>9</v>
      </c>
      <c r="AE593" t="s">
        <v>298</v>
      </c>
      <c r="AF593" t="s">
        <v>188</v>
      </c>
      <c r="AG593">
        <v>991635</v>
      </c>
      <c r="AH593">
        <v>936717</v>
      </c>
      <c r="AI593">
        <v>925316</v>
      </c>
      <c r="AJ593">
        <v>88238</v>
      </c>
      <c r="AK593">
        <v>62331.2749209057</v>
      </c>
      <c r="AL593">
        <v>73258</v>
      </c>
      <c r="AM593">
        <v>11.2381597222222</v>
      </c>
      <c r="AN593">
        <v>12.7865208333333</v>
      </c>
      <c r="AO593">
        <v>14.845130740132699</v>
      </c>
    </row>
    <row r="594" spans="30:41" x14ac:dyDescent="0.35">
      <c r="AD594" t="s">
        <v>9</v>
      </c>
      <c r="AE594" t="s">
        <v>291</v>
      </c>
      <c r="AF594" t="s">
        <v>184</v>
      </c>
      <c r="AG594">
        <v>833861</v>
      </c>
      <c r="AH594">
        <v>638112</v>
      </c>
      <c r="AI594">
        <v>863141</v>
      </c>
      <c r="AJ594">
        <v>45356</v>
      </c>
      <c r="AK594">
        <v>65440.151390523199</v>
      </c>
      <c r="AL594">
        <v>50909</v>
      </c>
      <c r="AM594">
        <v>18.384635416666601</v>
      </c>
      <c r="AN594">
        <v>12.5343229166666</v>
      </c>
      <c r="AO594">
        <v>13.189776457714499</v>
      </c>
    </row>
    <row r="595" spans="30:41" x14ac:dyDescent="0.35">
      <c r="AD595" t="s">
        <v>35</v>
      </c>
      <c r="AE595" t="s">
        <v>296</v>
      </c>
      <c r="AF595" t="s">
        <v>183</v>
      </c>
      <c r="AG595">
        <v>1059777</v>
      </c>
      <c r="AH595">
        <v>995607</v>
      </c>
      <c r="AI595">
        <v>1171838</v>
      </c>
      <c r="AJ595">
        <v>82734</v>
      </c>
      <c r="AK595">
        <v>83871.148953762502</v>
      </c>
      <c r="AL595">
        <v>81243</v>
      </c>
      <c r="AM595">
        <v>12.8093884408602</v>
      </c>
      <c r="AN595">
        <v>12.254610215053701</v>
      </c>
      <c r="AO595">
        <v>13.971887755419001</v>
      </c>
    </row>
    <row r="596" spans="30:41" x14ac:dyDescent="0.35">
      <c r="AD596" t="s">
        <v>35</v>
      </c>
      <c r="AE596" t="s">
        <v>297</v>
      </c>
      <c r="AF596" t="s">
        <v>186</v>
      </c>
      <c r="AG596">
        <v>1180435</v>
      </c>
      <c r="AH596">
        <v>1044238</v>
      </c>
      <c r="AI596">
        <v>1068914</v>
      </c>
      <c r="AJ596">
        <v>94552</v>
      </c>
      <c r="AK596">
        <v>76504.644469779596</v>
      </c>
      <c r="AL596">
        <v>85315</v>
      </c>
      <c r="AM596">
        <v>12.4845486111111</v>
      </c>
      <c r="AN596">
        <v>12.2397916666666</v>
      </c>
      <c r="AO596">
        <v>13.971887755419001</v>
      </c>
    </row>
    <row r="597" spans="30:41" x14ac:dyDescent="0.35">
      <c r="AD597" t="s">
        <v>9</v>
      </c>
      <c r="AE597" t="s">
        <v>290</v>
      </c>
      <c r="AF597" t="s">
        <v>184</v>
      </c>
      <c r="AG597">
        <v>2231847</v>
      </c>
      <c r="AH597">
        <v>785428</v>
      </c>
      <c r="AI597">
        <v>1314369</v>
      </c>
      <c r="AJ597">
        <v>156793</v>
      </c>
      <c r="AK597">
        <v>112215.14865819</v>
      </c>
      <c r="AL597">
        <v>66528</v>
      </c>
      <c r="AM597">
        <v>14.234375</v>
      </c>
      <c r="AN597">
        <v>11.8060416666666</v>
      </c>
      <c r="AO597">
        <v>11.712938172043</v>
      </c>
    </row>
    <row r="598" spans="30:41" x14ac:dyDescent="0.35">
      <c r="AD598" t="s">
        <v>9</v>
      </c>
      <c r="AE598" t="s">
        <v>299</v>
      </c>
      <c r="AF598" t="s">
        <v>184</v>
      </c>
      <c r="AG598">
        <v>603202</v>
      </c>
      <c r="AH598">
        <v>612858</v>
      </c>
      <c r="AI598">
        <v>657267</v>
      </c>
      <c r="AJ598">
        <v>59849</v>
      </c>
      <c r="AK598">
        <v>65449.887473983603</v>
      </c>
      <c r="AL598">
        <v>52597</v>
      </c>
      <c r="AM598">
        <v>10.078645833333301</v>
      </c>
      <c r="AN598">
        <v>11.65203125</v>
      </c>
      <c r="AO598">
        <v>10.042294324207401</v>
      </c>
    </row>
    <row r="599" spans="30:41" x14ac:dyDescent="0.35">
      <c r="AD599" t="s">
        <v>9</v>
      </c>
      <c r="AE599" t="s">
        <v>300</v>
      </c>
      <c r="AF599" t="s">
        <v>186</v>
      </c>
      <c r="AG599">
        <v>688852</v>
      </c>
      <c r="AH599">
        <v>730843</v>
      </c>
      <c r="AI599">
        <v>718926</v>
      </c>
      <c r="AJ599">
        <v>64089</v>
      </c>
      <c r="AK599">
        <v>71589.769438144795</v>
      </c>
      <c r="AL599">
        <v>63187</v>
      </c>
      <c r="AM599">
        <v>10.7483055555555</v>
      </c>
      <c r="AN599">
        <v>11.566430555555501</v>
      </c>
      <c r="AO599">
        <v>10.042294324207401</v>
      </c>
    </row>
    <row r="600" spans="30:41" x14ac:dyDescent="0.35">
      <c r="AD600" t="s">
        <v>9</v>
      </c>
      <c r="AE600" t="s">
        <v>301</v>
      </c>
      <c r="AF600" t="s">
        <v>185</v>
      </c>
      <c r="AG600">
        <v>1000551</v>
      </c>
      <c r="AH600">
        <v>1000801</v>
      </c>
      <c r="AI600">
        <v>1046710</v>
      </c>
      <c r="AJ600">
        <v>85657</v>
      </c>
      <c r="AK600">
        <v>88788.684404030995</v>
      </c>
      <c r="AL600">
        <v>87587</v>
      </c>
      <c r="AM600">
        <v>11.680873655913899</v>
      </c>
      <c r="AN600">
        <v>11.426323924731101</v>
      </c>
      <c r="AO600">
        <v>11.7887802936347</v>
      </c>
    </row>
    <row r="601" spans="30:41" x14ac:dyDescent="0.35">
      <c r="AD601" t="s">
        <v>9</v>
      </c>
      <c r="AE601" t="s">
        <v>301</v>
      </c>
      <c r="AF601" t="s">
        <v>187</v>
      </c>
      <c r="AG601">
        <v>838266</v>
      </c>
      <c r="AH601">
        <v>906853</v>
      </c>
      <c r="AI601">
        <v>894270</v>
      </c>
      <c r="AJ601">
        <v>77060</v>
      </c>
      <c r="AK601">
        <v>75857.678209750797</v>
      </c>
      <c r="AL601">
        <v>79725</v>
      </c>
      <c r="AM601">
        <v>10.878084677419301</v>
      </c>
      <c r="AN601">
        <v>11.374717741935401</v>
      </c>
      <c r="AO601">
        <v>11.7887802936347</v>
      </c>
    </row>
    <row r="602" spans="30:41" x14ac:dyDescent="0.35">
      <c r="AD602" t="s">
        <v>9</v>
      </c>
      <c r="AE602" t="s">
        <v>301</v>
      </c>
      <c r="AF602" t="s">
        <v>184</v>
      </c>
      <c r="AG602">
        <v>842265</v>
      </c>
      <c r="AH602">
        <v>832190</v>
      </c>
      <c r="AI602">
        <v>958073</v>
      </c>
      <c r="AJ602">
        <v>81351</v>
      </c>
      <c r="AK602">
        <v>81269.881678709295</v>
      </c>
      <c r="AL602">
        <v>73759</v>
      </c>
      <c r="AM602">
        <v>10.3534375</v>
      </c>
      <c r="AN602">
        <v>11.2825520833333</v>
      </c>
      <c r="AO602">
        <v>11.7887802936347</v>
      </c>
    </row>
    <row r="603" spans="30:41" x14ac:dyDescent="0.35">
      <c r="AD603" t="s">
        <v>9</v>
      </c>
      <c r="AE603" t="s">
        <v>300</v>
      </c>
      <c r="AF603" t="s">
        <v>185</v>
      </c>
      <c r="AG603">
        <v>775077</v>
      </c>
      <c r="AH603">
        <v>814927</v>
      </c>
      <c r="AI603">
        <v>867620</v>
      </c>
      <c r="AJ603">
        <v>67714</v>
      </c>
      <c r="AK603">
        <v>86396.573600572694</v>
      </c>
      <c r="AL603">
        <v>72466</v>
      </c>
      <c r="AM603">
        <v>11.446317204301</v>
      </c>
      <c r="AN603">
        <v>11.2455846774193</v>
      </c>
      <c r="AO603">
        <v>10.042294324207401</v>
      </c>
    </row>
    <row r="604" spans="30:41" x14ac:dyDescent="0.35">
      <c r="AD604" t="s">
        <v>9</v>
      </c>
      <c r="AE604" t="s">
        <v>298</v>
      </c>
      <c r="AF604" t="s">
        <v>186</v>
      </c>
      <c r="AG604">
        <v>998781</v>
      </c>
      <c r="AH604">
        <v>1000023</v>
      </c>
      <c r="AI604">
        <v>1044831</v>
      </c>
      <c r="AJ604">
        <v>83744</v>
      </c>
      <c r="AK604">
        <v>70382.0881600844</v>
      </c>
      <c r="AL604">
        <v>89315</v>
      </c>
      <c r="AM604">
        <v>11.9266388888888</v>
      </c>
      <c r="AN604">
        <v>11.1965972222222</v>
      </c>
      <c r="AO604">
        <v>14.845130740132699</v>
      </c>
    </row>
    <row r="605" spans="30:41" x14ac:dyDescent="0.35">
      <c r="AD605" t="s">
        <v>9</v>
      </c>
      <c r="AE605" t="s">
        <v>299</v>
      </c>
      <c r="AF605" t="s">
        <v>183</v>
      </c>
      <c r="AG605">
        <v>643587</v>
      </c>
      <c r="AH605">
        <v>634784</v>
      </c>
      <c r="AI605">
        <v>737445</v>
      </c>
      <c r="AJ605">
        <v>64610</v>
      </c>
      <c r="AK605">
        <v>73433.916741750305</v>
      </c>
      <c r="AL605">
        <v>56982</v>
      </c>
      <c r="AM605">
        <v>9.9611223118279497</v>
      </c>
      <c r="AN605">
        <v>11.1400201612903</v>
      </c>
      <c r="AO605">
        <v>10.042294324207401</v>
      </c>
    </row>
    <row r="606" spans="30:41" x14ac:dyDescent="0.35">
      <c r="AD606" t="s">
        <v>9</v>
      </c>
      <c r="AE606" t="s">
        <v>299</v>
      </c>
      <c r="AF606" t="s">
        <v>185</v>
      </c>
      <c r="AG606">
        <v>707382</v>
      </c>
      <c r="AH606">
        <v>705803</v>
      </c>
      <c r="AI606">
        <v>717929</v>
      </c>
      <c r="AJ606">
        <v>68503</v>
      </c>
      <c r="AK606">
        <v>71490.500340086495</v>
      </c>
      <c r="AL606">
        <v>63958</v>
      </c>
      <c r="AM606">
        <v>10.326223118279501</v>
      </c>
      <c r="AN606">
        <v>11.035443548387001</v>
      </c>
      <c r="AO606">
        <v>10.042294324207401</v>
      </c>
    </row>
    <row r="607" spans="30:41" x14ac:dyDescent="0.35">
      <c r="AD607" t="s">
        <v>9</v>
      </c>
      <c r="AE607" t="s">
        <v>301</v>
      </c>
      <c r="AF607" t="s">
        <v>188</v>
      </c>
      <c r="AG607">
        <v>739292</v>
      </c>
      <c r="AH607">
        <v>865040</v>
      </c>
      <c r="AI607">
        <v>831296</v>
      </c>
      <c r="AJ607">
        <v>78296</v>
      </c>
      <c r="AK607">
        <v>70515.876366687997</v>
      </c>
      <c r="AL607">
        <v>79067</v>
      </c>
      <c r="AM607">
        <v>9.4423194444444398</v>
      </c>
      <c r="AN607">
        <v>10.9406111111111</v>
      </c>
      <c r="AO607">
        <v>11.7887802936347</v>
      </c>
    </row>
    <row r="608" spans="30:41" x14ac:dyDescent="0.35">
      <c r="AD608" t="s">
        <v>9</v>
      </c>
      <c r="AE608" t="s">
        <v>300</v>
      </c>
      <c r="AF608" t="s">
        <v>184</v>
      </c>
      <c r="AG608">
        <v>655011</v>
      </c>
      <c r="AH608">
        <v>689677</v>
      </c>
      <c r="AI608">
        <v>756620</v>
      </c>
      <c r="AJ608">
        <v>58115</v>
      </c>
      <c r="AK608">
        <v>75343.304495281802</v>
      </c>
      <c r="AL608">
        <v>63412</v>
      </c>
      <c r="AM608">
        <v>11.270937499999899</v>
      </c>
      <c r="AN608">
        <v>10.8761458333333</v>
      </c>
      <c r="AO608">
        <v>10.042294324207401</v>
      </c>
    </row>
    <row r="609" spans="30:41" x14ac:dyDescent="0.35">
      <c r="AD609" t="s">
        <v>9</v>
      </c>
      <c r="AE609" t="s">
        <v>300</v>
      </c>
      <c r="AF609" t="s">
        <v>188</v>
      </c>
      <c r="AG609">
        <v>647603</v>
      </c>
      <c r="AH609">
        <v>686892</v>
      </c>
      <c r="AI609">
        <v>689063</v>
      </c>
      <c r="AJ609">
        <v>65478</v>
      </c>
      <c r="AK609">
        <v>68616.064542042106</v>
      </c>
      <c r="AL609">
        <v>63160</v>
      </c>
      <c r="AM609">
        <v>9.8903680555555606</v>
      </c>
      <c r="AN609">
        <v>10.875374999999901</v>
      </c>
      <c r="AO609">
        <v>10.042294324207401</v>
      </c>
    </row>
    <row r="610" spans="30:41" x14ac:dyDescent="0.35">
      <c r="AD610" t="s">
        <v>9</v>
      </c>
      <c r="AE610" t="s">
        <v>294</v>
      </c>
      <c r="AF610" t="s">
        <v>184</v>
      </c>
      <c r="AG610">
        <v>641092</v>
      </c>
      <c r="AH610">
        <v>550399</v>
      </c>
      <c r="AI610">
        <v>650489</v>
      </c>
      <c r="AJ610">
        <v>43798</v>
      </c>
      <c r="AK610">
        <v>61057.2690275227</v>
      </c>
      <c r="AL610">
        <v>50739</v>
      </c>
      <c r="AM610">
        <v>14.637499999999999</v>
      </c>
      <c r="AN610">
        <v>10.847604166666599</v>
      </c>
      <c r="AO610">
        <v>10.6537530266343</v>
      </c>
    </row>
    <row r="611" spans="30:41" x14ac:dyDescent="0.35">
      <c r="AD611" t="s">
        <v>9</v>
      </c>
      <c r="AE611" t="s">
        <v>301</v>
      </c>
      <c r="AF611" t="s">
        <v>183</v>
      </c>
      <c r="AG611">
        <v>909841</v>
      </c>
      <c r="AH611">
        <v>939055</v>
      </c>
      <c r="AI611">
        <v>1061138</v>
      </c>
      <c r="AJ611">
        <v>89639</v>
      </c>
      <c r="AK611">
        <v>90012.555732584806</v>
      </c>
      <c r="AL611">
        <v>86800</v>
      </c>
      <c r="AM611">
        <v>10.1500940860215</v>
      </c>
      <c r="AN611">
        <v>10.818669354838701</v>
      </c>
      <c r="AO611">
        <v>11.7887802936347</v>
      </c>
    </row>
    <row r="612" spans="30:41" x14ac:dyDescent="0.35">
      <c r="AD612" t="s">
        <v>9</v>
      </c>
      <c r="AE612" t="s">
        <v>302</v>
      </c>
      <c r="AF612" t="s">
        <v>187</v>
      </c>
      <c r="AG612">
        <v>539280</v>
      </c>
      <c r="AH612">
        <v>529454</v>
      </c>
      <c r="AI612">
        <v>523131</v>
      </c>
      <c r="AJ612">
        <v>52881</v>
      </c>
      <c r="AK612">
        <v>52188.0795873487</v>
      </c>
      <c r="AL612">
        <v>49199</v>
      </c>
      <c r="AM612">
        <v>10.1979368279569</v>
      </c>
      <c r="AN612">
        <v>10.7615120967741</v>
      </c>
      <c r="AO612">
        <v>10.0239560630779</v>
      </c>
    </row>
    <row r="613" spans="30:41" x14ac:dyDescent="0.35">
      <c r="AD613" t="s">
        <v>9</v>
      </c>
      <c r="AE613" t="s">
        <v>303</v>
      </c>
      <c r="AF613" t="s">
        <v>188</v>
      </c>
      <c r="AG613">
        <v>673473</v>
      </c>
      <c r="AH613">
        <v>600190</v>
      </c>
      <c r="AI613">
        <v>594707</v>
      </c>
      <c r="AJ613">
        <v>85114</v>
      </c>
      <c r="AK613">
        <v>59220.215998492597</v>
      </c>
      <c r="AL613">
        <v>57155</v>
      </c>
      <c r="AM613">
        <v>7.9126250000000002</v>
      </c>
      <c r="AN613">
        <v>10.501166666666601</v>
      </c>
      <c r="AO613">
        <v>10.042294324207401</v>
      </c>
    </row>
    <row r="614" spans="30:41" x14ac:dyDescent="0.35">
      <c r="AD614" t="s">
        <v>9</v>
      </c>
      <c r="AE614" t="s">
        <v>300</v>
      </c>
      <c r="AF614" t="s">
        <v>187</v>
      </c>
      <c r="AG614">
        <v>693710</v>
      </c>
      <c r="AH614">
        <v>752476</v>
      </c>
      <c r="AI614">
        <v>741261</v>
      </c>
      <c r="AJ614">
        <v>65774</v>
      </c>
      <c r="AK614">
        <v>73813.9496283388</v>
      </c>
      <c r="AL614">
        <v>71737</v>
      </c>
      <c r="AM614">
        <v>10.546948924731099</v>
      </c>
      <c r="AN614">
        <v>10.4894153225806</v>
      </c>
      <c r="AO614">
        <v>10.042294324207401</v>
      </c>
    </row>
    <row r="615" spans="30:41" x14ac:dyDescent="0.35">
      <c r="AD615" t="s">
        <v>9</v>
      </c>
      <c r="AE615" t="s">
        <v>294</v>
      </c>
      <c r="AF615" t="s">
        <v>183</v>
      </c>
      <c r="AG615">
        <v>663685</v>
      </c>
      <c r="AH615">
        <v>548450</v>
      </c>
      <c r="AI615">
        <v>785405</v>
      </c>
      <c r="AJ615">
        <v>43713</v>
      </c>
      <c r="AK615">
        <v>73720.966201909003</v>
      </c>
      <c r="AL615">
        <v>52483</v>
      </c>
      <c r="AM615">
        <v>15.1828024193548</v>
      </c>
      <c r="AN615">
        <v>10.4499462365591</v>
      </c>
      <c r="AO615">
        <v>10.6537530266343</v>
      </c>
    </row>
    <row r="616" spans="30:41" x14ac:dyDescent="0.35">
      <c r="AD616" t="s">
        <v>9</v>
      </c>
      <c r="AE616" t="s">
        <v>300</v>
      </c>
      <c r="AF616" t="s">
        <v>183</v>
      </c>
      <c r="AG616">
        <v>677601</v>
      </c>
      <c r="AH616">
        <v>750959</v>
      </c>
      <c r="AI616">
        <v>829833</v>
      </c>
      <c r="AJ616">
        <v>63462</v>
      </c>
      <c r="AK616">
        <v>82633.766737910599</v>
      </c>
      <c r="AL616">
        <v>72009</v>
      </c>
      <c r="AM616">
        <v>10.6773051075268</v>
      </c>
      <c r="AN616">
        <v>10.428682795698901</v>
      </c>
      <c r="AO616">
        <v>10.042294324207401</v>
      </c>
    </row>
    <row r="617" spans="30:41" x14ac:dyDescent="0.35">
      <c r="AD617" t="s">
        <v>9</v>
      </c>
      <c r="AE617" t="s">
        <v>299</v>
      </c>
      <c r="AF617" t="s">
        <v>187</v>
      </c>
      <c r="AG617">
        <v>657953</v>
      </c>
      <c r="AH617">
        <v>605059</v>
      </c>
      <c r="AI617">
        <v>613345</v>
      </c>
      <c r="AJ617">
        <v>68767</v>
      </c>
      <c r="AK617">
        <v>61076.217754492798</v>
      </c>
      <c r="AL617">
        <v>58592</v>
      </c>
      <c r="AM617">
        <v>9.5677956989247299</v>
      </c>
      <c r="AN617">
        <v>10.3265994623655</v>
      </c>
      <c r="AO617">
        <v>10.042294324207401</v>
      </c>
    </row>
    <row r="618" spans="30:41" x14ac:dyDescent="0.35">
      <c r="AD618" t="s">
        <v>9</v>
      </c>
      <c r="AE618" t="s">
        <v>299</v>
      </c>
      <c r="AF618" t="s">
        <v>188</v>
      </c>
      <c r="AG618">
        <v>597876</v>
      </c>
      <c r="AH618">
        <v>580203</v>
      </c>
      <c r="AI618">
        <v>570132</v>
      </c>
      <c r="AJ618">
        <v>66121</v>
      </c>
      <c r="AK618">
        <v>56773.042543243399</v>
      </c>
      <c r="AL618">
        <v>56207</v>
      </c>
      <c r="AM618">
        <v>9.0421527777777797</v>
      </c>
      <c r="AN618">
        <v>10.322569444444399</v>
      </c>
      <c r="AO618">
        <v>10.042294324207401</v>
      </c>
    </row>
    <row r="619" spans="30:41" x14ac:dyDescent="0.35">
      <c r="AD619" t="s">
        <v>9</v>
      </c>
      <c r="AE619" t="s">
        <v>302</v>
      </c>
      <c r="AF619" t="s">
        <v>188</v>
      </c>
      <c r="AG619">
        <v>496952</v>
      </c>
      <c r="AH619">
        <v>506384</v>
      </c>
      <c r="AI619">
        <v>511310</v>
      </c>
      <c r="AJ619">
        <v>51190</v>
      </c>
      <c r="AK619">
        <v>51008.839871450502</v>
      </c>
      <c r="AL619">
        <v>49866</v>
      </c>
      <c r="AM619">
        <v>9.7079305555555599</v>
      </c>
      <c r="AN619">
        <v>10.154958333333299</v>
      </c>
      <c r="AO619">
        <v>10.0239560630779</v>
      </c>
    </row>
    <row r="620" spans="30:41" x14ac:dyDescent="0.35">
      <c r="AD620" t="s">
        <v>9</v>
      </c>
      <c r="AE620" t="s">
        <v>302</v>
      </c>
      <c r="AF620" t="s">
        <v>184</v>
      </c>
      <c r="AG620">
        <v>486083</v>
      </c>
      <c r="AH620">
        <v>482613</v>
      </c>
      <c r="AI620">
        <v>501861</v>
      </c>
      <c r="AJ620">
        <v>51398</v>
      </c>
      <c r="AK620">
        <v>50066.158744304899</v>
      </c>
      <c r="AL620">
        <v>48026</v>
      </c>
      <c r="AM620">
        <v>9.4572395833333296</v>
      </c>
      <c r="AN620">
        <v>10.049010416666601</v>
      </c>
      <c r="AO620">
        <v>10.0239560630779</v>
      </c>
    </row>
    <row r="621" spans="30:41" x14ac:dyDescent="0.35">
      <c r="AD621" t="s">
        <v>9</v>
      </c>
      <c r="AE621" t="s">
        <v>303</v>
      </c>
      <c r="AF621" t="s">
        <v>185</v>
      </c>
      <c r="AG621">
        <v>742546</v>
      </c>
      <c r="AH621">
        <v>686383</v>
      </c>
      <c r="AI621">
        <v>698688</v>
      </c>
      <c r="AJ621">
        <v>73555</v>
      </c>
      <c r="AK621">
        <v>69574.495254115405</v>
      </c>
      <c r="AL621">
        <v>68484</v>
      </c>
      <c r="AM621">
        <v>10.0951478494623</v>
      </c>
      <c r="AN621">
        <v>10.022466397849399</v>
      </c>
      <c r="AO621">
        <v>10.042294324207401</v>
      </c>
    </row>
    <row r="622" spans="30:41" x14ac:dyDescent="0.35">
      <c r="AD622" t="s">
        <v>9</v>
      </c>
      <c r="AE622" t="s">
        <v>304</v>
      </c>
      <c r="AF622" t="s">
        <v>185</v>
      </c>
      <c r="AG622">
        <v>647020</v>
      </c>
      <c r="AH622">
        <v>676448</v>
      </c>
      <c r="AI622">
        <v>680245</v>
      </c>
      <c r="AJ622">
        <v>62177</v>
      </c>
      <c r="AK622">
        <v>67737.987190859101</v>
      </c>
      <c r="AL622">
        <v>67538</v>
      </c>
      <c r="AM622">
        <v>10.406102150537601</v>
      </c>
      <c r="AN622">
        <v>10.015786290322501</v>
      </c>
      <c r="AO622">
        <v>10.042294324207401</v>
      </c>
    </row>
    <row r="623" spans="30:41" x14ac:dyDescent="0.35">
      <c r="AD623" t="s">
        <v>9</v>
      </c>
      <c r="AE623" t="s">
        <v>303</v>
      </c>
      <c r="AF623" t="s">
        <v>184</v>
      </c>
      <c r="AG623">
        <v>627573</v>
      </c>
      <c r="AH623">
        <v>604072</v>
      </c>
      <c r="AI623">
        <v>656582</v>
      </c>
      <c r="AJ623">
        <v>63035</v>
      </c>
      <c r="AK623">
        <v>65381.702587353699</v>
      </c>
      <c r="AL623">
        <v>60405</v>
      </c>
      <c r="AM623">
        <v>9.9559374999999992</v>
      </c>
      <c r="AN623">
        <v>10.000364583333299</v>
      </c>
      <c r="AO623">
        <v>10.042294324207401</v>
      </c>
    </row>
    <row r="624" spans="30:41" x14ac:dyDescent="0.35">
      <c r="AD624" t="s">
        <v>9</v>
      </c>
      <c r="AE624" t="s">
        <v>302</v>
      </c>
      <c r="AF624" t="s">
        <v>185</v>
      </c>
      <c r="AG624">
        <v>566105</v>
      </c>
      <c r="AH624">
        <v>559020</v>
      </c>
      <c r="AI624">
        <v>587243</v>
      </c>
      <c r="AJ624">
        <v>61046</v>
      </c>
      <c r="AK624">
        <v>58583.964674689501</v>
      </c>
      <c r="AL624">
        <v>56015</v>
      </c>
      <c r="AM624">
        <v>9.2733534946236507</v>
      </c>
      <c r="AN624">
        <v>9.9797983870967695</v>
      </c>
      <c r="AO624">
        <v>10.0239560630779</v>
      </c>
    </row>
    <row r="625" spans="30:41" x14ac:dyDescent="0.35">
      <c r="AD625" t="s">
        <v>9</v>
      </c>
      <c r="AE625" t="s">
        <v>303</v>
      </c>
      <c r="AF625" t="s">
        <v>183</v>
      </c>
      <c r="AG625">
        <v>630542</v>
      </c>
      <c r="AH625">
        <v>609575</v>
      </c>
      <c r="AI625">
        <v>675158</v>
      </c>
      <c r="AJ625">
        <v>64714</v>
      </c>
      <c r="AK625">
        <v>67231.475228972195</v>
      </c>
      <c r="AL625">
        <v>61258</v>
      </c>
      <c r="AM625">
        <v>9.7435013440860203</v>
      </c>
      <c r="AN625">
        <v>9.9508669354838695</v>
      </c>
      <c r="AO625">
        <v>10.042294324207401</v>
      </c>
    </row>
    <row r="626" spans="30:41" x14ac:dyDescent="0.35">
      <c r="AD626" t="s">
        <v>9</v>
      </c>
      <c r="AE626" t="s">
        <v>303</v>
      </c>
      <c r="AF626" t="s">
        <v>187</v>
      </c>
      <c r="AG626">
        <v>708196</v>
      </c>
      <c r="AH626">
        <v>640877</v>
      </c>
      <c r="AI626">
        <v>639758</v>
      </c>
      <c r="AJ626">
        <v>80486</v>
      </c>
      <c r="AK626">
        <v>63706.335748179903</v>
      </c>
      <c r="AL626">
        <v>64598</v>
      </c>
      <c r="AM626">
        <v>8.7989717741935607</v>
      </c>
      <c r="AN626">
        <v>9.9210416666666603</v>
      </c>
      <c r="AO626">
        <v>10.042294324207401</v>
      </c>
    </row>
    <row r="627" spans="30:41" x14ac:dyDescent="0.35">
      <c r="AD627" t="s">
        <v>9</v>
      </c>
      <c r="AE627" t="s">
        <v>299</v>
      </c>
      <c r="AF627" t="s">
        <v>186</v>
      </c>
      <c r="AG627">
        <v>636295</v>
      </c>
      <c r="AH627">
        <v>613405</v>
      </c>
      <c r="AI627">
        <v>594864</v>
      </c>
      <c r="AJ627">
        <v>57072</v>
      </c>
      <c r="AK627">
        <v>59235.841919714803</v>
      </c>
      <c r="AL627">
        <v>61981</v>
      </c>
      <c r="AM627">
        <v>11.1490069444444</v>
      </c>
      <c r="AN627">
        <v>9.8966388888888801</v>
      </c>
      <c r="AO627">
        <v>10.042294324207401</v>
      </c>
    </row>
    <row r="628" spans="30:41" x14ac:dyDescent="0.35">
      <c r="AD628" t="s">
        <v>9</v>
      </c>
      <c r="AE628" t="s">
        <v>301</v>
      </c>
      <c r="AF628" t="s">
        <v>186</v>
      </c>
      <c r="AG628">
        <v>864911</v>
      </c>
      <c r="AH628">
        <v>911123</v>
      </c>
      <c r="AI628">
        <v>867323</v>
      </c>
      <c r="AJ628">
        <v>89430</v>
      </c>
      <c r="AK628">
        <v>73571.915872272206</v>
      </c>
      <c r="AL628">
        <v>93757</v>
      </c>
      <c r="AM628">
        <v>9.6714236111111198</v>
      </c>
      <c r="AN628">
        <v>9.7178958333333298</v>
      </c>
      <c r="AO628">
        <v>11.7887802936347</v>
      </c>
    </row>
    <row r="629" spans="30:41" x14ac:dyDescent="0.35">
      <c r="AD629" t="s">
        <v>9</v>
      </c>
      <c r="AE629" t="s">
        <v>302</v>
      </c>
      <c r="AF629" t="s">
        <v>186</v>
      </c>
      <c r="AG629">
        <v>502669</v>
      </c>
      <c r="AH629">
        <v>505348</v>
      </c>
      <c r="AI629">
        <v>507368</v>
      </c>
      <c r="AJ629">
        <v>50603</v>
      </c>
      <c r="AK629">
        <v>50615.5354240655</v>
      </c>
      <c r="AL629">
        <v>52319</v>
      </c>
      <c r="AM629">
        <v>9.9336319444444499</v>
      </c>
      <c r="AN629">
        <v>9.6589305555555498</v>
      </c>
      <c r="AO629">
        <v>10.0239560630779</v>
      </c>
    </row>
    <row r="630" spans="30:41" x14ac:dyDescent="0.35">
      <c r="AD630" t="s">
        <v>9</v>
      </c>
      <c r="AE630" t="s">
        <v>302</v>
      </c>
      <c r="AF630" t="s">
        <v>183</v>
      </c>
      <c r="AG630">
        <v>492038</v>
      </c>
      <c r="AH630">
        <v>508066</v>
      </c>
      <c r="AI630">
        <v>526299</v>
      </c>
      <c r="AJ630">
        <v>56360</v>
      </c>
      <c r="AK630">
        <v>52504.135272355998</v>
      </c>
      <c r="AL630">
        <v>52727</v>
      </c>
      <c r="AM630">
        <v>8.7301948924731203</v>
      </c>
      <c r="AN630">
        <v>9.6358198924731102</v>
      </c>
      <c r="AO630">
        <v>10.0239560630779</v>
      </c>
    </row>
    <row r="631" spans="30:41" x14ac:dyDescent="0.35">
      <c r="AD631" t="s">
        <v>9</v>
      </c>
      <c r="AE631" t="s">
        <v>304</v>
      </c>
      <c r="AF631" t="s">
        <v>184</v>
      </c>
      <c r="AG631">
        <v>565192</v>
      </c>
      <c r="AH631">
        <v>543513</v>
      </c>
      <c r="AI631">
        <v>591618</v>
      </c>
      <c r="AJ631">
        <v>58155</v>
      </c>
      <c r="AK631">
        <v>58912.666368867103</v>
      </c>
      <c r="AL631">
        <v>58454</v>
      </c>
      <c r="AM631">
        <v>9.7188020833333297</v>
      </c>
      <c r="AN631">
        <v>9.2980729166666602</v>
      </c>
      <c r="AO631">
        <v>10.042294324207401</v>
      </c>
    </row>
    <row r="632" spans="30:41" x14ac:dyDescent="0.35">
      <c r="AD632" t="s">
        <v>9</v>
      </c>
      <c r="AE632" t="s">
        <v>303</v>
      </c>
      <c r="AF632" t="s">
        <v>186</v>
      </c>
      <c r="AG632">
        <v>679758</v>
      </c>
      <c r="AH632">
        <v>657392</v>
      </c>
      <c r="AI632">
        <v>680528</v>
      </c>
      <c r="AJ632">
        <v>71246</v>
      </c>
      <c r="AK632">
        <v>67766.156411046002</v>
      </c>
      <c r="AL632">
        <v>70822</v>
      </c>
      <c r="AM632">
        <v>9.5409999999999897</v>
      </c>
      <c r="AN632">
        <v>9.2822430555555506</v>
      </c>
      <c r="AO632">
        <v>10.042294324207401</v>
      </c>
    </row>
    <row r="633" spans="30:41" x14ac:dyDescent="0.35">
      <c r="AD633" t="s">
        <v>9</v>
      </c>
      <c r="AE633" t="s">
        <v>304</v>
      </c>
      <c r="AF633" t="s">
        <v>188</v>
      </c>
      <c r="AG633">
        <v>592249</v>
      </c>
      <c r="AH633">
        <v>553282</v>
      </c>
      <c r="AI633">
        <v>540203</v>
      </c>
      <c r="AJ633">
        <v>68246</v>
      </c>
      <c r="AK633">
        <v>53792.800664865499</v>
      </c>
      <c r="AL633">
        <v>60839</v>
      </c>
      <c r="AM633">
        <v>8.6781041666666603</v>
      </c>
      <c r="AN633">
        <v>9.0941666666666592</v>
      </c>
      <c r="AO633">
        <v>10.042294324207401</v>
      </c>
    </row>
    <row r="634" spans="30:41" x14ac:dyDescent="0.35">
      <c r="AD634" t="s">
        <v>9</v>
      </c>
      <c r="AE634" t="s">
        <v>304</v>
      </c>
      <c r="AF634" t="s">
        <v>187</v>
      </c>
      <c r="AG634">
        <v>629010</v>
      </c>
      <c r="AH634">
        <v>585529</v>
      </c>
      <c r="AI634">
        <v>581150</v>
      </c>
      <c r="AJ634">
        <v>71932</v>
      </c>
      <c r="AK634">
        <v>57870.213084584801</v>
      </c>
      <c r="AL634">
        <v>64438</v>
      </c>
      <c r="AM634">
        <v>8.7444959677419707</v>
      </c>
      <c r="AN634">
        <v>9.0866868279569797</v>
      </c>
      <c r="AO634">
        <v>10.042294324207401</v>
      </c>
    </row>
    <row r="635" spans="30:41" x14ac:dyDescent="0.35">
      <c r="AD635" t="s">
        <v>9</v>
      </c>
      <c r="AE635" t="s">
        <v>305</v>
      </c>
      <c r="AF635" t="s">
        <v>184</v>
      </c>
      <c r="AG635">
        <v>465796</v>
      </c>
      <c r="AH635">
        <v>405482</v>
      </c>
      <c r="AI635">
        <v>483203</v>
      </c>
      <c r="AJ635">
        <v>59966</v>
      </c>
      <c r="AK635">
        <v>59272.734187432899</v>
      </c>
      <c r="AL635">
        <v>45806</v>
      </c>
      <c r="AM635">
        <v>7.7676041666666604</v>
      </c>
      <c r="AN635">
        <v>8.8522395833333292</v>
      </c>
      <c r="AO635">
        <v>8.1521894564878892</v>
      </c>
    </row>
    <row r="636" spans="30:41" x14ac:dyDescent="0.35">
      <c r="AD636" t="s">
        <v>9</v>
      </c>
      <c r="AE636" t="s">
        <v>305</v>
      </c>
      <c r="AF636" t="s">
        <v>188</v>
      </c>
      <c r="AG636">
        <v>489090</v>
      </c>
      <c r="AH636">
        <v>433722</v>
      </c>
      <c r="AI636">
        <v>435373</v>
      </c>
      <c r="AJ636">
        <v>74037</v>
      </c>
      <c r="AK636">
        <v>53405.598474347302</v>
      </c>
      <c r="AL636">
        <v>49390</v>
      </c>
      <c r="AM636">
        <v>6.6060069444444398</v>
      </c>
      <c r="AN636">
        <v>8.7815972222222207</v>
      </c>
      <c r="AO636">
        <v>8.1521894564878892</v>
      </c>
    </row>
    <row r="637" spans="30:41" x14ac:dyDescent="0.35">
      <c r="AD637" t="s">
        <v>9</v>
      </c>
      <c r="AE637" t="s">
        <v>305</v>
      </c>
      <c r="AF637" t="s">
        <v>183</v>
      </c>
      <c r="AG637">
        <v>465374</v>
      </c>
      <c r="AH637">
        <v>430620</v>
      </c>
      <c r="AI637">
        <v>528953</v>
      </c>
      <c r="AJ637">
        <v>61208</v>
      </c>
      <c r="AK637">
        <v>64884.803833776699</v>
      </c>
      <c r="AL637">
        <v>49112</v>
      </c>
      <c r="AM637">
        <v>7.6031384408602101</v>
      </c>
      <c r="AN637">
        <v>8.7681115591397791</v>
      </c>
      <c r="AO637">
        <v>8.1521894564878892</v>
      </c>
    </row>
    <row r="638" spans="30:41" x14ac:dyDescent="0.35">
      <c r="AD638" t="s">
        <v>9</v>
      </c>
      <c r="AE638" t="s">
        <v>305</v>
      </c>
      <c r="AF638" t="s">
        <v>187</v>
      </c>
      <c r="AG638">
        <v>534897</v>
      </c>
      <c r="AH638">
        <v>451697</v>
      </c>
      <c r="AI638">
        <v>468353</v>
      </c>
      <c r="AJ638">
        <v>66918</v>
      </c>
      <c r="AK638">
        <v>57451.2424790695</v>
      </c>
      <c r="AL638">
        <v>52242</v>
      </c>
      <c r="AM638">
        <v>7.9933602150537704</v>
      </c>
      <c r="AN638">
        <v>8.6461760752688193</v>
      </c>
      <c r="AO638">
        <v>8.1521894564878892</v>
      </c>
    </row>
    <row r="639" spans="30:41" x14ac:dyDescent="0.35">
      <c r="AD639" t="s">
        <v>9</v>
      </c>
      <c r="AE639" t="s">
        <v>304</v>
      </c>
      <c r="AF639" t="s">
        <v>183</v>
      </c>
      <c r="AG639">
        <v>582226</v>
      </c>
      <c r="AH639">
        <v>556142</v>
      </c>
      <c r="AI639">
        <v>645004</v>
      </c>
      <c r="AJ639">
        <v>57948</v>
      </c>
      <c r="AK639">
        <v>64228.781300024901</v>
      </c>
      <c r="AL639">
        <v>65097</v>
      </c>
      <c r="AM639">
        <v>10.0473991935483</v>
      </c>
      <c r="AN639">
        <v>8.5433400537634405</v>
      </c>
      <c r="AO639">
        <v>10.042294324207401</v>
      </c>
    </row>
    <row r="640" spans="30:41" x14ac:dyDescent="0.35">
      <c r="AD640" t="s">
        <v>9</v>
      </c>
      <c r="AE640" t="s">
        <v>304</v>
      </c>
      <c r="AF640" t="s">
        <v>186</v>
      </c>
      <c r="AG640">
        <v>612963</v>
      </c>
      <c r="AH640">
        <v>563740</v>
      </c>
      <c r="AI640">
        <v>563638</v>
      </c>
      <c r="AJ640">
        <v>66058</v>
      </c>
      <c r="AK640">
        <v>56126.441339338497</v>
      </c>
      <c r="AL640">
        <v>67377</v>
      </c>
      <c r="AM640">
        <v>9.27922916666666</v>
      </c>
      <c r="AN640">
        <v>8.3669930555555503</v>
      </c>
      <c r="AO640">
        <v>10.042294324207401</v>
      </c>
    </row>
    <row r="641" spans="30:41" x14ac:dyDescent="0.35">
      <c r="AD641" t="s">
        <v>9</v>
      </c>
      <c r="AE641" t="s">
        <v>305</v>
      </c>
      <c r="AF641" t="s">
        <v>185</v>
      </c>
      <c r="AG641">
        <v>553833</v>
      </c>
      <c r="AH641">
        <v>462706</v>
      </c>
      <c r="AI641">
        <v>478015</v>
      </c>
      <c r="AJ641">
        <v>67139</v>
      </c>
      <c r="AK641">
        <v>58636.340292554603</v>
      </c>
      <c r="AL641">
        <v>56164</v>
      </c>
      <c r="AM641">
        <v>8.2490860215053701</v>
      </c>
      <c r="AN641">
        <v>8.2385483870967704</v>
      </c>
      <c r="AO641">
        <v>8.1521894564878892</v>
      </c>
    </row>
    <row r="642" spans="30:41" x14ac:dyDescent="0.35">
      <c r="AD642" t="s">
        <v>9</v>
      </c>
      <c r="AE642" t="s">
        <v>306</v>
      </c>
      <c r="AF642" t="s">
        <v>187</v>
      </c>
      <c r="AG642">
        <v>289312</v>
      </c>
      <c r="AH642">
        <v>282492</v>
      </c>
      <c r="AI642">
        <v>274201</v>
      </c>
      <c r="AJ642">
        <v>42337</v>
      </c>
      <c r="AK642">
        <v>34889.186349674899</v>
      </c>
      <c r="AL642">
        <v>34728</v>
      </c>
      <c r="AM642">
        <v>6.8336088709677396</v>
      </c>
      <c r="AN642">
        <v>8.1343481182795703</v>
      </c>
      <c r="AO642">
        <v>7.85918686242319</v>
      </c>
    </row>
    <row r="643" spans="30:41" x14ac:dyDescent="0.35">
      <c r="AD643" t="s">
        <v>9</v>
      </c>
      <c r="AE643" t="s">
        <v>306</v>
      </c>
      <c r="AF643" t="s">
        <v>184</v>
      </c>
      <c r="AG643">
        <v>277172</v>
      </c>
      <c r="AH643">
        <v>235334</v>
      </c>
      <c r="AI643">
        <v>269622</v>
      </c>
      <c r="AJ643">
        <v>38726</v>
      </c>
      <c r="AK643">
        <v>34306.549827582101</v>
      </c>
      <c r="AL643">
        <v>28980</v>
      </c>
      <c r="AM643">
        <v>7.1571875</v>
      </c>
      <c r="AN643">
        <v>8.1205208333333303</v>
      </c>
      <c r="AO643">
        <v>7.85918686242319</v>
      </c>
    </row>
    <row r="644" spans="30:41" x14ac:dyDescent="0.35">
      <c r="AD644" t="s">
        <v>9</v>
      </c>
      <c r="AE644" t="s">
        <v>305</v>
      </c>
      <c r="AF644" t="s">
        <v>186</v>
      </c>
      <c r="AG644">
        <v>498743</v>
      </c>
      <c r="AH644">
        <v>430969</v>
      </c>
      <c r="AI644">
        <v>444233</v>
      </c>
      <c r="AJ644">
        <v>60956</v>
      </c>
      <c r="AK644">
        <v>54492.477005236702</v>
      </c>
      <c r="AL644">
        <v>53572</v>
      </c>
      <c r="AM644">
        <v>8.1820763888888894</v>
      </c>
      <c r="AN644">
        <v>8.0446527777777703</v>
      </c>
      <c r="AO644">
        <v>8.1521894564878892</v>
      </c>
    </row>
    <row r="645" spans="30:41" x14ac:dyDescent="0.35">
      <c r="AD645" t="s">
        <v>9</v>
      </c>
      <c r="AE645" t="s">
        <v>306</v>
      </c>
      <c r="AF645" t="s">
        <v>185</v>
      </c>
      <c r="AG645">
        <v>311549</v>
      </c>
      <c r="AH645">
        <v>275302</v>
      </c>
      <c r="AI645">
        <v>290866</v>
      </c>
      <c r="AJ645">
        <v>38864</v>
      </c>
      <c r="AK645">
        <v>37009.736820320097</v>
      </c>
      <c r="AL645">
        <v>34374</v>
      </c>
      <c r="AM645">
        <v>8.0164583333333308</v>
      </c>
      <c r="AN645">
        <v>8.0089784946236495</v>
      </c>
      <c r="AO645">
        <v>7.85918686242319</v>
      </c>
    </row>
    <row r="646" spans="30:41" x14ac:dyDescent="0.35">
      <c r="AD646" t="s">
        <v>9</v>
      </c>
      <c r="AE646" t="s">
        <v>306</v>
      </c>
      <c r="AF646" t="s">
        <v>188</v>
      </c>
      <c r="AG646">
        <v>260068</v>
      </c>
      <c r="AH646">
        <v>266533</v>
      </c>
      <c r="AI646">
        <v>254892</v>
      </c>
      <c r="AJ646">
        <v>35678</v>
      </c>
      <c r="AK646">
        <v>32432.333937586202</v>
      </c>
      <c r="AL646">
        <v>33333</v>
      </c>
      <c r="AM646">
        <v>7.2893819444444503</v>
      </c>
      <c r="AN646">
        <v>7.9959444444444401</v>
      </c>
      <c r="AO646">
        <v>7.85918686242319</v>
      </c>
    </row>
    <row r="647" spans="30:41" x14ac:dyDescent="0.35">
      <c r="AD647" t="s">
        <v>21</v>
      </c>
      <c r="AE647" t="s">
        <v>200</v>
      </c>
      <c r="AF647" t="s">
        <v>185</v>
      </c>
      <c r="AK647">
        <v>0</v>
      </c>
      <c r="AN647">
        <v>7.7687768817204299</v>
      </c>
      <c r="AO647">
        <v>87.909090308325105</v>
      </c>
    </row>
    <row r="648" spans="30:41" x14ac:dyDescent="0.35">
      <c r="AD648" t="s">
        <v>9</v>
      </c>
      <c r="AE648" t="s">
        <v>306</v>
      </c>
      <c r="AF648" t="s">
        <v>186</v>
      </c>
      <c r="AG648">
        <v>292776</v>
      </c>
      <c r="AH648">
        <v>267989</v>
      </c>
      <c r="AI648">
        <v>265938</v>
      </c>
      <c r="AJ648">
        <v>39798</v>
      </c>
      <c r="AK648">
        <v>33837.896738595096</v>
      </c>
      <c r="AL648">
        <v>35962</v>
      </c>
      <c r="AM648">
        <v>7.3565138888888804</v>
      </c>
      <c r="AN648">
        <v>7.4520833333333298</v>
      </c>
      <c r="AO648">
        <v>7.85918686242319</v>
      </c>
    </row>
    <row r="649" spans="30:41" x14ac:dyDescent="0.35">
      <c r="AD649" t="s">
        <v>9</v>
      </c>
      <c r="AE649" t="s">
        <v>307</v>
      </c>
      <c r="AF649" t="s">
        <v>184</v>
      </c>
      <c r="AG649">
        <v>312656</v>
      </c>
      <c r="AH649">
        <v>317773</v>
      </c>
      <c r="AI649">
        <v>315892</v>
      </c>
      <c r="AJ649">
        <v>48295</v>
      </c>
      <c r="AK649">
        <v>42558.287094907202</v>
      </c>
      <c r="AL649">
        <v>44608</v>
      </c>
      <c r="AM649">
        <v>6.4739062499999998</v>
      </c>
      <c r="AN649">
        <v>7.1236979166666599</v>
      </c>
      <c r="AO649">
        <v>7.4225653700663496</v>
      </c>
    </row>
    <row r="650" spans="30:41" x14ac:dyDescent="0.35">
      <c r="AD650" t="s">
        <v>9</v>
      </c>
      <c r="AE650" t="s">
        <v>307</v>
      </c>
      <c r="AF650" t="s">
        <v>185</v>
      </c>
      <c r="AG650">
        <v>375877</v>
      </c>
      <c r="AH650">
        <v>357973</v>
      </c>
      <c r="AI650">
        <v>376309</v>
      </c>
      <c r="AJ650">
        <v>54713</v>
      </c>
      <c r="AK650">
        <v>50698.007931001302</v>
      </c>
      <c r="AL650">
        <v>51045</v>
      </c>
      <c r="AM650">
        <v>6.87002016129032</v>
      </c>
      <c r="AN650">
        <v>7.0129368279569899</v>
      </c>
      <c r="AO650">
        <v>7.4225653700663496</v>
      </c>
    </row>
    <row r="651" spans="30:41" x14ac:dyDescent="0.35">
      <c r="AD651" t="s">
        <v>9</v>
      </c>
      <c r="AE651" t="s">
        <v>306</v>
      </c>
      <c r="AF651" t="s">
        <v>183</v>
      </c>
      <c r="AG651">
        <v>281217</v>
      </c>
      <c r="AH651">
        <v>249564</v>
      </c>
      <c r="AI651">
        <v>295071</v>
      </c>
      <c r="AJ651">
        <v>46198</v>
      </c>
      <c r="AK651">
        <v>37544.722076886901</v>
      </c>
      <c r="AL651">
        <v>36709</v>
      </c>
      <c r="AM651">
        <v>6.0871774193548296</v>
      </c>
      <c r="AN651">
        <v>6.7983736559139798</v>
      </c>
      <c r="AO651">
        <v>7.85918686242319</v>
      </c>
    </row>
    <row r="652" spans="30:41" x14ac:dyDescent="0.35">
      <c r="AD652" t="s">
        <v>9</v>
      </c>
      <c r="AE652" t="s">
        <v>308</v>
      </c>
      <c r="AF652" t="s">
        <v>183</v>
      </c>
      <c r="AG652">
        <v>151114</v>
      </c>
      <c r="AH652">
        <v>140000</v>
      </c>
      <c r="AI652">
        <v>158706</v>
      </c>
      <c r="AJ652">
        <v>22571</v>
      </c>
      <c r="AK652">
        <v>24633.2419648547</v>
      </c>
      <c r="AL652">
        <v>21588</v>
      </c>
      <c r="AM652">
        <v>6.6951142473118201</v>
      </c>
      <c r="AN652">
        <v>6.4851142473118299</v>
      </c>
      <c r="AO652">
        <v>6.4427386872759902</v>
      </c>
    </row>
    <row r="653" spans="30:41" x14ac:dyDescent="0.35">
      <c r="AD653" t="s">
        <v>9</v>
      </c>
      <c r="AE653" t="s">
        <v>307</v>
      </c>
      <c r="AF653" t="s">
        <v>183</v>
      </c>
      <c r="AG653">
        <v>321626</v>
      </c>
      <c r="AH653">
        <v>334725</v>
      </c>
      <c r="AI653">
        <v>346115</v>
      </c>
      <c r="AJ653">
        <v>54648</v>
      </c>
      <c r="AK653">
        <v>46630.070271365701</v>
      </c>
      <c r="AL653">
        <v>52250</v>
      </c>
      <c r="AM653">
        <v>5.8854099462365497</v>
      </c>
      <c r="AN653">
        <v>6.4062231182795699</v>
      </c>
      <c r="AO653">
        <v>7.4225653700663496</v>
      </c>
    </row>
    <row r="654" spans="30:41" x14ac:dyDescent="0.35">
      <c r="AD654" t="s">
        <v>9</v>
      </c>
      <c r="AE654" t="s">
        <v>307</v>
      </c>
      <c r="AF654" t="s">
        <v>186</v>
      </c>
      <c r="AG654">
        <v>343397</v>
      </c>
      <c r="AH654">
        <v>346279</v>
      </c>
      <c r="AI654">
        <v>365159</v>
      </c>
      <c r="AJ654">
        <v>74105</v>
      </c>
      <c r="AK654">
        <v>49195.819611452702</v>
      </c>
      <c r="AL654">
        <v>54128</v>
      </c>
      <c r="AM654">
        <v>4.6339027777777702</v>
      </c>
      <c r="AN654">
        <v>6.3973680555555497</v>
      </c>
      <c r="AO654">
        <v>7.4225653700663496</v>
      </c>
    </row>
    <row r="655" spans="30:41" x14ac:dyDescent="0.35">
      <c r="AD655" t="s">
        <v>9</v>
      </c>
      <c r="AE655" t="s">
        <v>308</v>
      </c>
      <c r="AF655" t="s">
        <v>187</v>
      </c>
      <c r="AG655">
        <v>155417</v>
      </c>
      <c r="AH655">
        <v>140259</v>
      </c>
      <c r="AI655">
        <v>141526</v>
      </c>
      <c r="AJ655">
        <v>23509</v>
      </c>
      <c r="AK655">
        <v>21966.780459295202</v>
      </c>
      <c r="AL655">
        <v>21976</v>
      </c>
      <c r="AM655">
        <v>6.6110954301075298</v>
      </c>
      <c r="AN655">
        <v>6.3822311827957003</v>
      </c>
      <c r="AO655">
        <v>6.4427386872759902</v>
      </c>
    </row>
    <row r="656" spans="30:41" x14ac:dyDescent="0.35">
      <c r="AD656" t="s">
        <v>9</v>
      </c>
      <c r="AE656" t="s">
        <v>308</v>
      </c>
      <c r="AF656" t="s">
        <v>184</v>
      </c>
      <c r="AG656">
        <v>146358</v>
      </c>
      <c r="AH656">
        <v>127168</v>
      </c>
      <c r="AI656">
        <v>131467</v>
      </c>
      <c r="AJ656">
        <v>22783</v>
      </c>
      <c r="AK656">
        <v>20405.459848874401</v>
      </c>
      <c r="AL656">
        <v>20334</v>
      </c>
      <c r="AM656">
        <v>6.4238541666666604</v>
      </c>
      <c r="AN656">
        <v>6.2539583333333297</v>
      </c>
      <c r="AO656">
        <v>6.4427386872759902</v>
      </c>
    </row>
    <row r="657" spans="30:41" x14ac:dyDescent="0.35">
      <c r="AD657" t="s">
        <v>9</v>
      </c>
      <c r="AE657" t="s">
        <v>308</v>
      </c>
      <c r="AF657" t="s">
        <v>185</v>
      </c>
      <c r="AG657">
        <v>154463</v>
      </c>
      <c r="AH657">
        <v>142976</v>
      </c>
      <c r="AI657">
        <v>146275</v>
      </c>
      <c r="AJ657">
        <v>26983</v>
      </c>
      <c r="AK657">
        <v>22703.842946305402</v>
      </c>
      <c r="AL657">
        <v>22963</v>
      </c>
      <c r="AM657">
        <v>5.7243817204300997</v>
      </c>
      <c r="AN657">
        <v>6.2264717741935396</v>
      </c>
      <c r="AO657">
        <v>6.4427386872759902</v>
      </c>
    </row>
    <row r="658" spans="30:41" x14ac:dyDescent="0.35">
      <c r="AD658" t="s">
        <v>9</v>
      </c>
      <c r="AE658" t="s">
        <v>307</v>
      </c>
      <c r="AF658" t="s">
        <v>187</v>
      </c>
      <c r="AG658">
        <v>359753</v>
      </c>
      <c r="AH658">
        <v>342288</v>
      </c>
      <c r="AI658">
        <v>340074</v>
      </c>
      <c r="AJ658">
        <v>80186</v>
      </c>
      <c r="AK658">
        <v>45816.2448082232</v>
      </c>
      <c r="AL658">
        <v>55241</v>
      </c>
      <c r="AM658">
        <v>4.4864919354838602</v>
      </c>
      <c r="AN658">
        <v>6.19622311827957</v>
      </c>
      <c r="AO658">
        <v>7.4225653700663496</v>
      </c>
    </row>
    <row r="659" spans="30:41" x14ac:dyDescent="0.35">
      <c r="AD659" t="s">
        <v>9</v>
      </c>
      <c r="AE659" t="s">
        <v>308</v>
      </c>
      <c r="AF659" t="s">
        <v>188</v>
      </c>
      <c r="AG659">
        <v>131548</v>
      </c>
      <c r="AH659">
        <v>132268</v>
      </c>
      <c r="AI659">
        <v>131277</v>
      </c>
      <c r="AJ659">
        <v>24533</v>
      </c>
      <c r="AK659">
        <v>20376.016050327202</v>
      </c>
      <c r="AL659">
        <v>22360</v>
      </c>
      <c r="AM659">
        <v>5.3620972222222099</v>
      </c>
      <c r="AN659">
        <v>5.9153888888888799</v>
      </c>
      <c r="AO659">
        <v>6.4427386872759902</v>
      </c>
    </row>
    <row r="660" spans="30:41" x14ac:dyDescent="0.35">
      <c r="AD660" t="s">
        <v>9</v>
      </c>
      <c r="AE660" t="s">
        <v>307</v>
      </c>
      <c r="AF660" t="s">
        <v>188</v>
      </c>
      <c r="AG660">
        <v>335763</v>
      </c>
      <c r="AH660">
        <v>330401</v>
      </c>
      <c r="AI660">
        <v>331844</v>
      </c>
      <c r="AJ660">
        <v>60341</v>
      </c>
      <c r="AK660">
        <v>44707.452040538003</v>
      </c>
      <c r="AL660">
        <v>56187</v>
      </c>
      <c r="AM660">
        <v>5.5644652777777699</v>
      </c>
      <c r="AN660">
        <v>5.88034027777777</v>
      </c>
      <c r="AO660">
        <v>7.4225653700663496</v>
      </c>
    </row>
    <row r="661" spans="30:41" x14ac:dyDescent="0.35">
      <c r="AD661" t="s">
        <v>9</v>
      </c>
      <c r="AE661" t="s">
        <v>308</v>
      </c>
      <c r="AF661" t="s">
        <v>186</v>
      </c>
      <c r="AG661">
        <v>152157</v>
      </c>
      <c r="AH661">
        <v>138856</v>
      </c>
      <c r="AI661">
        <v>137140</v>
      </c>
      <c r="AJ661">
        <v>24250</v>
      </c>
      <c r="AK661">
        <v>21285.951729012701</v>
      </c>
      <c r="AL661">
        <v>24854</v>
      </c>
      <c r="AM661">
        <v>6.27438194444444</v>
      </c>
      <c r="AN661">
        <v>5.5867777777777796</v>
      </c>
      <c r="AO661">
        <v>6.4427386872759902</v>
      </c>
    </row>
    <row r="662" spans="30:41" x14ac:dyDescent="0.35">
      <c r="AF662" t="s">
        <v>187</v>
      </c>
      <c r="AK662">
        <v>0</v>
      </c>
      <c r="AN662">
        <v>3.0954301075268802E-2</v>
      </c>
    </row>
    <row r="663" spans="30:41" x14ac:dyDescent="0.35">
      <c r="AD663" t="s">
        <v>21</v>
      </c>
      <c r="AE663" t="s">
        <v>200</v>
      </c>
      <c r="AF663" t="s">
        <v>186</v>
      </c>
      <c r="AG663">
        <v>109</v>
      </c>
      <c r="AK663">
        <v>0</v>
      </c>
      <c r="AN663">
        <v>1.8229166666666598E-2</v>
      </c>
      <c r="AO663">
        <v>87.909090308325105</v>
      </c>
    </row>
    <row r="664" spans="30:41" x14ac:dyDescent="0.35">
      <c r="AF664" t="s">
        <v>183</v>
      </c>
      <c r="AK664">
        <v>0</v>
      </c>
    </row>
    <row r="665" spans="30:41" x14ac:dyDescent="0.35">
      <c r="AD665" t="s">
        <v>292</v>
      </c>
      <c r="AE665" t="s">
        <v>309</v>
      </c>
      <c r="AF665" t="s">
        <v>183</v>
      </c>
      <c r="AK665">
        <v>0</v>
      </c>
    </row>
    <row r="666" spans="30:41" x14ac:dyDescent="0.35">
      <c r="AD666" t="s">
        <v>292</v>
      </c>
      <c r="AE666" t="s">
        <v>310</v>
      </c>
      <c r="AF666" t="s">
        <v>183</v>
      </c>
      <c r="AK666">
        <v>0</v>
      </c>
    </row>
    <row r="667" spans="30:41" x14ac:dyDescent="0.35">
      <c r="AD667" t="s">
        <v>292</v>
      </c>
      <c r="AE667" t="s">
        <v>311</v>
      </c>
      <c r="AF667" t="s">
        <v>183</v>
      </c>
      <c r="AK667">
        <v>0</v>
      </c>
    </row>
    <row r="668" spans="30:41" x14ac:dyDescent="0.35">
      <c r="AD668" t="s">
        <v>292</v>
      </c>
      <c r="AE668" t="s">
        <v>312</v>
      </c>
      <c r="AF668" t="s">
        <v>183</v>
      </c>
      <c r="AG668">
        <v>2577978</v>
      </c>
      <c r="AH668">
        <v>4440576</v>
      </c>
      <c r="AI668">
        <v>4374319</v>
      </c>
      <c r="AK668">
        <v>0</v>
      </c>
    </row>
    <row r="669" spans="30:41" x14ac:dyDescent="0.35">
      <c r="AD669" t="s">
        <v>292</v>
      </c>
      <c r="AE669" t="s">
        <v>313</v>
      </c>
      <c r="AF669" t="s">
        <v>183</v>
      </c>
      <c r="AK669">
        <v>0</v>
      </c>
    </row>
    <row r="670" spans="30:41" x14ac:dyDescent="0.35">
      <c r="AD670" t="s">
        <v>17</v>
      </c>
      <c r="AE670" t="s">
        <v>314</v>
      </c>
      <c r="AF670" t="s">
        <v>183</v>
      </c>
      <c r="AG670">
        <v>5190041</v>
      </c>
      <c r="AI670">
        <v>5300979</v>
      </c>
      <c r="AJ670">
        <v>55382</v>
      </c>
      <c r="AK670">
        <v>63106.890682142803</v>
      </c>
      <c r="AM670">
        <v>93.712735215053698</v>
      </c>
      <c r="AO670">
        <v>84</v>
      </c>
    </row>
    <row r="671" spans="30:41" x14ac:dyDescent="0.35">
      <c r="AD671" t="s">
        <v>17</v>
      </c>
      <c r="AE671" t="s">
        <v>315</v>
      </c>
      <c r="AF671" t="s">
        <v>183</v>
      </c>
      <c r="AG671">
        <v>6021223</v>
      </c>
      <c r="AI671">
        <v>7107086</v>
      </c>
      <c r="AJ671">
        <v>71055</v>
      </c>
      <c r="AK671">
        <v>84608.166271428505</v>
      </c>
      <c r="AM671">
        <v>84.740315860215006</v>
      </c>
      <c r="AO671">
        <v>84</v>
      </c>
    </row>
    <row r="672" spans="30:41" x14ac:dyDescent="0.35">
      <c r="AD672" t="s">
        <v>104</v>
      </c>
      <c r="AE672" t="s">
        <v>316</v>
      </c>
      <c r="AF672" t="s">
        <v>183</v>
      </c>
      <c r="AK672">
        <v>0</v>
      </c>
    </row>
    <row r="673" spans="30:41" x14ac:dyDescent="0.35">
      <c r="AF673" t="s">
        <v>184</v>
      </c>
      <c r="AK673">
        <v>0</v>
      </c>
    </row>
    <row r="674" spans="30:41" x14ac:dyDescent="0.35">
      <c r="AD674" t="s">
        <v>292</v>
      </c>
      <c r="AE674" t="s">
        <v>309</v>
      </c>
      <c r="AF674" t="s">
        <v>184</v>
      </c>
      <c r="AK674">
        <v>0</v>
      </c>
    </row>
    <row r="675" spans="30:41" x14ac:dyDescent="0.35">
      <c r="AD675" t="s">
        <v>292</v>
      </c>
      <c r="AE675" t="s">
        <v>310</v>
      </c>
      <c r="AF675" t="s">
        <v>184</v>
      </c>
      <c r="AK675">
        <v>0</v>
      </c>
    </row>
    <row r="676" spans="30:41" x14ac:dyDescent="0.35">
      <c r="AD676" t="s">
        <v>292</v>
      </c>
      <c r="AE676" t="s">
        <v>311</v>
      </c>
      <c r="AF676" t="s">
        <v>184</v>
      </c>
      <c r="AK676">
        <v>0</v>
      </c>
    </row>
    <row r="677" spans="30:41" x14ac:dyDescent="0.35">
      <c r="AD677" t="s">
        <v>292</v>
      </c>
      <c r="AE677" t="s">
        <v>312</v>
      </c>
      <c r="AF677" t="s">
        <v>184</v>
      </c>
      <c r="AG677">
        <v>2869576</v>
      </c>
      <c r="AH677">
        <v>3853613</v>
      </c>
      <c r="AI677">
        <v>3835536</v>
      </c>
      <c r="AK677">
        <v>0</v>
      </c>
    </row>
    <row r="678" spans="30:41" x14ac:dyDescent="0.35">
      <c r="AD678" t="s">
        <v>292</v>
      </c>
      <c r="AE678" t="s">
        <v>313</v>
      </c>
      <c r="AF678" t="s">
        <v>184</v>
      </c>
      <c r="AK678">
        <v>0</v>
      </c>
    </row>
    <row r="679" spans="30:41" x14ac:dyDescent="0.35">
      <c r="AD679" t="s">
        <v>17</v>
      </c>
      <c r="AE679" t="s">
        <v>314</v>
      </c>
      <c r="AF679" t="s">
        <v>184</v>
      </c>
      <c r="AG679">
        <v>4870628</v>
      </c>
      <c r="AI679">
        <v>4992866</v>
      </c>
      <c r="AJ679">
        <v>55258</v>
      </c>
      <c r="AK679">
        <v>59438.877825000003</v>
      </c>
      <c r="AM679">
        <v>88.1438541666666</v>
      </c>
      <c r="AO679">
        <v>84</v>
      </c>
    </row>
    <row r="680" spans="30:41" x14ac:dyDescent="0.35">
      <c r="AD680" t="s">
        <v>17</v>
      </c>
      <c r="AE680" t="s">
        <v>315</v>
      </c>
      <c r="AF680" t="s">
        <v>184</v>
      </c>
      <c r="AG680">
        <v>5620898</v>
      </c>
      <c r="AI680">
        <v>7438916</v>
      </c>
      <c r="AJ680">
        <v>63928</v>
      </c>
      <c r="AK680">
        <v>88558.527017857094</v>
      </c>
      <c r="AM680">
        <v>87.925416666666607</v>
      </c>
      <c r="AO680">
        <v>84</v>
      </c>
    </row>
    <row r="681" spans="30:41" x14ac:dyDescent="0.35">
      <c r="AD681" t="s">
        <v>104</v>
      </c>
      <c r="AE681" t="s">
        <v>316</v>
      </c>
      <c r="AF681" t="s">
        <v>184</v>
      </c>
      <c r="AK681">
        <v>0</v>
      </c>
    </row>
    <row r="682" spans="30:41" x14ac:dyDescent="0.35">
      <c r="AF682" t="s">
        <v>185</v>
      </c>
      <c r="AK682">
        <v>0</v>
      </c>
    </row>
    <row r="683" spans="30:41" x14ac:dyDescent="0.35">
      <c r="AD683" t="s">
        <v>292</v>
      </c>
      <c r="AE683" t="s">
        <v>309</v>
      </c>
      <c r="AF683" t="s">
        <v>185</v>
      </c>
      <c r="AK683">
        <v>0</v>
      </c>
    </row>
    <row r="684" spans="30:41" x14ac:dyDescent="0.35">
      <c r="AD684" t="s">
        <v>292</v>
      </c>
      <c r="AE684" t="s">
        <v>310</v>
      </c>
      <c r="AF684" t="s">
        <v>185</v>
      </c>
      <c r="AK684">
        <v>0</v>
      </c>
    </row>
    <row r="685" spans="30:41" x14ac:dyDescent="0.35">
      <c r="AD685" t="s">
        <v>292</v>
      </c>
      <c r="AE685" t="s">
        <v>311</v>
      </c>
      <c r="AF685" t="s">
        <v>185</v>
      </c>
      <c r="AK685">
        <v>0</v>
      </c>
    </row>
    <row r="686" spans="30:41" x14ac:dyDescent="0.35">
      <c r="AD686" t="s">
        <v>292</v>
      </c>
      <c r="AE686" t="s">
        <v>312</v>
      </c>
      <c r="AF686" t="s">
        <v>185</v>
      </c>
      <c r="AG686">
        <v>3976375</v>
      </c>
      <c r="AH686">
        <v>5911646</v>
      </c>
      <c r="AI686">
        <v>4791471</v>
      </c>
      <c r="AK686">
        <v>0</v>
      </c>
    </row>
    <row r="687" spans="30:41" x14ac:dyDescent="0.35">
      <c r="AD687" t="s">
        <v>292</v>
      </c>
      <c r="AE687" t="s">
        <v>313</v>
      </c>
      <c r="AF687" t="s">
        <v>185</v>
      </c>
      <c r="AK687">
        <v>0</v>
      </c>
    </row>
    <row r="688" spans="30:41" x14ac:dyDescent="0.35">
      <c r="AD688" t="s">
        <v>17</v>
      </c>
      <c r="AE688" t="s">
        <v>314</v>
      </c>
      <c r="AF688" t="s">
        <v>185</v>
      </c>
      <c r="AG688">
        <v>5888404</v>
      </c>
      <c r="AI688">
        <v>5316989</v>
      </c>
      <c r="AJ688">
        <v>73717</v>
      </c>
      <c r="AK688">
        <v>63297.4906214285</v>
      </c>
      <c r="AM688">
        <v>79.878985215053703</v>
      </c>
      <c r="AO688">
        <v>84</v>
      </c>
    </row>
    <row r="689" spans="30:41" x14ac:dyDescent="0.35">
      <c r="AD689" t="s">
        <v>17</v>
      </c>
      <c r="AE689" t="s">
        <v>315</v>
      </c>
      <c r="AF689" t="s">
        <v>185</v>
      </c>
      <c r="AG689">
        <v>6998675</v>
      </c>
      <c r="AI689">
        <v>9170612</v>
      </c>
      <c r="AJ689">
        <v>83320</v>
      </c>
      <c r="AK689">
        <v>109173.94922738</v>
      </c>
      <c r="AM689">
        <v>83.997130376344103</v>
      </c>
      <c r="AO689">
        <v>84</v>
      </c>
    </row>
    <row r="690" spans="30:41" x14ac:dyDescent="0.35">
      <c r="AD690" t="s">
        <v>104</v>
      </c>
      <c r="AE690" t="s">
        <v>316</v>
      </c>
      <c r="AF690" t="s">
        <v>185</v>
      </c>
      <c r="AK690">
        <v>0</v>
      </c>
    </row>
    <row r="691" spans="30:41" x14ac:dyDescent="0.35">
      <c r="AF691" t="s">
        <v>186</v>
      </c>
      <c r="AK691">
        <v>0</v>
      </c>
    </row>
    <row r="692" spans="30:41" x14ac:dyDescent="0.35">
      <c r="AD692" t="s">
        <v>292</v>
      </c>
      <c r="AE692" t="s">
        <v>309</v>
      </c>
      <c r="AF692" t="s">
        <v>186</v>
      </c>
      <c r="AK692">
        <v>0</v>
      </c>
    </row>
    <row r="693" spans="30:41" x14ac:dyDescent="0.35">
      <c r="AD693" t="s">
        <v>292</v>
      </c>
      <c r="AE693" t="s">
        <v>310</v>
      </c>
      <c r="AF693" t="s">
        <v>186</v>
      </c>
      <c r="AK693">
        <v>0</v>
      </c>
    </row>
    <row r="694" spans="30:41" x14ac:dyDescent="0.35">
      <c r="AD694" t="s">
        <v>292</v>
      </c>
      <c r="AE694" t="s">
        <v>311</v>
      </c>
      <c r="AF694" t="s">
        <v>186</v>
      </c>
      <c r="AI694">
        <v>2048</v>
      </c>
      <c r="AK694">
        <v>0</v>
      </c>
    </row>
    <row r="695" spans="30:41" x14ac:dyDescent="0.35">
      <c r="AD695" t="s">
        <v>292</v>
      </c>
      <c r="AE695" t="s">
        <v>312</v>
      </c>
      <c r="AF695" t="s">
        <v>186</v>
      </c>
      <c r="AG695">
        <v>5313922</v>
      </c>
      <c r="AH695">
        <v>5872806</v>
      </c>
      <c r="AI695">
        <v>5841651</v>
      </c>
      <c r="AK695">
        <v>0</v>
      </c>
    </row>
    <row r="696" spans="30:41" x14ac:dyDescent="0.35">
      <c r="AD696" t="s">
        <v>292</v>
      </c>
      <c r="AE696" t="s">
        <v>293</v>
      </c>
      <c r="AF696" t="s">
        <v>186</v>
      </c>
      <c r="AK696">
        <v>0</v>
      </c>
    </row>
    <row r="697" spans="30:41" x14ac:dyDescent="0.35">
      <c r="AD697" t="s">
        <v>292</v>
      </c>
      <c r="AE697" t="s">
        <v>313</v>
      </c>
      <c r="AF697" t="s">
        <v>186</v>
      </c>
      <c r="AK697">
        <v>0</v>
      </c>
    </row>
    <row r="698" spans="30:41" x14ac:dyDescent="0.35">
      <c r="AD698" t="s">
        <v>17</v>
      </c>
      <c r="AE698" t="s">
        <v>314</v>
      </c>
      <c r="AF698" t="s">
        <v>186</v>
      </c>
      <c r="AG698">
        <v>5455207</v>
      </c>
      <c r="AI698">
        <v>4985652</v>
      </c>
      <c r="AJ698">
        <v>74542</v>
      </c>
      <c r="AK698">
        <v>59352.996215476203</v>
      </c>
      <c r="AM698">
        <v>73.182909722224693</v>
      </c>
      <c r="AO698">
        <v>84</v>
      </c>
    </row>
    <row r="699" spans="30:41" x14ac:dyDescent="0.35">
      <c r="AD699" t="s">
        <v>17</v>
      </c>
      <c r="AE699" t="s">
        <v>315</v>
      </c>
      <c r="AF699" t="s">
        <v>186</v>
      </c>
      <c r="AG699">
        <v>6011149</v>
      </c>
      <c r="AI699">
        <v>6618090</v>
      </c>
      <c r="AJ699">
        <v>84003</v>
      </c>
      <c r="AK699">
        <v>78786.790186904705</v>
      </c>
      <c r="AM699">
        <v>71.558326388891203</v>
      </c>
      <c r="AO699">
        <v>84</v>
      </c>
    </row>
    <row r="700" spans="30:41" x14ac:dyDescent="0.35">
      <c r="AD700" t="s">
        <v>104</v>
      </c>
      <c r="AE700" t="s">
        <v>316</v>
      </c>
      <c r="AF700" t="s">
        <v>186</v>
      </c>
      <c r="AI700">
        <v>3351982</v>
      </c>
      <c r="AM700">
        <v>16.999791666666798</v>
      </c>
    </row>
    <row r="701" spans="30:41" x14ac:dyDescent="0.35">
      <c r="AD701" t="s">
        <v>292</v>
      </c>
      <c r="AE701" t="s">
        <v>309</v>
      </c>
      <c r="AF701" t="s">
        <v>187</v>
      </c>
      <c r="AK701">
        <v>0</v>
      </c>
    </row>
    <row r="702" spans="30:41" x14ac:dyDescent="0.35">
      <c r="AD702" t="s">
        <v>292</v>
      </c>
      <c r="AE702" t="s">
        <v>310</v>
      </c>
      <c r="AF702" t="s">
        <v>187</v>
      </c>
      <c r="AK702">
        <v>0</v>
      </c>
    </row>
    <row r="703" spans="30:41" x14ac:dyDescent="0.35">
      <c r="AD703" t="s">
        <v>292</v>
      </c>
      <c r="AE703" t="s">
        <v>311</v>
      </c>
      <c r="AF703" t="s">
        <v>187</v>
      </c>
      <c r="AI703">
        <v>2033</v>
      </c>
      <c r="AK703">
        <v>0</v>
      </c>
    </row>
    <row r="704" spans="30:41" x14ac:dyDescent="0.35">
      <c r="AD704" t="s">
        <v>292</v>
      </c>
      <c r="AE704" t="s">
        <v>312</v>
      </c>
      <c r="AF704" t="s">
        <v>187</v>
      </c>
      <c r="AG704">
        <v>3286175</v>
      </c>
      <c r="AH704">
        <v>3797712</v>
      </c>
      <c r="AI704">
        <v>3789598</v>
      </c>
      <c r="AK704">
        <v>0</v>
      </c>
    </row>
    <row r="705" spans="30:41" x14ac:dyDescent="0.35">
      <c r="AD705" t="s">
        <v>292</v>
      </c>
      <c r="AE705" t="s">
        <v>293</v>
      </c>
      <c r="AF705" t="s">
        <v>187</v>
      </c>
      <c r="AK705">
        <v>0</v>
      </c>
    </row>
    <row r="706" spans="30:41" x14ac:dyDescent="0.35">
      <c r="AD706" t="s">
        <v>292</v>
      </c>
      <c r="AE706" t="s">
        <v>313</v>
      </c>
      <c r="AF706" t="s">
        <v>187</v>
      </c>
      <c r="AK706">
        <v>0</v>
      </c>
    </row>
    <row r="707" spans="30:41" x14ac:dyDescent="0.35">
      <c r="AD707" t="s">
        <v>17</v>
      </c>
      <c r="AE707" t="s">
        <v>314</v>
      </c>
      <c r="AF707" t="s">
        <v>187</v>
      </c>
      <c r="AG707">
        <v>5822326</v>
      </c>
      <c r="AI707">
        <v>5344461</v>
      </c>
      <c r="AJ707">
        <v>84942</v>
      </c>
      <c r="AK707">
        <v>63624.533322618998</v>
      </c>
      <c r="AM707">
        <v>68.544489247312001</v>
      </c>
      <c r="AO707">
        <v>84</v>
      </c>
    </row>
    <row r="708" spans="30:41" x14ac:dyDescent="0.35">
      <c r="AD708" t="s">
        <v>17</v>
      </c>
      <c r="AE708" t="s">
        <v>315</v>
      </c>
      <c r="AF708" t="s">
        <v>187</v>
      </c>
      <c r="AG708">
        <v>6172300</v>
      </c>
      <c r="AI708">
        <v>6786297</v>
      </c>
      <c r="AJ708">
        <v>86487</v>
      </c>
      <c r="AK708">
        <v>80789.244526190407</v>
      </c>
      <c r="AM708">
        <v>71.366458333333199</v>
      </c>
      <c r="AO708">
        <v>84</v>
      </c>
    </row>
    <row r="709" spans="30:41" x14ac:dyDescent="0.35">
      <c r="AD709" t="s">
        <v>104</v>
      </c>
      <c r="AE709" t="s">
        <v>316</v>
      </c>
      <c r="AF709" t="s">
        <v>187</v>
      </c>
      <c r="AI709">
        <v>3188376</v>
      </c>
      <c r="AM709">
        <v>56.135248655915099</v>
      </c>
    </row>
    <row r="710" spans="30:41" x14ac:dyDescent="0.35">
      <c r="AD710" t="s">
        <v>21</v>
      </c>
      <c r="AE710" t="s">
        <v>200</v>
      </c>
      <c r="AF710" t="s">
        <v>187</v>
      </c>
      <c r="AK710">
        <v>0</v>
      </c>
      <c r="AO710">
        <v>87.909090308325105</v>
      </c>
    </row>
    <row r="711" spans="30:41" x14ac:dyDescent="0.35">
      <c r="AF711" t="s">
        <v>188</v>
      </c>
      <c r="AK711">
        <v>0</v>
      </c>
    </row>
    <row r="712" spans="30:41" x14ac:dyDescent="0.35">
      <c r="AD712" t="s">
        <v>292</v>
      </c>
      <c r="AE712" t="s">
        <v>309</v>
      </c>
      <c r="AF712" t="s">
        <v>188</v>
      </c>
      <c r="AK712">
        <v>0</v>
      </c>
    </row>
    <row r="713" spans="30:41" x14ac:dyDescent="0.35">
      <c r="AD713" t="s">
        <v>292</v>
      </c>
      <c r="AE713" t="s">
        <v>310</v>
      </c>
      <c r="AF713" t="s">
        <v>188</v>
      </c>
      <c r="AK713">
        <v>0</v>
      </c>
    </row>
    <row r="714" spans="30:41" x14ac:dyDescent="0.35">
      <c r="AD714" t="s">
        <v>292</v>
      </c>
      <c r="AE714" t="s">
        <v>311</v>
      </c>
      <c r="AF714" t="s">
        <v>188</v>
      </c>
      <c r="AG714">
        <v>199</v>
      </c>
      <c r="AI714">
        <v>2043</v>
      </c>
      <c r="AK714">
        <v>0</v>
      </c>
    </row>
    <row r="715" spans="30:41" x14ac:dyDescent="0.35">
      <c r="AD715" t="s">
        <v>292</v>
      </c>
      <c r="AE715" t="s">
        <v>312</v>
      </c>
      <c r="AF715" t="s">
        <v>188</v>
      </c>
      <c r="AG715">
        <v>3030814</v>
      </c>
      <c r="AH715">
        <v>3264862</v>
      </c>
      <c r="AI715">
        <v>3127556</v>
      </c>
      <c r="AK715">
        <v>0</v>
      </c>
    </row>
    <row r="716" spans="30:41" x14ac:dyDescent="0.35">
      <c r="AD716" t="s">
        <v>292</v>
      </c>
      <c r="AE716" t="s">
        <v>293</v>
      </c>
      <c r="AF716" t="s">
        <v>188</v>
      </c>
      <c r="AG716">
        <v>142</v>
      </c>
      <c r="AK716">
        <v>0</v>
      </c>
    </row>
    <row r="717" spans="30:41" x14ac:dyDescent="0.35">
      <c r="AD717" t="s">
        <v>292</v>
      </c>
      <c r="AE717" t="s">
        <v>313</v>
      </c>
      <c r="AF717" t="s">
        <v>188</v>
      </c>
      <c r="AK717">
        <v>0</v>
      </c>
    </row>
    <row r="718" spans="30:41" x14ac:dyDescent="0.35">
      <c r="AD718" t="s">
        <v>17</v>
      </c>
      <c r="AE718" t="s">
        <v>314</v>
      </c>
      <c r="AF718" t="s">
        <v>188</v>
      </c>
      <c r="AG718">
        <v>5287608</v>
      </c>
      <c r="AI718">
        <v>4958838</v>
      </c>
      <c r="AJ718">
        <v>81510</v>
      </c>
      <c r="AK718">
        <v>59033.7894547619</v>
      </c>
      <c r="AM718">
        <v>64.870506944446007</v>
      </c>
      <c r="AO718">
        <v>84</v>
      </c>
    </row>
    <row r="719" spans="30:41" x14ac:dyDescent="0.35">
      <c r="AD719" t="s">
        <v>17</v>
      </c>
      <c r="AE719" t="s">
        <v>315</v>
      </c>
      <c r="AF719" t="s">
        <v>188</v>
      </c>
      <c r="AG719">
        <v>5945118</v>
      </c>
      <c r="AI719">
        <v>6835902</v>
      </c>
      <c r="AJ719">
        <v>85531</v>
      </c>
      <c r="AK719">
        <v>81379.791638095194</v>
      </c>
      <c r="AM719">
        <v>69.508590277779504</v>
      </c>
      <c r="AO719">
        <v>84</v>
      </c>
    </row>
    <row r="720" spans="30:41" x14ac:dyDescent="0.35">
      <c r="AD720" t="s">
        <v>104</v>
      </c>
      <c r="AE720" t="s">
        <v>316</v>
      </c>
      <c r="AF720" t="s">
        <v>188</v>
      </c>
      <c r="AG720">
        <v>0</v>
      </c>
      <c r="AI720">
        <v>3040006</v>
      </c>
      <c r="AJ720">
        <v>0</v>
      </c>
      <c r="AM720">
        <v>39.231791666666602</v>
      </c>
    </row>
    <row r="721" spans="30:41" x14ac:dyDescent="0.35">
      <c r="AD721" t="s">
        <v>21</v>
      </c>
      <c r="AE721" t="s">
        <v>200</v>
      </c>
      <c r="AF721" t="s">
        <v>188</v>
      </c>
      <c r="AG721">
        <v>631</v>
      </c>
      <c r="AH721">
        <v>76</v>
      </c>
      <c r="AK721">
        <v>0</v>
      </c>
      <c r="AO721">
        <v>87.909090308325105</v>
      </c>
    </row>
    <row r="722" spans="30:41" x14ac:dyDescent="0.35">
      <c r="AD722" t="s">
        <v>104</v>
      </c>
      <c r="AE722" t="s">
        <v>258</v>
      </c>
      <c r="AF722" t="s">
        <v>184</v>
      </c>
      <c r="AG722">
        <v>1387612</v>
      </c>
      <c r="AH722">
        <v>3045628</v>
      </c>
      <c r="AI722">
        <v>3087310</v>
      </c>
      <c r="AJ722">
        <v>27306</v>
      </c>
      <c r="AK722">
        <v>55556.2822979458</v>
      </c>
      <c r="AL722">
        <v>57658</v>
      </c>
      <c r="AM722">
        <v>50.8173958333333</v>
      </c>
      <c r="AN722">
        <v>52.8222395833333</v>
      </c>
      <c r="AO722">
        <v>55.570851329520103</v>
      </c>
    </row>
  </sheetData>
  <conditionalFormatting pivot="1" sqref="H6:M14">
    <cfRule type="colorScale" priority="9">
      <colorScale>
        <cfvo type="min"/>
        <cfvo type="num" val="0"/>
        <cfvo type="max"/>
        <color rgb="FFFF0000"/>
        <color theme="9" tint="0.59999389629810485"/>
        <color rgb="FF00B050"/>
      </colorScale>
    </cfRule>
  </conditionalFormatting>
  <conditionalFormatting pivot="1" sqref="H22:N31">
    <cfRule type="colorScale" priority="8">
      <colorScale>
        <cfvo type="min"/>
        <cfvo type="num" val="0"/>
        <cfvo type="max"/>
        <color rgb="FFFF0000"/>
        <color theme="9" tint="0.59999389629810485"/>
        <color rgb="FF00B050"/>
      </colorScale>
    </cfRule>
  </conditionalFormatting>
  <conditionalFormatting pivot="1" sqref="I108:O117">
    <cfRule type="colorScale" priority="6">
      <colorScale>
        <cfvo type="min"/>
        <cfvo type="num" val="0"/>
        <cfvo type="max"/>
        <color rgb="FFFF0000"/>
        <color theme="9" tint="0.59999389629810485"/>
        <color rgb="FF00B050"/>
      </colorScale>
    </cfRule>
  </conditionalFormatting>
  <conditionalFormatting sqref="S108:S11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{C0AB4B34-45E2-4BB7-AD02-4CE4326FEDD4}</x14:id>
        </ext>
      </extLst>
    </cfRule>
  </conditionalFormatting>
  <conditionalFormatting sqref="T108:Z116 T118:Z118">
    <cfRule type="colorScale" priority="10">
      <colorScale>
        <cfvo type="min"/>
        <cfvo type="num" val="0"/>
        <cfvo type="max"/>
        <color rgb="FFFF0000"/>
        <color theme="9" tint="0.59999389629810485"/>
        <color rgb="FF00B050"/>
      </colorScale>
    </cfRule>
  </conditionalFormatting>
  <conditionalFormatting sqref="R108:R1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{B6C5957D-E57C-466A-B8B1-79AE876C3C6E}</x14:id>
        </ext>
      </extLst>
    </cfRule>
  </conditionalFormatting>
  <conditionalFormatting pivot="1" sqref="H140:N161">
    <cfRule type="colorScale" priority="1">
      <colorScale>
        <cfvo type="min"/>
        <cfvo type="num" val="0"/>
        <cfvo type="max"/>
        <color rgb="FFFF0000"/>
        <color theme="9" tint="0.59999389629810485"/>
        <color rgb="FF00B050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AB4B34-45E2-4BB7-AD02-4CE4326FEDD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S108:S116</xm:sqref>
        </x14:conditionalFormatting>
        <x14:conditionalFormatting xmlns:xm="http://schemas.microsoft.com/office/excel/2006/main">
          <x14:cfRule type="dataBar" id="{B6C5957D-E57C-466A-B8B1-79AE876C3C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R108:R116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02"/>
  <sheetViews>
    <sheetView topLeftCell="A2" workbookViewId="0">
      <selection activeCell="F4" sqref="F4"/>
    </sheetView>
  </sheetViews>
  <sheetFormatPr baseColWidth="10" defaultRowHeight="14.5" x14ac:dyDescent="0.35"/>
  <cols>
    <col min="1" max="1" width="27.90625" bestFit="1" customWidth="1"/>
    <col min="2" max="2" width="9.6328125" bestFit="1" customWidth="1"/>
    <col min="3" max="4" width="9.6328125" customWidth="1"/>
    <col min="5" max="5" width="10.1796875" bestFit="1" customWidth="1"/>
    <col min="6" max="6" width="9.36328125" bestFit="1" customWidth="1"/>
    <col min="7" max="7" width="7.08984375" bestFit="1" customWidth="1"/>
    <col min="8" max="8" width="10" bestFit="1" customWidth="1"/>
    <col min="9" max="10" width="11.81640625" bestFit="1" customWidth="1"/>
    <col min="11" max="11" width="9.1796875" bestFit="1" customWidth="1"/>
    <col min="12" max="12" width="8.90625" bestFit="1" customWidth="1"/>
    <col min="13" max="13" width="11.81640625" bestFit="1" customWidth="1"/>
    <col min="14" max="14" width="14.453125" bestFit="1" customWidth="1"/>
  </cols>
  <sheetData>
    <row r="1" spans="1:14" x14ac:dyDescent="0.35">
      <c r="A1" t="s">
        <v>0</v>
      </c>
      <c r="B1" t="s">
        <v>1</v>
      </c>
      <c r="C1" t="s">
        <v>136</v>
      </c>
      <c r="D1" t="s">
        <v>137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132</v>
      </c>
      <c r="L1" t="s">
        <v>133</v>
      </c>
      <c r="M1" t="s">
        <v>146</v>
      </c>
      <c r="N1" t="s">
        <v>145</v>
      </c>
    </row>
    <row r="2" spans="1:14" x14ac:dyDescent="0.35">
      <c r="A2" t="s">
        <v>8</v>
      </c>
      <c r="B2">
        <v>202603</v>
      </c>
      <c r="C2" t="str">
        <f>MID(analisis_productividad__4[[#This Row],[Periodo]],1,4)</f>
        <v>2026</v>
      </c>
      <c r="D2" t="str">
        <f>MID(analisis_productividad__4[[#This Row],[Periodo]],5,2)</f>
        <v>03</v>
      </c>
      <c r="E2" t="s">
        <v>9</v>
      </c>
      <c r="F2" t="s">
        <v>9</v>
      </c>
      <c r="G2">
        <v>231397</v>
      </c>
      <c r="H2">
        <v>2819804</v>
      </c>
      <c r="I2">
        <v>12.185974462365591</v>
      </c>
      <c r="J2">
        <v>196971.94955803169</v>
      </c>
      <c r="K2">
        <v>13.5</v>
      </c>
      <c r="L2">
        <v>12.5</v>
      </c>
      <c r="M2">
        <v>11.712938172043014</v>
      </c>
      <c r="N2">
        <v>2307120</v>
      </c>
    </row>
    <row r="3" spans="1:14" x14ac:dyDescent="0.35">
      <c r="A3" t="s">
        <v>15</v>
      </c>
      <c r="B3">
        <v>202512</v>
      </c>
      <c r="C3" t="str">
        <f>MID(analisis_productividad__4[[#This Row],[Periodo]],1,4)</f>
        <v>2025</v>
      </c>
      <c r="D3" t="str">
        <f>MID(analisis_productividad__4[[#This Row],[Periodo]],5,2)</f>
        <v>12</v>
      </c>
      <c r="E3" t="s">
        <v>16</v>
      </c>
      <c r="F3" t="s">
        <v>17</v>
      </c>
      <c r="G3">
        <v>168662</v>
      </c>
      <c r="H3">
        <v>11242205</v>
      </c>
      <c r="I3">
        <v>66.655194892473148</v>
      </c>
      <c r="J3">
        <v>165116.40032409818</v>
      </c>
      <c r="K3">
        <v>61</v>
      </c>
      <c r="L3">
        <v>60</v>
      </c>
      <c r="M3">
        <v>68.08654317762057</v>
      </c>
      <c r="N3">
        <v>10874860</v>
      </c>
    </row>
    <row r="4" spans="1:14" x14ac:dyDescent="0.35">
      <c r="A4" t="s">
        <v>15</v>
      </c>
      <c r="B4">
        <v>202412</v>
      </c>
      <c r="C4" t="str">
        <f>MID(analisis_productividad__4[[#This Row],[Periodo]],1,4)</f>
        <v>2024</v>
      </c>
      <c r="D4" t="str">
        <f>MID(analisis_productividad__4[[#This Row],[Periodo]],5,2)</f>
        <v>12</v>
      </c>
      <c r="E4" t="s">
        <v>16</v>
      </c>
      <c r="F4" t="s">
        <v>17</v>
      </c>
      <c r="G4">
        <v>157254</v>
      </c>
      <c r="H4">
        <v>10216673</v>
      </c>
      <c r="I4">
        <v>64.969361559139784</v>
      </c>
      <c r="J4">
        <v>0</v>
      </c>
      <c r="K4">
        <v>61</v>
      </c>
      <c r="L4">
        <v>60</v>
      </c>
      <c r="N4">
        <v>0</v>
      </c>
    </row>
    <row r="5" spans="1:14" x14ac:dyDescent="0.35">
      <c r="A5" t="s">
        <v>8</v>
      </c>
      <c r="B5">
        <v>202602</v>
      </c>
      <c r="C5" t="str">
        <f>MID(analisis_productividad__4[[#This Row],[Periodo]],1,4)</f>
        <v>2026</v>
      </c>
      <c r="D5" t="str">
        <f>MID(analisis_productividad__4[[#This Row],[Periodo]],5,2)</f>
        <v>02</v>
      </c>
      <c r="E5" t="s">
        <v>9</v>
      </c>
      <c r="F5" t="s">
        <v>9</v>
      </c>
      <c r="G5">
        <v>156793</v>
      </c>
      <c r="H5">
        <v>2231847</v>
      </c>
      <c r="I5">
        <v>14.234375</v>
      </c>
      <c r="J5">
        <v>112215.14865819039</v>
      </c>
      <c r="K5">
        <v>13.5</v>
      </c>
      <c r="L5">
        <v>12.5</v>
      </c>
      <c r="M5">
        <v>11.712938172043014</v>
      </c>
      <c r="N5">
        <v>1314369</v>
      </c>
    </row>
    <row r="6" spans="1:14" x14ac:dyDescent="0.35">
      <c r="A6" t="s">
        <v>36</v>
      </c>
      <c r="B6">
        <v>202512</v>
      </c>
      <c r="C6" t="str">
        <f>MID(analisis_productividad__4[[#This Row],[Periodo]],1,4)</f>
        <v>2025</v>
      </c>
      <c r="D6" t="str">
        <f>MID(analisis_productividad__4[[#This Row],[Periodo]],5,2)</f>
        <v>12</v>
      </c>
      <c r="E6" t="s">
        <v>16</v>
      </c>
      <c r="F6" t="s">
        <v>17</v>
      </c>
      <c r="G6">
        <v>152023</v>
      </c>
      <c r="H6">
        <v>12410132</v>
      </c>
      <c r="I6">
        <v>81.63312499999995</v>
      </c>
      <c r="J6">
        <v>155721.15773041456</v>
      </c>
      <c r="K6">
        <v>76.5</v>
      </c>
      <c r="L6">
        <v>80</v>
      </c>
      <c r="M6">
        <v>79.694578764206838</v>
      </c>
      <c r="N6">
        <v>12395481</v>
      </c>
    </row>
    <row r="7" spans="1:14" x14ac:dyDescent="0.35">
      <c r="A7" t="s">
        <v>10</v>
      </c>
      <c r="B7">
        <v>202512</v>
      </c>
      <c r="C7" t="str">
        <f>MID(analisis_productividad__4[[#This Row],[Periodo]],1,4)</f>
        <v>2025</v>
      </c>
      <c r="D7" t="str">
        <f>MID(analisis_productividad__4[[#This Row],[Periodo]],5,2)</f>
        <v>12</v>
      </c>
      <c r="E7" t="s">
        <v>11</v>
      </c>
      <c r="F7" t="s">
        <v>12</v>
      </c>
      <c r="G7">
        <v>149997</v>
      </c>
      <c r="H7">
        <v>14846040</v>
      </c>
      <c r="I7">
        <v>98.975813172042976</v>
      </c>
      <c r="J7">
        <v>137436.16986313357</v>
      </c>
      <c r="K7">
        <v>98.5</v>
      </c>
      <c r="L7">
        <v>96.5</v>
      </c>
      <c r="M7">
        <v>108.02134870889154</v>
      </c>
      <c r="N7">
        <v>13004058</v>
      </c>
    </row>
    <row r="8" spans="1:14" x14ac:dyDescent="0.35">
      <c r="A8" t="s">
        <v>36</v>
      </c>
      <c r="B8">
        <v>202412</v>
      </c>
      <c r="C8" t="str">
        <f>MID(analisis_productividad__4[[#This Row],[Periodo]],1,4)</f>
        <v>2024</v>
      </c>
      <c r="D8" t="str">
        <f>MID(analisis_productividad__4[[#This Row],[Periodo]],5,2)</f>
        <v>12</v>
      </c>
      <c r="E8" t="s">
        <v>16</v>
      </c>
      <c r="F8" t="s">
        <v>17</v>
      </c>
      <c r="G8">
        <v>148306</v>
      </c>
      <c r="H8">
        <v>11554754</v>
      </c>
      <c r="I8">
        <v>77.911646505376254</v>
      </c>
      <c r="J8">
        <v>0</v>
      </c>
      <c r="K8">
        <v>76.5</v>
      </c>
      <c r="L8">
        <v>80</v>
      </c>
      <c r="N8">
        <v>0</v>
      </c>
    </row>
    <row r="9" spans="1:14" x14ac:dyDescent="0.35">
      <c r="A9" t="s">
        <v>37</v>
      </c>
      <c r="B9">
        <v>202512</v>
      </c>
      <c r="C9" t="str">
        <f>MID(analisis_productividad__4[[#This Row],[Periodo]],1,4)</f>
        <v>2025</v>
      </c>
      <c r="D9" t="str">
        <f>MID(analisis_productividad__4[[#This Row],[Periodo]],5,2)</f>
        <v>12</v>
      </c>
      <c r="E9" t="s">
        <v>16</v>
      </c>
      <c r="F9" t="s">
        <v>17</v>
      </c>
      <c r="G9">
        <v>148172</v>
      </c>
      <c r="H9">
        <v>14947539</v>
      </c>
      <c r="I9">
        <v>100.87969086021506</v>
      </c>
      <c r="J9">
        <v>128117.49505500619</v>
      </c>
      <c r="K9">
        <v>107.5</v>
      </c>
      <c r="L9">
        <v>102.5</v>
      </c>
      <c r="M9">
        <v>116.67054919847129</v>
      </c>
      <c r="N9">
        <v>15172611</v>
      </c>
    </row>
    <row r="10" spans="1:14" x14ac:dyDescent="0.35">
      <c r="A10" t="s">
        <v>23</v>
      </c>
      <c r="B10">
        <v>202512</v>
      </c>
      <c r="C10" t="str">
        <f>MID(analisis_productividad__4[[#This Row],[Periodo]],1,4)</f>
        <v>2025</v>
      </c>
      <c r="D10" t="str">
        <f>MID(analisis_productividad__4[[#This Row],[Periodo]],5,2)</f>
        <v>12</v>
      </c>
      <c r="E10" t="s">
        <v>11</v>
      </c>
      <c r="F10" t="s">
        <v>12</v>
      </c>
      <c r="G10">
        <v>146609</v>
      </c>
      <c r="H10">
        <v>9800042</v>
      </c>
      <c r="I10">
        <v>66.844543010752645</v>
      </c>
      <c r="J10">
        <v>141844.29871168037</v>
      </c>
      <c r="K10">
        <v>68.5</v>
      </c>
      <c r="L10">
        <v>66</v>
      </c>
      <c r="M10">
        <v>69.090137700353011</v>
      </c>
      <c r="N10">
        <v>9481770</v>
      </c>
    </row>
    <row r="11" spans="1:14" x14ac:dyDescent="0.35">
      <c r="A11" t="s">
        <v>10</v>
      </c>
      <c r="B11">
        <v>202605</v>
      </c>
      <c r="C11" t="str">
        <f>MID(analisis_productividad__4[[#This Row],[Periodo]],1,4)</f>
        <v>2026</v>
      </c>
      <c r="D11" t="str">
        <f>MID(analisis_productividad__4[[#This Row],[Periodo]],5,2)</f>
        <v>05</v>
      </c>
      <c r="E11" t="s">
        <v>11</v>
      </c>
      <c r="F11" t="s">
        <v>12</v>
      </c>
      <c r="G11">
        <v>145442</v>
      </c>
      <c r="H11">
        <v>12491601</v>
      </c>
      <c r="I11">
        <v>85.887224462365523</v>
      </c>
      <c r="J11">
        <v>126657.92363845374</v>
      </c>
      <c r="K11">
        <v>98.5</v>
      </c>
      <c r="L11">
        <v>96.5</v>
      </c>
      <c r="M11">
        <v>87.166669283279759</v>
      </c>
      <c r="N11">
        <v>11040349</v>
      </c>
    </row>
    <row r="12" spans="1:14" x14ac:dyDescent="0.35">
      <c r="A12" t="s">
        <v>15</v>
      </c>
      <c r="B12">
        <v>202509</v>
      </c>
      <c r="C12" t="str">
        <f>MID(analisis_productividad__4[[#This Row],[Periodo]],1,4)</f>
        <v>2025</v>
      </c>
      <c r="D12" t="str">
        <f>MID(analisis_productividad__4[[#This Row],[Periodo]],5,2)</f>
        <v>09</v>
      </c>
      <c r="E12" t="s">
        <v>16</v>
      </c>
      <c r="F12" t="s">
        <v>17</v>
      </c>
      <c r="G12">
        <v>144974</v>
      </c>
      <c r="H12">
        <v>7417710</v>
      </c>
      <c r="I12">
        <v>51.165625000000034</v>
      </c>
      <c r="J12">
        <v>129361.03705071122</v>
      </c>
      <c r="K12">
        <v>61</v>
      </c>
      <c r="L12">
        <v>60</v>
      </c>
      <c r="M12">
        <v>57.341144050137444</v>
      </c>
      <c r="N12">
        <v>6777060</v>
      </c>
    </row>
    <row r="13" spans="1:14" x14ac:dyDescent="0.35">
      <c r="A13" t="s">
        <v>13</v>
      </c>
      <c r="B13">
        <v>202603</v>
      </c>
      <c r="C13" t="str">
        <f>MID(analisis_productividad__4[[#This Row],[Periodo]],1,4)</f>
        <v>2026</v>
      </c>
      <c r="D13" t="str">
        <f>MID(analisis_productividad__4[[#This Row],[Periodo]],5,2)</f>
        <v>03</v>
      </c>
      <c r="E13" t="s">
        <v>11</v>
      </c>
      <c r="F13" t="s">
        <v>14</v>
      </c>
      <c r="G13">
        <v>144485</v>
      </c>
      <c r="H13">
        <v>13261296</v>
      </c>
      <c r="I13">
        <v>91.782983870967811</v>
      </c>
      <c r="J13">
        <v>142204.97606273938</v>
      </c>
      <c r="K13">
        <v>100</v>
      </c>
      <c r="L13">
        <v>98</v>
      </c>
      <c r="M13">
        <v>86.393284871267369</v>
      </c>
      <c r="N13">
        <v>12285555</v>
      </c>
    </row>
    <row r="14" spans="1:14" x14ac:dyDescent="0.35">
      <c r="A14" t="s">
        <v>15</v>
      </c>
      <c r="B14">
        <v>202508</v>
      </c>
      <c r="C14" t="str">
        <f>MID(analisis_productividad__4[[#This Row],[Periodo]],1,4)</f>
        <v>2025</v>
      </c>
      <c r="D14" t="str">
        <f>MID(analisis_productividad__4[[#This Row],[Periodo]],5,2)</f>
        <v>08</v>
      </c>
      <c r="E14" t="s">
        <v>16</v>
      </c>
      <c r="F14" t="s">
        <v>17</v>
      </c>
      <c r="G14">
        <v>143232</v>
      </c>
      <c r="H14">
        <v>7863466</v>
      </c>
      <c r="I14">
        <v>54.90013440860217</v>
      </c>
      <c r="J14">
        <v>142027.06213820679</v>
      </c>
      <c r="K14">
        <v>61</v>
      </c>
      <c r="L14">
        <v>60</v>
      </c>
      <c r="M14">
        <v>55.365969073894171</v>
      </c>
      <c r="N14">
        <v>7682985</v>
      </c>
    </row>
    <row r="15" spans="1:14" x14ac:dyDescent="0.35">
      <c r="A15" t="s">
        <v>15</v>
      </c>
      <c r="B15">
        <v>202603</v>
      </c>
      <c r="C15" t="str">
        <f>MID(analisis_productividad__4[[#This Row],[Periodo]],1,4)</f>
        <v>2026</v>
      </c>
      <c r="D15" t="str">
        <f>MID(analisis_productividad__4[[#This Row],[Periodo]],5,2)</f>
        <v>03</v>
      </c>
      <c r="E15" t="s">
        <v>16</v>
      </c>
      <c r="F15" t="s">
        <v>17</v>
      </c>
      <c r="G15">
        <v>142561</v>
      </c>
      <c r="H15">
        <v>8567236</v>
      </c>
      <c r="I15">
        <v>60.095282258064557</v>
      </c>
      <c r="J15">
        <v>147717.36571248787</v>
      </c>
      <c r="K15">
        <v>61</v>
      </c>
      <c r="L15">
        <v>60</v>
      </c>
      <c r="M15">
        <v>53.7842448352594</v>
      </c>
      <c r="N15">
        <v>7944867</v>
      </c>
    </row>
    <row r="16" spans="1:14" x14ac:dyDescent="0.35">
      <c r="A16" t="s">
        <v>26</v>
      </c>
      <c r="B16">
        <v>202512</v>
      </c>
      <c r="C16" t="str">
        <f>MID(analisis_productividad__4[[#This Row],[Periodo]],1,4)</f>
        <v>2025</v>
      </c>
      <c r="D16" t="str">
        <f>MID(analisis_productividad__4[[#This Row],[Periodo]],5,2)</f>
        <v>12</v>
      </c>
      <c r="E16" t="s">
        <v>11</v>
      </c>
      <c r="F16" t="s">
        <v>12</v>
      </c>
      <c r="G16">
        <v>142272</v>
      </c>
      <c r="H16">
        <v>9289009</v>
      </c>
      <c r="I16">
        <v>65.290665322580622</v>
      </c>
      <c r="J16">
        <v>138025.28509040302</v>
      </c>
      <c r="K16">
        <v>65.5</v>
      </c>
      <c r="L16">
        <v>63</v>
      </c>
      <c r="M16">
        <v>67.29932507595214</v>
      </c>
      <c r="N16">
        <v>7052136</v>
      </c>
    </row>
    <row r="17" spans="1:14" x14ac:dyDescent="0.35">
      <c r="A17" t="s">
        <v>27</v>
      </c>
      <c r="B17">
        <v>202512</v>
      </c>
      <c r="C17" t="str">
        <f>MID(analisis_productividad__4[[#This Row],[Periodo]],1,4)</f>
        <v>2025</v>
      </c>
      <c r="D17" t="str">
        <f>MID(analisis_productividad__4[[#This Row],[Periodo]],5,2)</f>
        <v>12</v>
      </c>
      <c r="E17" t="s">
        <v>11</v>
      </c>
      <c r="F17" t="s">
        <v>14</v>
      </c>
      <c r="G17">
        <v>141763</v>
      </c>
      <c r="H17">
        <v>12739505</v>
      </c>
      <c r="I17">
        <v>89.864946236559049</v>
      </c>
      <c r="J17">
        <v>136681.66059027638</v>
      </c>
      <c r="K17">
        <v>88</v>
      </c>
      <c r="L17">
        <v>84</v>
      </c>
      <c r="M17">
        <v>93.205661790930137</v>
      </c>
      <c r="N17">
        <v>13496921</v>
      </c>
    </row>
    <row r="18" spans="1:14" x14ac:dyDescent="0.35">
      <c r="A18" t="s">
        <v>15</v>
      </c>
      <c r="B18">
        <v>202605</v>
      </c>
      <c r="C18" t="str">
        <f>MID(analisis_productividad__4[[#This Row],[Periodo]],1,4)</f>
        <v>2026</v>
      </c>
      <c r="D18" t="str">
        <f>MID(analisis_productividad__4[[#This Row],[Periodo]],5,2)</f>
        <v>05</v>
      </c>
      <c r="E18" t="s">
        <v>16</v>
      </c>
      <c r="F18" t="s">
        <v>17</v>
      </c>
      <c r="G18">
        <v>140094</v>
      </c>
      <c r="H18">
        <v>7723581</v>
      </c>
      <c r="I18">
        <v>55.131397849462871</v>
      </c>
      <c r="J18">
        <v>135865.92528876505</v>
      </c>
      <c r="K18">
        <v>61</v>
      </c>
      <c r="L18">
        <v>60</v>
      </c>
      <c r="M18">
        <v>53.7842448352594</v>
      </c>
      <c r="N18">
        <v>7307446</v>
      </c>
    </row>
    <row r="19" spans="1:14" x14ac:dyDescent="0.35">
      <c r="A19" t="s">
        <v>15</v>
      </c>
      <c r="B19">
        <v>202407</v>
      </c>
      <c r="C19" t="str">
        <f>MID(analisis_productividad__4[[#This Row],[Periodo]],1,4)</f>
        <v>2024</v>
      </c>
      <c r="D19" t="str">
        <f>MID(analisis_productividad__4[[#This Row],[Periodo]],5,2)</f>
        <v>07</v>
      </c>
      <c r="E19" t="s">
        <v>16</v>
      </c>
      <c r="F19" t="s">
        <v>17</v>
      </c>
      <c r="G19">
        <v>139767</v>
      </c>
      <c r="H19">
        <v>7797596</v>
      </c>
      <c r="I19">
        <v>55.790000000000006</v>
      </c>
      <c r="J19">
        <v>0</v>
      </c>
      <c r="K19">
        <v>61</v>
      </c>
      <c r="L19">
        <v>60</v>
      </c>
      <c r="N19">
        <v>0</v>
      </c>
    </row>
    <row r="20" spans="1:14" x14ac:dyDescent="0.35">
      <c r="A20" t="s">
        <v>13</v>
      </c>
      <c r="B20">
        <v>202512</v>
      </c>
      <c r="C20" t="str">
        <f>MID(analisis_productividad__4[[#This Row],[Periodo]],1,4)</f>
        <v>2025</v>
      </c>
      <c r="D20" t="str">
        <f>MID(analisis_productividad__4[[#This Row],[Periodo]],5,2)</f>
        <v>12</v>
      </c>
      <c r="E20" t="s">
        <v>11</v>
      </c>
      <c r="F20" t="s">
        <v>14</v>
      </c>
      <c r="G20">
        <v>139743</v>
      </c>
      <c r="H20">
        <v>14990129</v>
      </c>
      <c r="I20">
        <v>107.26902553763429</v>
      </c>
      <c r="J20">
        <v>137467.68227681305</v>
      </c>
      <c r="K20">
        <v>100</v>
      </c>
      <c r="L20">
        <v>98</v>
      </c>
      <c r="M20">
        <v>109.04475038587607</v>
      </c>
      <c r="N20">
        <v>15246951</v>
      </c>
    </row>
    <row r="21" spans="1:14" x14ac:dyDescent="0.35">
      <c r="A21" t="s">
        <v>18</v>
      </c>
      <c r="B21">
        <v>202603</v>
      </c>
      <c r="C21" t="str">
        <f>MID(analisis_productividad__4[[#This Row],[Periodo]],1,4)</f>
        <v>2026</v>
      </c>
      <c r="D21" t="str">
        <f>MID(analisis_productividad__4[[#This Row],[Periodo]],5,2)</f>
        <v>03</v>
      </c>
      <c r="E21" t="s">
        <v>16</v>
      </c>
      <c r="F21" t="s">
        <v>19</v>
      </c>
      <c r="G21">
        <v>138702</v>
      </c>
      <c r="H21">
        <v>8306917</v>
      </c>
      <c r="I21">
        <v>59.890456989247348</v>
      </c>
      <c r="J21">
        <v>125686.31718572693</v>
      </c>
      <c r="K21">
        <v>70.5</v>
      </c>
      <c r="L21">
        <v>69.5</v>
      </c>
      <c r="M21">
        <v>63.576561684054447</v>
      </c>
      <c r="N21">
        <v>7990704</v>
      </c>
    </row>
    <row r="22" spans="1:14" x14ac:dyDescent="0.35">
      <c r="A22" t="s">
        <v>15</v>
      </c>
      <c r="B22">
        <v>202507</v>
      </c>
      <c r="C22" t="str">
        <f>MID(analisis_productividad__4[[#This Row],[Periodo]],1,4)</f>
        <v>2025</v>
      </c>
      <c r="D22" t="str">
        <f>MID(analisis_productividad__4[[#This Row],[Periodo]],5,2)</f>
        <v>07</v>
      </c>
      <c r="E22" t="s">
        <v>16</v>
      </c>
      <c r="F22" t="s">
        <v>17</v>
      </c>
      <c r="G22">
        <v>138080</v>
      </c>
      <c r="H22">
        <v>7376685</v>
      </c>
      <c r="I22">
        <v>53.42321908602154</v>
      </c>
      <c r="J22">
        <v>146755.26361355084</v>
      </c>
      <c r="K22">
        <v>61</v>
      </c>
      <c r="L22">
        <v>60</v>
      </c>
      <c r="M22">
        <v>50.265215218616973</v>
      </c>
      <c r="N22">
        <v>8133696</v>
      </c>
    </row>
    <row r="23" spans="1:14" x14ac:dyDescent="0.35">
      <c r="A23" t="s">
        <v>24</v>
      </c>
      <c r="B23">
        <v>202512</v>
      </c>
      <c r="C23" t="str">
        <f>MID(analisis_productividad__4[[#This Row],[Periodo]],1,4)</f>
        <v>2025</v>
      </c>
      <c r="D23" t="str">
        <f>MID(analisis_productividad__4[[#This Row],[Periodo]],5,2)</f>
        <v>12</v>
      </c>
      <c r="E23" t="s">
        <v>16</v>
      </c>
      <c r="F23" t="s">
        <v>21</v>
      </c>
      <c r="G23">
        <v>136861</v>
      </c>
      <c r="H23">
        <v>14816568</v>
      </c>
      <c r="I23">
        <v>108.26012768817195</v>
      </c>
      <c r="J23">
        <v>128218.17010726522</v>
      </c>
      <c r="K23">
        <v>125</v>
      </c>
      <c r="L23">
        <v>118.5</v>
      </c>
      <c r="M23">
        <v>115.55747252986609</v>
      </c>
      <c r="N23">
        <v>15107192</v>
      </c>
    </row>
    <row r="24" spans="1:14" x14ac:dyDescent="0.35">
      <c r="A24" t="s">
        <v>63</v>
      </c>
      <c r="B24">
        <v>202412</v>
      </c>
      <c r="C24" t="str">
        <f>MID(analisis_productividad__4[[#This Row],[Periodo]],1,4)</f>
        <v>2024</v>
      </c>
      <c r="D24" t="str">
        <f>MID(analisis_productividad__4[[#This Row],[Periodo]],5,2)</f>
        <v>12</v>
      </c>
      <c r="E24" t="s">
        <v>16</v>
      </c>
      <c r="F24" t="s">
        <v>17</v>
      </c>
      <c r="G24">
        <v>136657</v>
      </c>
      <c r="H24">
        <v>14497463</v>
      </c>
      <c r="I24">
        <v>106.08636424731168</v>
      </c>
      <c r="J24">
        <v>0</v>
      </c>
      <c r="K24">
        <v>86.5</v>
      </c>
      <c r="L24">
        <v>81.5</v>
      </c>
      <c r="N24">
        <v>0</v>
      </c>
    </row>
    <row r="25" spans="1:14" x14ac:dyDescent="0.35">
      <c r="A25" t="s">
        <v>20</v>
      </c>
      <c r="B25">
        <v>202603</v>
      </c>
      <c r="C25" t="str">
        <f>MID(analisis_productividad__4[[#This Row],[Periodo]],1,4)</f>
        <v>2026</v>
      </c>
      <c r="D25" t="str">
        <f>MID(analisis_productividad__4[[#This Row],[Periodo]],5,2)</f>
        <v>03</v>
      </c>
      <c r="E25" t="s">
        <v>16</v>
      </c>
      <c r="F25" t="s">
        <v>21</v>
      </c>
      <c r="G25">
        <v>136369</v>
      </c>
      <c r="H25">
        <v>12134655</v>
      </c>
      <c r="I25">
        <v>88.983924731182839</v>
      </c>
      <c r="J25">
        <v>132233.08198363351</v>
      </c>
      <c r="K25">
        <v>96.5</v>
      </c>
      <c r="L25">
        <v>94</v>
      </c>
      <c r="M25">
        <v>87.753564014610347</v>
      </c>
      <c r="N25">
        <v>11603924</v>
      </c>
    </row>
    <row r="26" spans="1:14" x14ac:dyDescent="0.35">
      <c r="A26" t="s">
        <v>44</v>
      </c>
      <c r="B26">
        <v>202512</v>
      </c>
      <c r="C26" t="str">
        <f>MID(analisis_productividad__4[[#This Row],[Periodo]],1,4)</f>
        <v>2025</v>
      </c>
      <c r="D26" t="str">
        <f>MID(analisis_productividad__4[[#This Row],[Periodo]],5,2)</f>
        <v>12</v>
      </c>
      <c r="E26" t="s">
        <v>11</v>
      </c>
      <c r="F26" t="s">
        <v>12</v>
      </c>
      <c r="G26">
        <v>136155</v>
      </c>
      <c r="H26">
        <v>9463729</v>
      </c>
      <c r="I26">
        <v>69.507224462365571</v>
      </c>
      <c r="J26">
        <v>116901.40322684984</v>
      </c>
      <c r="K26">
        <v>78</v>
      </c>
      <c r="L26">
        <v>74.5</v>
      </c>
      <c r="M26">
        <v>80.954797964532673</v>
      </c>
      <c r="N26">
        <v>9808455</v>
      </c>
    </row>
    <row r="27" spans="1:14" x14ac:dyDescent="0.35">
      <c r="A27" t="s">
        <v>15</v>
      </c>
      <c r="B27">
        <v>202511</v>
      </c>
      <c r="C27" t="str">
        <f>MID(analisis_productividad__4[[#This Row],[Periodo]],1,4)</f>
        <v>2025</v>
      </c>
      <c r="D27" t="str">
        <f>MID(analisis_productividad__4[[#This Row],[Periodo]],5,2)</f>
        <v>11</v>
      </c>
      <c r="E27" t="s">
        <v>16</v>
      </c>
      <c r="F27" t="s">
        <v>17</v>
      </c>
      <c r="G27">
        <v>135504</v>
      </c>
      <c r="H27">
        <v>8069043</v>
      </c>
      <c r="I27">
        <v>59.548465277777844</v>
      </c>
      <c r="J27">
        <v>124375.41237906319</v>
      </c>
      <c r="K27">
        <v>61</v>
      </c>
      <c r="L27">
        <v>60</v>
      </c>
      <c r="M27">
        <v>64.876511326914866</v>
      </c>
      <c r="N27">
        <v>6920773</v>
      </c>
    </row>
    <row r="28" spans="1:14" x14ac:dyDescent="0.35">
      <c r="A28" t="s">
        <v>15</v>
      </c>
      <c r="B28">
        <v>202408</v>
      </c>
      <c r="C28" t="str">
        <f>MID(analisis_productividad__4[[#This Row],[Periodo]],1,4)</f>
        <v>2024</v>
      </c>
      <c r="D28" t="str">
        <f>MID(analisis_productividad__4[[#This Row],[Periodo]],5,2)</f>
        <v>08</v>
      </c>
      <c r="E28" t="s">
        <v>16</v>
      </c>
      <c r="F28" t="s">
        <v>17</v>
      </c>
      <c r="G28">
        <v>135264</v>
      </c>
      <c r="H28">
        <v>7458412</v>
      </c>
      <c r="I28">
        <v>55.139724462365592</v>
      </c>
      <c r="J28">
        <v>0</v>
      </c>
      <c r="K28">
        <v>61</v>
      </c>
      <c r="L28">
        <v>60</v>
      </c>
      <c r="N28">
        <v>0</v>
      </c>
    </row>
    <row r="29" spans="1:14" x14ac:dyDescent="0.35">
      <c r="A29" t="s">
        <v>23</v>
      </c>
      <c r="B29">
        <v>202412</v>
      </c>
      <c r="C29" t="str">
        <f>MID(analisis_productividad__4[[#This Row],[Periodo]],1,4)</f>
        <v>2024</v>
      </c>
      <c r="D29" t="str">
        <f>MID(analisis_productividad__4[[#This Row],[Periodo]],5,2)</f>
        <v>12</v>
      </c>
      <c r="E29" t="s">
        <v>11</v>
      </c>
      <c r="F29" t="s">
        <v>12</v>
      </c>
      <c r="G29">
        <v>135090</v>
      </c>
      <c r="H29">
        <v>9229774</v>
      </c>
      <c r="I29">
        <v>68.32324596774194</v>
      </c>
      <c r="J29">
        <v>0</v>
      </c>
      <c r="K29">
        <v>68.5</v>
      </c>
      <c r="L29">
        <v>66</v>
      </c>
      <c r="N29">
        <v>0</v>
      </c>
    </row>
    <row r="30" spans="1:14" x14ac:dyDescent="0.35">
      <c r="A30" t="s">
        <v>24</v>
      </c>
      <c r="B30">
        <v>202503</v>
      </c>
      <c r="C30" t="str">
        <f>MID(analisis_productividad__4[[#This Row],[Periodo]],1,4)</f>
        <v>2025</v>
      </c>
      <c r="D30" t="str">
        <f>MID(analisis_productividad__4[[#This Row],[Periodo]],5,2)</f>
        <v>03</v>
      </c>
      <c r="E30" t="s">
        <v>16</v>
      </c>
      <c r="F30" t="s">
        <v>21</v>
      </c>
      <c r="G30">
        <v>135059</v>
      </c>
      <c r="H30">
        <v>13946827</v>
      </c>
      <c r="I30">
        <v>103.26453629032257</v>
      </c>
      <c r="J30">
        <v>116707.79387038908</v>
      </c>
      <c r="K30">
        <v>125</v>
      </c>
      <c r="L30">
        <v>118.5</v>
      </c>
      <c r="M30">
        <v>119.5021088779108</v>
      </c>
      <c r="N30">
        <v>12287047</v>
      </c>
    </row>
    <row r="31" spans="1:14" x14ac:dyDescent="0.35">
      <c r="A31" t="s">
        <v>15</v>
      </c>
      <c r="B31">
        <v>202503</v>
      </c>
      <c r="C31" t="str">
        <f>MID(analisis_productividad__4[[#This Row],[Periodo]],1,4)</f>
        <v>2025</v>
      </c>
      <c r="D31" t="str">
        <f>MID(analisis_productividad__4[[#This Row],[Periodo]],5,2)</f>
        <v>03</v>
      </c>
      <c r="E31" t="s">
        <v>16</v>
      </c>
      <c r="F31" t="s">
        <v>17</v>
      </c>
      <c r="G31">
        <v>134198</v>
      </c>
      <c r="H31">
        <v>7813520</v>
      </c>
      <c r="I31">
        <v>58.22391129032259</v>
      </c>
      <c r="J31">
        <v>137745.89217380836</v>
      </c>
      <c r="K31">
        <v>61</v>
      </c>
      <c r="L31">
        <v>60</v>
      </c>
      <c r="M31">
        <v>56.724157843784319</v>
      </c>
      <c r="N31">
        <v>7814540</v>
      </c>
    </row>
    <row r="32" spans="1:14" x14ac:dyDescent="0.35">
      <c r="A32" t="s">
        <v>22</v>
      </c>
      <c r="B32">
        <v>202603</v>
      </c>
      <c r="C32" t="str">
        <f>MID(analisis_productividad__4[[#This Row],[Periodo]],1,4)</f>
        <v>2026</v>
      </c>
      <c r="D32" t="str">
        <f>MID(analisis_productividad__4[[#This Row],[Periodo]],5,2)</f>
        <v>03</v>
      </c>
      <c r="E32" t="s">
        <v>16</v>
      </c>
      <c r="F32" t="s">
        <v>21</v>
      </c>
      <c r="G32">
        <v>133870</v>
      </c>
      <c r="H32">
        <v>7190444</v>
      </c>
      <c r="I32">
        <v>53.71229838709678</v>
      </c>
      <c r="J32">
        <v>117597.86308581386</v>
      </c>
      <c r="K32">
        <v>59.5</v>
      </c>
      <c r="L32">
        <v>55.5</v>
      </c>
      <c r="M32">
        <v>53.278949580299148</v>
      </c>
      <c r="N32">
        <v>6265491</v>
      </c>
    </row>
    <row r="33" spans="1:14" x14ac:dyDescent="0.35">
      <c r="A33" t="s">
        <v>23</v>
      </c>
      <c r="B33">
        <v>202603</v>
      </c>
      <c r="C33" t="str">
        <f>MID(analisis_productividad__4[[#This Row],[Periodo]],1,4)</f>
        <v>2026</v>
      </c>
      <c r="D33" t="str">
        <f>MID(analisis_productividad__4[[#This Row],[Periodo]],5,2)</f>
        <v>03</v>
      </c>
      <c r="E33" t="s">
        <v>11</v>
      </c>
      <c r="F33" t="s">
        <v>12</v>
      </c>
      <c r="G33">
        <v>133828</v>
      </c>
      <c r="H33">
        <v>8284520</v>
      </c>
      <c r="I33">
        <v>61.904415322580654</v>
      </c>
      <c r="J33">
        <v>130985.91720224862</v>
      </c>
      <c r="K33">
        <v>68.5</v>
      </c>
      <c r="L33">
        <v>66</v>
      </c>
      <c r="M33">
        <v>59.179400136818131</v>
      </c>
      <c r="N33">
        <v>7751668</v>
      </c>
    </row>
    <row r="34" spans="1:14" x14ac:dyDescent="0.35">
      <c r="A34" t="s">
        <v>30</v>
      </c>
      <c r="B34">
        <v>202512</v>
      </c>
      <c r="C34" t="str">
        <f>MID(analisis_productividad__4[[#This Row],[Periodo]],1,4)</f>
        <v>2025</v>
      </c>
      <c r="D34" t="str">
        <f>MID(analisis_productividad__4[[#This Row],[Periodo]],5,2)</f>
        <v>12</v>
      </c>
      <c r="E34" t="s">
        <v>16</v>
      </c>
      <c r="F34" t="s">
        <v>19</v>
      </c>
      <c r="G34">
        <v>133795</v>
      </c>
      <c r="H34">
        <v>13331425</v>
      </c>
      <c r="I34">
        <v>99.640483870967742</v>
      </c>
      <c r="J34">
        <v>133894.99616413773</v>
      </c>
      <c r="K34">
        <v>101</v>
      </c>
      <c r="L34">
        <v>105</v>
      </c>
      <c r="M34">
        <v>99.566270226091348</v>
      </c>
      <c r="N34">
        <v>14809485</v>
      </c>
    </row>
    <row r="35" spans="1:14" x14ac:dyDescent="0.35">
      <c r="A35" t="s">
        <v>24</v>
      </c>
      <c r="B35">
        <v>202603</v>
      </c>
      <c r="C35" t="str">
        <f>MID(analisis_productividad__4[[#This Row],[Periodo]],1,4)</f>
        <v>2026</v>
      </c>
      <c r="D35" t="str">
        <f>MID(analisis_productividad__4[[#This Row],[Periodo]],5,2)</f>
        <v>03</v>
      </c>
      <c r="E35" t="s">
        <v>16</v>
      </c>
      <c r="F35" t="s">
        <v>21</v>
      </c>
      <c r="G35">
        <v>133787</v>
      </c>
      <c r="H35">
        <v>14434788</v>
      </c>
      <c r="I35">
        <v>107.89403897849465</v>
      </c>
      <c r="J35">
        <v>135161.88911431489</v>
      </c>
      <c r="K35">
        <v>125</v>
      </c>
      <c r="L35">
        <v>118.5</v>
      </c>
      <c r="M35">
        <v>102.97612103755296</v>
      </c>
      <c r="N35">
        <v>13918447</v>
      </c>
    </row>
    <row r="36" spans="1:14" x14ac:dyDescent="0.35">
      <c r="A36" t="s">
        <v>28</v>
      </c>
      <c r="B36">
        <v>202512</v>
      </c>
      <c r="C36" t="str">
        <f>MID(analisis_productividad__4[[#This Row],[Periodo]],1,4)</f>
        <v>2025</v>
      </c>
      <c r="D36" t="str">
        <f>MID(analisis_productividad__4[[#This Row],[Periodo]],5,2)</f>
        <v>12</v>
      </c>
      <c r="E36" t="s">
        <v>16</v>
      </c>
      <c r="F36" t="s">
        <v>17</v>
      </c>
      <c r="G36">
        <v>133335</v>
      </c>
      <c r="H36">
        <v>7963820</v>
      </c>
      <c r="I36">
        <v>59.727782258064487</v>
      </c>
      <c r="J36">
        <v>124728.47840832385</v>
      </c>
      <c r="K36">
        <v>64</v>
      </c>
      <c r="L36">
        <v>67</v>
      </c>
      <c r="M36">
        <v>63.849254088780171</v>
      </c>
      <c r="N36">
        <v>7190640</v>
      </c>
    </row>
    <row r="37" spans="1:14" x14ac:dyDescent="0.35">
      <c r="A37" t="s">
        <v>25</v>
      </c>
      <c r="B37">
        <v>202603</v>
      </c>
      <c r="C37" t="str">
        <f>MID(analisis_productividad__4[[#This Row],[Periodo]],1,4)</f>
        <v>2026</v>
      </c>
      <c r="D37" t="str">
        <f>MID(analisis_productividad__4[[#This Row],[Periodo]],5,2)</f>
        <v>03</v>
      </c>
      <c r="E37" t="s">
        <v>16</v>
      </c>
      <c r="F37" t="s">
        <v>19</v>
      </c>
      <c r="G37">
        <v>133202</v>
      </c>
      <c r="H37">
        <v>11875178</v>
      </c>
      <c r="I37">
        <v>89.151444892473123</v>
      </c>
      <c r="J37">
        <v>145442.73742128012</v>
      </c>
      <c r="K37">
        <v>94</v>
      </c>
      <c r="L37">
        <v>92</v>
      </c>
      <c r="M37">
        <v>81.933174564661712</v>
      </c>
      <c r="N37">
        <v>11916585</v>
      </c>
    </row>
    <row r="38" spans="1:14" x14ac:dyDescent="0.35">
      <c r="A38" t="s">
        <v>74</v>
      </c>
      <c r="B38">
        <v>202512</v>
      </c>
      <c r="C38" t="str">
        <f>MID(analisis_productividad__4[[#This Row],[Periodo]],1,4)</f>
        <v>2025</v>
      </c>
      <c r="D38" t="str">
        <f>MID(analisis_productividad__4[[#This Row],[Periodo]],5,2)</f>
        <v>12</v>
      </c>
      <c r="E38" t="s">
        <v>16</v>
      </c>
      <c r="F38" t="s">
        <v>19</v>
      </c>
      <c r="G38">
        <v>132662</v>
      </c>
      <c r="H38">
        <v>6200250</v>
      </c>
      <c r="I38">
        <v>46.737231182795661</v>
      </c>
      <c r="J38">
        <v>123985.54153282326</v>
      </c>
      <c r="K38">
        <v>50.5</v>
      </c>
      <c r="L38">
        <v>51.5</v>
      </c>
      <c r="M38">
        <v>50.007844248182593</v>
      </c>
      <c r="N38">
        <v>6398965</v>
      </c>
    </row>
    <row r="39" spans="1:14" x14ac:dyDescent="0.35">
      <c r="A39" t="s">
        <v>41</v>
      </c>
      <c r="B39">
        <v>202512</v>
      </c>
      <c r="C39" t="str">
        <f>MID(analisis_productividad__4[[#This Row],[Periodo]],1,4)</f>
        <v>2025</v>
      </c>
      <c r="D39" t="str">
        <f>MID(analisis_productividad__4[[#This Row],[Periodo]],5,2)</f>
        <v>12</v>
      </c>
      <c r="E39" t="s">
        <v>16</v>
      </c>
      <c r="F39" t="s">
        <v>19</v>
      </c>
      <c r="G39">
        <v>132388</v>
      </c>
      <c r="H39">
        <v>7649494</v>
      </c>
      <c r="I39">
        <v>57.780672043010718</v>
      </c>
      <c r="J39">
        <v>118325.17652019947</v>
      </c>
      <c r="K39">
        <v>57.5</v>
      </c>
      <c r="L39">
        <v>56.5</v>
      </c>
      <c r="M39">
        <v>64.648065905856825</v>
      </c>
      <c r="N39">
        <v>6945554</v>
      </c>
    </row>
    <row r="40" spans="1:14" x14ac:dyDescent="0.35">
      <c r="A40" t="s">
        <v>15</v>
      </c>
      <c r="B40">
        <v>202510</v>
      </c>
      <c r="C40" t="str">
        <f>MID(analisis_productividad__4[[#This Row],[Periodo]],1,4)</f>
        <v>2025</v>
      </c>
      <c r="D40" t="str">
        <f>MID(analisis_productividad__4[[#This Row],[Periodo]],5,2)</f>
        <v>10</v>
      </c>
      <c r="E40" t="s">
        <v>16</v>
      </c>
      <c r="F40" t="s">
        <v>17</v>
      </c>
      <c r="G40">
        <v>132315</v>
      </c>
      <c r="H40">
        <v>7040091</v>
      </c>
      <c r="I40">
        <v>53.207244623655917</v>
      </c>
      <c r="J40">
        <v>138035.41472134975</v>
      </c>
      <c r="K40">
        <v>61</v>
      </c>
      <c r="L40">
        <v>60</v>
      </c>
      <c r="M40">
        <v>51.002065985832253</v>
      </c>
      <c r="N40">
        <v>7217127</v>
      </c>
    </row>
    <row r="41" spans="1:14" x14ac:dyDescent="0.35">
      <c r="A41" t="s">
        <v>29</v>
      </c>
      <c r="B41">
        <v>202512</v>
      </c>
      <c r="C41" t="str">
        <f>MID(analisis_productividad__4[[#This Row],[Periodo]],1,4)</f>
        <v>2025</v>
      </c>
      <c r="D41" t="str">
        <f>MID(analisis_productividad__4[[#This Row],[Periodo]],5,2)</f>
        <v>12</v>
      </c>
      <c r="E41" t="s">
        <v>16</v>
      </c>
      <c r="F41" t="s">
        <v>19</v>
      </c>
      <c r="G41">
        <v>132272</v>
      </c>
      <c r="H41">
        <v>12935574</v>
      </c>
      <c r="I41">
        <v>97.795456989247256</v>
      </c>
      <c r="J41">
        <v>133969.4129861962</v>
      </c>
      <c r="K41">
        <v>96.5</v>
      </c>
      <c r="L41">
        <v>96</v>
      </c>
      <c r="M41">
        <v>96.556174589888215</v>
      </c>
      <c r="N41">
        <v>13121848</v>
      </c>
    </row>
    <row r="42" spans="1:14" x14ac:dyDescent="0.35">
      <c r="A42" t="s">
        <v>26</v>
      </c>
      <c r="B42">
        <v>202603</v>
      </c>
      <c r="C42" t="str">
        <f>MID(analisis_productividad__4[[#This Row],[Periodo]],1,4)</f>
        <v>2026</v>
      </c>
      <c r="D42" t="str">
        <f>MID(analisis_productividad__4[[#This Row],[Periodo]],5,2)</f>
        <v>03</v>
      </c>
      <c r="E42" t="s">
        <v>11</v>
      </c>
      <c r="F42" t="s">
        <v>12</v>
      </c>
      <c r="G42">
        <v>132061</v>
      </c>
      <c r="H42">
        <v>7976528</v>
      </c>
      <c r="I42">
        <v>60.400403225806478</v>
      </c>
      <c r="J42">
        <v>132938.74719643427</v>
      </c>
      <c r="K42">
        <v>65.5</v>
      </c>
      <c r="L42">
        <v>63</v>
      </c>
      <c r="M42">
        <v>55.389519717073902</v>
      </c>
      <c r="N42">
        <v>7363413</v>
      </c>
    </row>
    <row r="43" spans="1:14" x14ac:dyDescent="0.35">
      <c r="A43" t="s">
        <v>25</v>
      </c>
      <c r="B43">
        <v>202604</v>
      </c>
      <c r="C43" t="str">
        <f>MID(analisis_productividad__4[[#This Row],[Periodo]],1,4)</f>
        <v>2026</v>
      </c>
      <c r="D43" t="str">
        <f>MID(analisis_productividad__4[[#This Row],[Periodo]],5,2)</f>
        <v>04</v>
      </c>
      <c r="E43" t="s">
        <v>16</v>
      </c>
      <c r="F43" t="s">
        <v>19</v>
      </c>
      <c r="G43">
        <v>131512</v>
      </c>
      <c r="H43">
        <v>10854676</v>
      </c>
      <c r="I43">
        <v>82.537777777780263</v>
      </c>
      <c r="J43">
        <v>120535.44440910162</v>
      </c>
      <c r="K43">
        <v>94</v>
      </c>
      <c r="L43">
        <v>92</v>
      </c>
      <c r="M43">
        <v>81.933174564661712</v>
      </c>
      <c r="N43">
        <v>9875852</v>
      </c>
    </row>
    <row r="44" spans="1:14" x14ac:dyDescent="0.35">
      <c r="A44" t="s">
        <v>15</v>
      </c>
      <c r="B44">
        <v>202410</v>
      </c>
      <c r="C44" t="str">
        <f>MID(analisis_productividad__4[[#This Row],[Periodo]],1,4)</f>
        <v>2024</v>
      </c>
      <c r="D44" t="str">
        <f>MID(analisis_productividad__4[[#This Row],[Periodo]],5,2)</f>
        <v>10</v>
      </c>
      <c r="E44" t="s">
        <v>16</v>
      </c>
      <c r="F44" t="s">
        <v>17</v>
      </c>
      <c r="G44">
        <v>131462</v>
      </c>
      <c r="H44">
        <v>6476118</v>
      </c>
      <c r="I44">
        <v>49.262170698924741</v>
      </c>
      <c r="J44">
        <v>0</v>
      </c>
      <c r="K44">
        <v>61</v>
      </c>
      <c r="L44">
        <v>60</v>
      </c>
      <c r="N44">
        <v>0</v>
      </c>
    </row>
    <row r="45" spans="1:14" x14ac:dyDescent="0.35">
      <c r="A45" t="s">
        <v>26</v>
      </c>
      <c r="B45">
        <v>202412</v>
      </c>
      <c r="C45" t="str">
        <f>MID(analisis_productividad__4[[#This Row],[Periodo]],1,4)</f>
        <v>2024</v>
      </c>
      <c r="D45" t="str">
        <f>MID(analisis_productividad__4[[#This Row],[Periodo]],5,2)</f>
        <v>12</v>
      </c>
      <c r="E45" t="s">
        <v>11</v>
      </c>
      <c r="F45" t="s">
        <v>12</v>
      </c>
      <c r="G45">
        <v>131453</v>
      </c>
      <c r="H45">
        <v>8612401</v>
      </c>
      <c r="I45">
        <v>65.517130376344085</v>
      </c>
      <c r="J45">
        <v>0</v>
      </c>
      <c r="K45">
        <v>65.5</v>
      </c>
      <c r="L45">
        <v>63</v>
      </c>
      <c r="N45">
        <v>0</v>
      </c>
    </row>
    <row r="46" spans="1:14" x14ac:dyDescent="0.35">
      <c r="A46" t="s">
        <v>10</v>
      </c>
      <c r="B46">
        <v>202603</v>
      </c>
      <c r="C46" t="str">
        <f>MID(analisis_productividad__4[[#This Row],[Periodo]],1,4)</f>
        <v>2026</v>
      </c>
      <c r="D46" t="str">
        <f>MID(analisis_productividad__4[[#This Row],[Periodo]],5,2)</f>
        <v>03</v>
      </c>
      <c r="E46" t="s">
        <v>11</v>
      </c>
      <c r="F46" t="s">
        <v>12</v>
      </c>
      <c r="G46">
        <v>131416</v>
      </c>
      <c r="H46">
        <v>13056379</v>
      </c>
      <c r="I46">
        <v>99.351686827957053</v>
      </c>
      <c r="J46">
        <v>147423.75780515181</v>
      </c>
      <c r="K46">
        <v>98.5</v>
      </c>
      <c r="L46">
        <v>96.5</v>
      </c>
      <c r="M46">
        <v>87.166669283279759</v>
      </c>
      <c r="N46">
        <v>12850438</v>
      </c>
    </row>
    <row r="47" spans="1:14" x14ac:dyDescent="0.35">
      <c r="A47" t="s">
        <v>43</v>
      </c>
      <c r="B47">
        <v>202512</v>
      </c>
      <c r="C47" t="str">
        <f>MID(analisis_productividad__4[[#This Row],[Periodo]],1,4)</f>
        <v>2025</v>
      </c>
      <c r="D47" t="str">
        <f>MID(analisis_productividad__4[[#This Row],[Periodo]],5,2)</f>
        <v>12</v>
      </c>
      <c r="E47" t="s">
        <v>11</v>
      </c>
      <c r="F47" t="s">
        <v>12</v>
      </c>
      <c r="G47">
        <v>131238</v>
      </c>
      <c r="H47">
        <v>10438795</v>
      </c>
      <c r="I47">
        <v>79.54098118279569</v>
      </c>
      <c r="J47">
        <v>127290.11778703475</v>
      </c>
      <c r="K47">
        <v>84.5</v>
      </c>
      <c r="L47">
        <v>86.5</v>
      </c>
      <c r="M47">
        <v>82.007901174738763</v>
      </c>
      <c r="N47">
        <v>10551779</v>
      </c>
    </row>
    <row r="48" spans="1:14" x14ac:dyDescent="0.35">
      <c r="A48" t="s">
        <v>15</v>
      </c>
      <c r="B48">
        <v>202601</v>
      </c>
      <c r="C48" t="str">
        <f>MID(analisis_productividad__4[[#This Row],[Periodo]],1,4)</f>
        <v>2026</v>
      </c>
      <c r="D48" t="str">
        <f>MID(analisis_productividad__4[[#This Row],[Periodo]],5,2)</f>
        <v>01</v>
      </c>
      <c r="E48" t="s">
        <v>16</v>
      </c>
      <c r="F48" t="s">
        <v>17</v>
      </c>
      <c r="G48">
        <v>131193</v>
      </c>
      <c r="H48">
        <v>7338438</v>
      </c>
      <c r="I48">
        <v>55.936397849462381</v>
      </c>
      <c r="J48">
        <v>128448.95748858717</v>
      </c>
      <c r="K48">
        <v>61</v>
      </c>
      <c r="L48">
        <v>60</v>
      </c>
      <c r="M48">
        <v>53.7842448352594</v>
      </c>
      <c r="N48">
        <v>6908530</v>
      </c>
    </row>
    <row r="49" spans="1:14" x14ac:dyDescent="0.35">
      <c r="A49" t="s">
        <v>15</v>
      </c>
      <c r="B49">
        <v>202403</v>
      </c>
      <c r="C49" t="str">
        <f>MID(analisis_productividad__4[[#This Row],[Periodo]],1,4)</f>
        <v>2024</v>
      </c>
      <c r="D49" t="str">
        <f>MID(analisis_productividad__4[[#This Row],[Periodo]],5,2)</f>
        <v>03</v>
      </c>
      <c r="E49" t="s">
        <v>16</v>
      </c>
      <c r="F49" t="s">
        <v>17</v>
      </c>
      <c r="G49">
        <v>131187</v>
      </c>
      <c r="H49">
        <v>7377360</v>
      </c>
      <c r="I49">
        <v>56.2356384408602</v>
      </c>
      <c r="J49">
        <v>0</v>
      </c>
      <c r="K49">
        <v>61</v>
      </c>
      <c r="L49">
        <v>60</v>
      </c>
      <c r="N49">
        <v>0</v>
      </c>
    </row>
    <row r="50" spans="1:14" x14ac:dyDescent="0.35">
      <c r="A50" t="s">
        <v>10</v>
      </c>
      <c r="B50">
        <v>202604</v>
      </c>
      <c r="C50" t="str">
        <f>MID(analisis_productividad__4[[#This Row],[Periodo]],1,4)</f>
        <v>2026</v>
      </c>
      <c r="D50" t="str">
        <f>MID(analisis_productividad__4[[#This Row],[Periodo]],5,2)</f>
        <v>04</v>
      </c>
      <c r="E50" t="s">
        <v>11</v>
      </c>
      <c r="F50" t="s">
        <v>12</v>
      </c>
      <c r="G50">
        <v>131009</v>
      </c>
      <c r="H50">
        <v>11515132</v>
      </c>
      <c r="I50">
        <v>87.895597222224737</v>
      </c>
      <c r="J50">
        <v>117718.12212822818</v>
      </c>
      <c r="K50">
        <v>98.5</v>
      </c>
      <c r="L50">
        <v>96.5</v>
      </c>
      <c r="M50">
        <v>87.166669283279759</v>
      </c>
      <c r="N50">
        <v>10261097</v>
      </c>
    </row>
    <row r="51" spans="1:14" x14ac:dyDescent="0.35">
      <c r="A51" t="s">
        <v>13</v>
      </c>
      <c r="B51">
        <v>202503</v>
      </c>
      <c r="C51" t="str">
        <f>MID(analisis_productividad__4[[#This Row],[Periodo]],1,4)</f>
        <v>2025</v>
      </c>
      <c r="D51" t="str">
        <f>MID(analisis_productividad__4[[#This Row],[Periodo]],5,2)</f>
        <v>03</v>
      </c>
      <c r="E51" t="s">
        <v>11</v>
      </c>
      <c r="F51" t="s">
        <v>14</v>
      </c>
      <c r="G51">
        <v>130998</v>
      </c>
      <c r="H51">
        <v>12324134</v>
      </c>
      <c r="I51">
        <v>94.079153225806394</v>
      </c>
      <c r="J51">
        <v>130235.38404095279</v>
      </c>
      <c r="K51">
        <v>100</v>
      </c>
      <c r="L51">
        <v>98</v>
      </c>
      <c r="M51">
        <v>94.629692158965412</v>
      </c>
      <c r="N51">
        <v>12419340</v>
      </c>
    </row>
    <row r="52" spans="1:14" x14ac:dyDescent="0.35">
      <c r="A52" t="s">
        <v>22</v>
      </c>
      <c r="B52">
        <v>202512</v>
      </c>
      <c r="C52" t="str">
        <f>MID(analisis_productividad__4[[#This Row],[Periodo]],1,4)</f>
        <v>2025</v>
      </c>
      <c r="D52" t="str">
        <f>MID(analisis_productividad__4[[#This Row],[Periodo]],5,2)</f>
        <v>12</v>
      </c>
      <c r="E52" t="s">
        <v>16</v>
      </c>
      <c r="F52" t="s">
        <v>21</v>
      </c>
      <c r="G52">
        <v>130925</v>
      </c>
      <c r="H52">
        <v>7165230</v>
      </c>
      <c r="I52">
        <v>54.727909946236551</v>
      </c>
      <c r="J52">
        <v>113679.87611412382</v>
      </c>
      <c r="K52">
        <v>59.5</v>
      </c>
      <c r="L52">
        <v>55.5</v>
      </c>
      <c r="M52">
        <v>63.029890293043493</v>
      </c>
      <c r="N52">
        <v>7578216</v>
      </c>
    </row>
    <row r="53" spans="1:14" x14ac:dyDescent="0.35">
      <c r="A53" t="s">
        <v>13</v>
      </c>
      <c r="B53">
        <v>202412</v>
      </c>
      <c r="C53" t="str">
        <f>MID(analisis_productividad__4[[#This Row],[Periodo]],1,4)</f>
        <v>2024</v>
      </c>
      <c r="D53" t="str">
        <f>MID(analisis_productividad__4[[#This Row],[Periodo]],5,2)</f>
        <v>12</v>
      </c>
      <c r="E53" t="s">
        <v>11</v>
      </c>
      <c r="F53" t="s">
        <v>14</v>
      </c>
      <c r="G53">
        <v>130922</v>
      </c>
      <c r="H53">
        <v>14189301</v>
      </c>
      <c r="I53">
        <v>108.38013440860205</v>
      </c>
      <c r="J53">
        <v>0</v>
      </c>
      <c r="K53">
        <v>100</v>
      </c>
      <c r="L53">
        <v>98</v>
      </c>
      <c r="N53">
        <v>0</v>
      </c>
    </row>
    <row r="54" spans="1:14" x14ac:dyDescent="0.35">
      <c r="A54" t="s">
        <v>10</v>
      </c>
      <c r="B54">
        <v>202412</v>
      </c>
      <c r="C54" t="str">
        <f>MID(analisis_productividad__4[[#This Row],[Periodo]],1,4)</f>
        <v>2024</v>
      </c>
      <c r="D54" t="str">
        <f>MID(analisis_productividad__4[[#This Row],[Periodo]],5,2)</f>
        <v>12</v>
      </c>
      <c r="E54" t="s">
        <v>11</v>
      </c>
      <c r="F54" t="s">
        <v>12</v>
      </c>
      <c r="G54">
        <v>130892</v>
      </c>
      <c r="H54">
        <v>14083464</v>
      </c>
      <c r="I54">
        <v>107.59639784946228</v>
      </c>
      <c r="J54">
        <v>0</v>
      </c>
      <c r="K54">
        <v>98.5</v>
      </c>
      <c r="L54">
        <v>96.5</v>
      </c>
      <c r="N54">
        <v>0</v>
      </c>
    </row>
    <row r="55" spans="1:14" x14ac:dyDescent="0.35">
      <c r="A55" t="s">
        <v>25</v>
      </c>
      <c r="B55">
        <v>202606</v>
      </c>
      <c r="C55" t="str">
        <f>MID(analisis_productividad__4[[#This Row],[Periodo]],1,4)</f>
        <v>2026</v>
      </c>
      <c r="D55" t="str">
        <f>MID(analisis_productividad__4[[#This Row],[Periodo]],5,2)</f>
        <v>06</v>
      </c>
      <c r="E55" t="s">
        <v>16</v>
      </c>
      <c r="F55" t="s">
        <v>19</v>
      </c>
      <c r="G55">
        <v>130603</v>
      </c>
      <c r="H55">
        <v>10084889</v>
      </c>
      <c r="I55">
        <v>77.21797222222439</v>
      </c>
      <c r="J55">
        <v>107771.33651194388</v>
      </c>
      <c r="K55">
        <v>94</v>
      </c>
      <c r="L55">
        <v>92</v>
      </c>
      <c r="M55">
        <v>81.933174564661712</v>
      </c>
      <c r="N55">
        <v>8830048</v>
      </c>
    </row>
    <row r="56" spans="1:14" x14ac:dyDescent="0.35">
      <c r="A56" t="s">
        <v>61</v>
      </c>
      <c r="B56">
        <v>202512</v>
      </c>
      <c r="C56" t="str">
        <f>MID(analisis_productividad__4[[#This Row],[Periodo]],1,4)</f>
        <v>2025</v>
      </c>
      <c r="D56" t="str">
        <f>MID(analisis_productividad__4[[#This Row],[Periodo]],5,2)</f>
        <v>12</v>
      </c>
      <c r="E56" t="s">
        <v>11</v>
      </c>
      <c r="F56" t="s">
        <v>52</v>
      </c>
      <c r="G56">
        <v>130474</v>
      </c>
      <c r="H56">
        <v>12340823</v>
      </c>
      <c r="I56">
        <v>94.584771505376295</v>
      </c>
      <c r="J56">
        <v>117388.48187554927</v>
      </c>
      <c r="K56">
        <v>104.5</v>
      </c>
      <c r="L56">
        <v>99</v>
      </c>
      <c r="M56">
        <v>105.12805287901469</v>
      </c>
      <c r="N56">
        <v>12977898</v>
      </c>
    </row>
    <row r="57" spans="1:14" x14ac:dyDescent="0.35">
      <c r="A57" t="s">
        <v>28</v>
      </c>
      <c r="B57">
        <v>202503</v>
      </c>
      <c r="C57" t="str">
        <f>MID(analisis_productividad__4[[#This Row],[Periodo]],1,4)</f>
        <v>2025</v>
      </c>
      <c r="D57" t="str">
        <f>MID(analisis_productividad__4[[#This Row],[Periodo]],5,2)</f>
        <v>03</v>
      </c>
      <c r="E57" t="s">
        <v>16</v>
      </c>
      <c r="F57" t="s">
        <v>17</v>
      </c>
      <c r="G57">
        <v>130467</v>
      </c>
      <c r="H57">
        <v>7621814</v>
      </c>
      <c r="I57">
        <v>58.419657258064504</v>
      </c>
      <c r="J57">
        <v>125725.39363261302</v>
      </c>
      <c r="K57">
        <v>64</v>
      </c>
      <c r="L57">
        <v>67</v>
      </c>
      <c r="M57">
        <v>60.622705563141778</v>
      </c>
      <c r="N57">
        <v>7169293</v>
      </c>
    </row>
    <row r="58" spans="1:14" x14ac:dyDescent="0.35">
      <c r="A58" t="s">
        <v>27</v>
      </c>
      <c r="B58">
        <v>202603</v>
      </c>
      <c r="C58" t="str">
        <f>MID(analisis_productividad__4[[#This Row],[Periodo]],1,4)</f>
        <v>2026</v>
      </c>
      <c r="D58" t="str">
        <f>MID(analisis_productividad__4[[#This Row],[Periodo]],5,2)</f>
        <v>03</v>
      </c>
      <c r="E58" t="s">
        <v>11</v>
      </c>
      <c r="F58" t="s">
        <v>14</v>
      </c>
      <c r="G58">
        <v>130369</v>
      </c>
      <c r="H58">
        <v>10730113</v>
      </c>
      <c r="I58">
        <v>82.30546370967744</v>
      </c>
      <c r="J58">
        <v>131418.00764482588</v>
      </c>
      <c r="K58">
        <v>88</v>
      </c>
      <c r="L58">
        <v>84</v>
      </c>
      <c r="M58">
        <v>78.31726123421582</v>
      </c>
      <c r="N58">
        <v>10292298</v>
      </c>
    </row>
    <row r="59" spans="1:14" x14ac:dyDescent="0.35">
      <c r="A59" t="s">
        <v>28</v>
      </c>
      <c r="B59">
        <v>202603</v>
      </c>
      <c r="C59" t="str">
        <f>MID(analisis_productividad__4[[#This Row],[Periodo]],1,4)</f>
        <v>2026</v>
      </c>
      <c r="D59" t="str">
        <f>MID(analisis_productividad__4[[#This Row],[Periodo]],5,2)</f>
        <v>03</v>
      </c>
      <c r="E59" t="s">
        <v>16</v>
      </c>
      <c r="F59" t="s">
        <v>17</v>
      </c>
      <c r="G59">
        <v>130225</v>
      </c>
      <c r="H59">
        <v>8228752</v>
      </c>
      <c r="I59">
        <v>63.188783602150551</v>
      </c>
      <c r="J59">
        <v>159358.70456777766</v>
      </c>
      <c r="K59">
        <v>64</v>
      </c>
      <c r="L59">
        <v>67</v>
      </c>
      <c r="M59">
        <v>56.429371630436094</v>
      </c>
      <c r="N59">
        <v>8992512</v>
      </c>
    </row>
    <row r="60" spans="1:14" x14ac:dyDescent="0.35">
      <c r="A60" t="s">
        <v>59</v>
      </c>
      <c r="B60">
        <v>202512</v>
      </c>
      <c r="C60" t="str">
        <f>MID(analisis_productividad__4[[#This Row],[Periodo]],1,4)</f>
        <v>2025</v>
      </c>
      <c r="D60" t="str">
        <f>MID(analisis_productividad__4[[#This Row],[Periodo]],5,2)</f>
        <v>12</v>
      </c>
      <c r="E60" t="s">
        <v>11</v>
      </c>
      <c r="F60" t="s">
        <v>12</v>
      </c>
      <c r="G60">
        <v>130182</v>
      </c>
      <c r="H60">
        <v>13559046</v>
      </c>
      <c r="I60">
        <v>104.15459005376336</v>
      </c>
      <c r="J60">
        <v>116061.3987072179</v>
      </c>
      <c r="K60">
        <v>94.5</v>
      </c>
      <c r="L60">
        <v>97</v>
      </c>
      <c r="M60">
        <v>116.82648978067812</v>
      </c>
      <c r="N60">
        <v>13272640</v>
      </c>
    </row>
    <row r="61" spans="1:14" x14ac:dyDescent="0.35">
      <c r="A61" t="s">
        <v>27</v>
      </c>
      <c r="B61">
        <v>202412</v>
      </c>
      <c r="C61" t="str">
        <f>MID(analisis_productividad__4[[#This Row],[Periodo]],1,4)</f>
        <v>2024</v>
      </c>
      <c r="D61" t="str">
        <f>MID(analisis_productividad__4[[#This Row],[Periodo]],5,2)</f>
        <v>12</v>
      </c>
      <c r="E61" t="s">
        <v>11</v>
      </c>
      <c r="F61" t="s">
        <v>14</v>
      </c>
      <c r="G61">
        <v>130173</v>
      </c>
      <c r="H61">
        <v>11944605</v>
      </c>
      <c r="I61">
        <v>91.759462365591361</v>
      </c>
      <c r="J61">
        <v>0</v>
      </c>
      <c r="K61">
        <v>88</v>
      </c>
      <c r="L61">
        <v>84</v>
      </c>
      <c r="N61">
        <v>0</v>
      </c>
    </row>
    <row r="62" spans="1:14" x14ac:dyDescent="0.35">
      <c r="A62" t="s">
        <v>20</v>
      </c>
      <c r="B62">
        <v>202512</v>
      </c>
      <c r="C62" t="str">
        <f>MID(analisis_productividad__4[[#This Row],[Periodo]],1,4)</f>
        <v>2025</v>
      </c>
      <c r="D62" t="str">
        <f>MID(analisis_productividad__4[[#This Row],[Periodo]],5,2)</f>
        <v>12</v>
      </c>
      <c r="E62" t="s">
        <v>16</v>
      </c>
      <c r="F62" t="s">
        <v>21</v>
      </c>
      <c r="G62">
        <v>129749</v>
      </c>
      <c r="H62">
        <v>11551133</v>
      </c>
      <c r="I62">
        <v>89.02673387096776</v>
      </c>
      <c r="J62">
        <v>128738.64115334203</v>
      </c>
      <c r="K62">
        <v>96.5</v>
      </c>
      <c r="L62">
        <v>94</v>
      </c>
      <c r="M62">
        <v>89.725456137456987</v>
      </c>
      <c r="N62">
        <v>12884560</v>
      </c>
    </row>
    <row r="63" spans="1:14" x14ac:dyDescent="0.35">
      <c r="A63" t="s">
        <v>57</v>
      </c>
      <c r="B63">
        <v>202412</v>
      </c>
      <c r="C63" t="str">
        <f>MID(analisis_productividad__4[[#This Row],[Periodo]],1,4)</f>
        <v>2024</v>
      </c>
      <c r="D63" t="str">
        <f>MID(analisis_productividad__4[[#This Row],[Periodo]],5,2)</f>
        <v>12</v>
      </c>
      <c r="E63" t="s">
        <v>16</v>
      </c>
      <c r="F63" t="s">
        <v>19</v>
      </c>
      <c r="G63">
        <v>129512</v>
      </c>
      <c r="H63">
        <v>9251370</v>
      </c>
      <c r="I63">
        <v>71.432553763440851</v>
      </c>
      <c r="J63">
        <v>0</v>
      </c>
      <c r="K63">
        <v>71</v>
      </c>
      <c r="L63">
        <v>74.5</v>
      </c>
      <c r="N63">
        <v>0</v>
      </c>
    </row>
    <row r="64" spans="1:14" x14ac:dyDescent="0.35">
      <c r="A64" t="s">
        <v>46</v>
      </c>
      <c r="B64">
        <v>202512</v>
      </c>
      <c r="C64" t="str">
        <f>MID(analisis_productividad__4[[#This Row],[Periodo]],1,4)</f>
        <v>2025</v>
      </c>
      <c r="D64" t="str">
        <f>MID(analisis_productividad__4[[#This Row],[Periodo]],5,2)</f>
        <v>12</v>
      </c>
      <c r="E64" t="s">
        <v>11</v>
      </c>
      <c r="F64" t="s">
        <v>14</v>
      </c>
      <c r="G64">
        <v>129135</v>
      </c>
      <c r="H64">
        <v>10304516</v>
      </c>
      <c r="I64">
        <v>79.796424731182753</v>
      </c>
      <c r="J64">
        <v>131522.44317868221</v>
      </c>
      <c r="K64">
        <v>77</v>
      </c>
      <c r="L64">
        <v>79</v>
      </c>
      <c r="M64">
        <v>78.34796640753251</v>
      </c>
      <c r="N64">
        <v>10234741</v>
      </c>
    </row>
    <row r="65" spans="1:14" x14ac:dyDescent="0.35">
      <c r="A65" t="s">
        <v>55</v>
      </c>
      <c r="B65">
        <v>202512</v>
      </c>
      <c r="C65" t="str">
        <f>MID(analisis_productividad__4[[#This Row],[Periodo]],1,4)</f>
        <v>2025</v>
      </c>
      <c r="D65" t="str">
        <f>MID(analisis_productividad__4[[#This Row],[Periodo]],5,2)</f>
        <v>12</v>
      </c>
      <c r="E65" t="s">
        <v>16</v>
      </c>
      <c r="F65" t="s">
        <v>21</v>
      </c>
      <c r="G65">
        <v>129095</v>
      </c>
      <c r="H65">
        <v>6714796</v>
      </c>
      <c r="I65">
        <v>52.014469086021478</v>
      </c>
      <c r="J65">
        <v>122695.83886303795</v>
      </c>
      <c r="K65">
        <v>55</v>
      </c>
      <c r="L65">
        <v>50.5</v>
      </c>
      <c r="M65">
        <v>54.727168681698679</v>
      </c>
      <c r="N65">
        <v>7258824</v>
      </c>
    </row>
    <row r="66" spans="1:14" x14ac:dyDescent="0.35">
      <c r="A66" t="s">
        <v>15</v>
      </c>
      <c r="B66">
        <v>202606</v>
      </c>
      <c r="C66" t="str">
        <f>MID(analisis_productividad__4[[#This Row],[Periodo]],1,4)</f>
        <v>2026</v>
      </c>
      <c r="D66" t="str">
        <f>MID(analisis_productividad__4[[#This Row],[Periodo]],5,2)</f>
        <v>06</v>
      </c>
      <c r="E66" t="s">
        <v>16</v>
      </c>
      <c r="F66" t="s">
        <v>17</v>
      </c>
      <c r="G66">
        <v>128989</v>
      </c>
      <c r="H66">
        <v>6904548</v>
      </c>
      <c r="I66">
        <v>53.528319444444215</v>
      </c>
      <c r="J66">
        <v>128418.64270393242</v>
      </c>
      <c r="K66">
        <v>61</v>
      </c>
      <c r="L66">
        <v>60</v>
      </c>
      <c r="M66">
        <v>53.7842448352594</v>
      </c>
      <c r="N66">
        <v>6906900</v>
      </c>
    </row>
    <row r="67" spans="1:14" x14ac:dyDescent="0.35">
      <c r="A67" t="s">
        <v>15</v>
      </c>
      <c r="B67">
        <v>202406</v>
      </c>
      <c r="C67" t="str">
        <f>MID(analisis_productividad__4[[#This Row],[Periodo]],1,4)</f>
        <v>2024</v>
      </c>
      <c r="D67" t="str">
        <f>MID(analisis_productividad__4[[#This Row],[Periodo]],5,2)</f>
        <v>06</v>
      </c>
      <c r="E67" t="s">
        <v>16</v>
      </c>
      <c r="F67" t="s">
        <v>17</v>
      </c>
      <c r="G67">
        <v>128464</v>
      </c>
      <c r="H67">
        <v>6523081</v>
      </c>
      <c r="I67">
        <v>50.777465277777814</v>
      </c>
      <c r="J67">
        <v>0</v>
      </c>
      <c r="K67">
        <v>61</v>
      </c>
      <c r="L67">
        <v>60</v>
      </c>
      <c r="N67">
        <v>0</v>
      </c>
    </row>
    <row r="68" spans="1:14" x14ac:dyDescent="0.35">
      <c r="A68" t="s">
        <v>23</v>
      </c>
      <c r="B68">
        <v>202503</v>
      </c>
      <c r="C68" t="str">
        <f>MID(analisis_productividad__4[[#This Row],[Periodo]],1,4)</f>
        <v>2025</v>
      </c>
      <c r="D68" t="str">
        <f>MID(analisis_productividad__4[[#This Row],[Periodo]],5,2)</f>
        <v>03</v>
      </c>
      <c r="E68" t="s">
        <v>11</v>
      </c>
      <c r="F68" t="s">
        <v>12</v>
      </c>
      <c r="G68">
        <v>128455</v>
      </c>
      <c r="H68">
        <v>7573634</v>
      </c>
      <c r="I68">
        <v>58.959475806451643</v>
      </c>
      <c r="J68">
        <v>114921.40252296934</v>
      </c>
      <c r="K68">
        <v>68.5</v>
      </c>
      <c r="L68">
        <v>66</v>
      </c>
      <c r="M68">
        <v>65.902732421719776</v>
      </c>
      <c r="N68">
        <v>7200893</v>
      </c>
    </row>
    <row r="69" spans="1:14" x14ac:dyDescent="0.35">
      <c r="A69" t="s">
        <v>42</v>
      </c>
      <c r="B69">
        <v>202512</v>
      </c>
      <c r="C69" t="str">
        <f>MID(analisis_productividad__4[[#This Row],[Periodo]],1,4)</f>
        <v>2025</v>
      </c>
      <c r="D69" t="str">
        <f>MID(analisis_productividad__4[[#This Row],[Periodo]],5,2)</f>
        <v>12</v>
      </c>
      <c r="E69" t="s">
        <v>16</v>
      </c>
      <c r="F69" t="s">
        <v>19</v>
      </c>
      <c r="G69">
        <v>128376</v>
      </c>
      <c r="H69">
        <v>7571145</v>
      </c>
      <c r="I69">
        <v>58.976129032258029</v>
      </c>
      <c r="J69">
        <v>111278.41452496637</v>
      </c>
      <c r="K69">
        <v>62</v>
      </c>
      <c r="L69">
        <v>58</v>
      </c>
      <c r="M69">
        <v>68.037858306305594</v>
      </c>
      <c r="N69">
        <v>7683578</v>
      </c>
    </row>
    <row r="70" spans="1:14" x14ac:dyDescent="0.35">
      <c r="A70" t="s">
        <v>29</v>
      </c>
      <c r="B70">
        <v>202603</v>
      </c>
      <c r="C70" t="str">
        <f>MID(analisis_productividad__4[[#This Row],[Periodo]],1,4)</f>
        <v>2026</v>
      </c>
      <c r="D70" t="str">
        <f>MID(analisis_productividad__4[[#This Row],[Periodo]],5,2)</f>
        <v>03</v>
      </c>
      <c r="E70" t="s">
        <v>16</v>
      </c>
      <c r="F70" t="s">
        <v>19</v>
      </c>
      <c r="G70">
        <v>128144</v>
      </c>
      <c r="H70">
        <v>11511184</v>
      </c>
      <c r="I70">
        <v>89.829758064516142</v>
      </c>
      <c r="J70">
        <v>152834.02529188822</v>
      </c>
      <c r="K70">
        <v>96.5</v>
      </c>
      <c r="L70">
        <v>96</v>
      </c>
      <c r="M70">
        <v>83.321494048065787</v>
      </c>
      <c r="N70">
        <v>12734359</v>
      </c>
    </row>
    <row r="71" spans="1:14" x14ac:dyDescent="0.35">
      <c r="A71" t="s">
        <v>13</v>
      </c>
      <c r="B71">
        <v>202604</v>
      </c>
      <c r="C71" t="str">
        <f>MID(analisis_productividad__4[[#This Row],[Periodo]],1,4)</f>
        <v>2026</v>
      </c>
      <c r="D71" t="str">
        <f>MID(analisis_productividad__4[[#This Row],[Periodo]],5,2)</f>
        <v>04</v>
      </c>
      <c r="E71" t="s">
        <v>11</v>
      </c>
      <c r="F71" t="s">
        <v>14</v>
      </c>
      <c r="G71">
        <v>127978</v>
      </c>
      <c r="H71">
        <v>10559330</v>
      </c>
      <c r="I71">
        <v>82.509048611113272</v>
      </c>
      <c r="J71">
        <v>114140.67346893487</v>
      </c>
      <c r="K71">
        <v>100</v>
      </c>
      <c r="L71">
        <v>98</v>
      </c>
      <c r="M71">
        <v>86.393284871267369</v>
      </c>
      <c r="N71">
        <v>9860988</v>
      </c>
    </row>
    <row r="72" spans="1:14" x14ac:dyDescent="0.35">
      <c r="A72" t="s">
        <v>15</v>
      </c>
      <c r="B72">
        <v>202505</v>
      </c>
      <c r="C72" t="str">
        <f>MID(analisis_productividad__4[[#This Row],[Periodo]],1,4)</f>
        <v>2025</v>
      </c>
      <c r="D72" t="str">
        <f>MID(analisis_productividad__4[[#This Row],[Periodo]],5,2)</f>
        <v>05</v>
      </c>
      <c r="E72" t="s">
        <v>16</v>
      </c>
      <c r="F72" t="s">
        <v>17</v>
      </c>
      <c r="G72">
        <v>127882</v>
      </c>
      <c r="H72">
        <v>6896889</v>
      </c>
      <c r="I72">
        <v>53.931518817204321</v>
      </c>
      <c r="J72">
        <v>126213.86713109347</v>
      </c>
      <c r="K72">
        <v>61</v>
      </c>
      <c r="L72">
        <v>60</v>
      </c>
      <c r="M72">
        <v>54.644466228393654</v>
      </c>
      <c r="N72">
        <v>6606230</v>
      </c>
    </row>
    <row r="73" spans="1:14" x14ac:dyDescent="0.35">
      <c r="A73" t="s">
        <v>24</v>
      </c>
      <c r="B73">
        <v>202602</v>
      </c>
      <c r="C73" t="str">
        <f>MID(analisis_productividad__4[[#This Row],[Periodo]],1,4)</f>
        <v>2026</v>
      </c>
      <c r="D73" t="str">
        <f>MID(analisis_productividad__4[[#This Row],[Periodo]],5,2)</f>
        <v>02</v>
      </c>
      <c r="E73" t="s">
        <v>16</v>
      </c>
      <c r="F73" t="s">
        <v>21</v>
      </c>
      <c r="G73">
        <v>127786</v>
      </c>
      <c r="H73">
        <v>11615479</v>
      </c>
      <c r="I73">
        <v>90.897916666666632</v>
      </c>
      <c r="J73">
        <v>100101.63634092303</v>
      </c>
      <c r="K73">
        <v>125</v>
      </c>
      <c r="L73">
        <v>118.5</v>
      </c>
      <c r="M73">
        <v>102.97612103755296</v>
      </c>
      <c r="N73">
        <v>10308078</v>
      </c>
    </row>
    <row r="74" spans="1:14" x14ac:dyDescent="0.35">
      <c r="A74" t="s">
        <v>15</v>
      </c>
      <c r="B74">
        <v>202604</v>
      </c>
      <c r="C74" t="str">
        <f>MID(analisis_productividad__4[[#This Row],[Periodo]],1,4)</f>
        <v>2026</v>
      </c>
      <c r="D74" t="str">
        <f>MID(analisis_productividad__4[[#This Row],[Periodo]],5,2)</f>
        <v>04</v>
      </c>
      <c r="E74" t="s">
        <v>16</v>
      </c>
      <c r="F74" t="s">
        <v>17</v>
      </c>
      <c r="G74">
        <v>127766</v>
      </c>
      <c r="H74">
        <v>6934665</v>
      </c>
      <c r="I74">
        <v>54.276104166667338</v>
      </c>
      <c r="J74">
        <v>118760.1376177097</v>
      </c>
      <c r="K74">
        <v>61</v>
      </c>
      <c r="L74">
        <v>60</v>
      </c>
      <c r="M74">
        <v>53.7842448352594</v>
      </c>
      <c r="N74">
        <v>6387424</v>
      </c>
    </row>
    <row r="75" spans="1:14" x14ac:dyDescent="0.35">
      <c r="A75" t="s">
        <v>63</v>
      </c>
      <c r="B75">
        <v>202503</v>
      </c>
      <c r="C75" t="str">
        <f>MID(analisis_productividad__4[[#This Row],[Periodo]],1,4)</f>
        <v>2025</v>
      </c>
      <c r="D75" t="str">
        <f>MID(analisis_productividad__4[[#This Row],[Periodo]],5,2)</f>
        <v>03</v>
      </c>
      <c r="E75" t="s">
        <v>16</v>
      </c>
      <c r="F75" t="s">
        <v>17</v>
      </c>
      <c r="G75">
        <v>127747</v>
      </c>
      <c r="H75">
        <v>11605448</v>
      </c>
      <c r="I75">
        <v>90.846780913978407</v>
      </c>
      <c r="J75">
        <v>120362.81754982284</v>
      </c>
      <c r="K75">
        <v>86.5</v>
      </c>
      <c r="L75">
        <v>81.5</v>
      </c>
      <c r="M75">
        <v>96.420540713879987</v>
      </c>
      <c r="N75">
        <v>11190755</v>
      </c>
    </row>
    <row r="76" spans="1:14" x14ac:dyDescent="0.35">
      <c r="A76" t="s">
        <v>29</v>
      </c>
      <c r="B76">
        <v>202412</v>
      </c>
      <c r="C76" t="str">
        <f>MID(analisis_productividad__4[[#This Row],[Periodo]],1,4)</f>
        <v>2024</v>
      </c>
      <c r="D76" t="str">
        <f>MID(analisis_productividad__4[[#This Row],[Periodo]],5,2)</f>
        <v>12</v>
      </c>
      <c r="E76" t="s">
        <v>16</v>
      </c>
      <c r="F76" t="s">
        <v>19</v>
      </c>
      <c r="G76">
        <v>127590</v>
      </c>
      <c r="H76">
        <v>13512958</v>
      </c>
      <c r="I76">
        <v>105.90929435483868</v>
      </c>
      <c r="J76">
        <v>0</v>
      </c>
      <c r="K76">
        <v>96.5</v>
      </c>
      <c r="L76">
        <v>96</v>
      </c>
      <c r="N76">
        <v>0</v>
      </c>
    </row>
    <row r="77" spans="1:14" x14ac:dyDescent="0.35">
      <c r="A77" t="s">
        <v>30</v>
      </c>
      <c r="B77">
        <v>202412</v>
      </c>
      <c r="C77" t="str">
        <f>MID(analisis_productividad__4[[#This Row],[Periodo]],1,4)</f>
        <v>2024</v>
      </c>
      <c r="D77" t="str">
        <f>MID(analisis_productividad__4[[#This Row],[Periodo]],5,2)</f>
        <v>12</v>
      </c>
      <c r="E77" t="s">
        <v>16</v>
      </c>
      <c r="F77" t="s">
        <v>19</v>
      </c>
      <c r="G77">
        <v>127519</v>
      </c>
      <c r="H77">
        <v>13269636</v>
      </c>
      <c r="I77">
        <v>104.06003360215061</v>
      </c>
      <c r="J77">
        <v>0</v>
      </c>
      <c r="K77">
        <v>101</v>
      </c>
      <c r="L77">
        <v>105</v>
      </c>
      <c r="N77">
        <v>0</v>
      </c>
    </row>
    <row r="78" spans="1:14" x14ac:dyDescent="0.35">
      <c r="A78" t="s">
        <v>32</v>
      </c>
      <c r="B78">
        <v>202512</v>
      </c>
      <c r="C78" t="str">
        <f>MID(analisis_productividad__4[[#This Row],[Periodo]],1,4)</f>
        <v>2025</v>
      </c>
      <c r="D78" t="str">
        <f>MID(analisis_productividad__4[[#This Row],[Periodo]],5,2)</f>
        <v>12</v>
      </c>
      <c r="E78" t="s">
        <v>11</v>
      </c>
      <c r="F78" t="s">
        <v>12</v>
      </c>
      <c r="G78">
        <v>126924</v>
      </c>
      <c r="H78">
        <v>8524849</v>
      </c>
      <c r="I78">
        <v>67.164811827956953</v>
      </c>
      <c r="J78">
        <v>131799.54296563487</v>
      </c>
      <c r="K78">
        <v>65.5</v>
      </c>
      <c r="L78">
        <v>66</v>
      </c>
      <c r="M78">
        <v>64.680413817692411</v>
      </c>
      <c r="N78">
        <v>9503499</v>
      </c>
    </row>
    <row r="79" spans="1:14" x14ac:dyDescent="0.35">
      <c r="A79" t="s">
        <v>26</v>
      </c>
      <c r="B79">
        <v>202503</v>
      </c>
      <c r="C79" t="str">
        <f>MID(analisis_productividad__4[[#This Row],[Periodo]],1,4)</f>
        <v>2025</v>
      </c>
      <c r="D79" t="str">
        <f>MID(analisis_productividad__4[[#This Row],[Periodo]],5,2)</f>
        <v>03</v>
      </c>
      <c r="E79" t="s">
        <v>11</v>
      </c>
      <c r="F79" t="s">
        <v>12</v>
      </c>
      <c r="G79">
        <v>126906</v>
      </c>
      <c r="H79">
        <v>7302910</v>
      </c>
      <c r="I79">
        <v>57.545739247311815</v>
      </c>
      <c r="J79">
        <v>87374.703451916896</v>
      </c>
      <c r="K79">
        <v>65.5</v>
      </c>
      <c r="L79">
        <v>63</v>
      </c>
      <c r="M79">
        <v>83.581516062241732</v>
      </c>
      <c r="N79">
        <v>6251125</v>
      </c>
    </row>
    <row r="80" spans="1:14" x14ac:dyDescent="0.35">
      <c r="A80" t="s">
        <v>40</v>
      </c>
      <c r="B80">
        <v>202412</v>
      </c>
      <c r="C80" t="str">
        <f>MID(analisis_productividad__4[[#This Row],[Periodo]],1,4)</f>
        <v>2024</v>
      </c>
      <c r="D80" t="str">
        <f>MID(analisis_productividad__4[[#This Row],[Periodo]],5,2)</f>
        <v>12</v>
      </c>
      <c r="E80" t="s">
        <v>11</v>
      </c>
      <c r="F80" t="s">
        <v>14</v>
      </c>
      <c r="G80">
        <v>126753</v>
      </c>
      <c r="H80">
        <v>10508272</v>
      </c>
      <c r="I80">
        <v>82.903662634408661</v>
      </c>
      <c r="J80">
        <v>0</v>
      </c>
      <c r="K80">
        <v>76.5</v>
      </c>
      <c r="L80">
        <v>75.5</v>
      </c>
      <c r="N80">
        <v>0</v>
      </c>
    </row>
    <row r="81" spans="1:14" x14ac:dyDescent="0.35">
      <c r="A81" t="s">
        <v>25</v>
      </c>
      <c r="B81">
        <v>202512</v>
      </c>
      <c r="C81" t="str">
        <f>MID(analisis_productividad__4[[#This Row],[Periodo]],1,4)</f>
        <v>2025</v>
      </c>
      <c r="D81" t="str">
        <f>MID(analisis_productividad__4[[#This Row],[Periodo]],5,2)</f>
        <v>12</v>
      </c>
      <c r="E81" t="s">
        <v>16</v>
      </c>
      <c r="F81" t="s">
        <v>19</v>
      </c>
      <c r="G81">
        <v>126695</v>
      </c>
      <c r="H81">
        <v>12604025</v>
      </c>
      <c r="I81">
        <v>99.482842741935372</v>
      </c>
      <c r="J81">
        <v>120876.51435617114</v>
      </c>
      <c r="K81">
        <v>94</v>
      </c>
      <c r="L81">
        <v>92</v>
      </c>
      <c r="M81">
        <v>104.27190622705547</v>
      </c>
      <c r="N81">
        <v>11782917</v>
      </c>
    </row>
    <row r="82" spans="1:14" x14ac:dyDescent="0.35">
      <c r="A82" t="s">
        <v>31</v>
      </c>
      <c r="B82">
        <v>202503</v>
      </c>
      <c r="C82" t="str">
        <f>MID(analisis_productividad__4[[#This Row],[Periodo]],1,4)</f>
        <v>2025</v>
      </c>
      <c r="D82" t="str">
        <f>MID(analisis_productividad__4[[#This Row],[Periodo]],5,2)</f>
        <v>03</v>
      </c>
      <c r="E82" t="s">
        <v>11</v>
      </c>
      <c r="F82" t="s">
        <v>14</v>
      </c>
      <c r="G82">
        <v>126391</v>
      </c>
      <c r="H82">
        <v>10527945</v>
      </c>
      <c r="I82">
        <v>83.296848118279499</v>
      </c>
      <c r="J82">
        <v>123712.96027798795</v>
      </c>
      <c r="K82">
        <v>101.5</v>
      </c>
      <c r="L82">
        <v>97.5</v>
      </c>
      <c r="M82">
        <v>85.099777794850951</v>
      </c>
      <c r="N82">
        <v>10494519</v>
      </c>
    </row>
    <row r="83" spans="1:14" x14ac:dyDescent="0.35">
      <c r="A83" t="s">
        <v>30</v>
      </c>
      <c r="B83">
        <v>202604</v>
      </c>
      <c r="C83" t="str">
        <f>MID(analisis_productividad__4[[#This Row],[Periodo]],1,4)</f>
        <v>2026</v>
      </c>
      <c r="D83" t="str">
        <f>MID(analisis_productividad__4[[#This Row],[Periodo]],5,2)</f>
        <v>04</v>
      </c>
      <c r="E83" t="s">
        <v>16</v>
      </c>
      <c r="F83" t="s">
        <v>19</v>
      </c>
      <c r="G83">
        <v>126182</v>
      </c>
      <c r="H83">
        <v>10790778</v>
      </c>
      <c r="I83">
        <v>85.517687500002026</v>
      </c>
      <c r="J83">
        <v>101835.25469292338</v>
      </c>
      <c r="K83">
        <v>101</v>
      </c>
      <c r="L83">
        <v>105</v>
      </c>
      <c r="M83">
        <v>90.439897606894348</v>
      </c>
      <c r="N83">
        <v>9209970</v>
      </c>
    </row>
    <row r="84" spans="1:14" x14ac:dyDescent="0.35">
      <c r="A84" t="s">
        <v>15</v>
      </c>
      <c r="B84">
        <v>202602</v>
      </c>
      <c r="C84" t="str">
        <f>MID(analisis_productividad__4[[#This Row],[Periodo]],1,4)</f>
        <v>2026</v>
      </c>
      <c r="D84" t="str">
        <f>MID(analisis_productividad__4[[#This Row],[Periodo]],5,2)</f>
        <v>02</v>
      </c>
      <c r="E84" t="s">
        <v>16</v>
      </c>
      <c r="F84" t="s">
        <v>17</v>
      </c>
      <c r="G84">
        <v>125714</v>
      </c>
      <c r="H84">
        <v>7240401</v>
      </c>
      <c r="I84">
        <v>57.594375000000007</v>
      </c>
      <c r="J84">
        <v>123082.36956708538</v>
      </c>
      <c r="K84">
        <v>61</v>
      </c>
      <c r="L84">
        <v>60</v>
      </c>
      <c r="M84">
        <v>53.7842448352594</v>
      </c>
      <c r="N84">
        <v>6619892</v>
      </c>
    </row>
    <row r="85" spans="1:14" x14ac:dyDescent="0.35">
      <c r="A85" t="s">
        <v>27</v>
      </c>
      <c r="B85">
        <v>202503</v>
      </c>
      <c r="C85" t="str">
        <f>MID(analisis_productividad__4[[#This Row],[Periodo]],1,4)</f>
        <v>2025</v>
      </c>
      <c r="D85" t="str">
        <f>MID(analisis_productividad__4[[#This Row],[Periodo]],5,2)</f>
        <v>03</v>
      </c>
      <c r="E85" t="s">
        <v>11</v>
      </c>
      <c r="F85" t="s">
        <v>14</v>
      </c>
      <c r="G85">
        <v>125699</v>
      </c>
      <c r="H85">
        <v>10029563</v>
      </c>
      <c r="I85">
        <v>79.790120967741913</v>
      </c>
      <c r="J85">
        <v>115153.94616053592</v>
      </c>
      <c r="K85">
        <v>88</v>
      </c>
      <c r="L85">
        <v>84</v>
      </c>
      <c r="M85">
        <v>87.097000010905489</v>
      </c>
      <c r="N85">
        <v>9742404</v>
      </c>
    </row>
    <row r="86" spans="1:14" x14ac:dyDescent="0.35">
      <c r="A86" t="s">
        <v>22</v>
      </c>
      <c r="B86">
        <v>202605</v>
      </c>
      <c r="C86" t="str">
        <f>MID(analisis_productividad__4[[#This Row],[Periodo]],1,4)</f>
        <v>2026</v>
      </c>
      <c r="D86" t="str">
        <f>MID(analisis_productividad__4[[#This Row],[Periodo]],5,2)</f>
        <v>05</v>
      </c>
      <c r="E86" t="s">
        <v>16</v>
      </c>
      <c r="F86" t="s">
        <v>21</v>
      </c>
      <c r="G86">
        <v>125623</v>
      </c>
      <c r="H86">
        <v>6281220</v>
      </c>
      <c r="I86">
        <v>50.000463709677327</v>
      </c>
      <c r="J86">
        <v>100701.16609400834</v>
      </c>
      <c r="K86">
        <v>59.5</v>
      </c>
      <c r="L86">
        <v>55.5</v>
      </c>
      <c r="M86">
        <v>53.278949580299148</v>
      </c>
      <c r="N86">
        <v>5365252</v>
      </c>
    </row>
    <row r="87" spans="1:14" x14ac:dyDescent="0.35">
      <c r="A87" t="s">
        <v>25</v>
      </c>
      <c r="B87">
        <v>202605</v>
      </c>
      <c r="C87" t="str">
        <f>MID(analisis_productividad__4[[#This Row],[Periodo]],1,4)</f>
        <v>2026</v>
      </c>
      <c r="D87" t="str">
        <f>MID(analisis_productividad__4[[#This Row],[Periodo]],5,2)</f>
        <v>05</v>
      </c>
      <c r="E87" t="s">
        <v>16</v>
      </c>
      <c r="F87" t="s">
        <v>19</v>
      </c>
      <c r="G87">
        <v>125614</v>
      </c>
      <c r="H87">
        <v>10527717</v>
      </c>
      <c r="I87">
        <v>83.809946236558275</v>
      </c>
      <c r="J87">
        <v>121236.94174037661</v>
      </c>
      <c r="K87">
        <v>94</v>
      </c>
      <c r="L87">
        <v>92</v>
      </c>
      <c r="M87">
        <v>81.933174564661712</v>
      </c>
      <c r="N87">
        <v>9933328</v>
      </c>
    </row>
    <row r="88" spans="1:14" x14ac:dyDescent="0.35">
      <c r="A88" t="s">
        <v>32</v>
      </c>
      <c r="B88">
        <v>202412</v>
      </c>
      <c r="C88" t="str">
        <f>MID(analisis_productividad__4[[#This Row],[Periodo]],1,4)</f>
        <v>2024</v>
      </c>
      <c r="D88" t="str">
        <f>MID(analisis_productividad__4[[#This Row],[Periodo]],5,2)</f>
        <v>12</v>
      </c>
      <c r="E88" t="s">
        <v>11</v>
      </c>
      <c r="F88" t="s">
        <v>12</v>
      </c>
      <c r="G88">
        <v>125523</v>
      </c>
      <c r="H88">
        <v>8758233</v>
      </c>
      <c r="I88">
        <v>69.773723118279591</v>
      </c>
      <c r="J88">
        <v>0</v>
      </c>
      <c r="K88">
        <v>65.5</v>
      </c>
      <c r="L88">
        <v>66</v>
      </c>
      <c r="N88">
        <v>0</v>
      </c>
    </row>
    <row r="89" spans="1:14" x14ac:dyDescent="0.35">
      <c r="A89" t="s">
        <v>40</v>
      </c>
      <c r="B89">
        <v>202512</v>
      </c>
      <c r="C89" t="str">
        <f>MID(analisis_productividad__4[[#This Row],[Periodo]],1,4)</f>
        <v>2025</v>
      </c>
      <c r="D89" t="str">
        <f>MID(analisis_productividad__4[[#This Row],[Periodo]],5,2)</f>
        <v>12</v>
      </c>
      <c r="E89" t="s">
        <v>11</v>
      </c>
      <c r="F89" t="s">
        <v>14</v>
      </c>
      <c r="G89">
        <v>125437</v>
      </c>
      <c r="H89">
        <v>10564461</v>
      </c>
      <c r="I89">
        <v>84.221055107526752</v>
      </c>
      <c r="J89">
        <v>133090.45014279668</v>
      </c>
      <c r="K89">
        <v>76.5</v>
      </c>
      <c r="L89">
        <v>75.5</v>
      </c>
      <c r="M89">
        <v>79.37805085688025</v>
      </c>
      <c r="N89">
        <v>11910918</v>
      </c>
    </row>
    <row r="90" spans="1:14" x14ac:dyDescent="0.35">
      <c r="A90" t="s">
        <v>131</v>
      </c>
      <c r="B90">
        <v>202403</v>
      </c>
      <c r="C90" t="str">
        <f>MID(analisis_productividad__4[[#This Row],[Periodo]],1,4)</f>
        <v>2024</v>
      </c>
      <c r="D90" t="str">
        <f>MID(analisis_productividad__4[[#This Row],[Periodo]],5,2)</f>
        <v>03</v>
      </c>
      <c r="E90" t="s">
        <v>16</v>
      </c>
      <c r="F90" t="s">
        <v>21</v>
      </c>
      <c r="G90">
        <v>125360</v>
      </c>
      <c r="H90">
        <v>15304566</v>
      </c>
      <c r="I90">
        <v>122.08522177419353</v>
      </c>
      <c r="J90">
        <v>0</v>
      </c>
      <c r="K90">
        <v>99</v>
      </c>
      <c r="L90">
        <v>32.5</v>
      </c>
      <c r="N90">
        <v>0</v>
      </c>
    </row>
    <row r="91" spans="1:14" x14ac:dyDescent="0.35">
      <c r="A91" t="s">
        <v>27</v>
      </c>
      <c r="B91">
        <v>202605</v>
      </c>
      <c r="C91" t="str">
        <f>MID(analisis_productividad__4[[#This Row],[Periodo]],1,4)</f>
        <v>2026</v>
      </c>
      <c r="D91" t="str">
        <f>MID(analisis_productividad__4[[#This Row],[Periodo]],5,2)</f>
        <v>05</v>
      </c>
      <c r="E91" t="s">
        <v>11</v>
      </c>
      <c r="F91" t="s">
        <v>14</v>
      </c>
      <c r="G91">
        <v>125355</v>
      </c>
      <c r="H91">
        <v>9640271</v>
      </c>
      <c r="I91">
        <v>76.90370295698871</v>
      </c>
      <c r="J91">
        <v>112556.34636325599</v>
      </c>
      <c r="K91">
        <v>88</v>
      </c>
      <c r="L91">
        <v>84</v>
      </c>
      <c r="M91">
        <v>78.31726123421582</v>
      </c>
      <c r="N91">
        <v>8815105</v>
      </c>
    </row>
    <row r="92" spans="1:14" x14ac:dyDescent="0.35">
      <c r="A92" t="s">
        <v>63</v>
      </c>
      <c r="B92">
        <v>202407</v>
      </c>
      <c r="C92" t="str">
        <f>MID(analisis_productividad__4[[#This Row],[Periodo]],1,4)</f>
        <v>2024</v>
      </c>
      <c r="D92" t="str">
        <f>MID(analisis_productividad__4[[#This Row],[Periodo]],5,2)</f>
        <v>07</v>
      </c>
      <c r="E92" t="s">
        <v>16</v>
      </c>
      <c r="F92" t="s">
        <v>17</v>
      </c>
      <c r="G92">
        <v>125261</v>
      </c>
      <c r="H92">
        <v>11655660</v>
      </c>
      <c r="I92">
        <v>93.051122311827825</v>
      </c>
      <c r="J92">
        <v>0</v>
      </c>
      <c r="K92">
        <v>86.5</v>
      </c>
      <c r="L92">
        <v>81.5</v>
      </c>
      <c r="N92">
        <v>0</v>
      </c>
    </row>
    <row r="93" spans="1:14" x14ac:dyDescent="0.35">
      <c r="A93" t="s">
        <v>46</v>
      </c>
      <c r="B93">
        <v>202412</v>
      </c>
      <c r="C93" t="str">
        <f>MID(analisis_productividad__4[[#This Row],[Periodo]],1,4)</f>
        <v>2024</v>
      </c>
      <c r="D93" t="str">
        <f>MID(analisis_productividad__4[[#This Row],[Periodo]],5,2)</f>
        <v>12</v>
      </c>
      <c r="E93" t="s">
        <v>11</v>
      </c>
      <c r="F93" t="s">
        <v>14</v>
      </c>
      <c r="G93">
        <v>125259</v>
      </c>
      <c r="H93">
        <v>9604739</v>
      </c>
      <c r="I93">
        <v>76.678743279569943</v>
      </c>
      <c r="J93">
        <v>0</v>
      </c>
      <c r="K93">
        <v>77</v>
      </c>
      <c r="L93">
        <v>79</v>
      </c>
      <c r="N93">
        <v>0</v>
      </c>
    </row>
    <row r="94" spans="1:14" x14ac:dyDescent="0.35">
      <c r="A94" t="s">
        <v>57</v>
      </c>
      <c r="B94">
        <v>202512</v>
      </c>
      <c r="C94" t="str">
        <f>MID(analisis_productividad__4[[#This Row],[Periodo]],1,4)</f>
        <v>2025</v>
      </c>
      <c r="D94" t="str">
        <f>MID(analisis_productividad__4[[#This Row],[Periodo]],5,2)</f>
        <v>12</v>
      </c>
      <c r="E94" t="s">
        <v>16</v>
      </c>
      <c r="F94" t="s">
        <v>19</v>
      </c>
      <c r="G94">
        <v>125209</v>
      </c>
      <c r="H94">
        <v>9113625</v>
      </c>
      <c r="I94">
        <v>72.787345430107493</v>
      </c>
      <c r="J94">
        <v>135987.55497625214</v>
      </c>
      <c r="K94">
        <v>71</v>
      </c>
      <c r="L94">
        <v>74.5</v>
      </c>
      <c r="M94">
        <v>67.018083320871085</v>
      </c>
      <c r="N94">
        <v>9685862</v>
      </c>
    </row>
    <row r="95" spans="1:14" x14ac:dyDescent="0.35">
      <c r="A95" t="s">
        <v>63</v>
      </c>
      <c r="B95">
        <v>202512</v>
      </c>
      <c r="C95" t="str">
        <f>MID(analisis_productividad__4[[#This Row],[Periodo]],1,4)</f>
        <v>2025</v>
      </c>
      <c r="D95" t="str">
        <f>MID(analisis_productividad__4[[#This Row],[Periodo]],5,2)</f>
        <v>12</v>
      </c>
      <c r="E95" t="s">
        <v>16</v>
      </c>
      <c r="F95" t="s">
        <v>17</v>
      </c>
      <c r="G95">
        <v>125025</v>
      </c>
      <c r="H95">
        <v>10485945</v>
      </c>
      <c r="I95">
        <v>83.870584677419288</v>
      </c>
      <c r="J95">
        <v>143490.03677808429</v>
      </c>
      <c r="K95">
        <v>86.5</v>
      </c>
      <c r="L95">
        <v>81.5</v>
      </c>
      <c r="M95">
        <v>73.077858473317747</v>
      </c>
      <c r="N95">
        <v>14761073</v>
      </c>
    </row>
    <row r="96" spans="1:14" x14ac:dyDescent="0.35">
      <c r="A96" t="s">
        <v>49</v>
      </c>
      <c r="B96">
        <v>202512</v>
      </c>
      <c r="C96" t="str">
        <f>MID(analisis_productividad__4[[#This Row],[Periodo]],1,4)</f>
        <v>2025</v>
      </c>
      <c r="D96" t="str">
        <f>MID(analisis_productividad__4[[#This Row],[Periodo]],5,2)</f>
        <v>12</v>
      </c>
      <c r="E96" t="s">
        <v>16</v>
      </c>
      <c r="F96" t="s">
        <v>21</v>
      </c>
      <c r="G96">
        <v>124674</v>
      </c>
      <c r="H96">
        <v>8072732</v>
      </c>
      <c r="I96">
        <v>64.750799731182781</v>
      </c>
      <c r="J96">
        <v>115243.46339574222</v>
      </c>
      <c r="K96">
        <v>75.5</v>
      </c>
      <c r="L96">
        <v>68</v>
      </c>
      <c r="M96">
        <v>70.04936976146324</v>
      </c>
      <c r="N96">
        <v>8703573</v>
      </c>
    </row>
    <row r="97" spans="1:14" x14ac:dyDescent="0.35">
      <c r="A97" t="s">
        <v>10</v>
      </c>
      <c r="B97">
        <v>202601</v>
      </c>
      <c r="C97" t="str">
        <f>MID(analisis_productividad__4[[#This Row],[Periodo]],1,4)</f>
        <v>2026</v>
      </c>
      <c r="D97" t="str">
        <f>MID(analisis_productividad__4[[#This Row],[Periodo]],5,2)</f>
        <v>01</v>
      </c>
      <c r="E97" t="s">
        <v>11</v>
      </c>
      <c r="F97" t="s">
        <v>12</v>
      </c>
      <c r="G97">
        <v>124635</v>
      </c>
      <c r="H97">
        <v>10522432</v>
      </c>
      <c r="I97">
        <v>84.426303763440899</v>
      </c>
      <c r="J97">
        <v>112747.5089768649</v>
      </c>
      <c r="K97">
        <v>98.5</v>
      </c>
      <c r="L97">
        <v>96.5</v>
      </c>
      <c r="M97">
        <v>87.166669283279759</v>
      </c>
      <c r="N97">
        <v>9827825</v>
      </c>
    </row>
    <row r="98" spans="1:14" x14ac:dyDescent="0.35">
      <c r="A98" t="s">
        <v>31</v>
      </c>
      <c r="B98">
        <v>202603</v>
      </c>
      <c r="C98" t="str">
        <f>MID(analisis_productividad__4[[#This Row],[Periodo]],1,4)</f>
        <v>2026</v>
      </c>
      <c r="D98" t="str">
        <f>MID(analisis_productividad__4[[#This Row],[Periodo]],5,2)</f>
        <v>03</v>
      </c>
      <c r="E98" t="s">
        <v>11</v>
      </c>
      <c r="F98" t="s">
        <v>14</v>
      </c>
      <c r="G98">
        <v>124619</v>
      </c>
      <c r="H98">
        <v>10444114</v>
      </c>
      <c r="I98">
        <v>83.808158602150556</v>
      </c>
      <c r="J98">
        <v>114740.99096575812</v>
      </c>
      <c r="K98">
        <v>101.5</v>
      </c>
      <c r="L98">
        <v>97.5</v>
      </c>
      <c r="M98">
        <v>87.689184144336366</v>
      </c>
      <c r="N98">
        <v>10061544</v>
      </c>
    </row>
    <row r="99" spans="1:14" x14ac:dyDescent="0.35">
      <c r="A99" t="s">
        <v>27</v>
      </c>
      <c r="B99">
        <v>202604</v>
      </c>
      <c r="C99" t="str">
        <f>MID(analisis_productividad__4[[#This Row],[Periodo]],1,4)</f>
        <v>2026</v>
      </c>
      <c r="D99" t="str">
        <f>MID(analisis_productividad__4[[#This Row],[Periodo]],5,2)</f>
        <v>04</v>
      </c>
      <c r="E99" t="s">
        <v>11</v>
      </c>
      <c r="F99" t="s">
        <v>14</v>
      </c>
      <c r="G99">
        <v>124487</v>
      </c>
      <c r="H99">
        <v>9202315</v>
      </c>
      <c r="I99">
        <v>73.922041666668335</v>
      </c>
      <c r="J99">
        <v>107035.70151324039</v>
      </c>
      <c r="K99">
        <v>88</v>
      </c>
      <c r="L99">
        <v>84</v>
      </c>
      <c r="M99">
        <v>78.31726123421582</v>
      </c>
      <c r="N99">
        <v>8382743</v>
      </c>
    </row>
    <row r="100" spans="1:14" x14ac:dyDescent="0.35">
      <c r="A100" t="s">
        <v>36</v>
      </c>
      <c r="B100">
        <v>202511</v>
      </c>
      <c r="C100" t="str">
        <f>MID(analisis_productividad__4[[#This Row],[Periodo]],1,4)</f>
        <v>2025</v>
      </c>
      <c r="D100" t="str">
        <f>MID(analisis_productividad__4[[#This Row],[Periodo]],5,2)</f>
        <v>11</v>
      </c>
      <c r="E100" t="s">
        <v>16</v>
      </c>
      <c r="F100" t="s">
        <v>17</v>
      </c>
      <c r="G100">
        <v>124332</v>
      </c>
      <c r="H100">
        <v>8649497</v>
      </c>
      <c r="I100">
        <v>69.567555555555586</v>
      </c>
      <c r="J100">
        <v>118493.87584226183</v>
      </c>
      <c r="K100">
        <v>76.5</v>
      </c>
      <c r="L100">
        <v>80</v>
      </c>
      <c r="M100">
        <v>72.995310588997413</v>
      </c>
      <c r="N100">
        <v>7853374</v>
      </c>
    </row>
    <row r="101" spans="1:14" x14ac:dyDescent="0.35">
      <c r="A101" t="s">
        <v>22</v>
      </c>
      <c r="B101">
        <v>202604</v>
      </c>
      <c r="C101" t="str">
        <f>MID(analisis_productividad__4[[#This Row],[Periodo]],1,4)</f>
        <v>2026</v>
      </c>
      <c r="D101" t="str">
        <f>MID(analisis_productividad__4[[#This Row],[Periodo]],5,2)</f>
        <v>04</v>
      </c>
      <c r="E101" t="s">
        <v>16</v>
      </c>
      <c r="F101" t="s">
        <v>21</v>
      </c>
      <c r="G101">
        <v>124230</v>
      </c>
      <c r="H101">
        <v>6000820</v>
      </c>
      <c r="I101">
        <v>48.304131944445061</v>
      </c>
      <c r="J101">
        <v>94792.233174347115</v>
      </c>
      <c r="K101">
        <v>59.5</v>
      </c>
      <c r="L101">
        <v>55.5</v>
      </c>
      <c r="M101">
        <v>53.278949580299148</v>
      </c>
      <c r="N101">
        <v>5050431</v>
      </c>
    </row>
    <row r="102" spans="1:14" x14ac:dyDescent="0.35">
      <c r="A102" t="s">
        <v>26</v>
      </c>
      <c r="B102">
        <v>202606</v>
      </c>
      <c r="C102" t="str">
        <f>MID(analisis_productividad__4[[#This Row],[Periodo]],1,4)</f>
        <v>2026</v>
      </c>
      <c r="D102" t="str">
        <f>MID(analisis_productividad__4[[#This Row],[Periodo]],5,2)</f>
        <v>06</v>
      </c>
      <c r="E102" t="s">
        <v>11</v>
      </c>
      <c r="F102" t="s">
        <v>12</v>
      </c>
      <c r="G102">
        <v>124183</v>
      </c>
      <c r="H102">
        <v>6254351</v>
      </c>
      <c r="I102">
        <v>50.364173611111141</v>
      </c>
      <c r="J102">
        <v>108383.53646979666</v>
      </c>
      <c r="K102">
        <v>65.5</v>
      </c>
      <c r="L102">
        <v>63</v>
      </c>
      <c r="M102">
        <v>55.389519717073902</v>
      </c>
      <c r="N102">
        <v>6003312</v>
      </c>
    </row>
    <row r="103" spans="1:14" x14ac:dyDescent="0.35">
      <c r="A103" t="s">
        <v>63</v>
      </c>
      <c r="B103">
        <v>202507</v>
      </c>
      <c r="C103" t="str">
        <f>MID(analisis_productividad__4[[#This Row],[Periodo]],1,4)</f>
        <v>2025</v>
      </c>
      <c r="D103" t="str">
        <f>MID(analisis_productividad__4[[#This Row],[Periodo]],5,2)</f>
        <v>07</v>
      </c>
      <c r="E103" t="s">
        <v>16</v>
      </c>
      <c r="F103" t="s">
        <v>17</v>
      </c>
      <c r="G103">
        <v>124052</v>
      </c>
      <c r="H103">
        <v>10864044</v>
      </c>
      <c r="I103">
        <v>87.57639784946241</v>
      </c>
      <c r="J103">
        <v>131523.8636777233</v>
      </c>
      <c r="K103">
        <v>86.5</v>
      </c>
      <c r="L103">
        <v>81.5</v>
      </c>
      <c r="M103">
        <v>82.601312539148623</v>
      </c>
      <c r="N103">
        <v>12214398</v>
      </c>
    </row>
    <row r="104" spans="1:14" x14ac:dyDescent="0.35">
      <c r="A104" t="s">
        <v>13</v>
      </c>
      <c r="B104">
        <v>202403</v>
      </c>
      <c r="C104" t="str">
        <f>MID(analisis_productividad__4[[#This Row],[Periodo]],1,4)</f>
        <v>2024</v>
      </c>
      <c r="D104" t="str">
        <f>MID(analisis_productividad__4[[#This Row],[Periodo]],5,2)</f>
        <v>03</v>
      </c>
      <c r="E104" t="s">
        <v>11</v>
      </c>
      <c r="F104" t="s">
        <v>14</v>
      </c>
      <c r="G104">
        <v>124034</v>
      </c>
      <c r="H104">
        <v>11647939</v>
      </c>
      <c r="I104">
        <v>93.909469086021531</v>
      </c>
      <c r="J104">
        <v>0</v>
      </c>
      <c r="K104">
        <v>100</v>
      </c>
      <c r="L104">
        <v>98</v>
      </c>
      <c r="N104">
        <v>0</v>
      </c>
    </row>
    <row r="105" spans="1:14" x14ac:dyDescent="0.35">
      <c r="A105" t="s">
        <v>15</v>
      </c>
      <c r="B105">
        <v>202501</v>
      </c>
      <c r="C105" t="str">
        <f>MID(analisis_productividad__4[[#This Row],[Periodo]],1,4)</f>
        <v>2025</v>
      </c>
      <c r="D105" t="str">
        <f>MID(analisis_productividad__4[[#This Row],[Periodo]],5,2)</f>
        <v>01</v>
      </c>
      <c r="E105" t="s">
        <v>16</v>
      </c>
      <c r="F105" t="s">
        <v>17</v>
      </c>
      <c r="G105">
        <v>123974</v>
      </c>
      <c r="H105">
        <v>6603868</v>
      </c>
      <c r="I105">
        <v>53.268306451612915</v>
      </c>
      <c r="J105">
        <v>122760.96726608487</v>
      </c>
      <c r="K105">
        <v>61</v>
      </c>
      <c r="L105">
        <v>60</v>
      </c>
      <c r="M105">
        <v>53.794527015139025</v>
      </c>
      <c r="N105">
        <v>6651407</v>
      </c>
    </row>
    <row r="106" spans="1:14" x14ac:dyDescent="0.35">
      <c r="A106" t="s">
        <v>26</v>
      </c>
      <c r="B106">
        <v>202605</v>
      </c>
      <c r="C106" t="str">
        <f>MID(analisis_productividad__4[[#This Row],[Periodo]],1,4)</f>
        <v>2026</v>
      </c>
      <c r="D106" t="str">
        <f>MID(analisis_productividad__4[[#This Row],[Periodo]],5,2)</f>
        <v>05</v>
      </c>
      <c r="E106" t="s">
        <v>11</v>
      </c>
      <c r="F106" t="s">
        <v>12</v>
      </c>
      <c r="G106">
        <v>123778</v>
      </c>
      <c r="H106">
        <v>6998744</v>
      </c>
      <c r="I106">
        <v>56.542923387096927</v>
      </c>
      <c r="J106">
        <v>115011.4737867334</v>
      </c>
      <c r="K106">
        <v>65.5</v>
      </c>
      <c r="L106">
        <v>63</v>
      </c>
      <c r="M106">
        <v>55.389519717073902</v>
      </c>
      <c r="N106">
        <v>6370430</v>
      </c>
    </row>
    <row r="107" spans="1:14" x14ac:dyDescent="0.35">
      <c r="A107" t="s">
        <v>37</v>
      </c>
      <c r="B107">
        <v>202511</v>
      </c>
      <c r="C107" t="str">
        <f>MID(analisis_productividad__4[[#This Row],[Periodo]],1,4)</f>
        <v>2025</v>
      </c>
      <c r="D107" t="str">
        <f>MID(analisis_productividad__4[[#This Row],[Periodo]],5,2)</f>
        <v>11</v>
      </c>
      <c r="E107" t="s">
        <v>16</v>
      </c>
      <c r="F107" t="s">
        <v>17</v>
      </c>
      <c r="G107">
        <v>123664</v>
      </c>
      <c r="H107">
        <v>10619792</v>
      </c>
      <c r="I107">
        <v>85.876486111111163</v>
      </c>
      <c r="J107">
        <v>100564.50922543666</v>
      </c>
      <c r="K107">
        <v>107.5</v>
      </c>
      <c r="L107">
        <v>102.5</v>
      </c>
      <c r="M107">
        <v>105.6017906495569</v>
      </c>
      <c r="N107">
        <v>9832946</v>
      </c>
    </row>
    <row r="108" spans="1:14" x14ac:dyDescent="0.35">
      <c r="A108" t="s">
        <v>32</v>
      </c>
      <c r="B108">
        <v>202503</v>
      </c>
      <c r="C108" t="str">
        <f>MID(analisis_productividad__4[[#This Row],[Periodo]],1,4)</f>
        <v>2025</v>
      </c>
      <c r="D108" t="str">
        <f>MID(analisis_productividad__4[[#This Row],[Periodo]],5,2)</f>
        <v>03</v>
      </c>
      <c r="E108" t="s">
        <v>11</v>
      </c>
      <c r="F108" t="s">
        <v>12</v>
      </c>
      <c r="G108">
        <v>123658</v>
      </c>
      <c r="H108">
        <v>7417542</v>
      </c>
      <c r="I108">
        <v>59.984495967741957</v>
      </c>
      <c r="J108">
        <v>125470.23393001349</v>
      </c>
      <c r="K108">
        <v>65.5</v>
      </c>
      <c r="L108">
        <v>66</v>
      </c>
      <c r="M108">
        <v>59.11794413436305</v>
      </c>
      <c r="N108">
        <v>7764161</v>
      </c>
    </row>
    <row r="109" spans="1:14" x14ac:dyDescent="0.35">
      <c r="A109" t="s">
        <v>39</v>
      </c>
      <c r="B109">
        <v>202512</v>
      </c>
      <c r="C109" t="str">
        <f>MID(analisis_productividad__4[[#This Row],[Periodo]],1,4)</f>
        <v>2025</v>
      </c>
      <c r="D109" t="str">
        <f>MID(analisis_productividad__4[[#This Row],[Periodo]],5,2)</f>
        <v>12</v>
      </c>
      <c r="E109" t="s">
        <v>16</v>
      </c>
      <c r="F109" t="s">
        <v>17</v>
      </c>
      <c r="G109">
        <v>123594</v>
      </c>
      <c r="H109">
        <v>12145136</v>
      </c>
      <c r="I109">
        <v>98.266592741935341</v>
      </c>
      <c r="J109">
        <v>120594.04085445596</v>
      </c>
      <c r="K109">
        <v>93.5</v>
      </c>
      <c r="L109">
        <v>94</v>
      </c>
      <c r="M109">
        <v>100.71091609458442</v>
      </c>
      <c r="N109">
        <v>11941678</v>
      </c>
    </row>
    <row r="110" spans="1:14" x14ac:dyDescent="0.35">
      <c r="A110" t="s">
        <v>31</v>
      </c>
      <c r="B110">
        <v>202512</v>
      </c>
      <c r="C110" t="str">
        <f>MID(analisis_productividad__4[[#This Row],[Periodo]],1,4)</f>
        <v>2025</v>
      </c>
      <c r="D110" t="str">
        <f>MID(analisis_productividad__4[[#This Row],[Periodo]],5,2)</f>
        <v>12</v>
      </c>
      <c r="E110" t="s">
        <v>11</v>
      </c>
      <c r="F110" t="s">
        <v>14</v>
      </c>
      <c r="G110">
        <v>123536</v>
      </c>
      <c r="H110">
        <v>10770884</v>
      </c>
      <c r="I110">
        <v>87.188293010752673</v>
      </c>
      <c r="J110">
        <v>116064.59778662221</v>
      </c>
      <c r="K110">
        <v>101.5</v>
      </c>
      <c r="L110">
        <v>97.5</v>
      </c>
      <c r="M110">
        <v>92.800768497915442</v>
      </c>
      <c r="N110">
        <v>12764237</v>
      </c>
    </row>
    <row r="111" spans="1:14" x14ac:dyDescent="0.35">
      <c r="A111" t="s">
        <v>10</v>
      </c>
      <c r="B111">
        <v>202606</v>
      </c>
      <c r="C111" t="str">
        <f>MID(analisis_productividad__4[[#This Row],[Periodo]],1,4)</f>
        <v>2026</v>
      </c>
      <c r="D111" t="str">
        <f>MID(analisis_productividad__4[[#This Row],[Periodo]],5,2)</f>
        <v>06</v>
      </c>
      <c r="E111" t="s">
        <v>11</v>
      </c>
      <c r="F111" t="s">
        <v>12</v>
      </c>
      <c r="G111">
        <v>123365</v>
      </c>
      <c r="H111">
        <v>10402007</v>
      </c>
      <c r="I111">
        <v>84.319277777780243</v>
      </c>
      <c r="J111">
        <v>115349.41384445751</v>
      </c>
      <c r="K111">
        <v>98.5</v>
      </c>
      <c r="L111">
        <v>96.5</v>
      </c>
      <c r="M111">
        <v>87.166669283279759</v>
      </c>
      <c r="N111">
        <v>10054624</v>
      </c>
    </row>
    <row r="112" spans="1:14" x14ac:dyDescent="0.35">
      <c r="A112" t="s">
        <v>15</v>
      </c>
      <c r="B112">
        <v>202409</v>
      </c>
      <c r="C112" t="str">
        <f>MID(analisis_productividad__4[[#This Row],[Periodo]],1,4)</f>
        <v>2024</v>
      </c>
      <c r="D112" t="str">
        <f>MID(analisis_productividad__4[[#This Row],[Periodo]],5,2)</f>
        <v>09</v>
      </c>
      <c r="E112" t="s">
        <v>16</v>
      </c>
      <c r="F112" t="s">
        <v>17</v>
      </c>
      <c r="G112">
        <v>123201</v>
      </c>
      <c r="H112">
        <v>6618254</v>
      </c>
      <c r="I112">
        <v>53.719166666666695</v>
      </c>
      <c r="J112">
        <v>0</v>
      </c>
      <c r="K112">
        <v>61</v>
      </c>
      <c r="L112">
        <v>60</v>
      </c>
      <c r="N112">
        <v>0</v>
      </c>
    </row>
    <row r="113" spans="1:14" x14ac:dyDescent="0.35">
      <c r="A113" t="s">
        <v>32</v>
      </c>
      <c r="B113">
        <v>202603</v>
      </c>
      <c r="C113" t="str">
        <f>MID(analisis_productividad__4[[#This Row],[Periodo]],1,4)</f>
        <v>2026</v>
      </c>
      <c r="D113" t="str">
        <f>MID(analisis_productividad__4[[#This Row],[Periodo]],5,2)</f>
        <v>03</v>
      </c>
      <c r="E113" t="s">
        <v>11</v>
      </c>
      <c r="F113" t="s">
        <v>12</v>
      </c>
      <c r="G113">
        <v>123057</v>
      </c>
      <c r="H113">
        <v>7688902</v>
      </c>
      <c r="I113">
        <v>62.48252688172046</v>
      </c>
      <c r="J113">
        <v>131553.57762963322</v>
      </c>
      <c r="K113">
        <v>65.5</v>
      </c>
      <c r="L113">
        <v>66</v>
      </c>
      <c r="M113">
        <v>55.812340478272937</v>
      </c>
      <c r="N113">
        <v>7342313</v>
      </c>
    </row>
    <row r="114" spans="1:14" x14ac:dyDescent="0.35">
      <c r="A114" t="s">
        <v>63</v>
      </c>
      <c r="B114">
        <v>202509</v>
      </c>
      <c r="C114" t="str">
        <f>MID(analisis_productividad__4[[#This Row],[Periodo]],1,4)</f>
        <v>2025</v>
      </c>
      <c r="D114" t="str">
        <f>MID(analisis_productividad__4[[#This Row],[Periodo]],5,2)</f>
        <v>09</v>
      </c>
      <c r="E114" t="s">
        <v>16</v>
      </c>
      <c r="F114" t="s">
        <v>17</v>
      </c>
      <c r="G114">
        <v>122960</v>
      </c>
      <c r="H114">
        <v>9606492</v>
      </c>
      <c r="I114">
        <v>78.126951388888855</v>
      </c>
      <c r="J114">
        <v>119798.6733219189</v>
      </c>
      <c r="K114">
        <v>86.5</v>
      </c>
      <c r="L114">
        <v>81.5</v>
      </c>
      <c r="M114">
        <v>80.188631757096061</v>
      </c>
      <c r="N114">
        <v>9754738</v>
      </c>
    </row>
    <row r="115" spans="1:14" x14ac:dyDescent="0.35">
      <c r="A115" t="s">
        <v>13</v>
      </c>
      <c r="B115">
        <v>202602</v>
      </c>
      <c r="C115" t="str">
        <f>MID(analisis_productividad__4[[#This Row],[Periodo]],1,4)</f>
        <v>2026</v>
      </c>
      <c r="D115" t="str">
        <f>MID(analisis_productividad__4[[#This Row],[Periodo]],5,2)</f>
        <v>02</v>
      </c>
      <c r="E115" t="s">
        <v>11</v>
      </c>
      <c r="F115" t="s">
        <v>14</v>
      </c>
      <c r="G115">
        <v>122901</v>
      </c>
      <c r="H115">
        <v>10786735</v>
      </c>
      <c r="I115">
        <v>87.767968749999994</v>
      </c>
      <c r="J115">
        <v>114540.39380543392</v>
      </c>
      <c r="K115">
        <v>100</v>
      </c>
      <c r="L115">
        <v>98</v>
      </c>
      <c r="M115">
        <v>86.393284871267369</v>
      </c>
      <c r="N115">
        <v>9895521</v>
      </c>
    </row>
    <row r="116" spans="1:14" x14ac:dyDescent="0.35">
      <c r="A116" t="s">
        <v>30</v>
      </c>
      <c r="B116">
        <v>202511</v>
      </c>
      <c r="C116" t="str">
        <f>MID(analisis_productividad__4[[#This Row],[Periodo]],1,4)</f>
        <v>2025</v>
      </c>
      <c r="D116" t="str">
        <f>MID(analisis_productividad__4[[#This Row],[Periodo]],5,2)</f>
        <v>11</v>
      </c>
      <c r="E116" t="s">
        <v>16</v>
      </c>
      <c r="F116" t="s">
        <v>19</v>
      </c>
      <c r="G116">
        <v>122790</v>
      </c>
      <c r="H116">
        <v>10610599</v>
      </c>
      <c r="I116">
        <v>86.412326388888928</v>
      </c>
      <c r="J116">
        <v>109492.04868205982</v>
      </c>
      <c r="K116">
        <v>101</v>
      </c>
      <c r="L116">
        <v>105</v>
      </c>
      <c r="M116">
        <v>96.907484769152362</v>
      </c>
      <c r="N116">
        <v>10457442</v>
      </c>
    </row>
    <row r="117" spans="1:14" x14ac:dyDescent="0.35">
      <c r="A117" t="s">
        <v>23</v>
      </c>
      <c r="B117">
        <v>202605</v>
      </c>
      <c r="C117" t="str">
        <f>MID(analisis_productividad__4[[#This Row],[Periodo]],1,4)</f>
        <v>2026</v>
      </c>
      <c r="D117" t="str">
        <f>MID(analisis_productividad__4[[#This Row],[Periodo]],5,2)</f>
        <v>05</v>
      </c>
      <c r="E117" t="s">
        <v>11</v>
      </c>
      <c r="F117" t="s">
        <v>12</v>
      </c>
      <c r="G117">
        <v>122732</v>
      </c>
      <c r="H117">
        <v>7362386</v>
      </c>
      <c r="I117">
        <v>59.987365591397605</v>
      </c>
      <c r="J117">
        <v>114648.54931131439</v>
      </c>
      <c r="K117">
        <v>68.5</v>
      </c>
      <c r="L117">
        <v>66</v>
      </c>
      <c r="M117">
        <v>59.179400136818131</v>
      </c>
      <c r="N117">
        <v>6784832</v>
      </c>
    </row>
    <row r="118" spans="1:14" x14ac:dyDescent="0.35">
      <c r="A118" t="s">
        <v>30</v>
      </c>
      <c r="B118">
        <v>202507</v>
      </c>
      <c r="C118" t="str">
        <f>MID(analisis_productividad__4[[#This Row],[Periodo]],1,4)</f>
        <v>2025</v>
      </c>
      <c r="D118" t="str">
        <f>MID(analisis_productividad__4[[#This Row],[Periodo]],5,2)</f>
        <v>07</v>
      </c>
      <c r="E118" t="s">
        <v>16</v>
      </c>
      <c r="F118" t="s">
        <v>19</v>
      </c>
      <c r="G118">
        <v>122706</v>
      </c>
      <c r="H118">
        <v>9625076</v>
      </c>
      <c r="I118">
        <v>78.440362903225818</v>
      </c>
      <c r="J118">
        <v>127414.52709941164</v>
      </c>
      <c r="K118">
        <v>101</v>
      </c>
      <c r="L118">
        <v>105</v>
      </c>
      <c r="M118">
        <v>75.541435965855769</v>
      </c>
      <c r="N118">
        <v>11419719</v>
      </c>
    </row>
    <row r="119" spans="1:14" x14ac:dyDescent="0.35">
      <c r="A119" t="s">
        <v>20</v>
      </c>
      <c r="B119">
        <v>202412</v>
      </c>
      <c r="C119" t="str">
        <f>MID(analisis_productividad__4[[#This Row],[Periodo]],1,4)</f>
        <v>2024</v>
      </c>
      <c r="D119" t="str">
        <f>MID(analisis_productividad__4[[#This Row],[Periodo]],5,2)</f>
        <v>12</v>
      </c>
      <c r="E119" t="s">
        <v>16</v>
      </c>
      <c r="F119" t="s">
        <v>21</v>
      </c>
      <c r="G119">
        <v>122608</v>
      </c>
      <c r="H119">
        <v>12278448</v>
      </c>
      <c r="I119">
        <v>100.14375000000003</v>
      </c>
      <c r="J119">
        <v>0</v>
      </c>
      <c r="K119">
        <v>96.5</v>
      </c>
      <c r="L119">
        <v>94</v>
      </c>
      <c r="N119">
        <v>0</v>
      </c>
    </row>
    <row r="120" spans="1:14" x14ac:dyDescent="0.35">
      <c r="A120" t="s">
        <v>24</v>
      </c>
      <c r="B120">
        <v>202412</v>
      </c>
      <c r="C120" t="str">
        <f>MID(analisis_productividad__4[[#This Row],[Periodo]],1,4)</f>
        <v>2024</v>
      </c>
      <c r="D120" t="str">
        <f>MID(analisis_productividad__4[[#This Row],[Periodo]],5,2)</f>
        <v>12</v>
      </c>
      <c r="E120" t="s">
        <v>16</v>
      </c>
      <c r="F120" t="s">
        <v>21</v>
      </c>
      <c r="G120">
        <v>122113</v>
      </c>
      <c r="H120">
        <v>14393863</v>
      </c>
      <c r="I120">
        <v>117.87374327956984</v>
      </c>
      <c r="J120">
        <v>0</v>
      </c>
      <c r="K120">
        <v>125</v>
      </c>
      <c r="L120">
        <v>118.5</v>
      </c>
      <c r="N120">
        <v>0</v>
      </c>
    </row>
    <row r="121" spans="1:14" x14ac:dyDescent="0.35">
      <c r="A121" t="s">
        <v>33</v>
      </c>
      <c r="B121">
        <v>202606</v>
      </c>
      <c r="C121" t="str">
        <f>MID(analisis_productividad__4[[#This Row],[Periodo]],1,4)</f>
        <v>2026</v>
      </c>
      <c r="D121" t="str">
        <f>MID(analisis_productividad__4[[#This Row],[Periodo]],5,2)</f>
        <v>06</v>
      </c>
      <c r="E121" t="s">
        <v>34</v>
      </c>
      <c r="F121" t="s">
        <v>35</v>
      </c>
      <c r="G121">
        <v>122028</v>
      </c>
      <c r="H121">
        <v>1165952</v>
      </c>
      <c r="I121">
        <v>9.5547569444444491</v>
      </c>
      <c r="J121">
        <v>73326.784872190285</v>
      </c>
      <c r="K121">
        <v>15</v>
      </c>
      <c r="L121">
        <v>15</v>
      </c>
      <c r="M121">
        <v>13.971887755419019</v>
      </c>
      <c r="N121">
        <v>1024514</v>
      </c>
    </row>
    <row r="122" spans="1:14" x14ac:dyDescent="0.35">
      <c r="A122" t="s">
        <v>37</v>
      </c>
      <c r="B122">
        <v>202412</v>
      </c>
      <c r="C122" t="str">
        <f>MID(analisis_productividad__4[[#This Row],[Periodo]],1,4)</f>
        <v>2024</v>
      </c>
      <c r="D122" t="str">
        <f>MID(analisis_productividad__4[[#This Row],[Periodo]],5,2)</f>
        <v>12</v>
      </c>
      <c r="E122" t="s">
        <v>16</v>
      </c>
      <c r="F122" t="s">
        <v>17</v>
      </c>
      <c r="G122">
        <v>122017</v>
      </c>
      <c r="H122">
        <v>14932341</v>
      </c>
      <c r="I122">
        <v>122.37952284946229</v>
      </c>
      <c r="J122">
        <v>0</v>
      </c>
      <c r="K122">
        <v>107.5</v>
      </c>
      <c r="L122">
        <v>102.5</v>
      </c>
      <c r="N122">
        <v>0</v>
      </c>
    </row>
    <row r="123" spans="1:14" x14ac:dyDescent="0.35">
      <c r="A123" t="s">
        <v>36</v>
      </c>
      <c r="B123">
        <v>202603</v>
      </c>
      <c r="C123" t="str">
        <f>MID(analisis_productividad__4[[#This Row],[Periodo]],1,4)</f>
        <v>2026</v>
      </c>
      <c r="D123" t="str">
        <f>MID(analisis_productividad__4[[#This Row],[Periodo]],5,2)</f>
        <v>03</v>
      </c>
      <c r="E123" t="s">
        <v>16</v>
      </c>
      <c r="F123" t="s">
        <v>17</v>
      </c>
      <c r="G123">
        <v>121962</v>
      </c>
      <c r="H123">
        <v>9334129</v>
      </c>
      <c r="I123">
        <v>76.532956989247296</v>
      </c>
      <c r="J123">
        <v>138625.43672875984</v>
      </c>
      <c r="K123">
        <v>76.5</v>
      </c>
      <c r="L123">
        <v>80</v>
      </c>
      <c r="M123">
        <v>67.450733277005639</v>
      </c>
      <c r="N123">
        <v>9350387</v>
      </c>
    </row>
    <row r="124" spans="1:14" x14ac:dyDescent="0.35">
      <c r="A124" t="s">
        <v>37</v>
      </c>
      <c r="B124">
        <v>202603</v>
      </c>
      <c r="C124" t="str">
        <f>MID(analisis_productividad__4[[#This Row],[Periodo]],1,4)</f>
        <v>2026</v>
      </c>
      <c r="D124" t="str">
        <f>MID(analisis_productividad__4[[#This Row],[Periodo]],5,2)</f>
        <v>03</v>
      </c>
      <c r="E124" t="s">
        <v>16</v>
      </c>
      <c r="F124" t="s">
        <v>17</v>
      </c>
      <c r="G124">
        <v>121745</v>
      </c>
      <c r="H124">
        <v>11745132</v>
      </c>
      <c r="I124">
        <v>96.473595430107508</v>
      </c>
      <c r="J124">
        <v>115386.39285004592</v>
      </c>
      <c r="K124">
        <v>107.5</v>
      </c>
      <c r="L124">
        <v>102.5</v>
      </c>
      <c r="M124">
        <v>96.70800932222366</v>
      </c>
      <c r="N124">
        <v>11158788</v>
      </c>
    </row>
    <row r="125" spans="1:14" x14ac:dyDescent="0.35">
      <c r="A125" t="s">
        <v>38</v>
      </c>
      <c r="B125">
        <v>202605</v>
      </c>
      <c r="C125" t="str">
        <f>MID(analisis_productividad__4[[#This Row],[Periodo]],1,4)</f>
        <v>2026</v>
      </c>
      <c r="D125" t="str">
        <f>MID(analisis_productividad__4[[#This Row],[Periodo]],5,2)</f>
        <v>05</v>
      </c>
      <c r="E125" t="s">
        <v>34</v>
      </c>
      <c r="F125" t="s">
        <v>35</v>
      </c>
      <c r="G125">
        <v>121694</v>
      </c>
      <c r="H125">
        <v>12787907</v>
      </c>
      <c r="I125">
        <v>105.08274865591315</v>
      </c>
      <c r="J125">
        <v>103846.49919956453</v>
      </c>
      <c r="K125">
        <v>140.5</v>
      </c>
      <c r="L125">
        <v>125.5</v>
      </c>
      <c r="M125">
        <v>117.18897502469719</v>
      </c>
      <c r="N125">
        <v>12169665</v>
      </c>
    </row>
    <row r="126" spans="1:14" x14ac:dyDescent="0.35">
      <c r="A126" t="s">
        <v>30</v>
      </c>
      <c r="B126">
        <v>202503</v>
      </c>
      <c r="C126" t="str">
        <f>MID(analisis_productividad__4[[#This Row],[Periodo]],1,4)</f>
        <v>2025</v>
      </c>
      <c r="D126" t="str">
        <f>MID(analisis_productividad__4[[#This Row],[Periodo]],5,2)</f>
        <v>03</v>
      </c>
      <c r="E126" t="s">
        <v>16</v>
      </c>
      <c r="F126" t="s">
        <v>19</v>
      </c>
      <c r="G126">
        <v>121503</v>
      </c>
      <c r="H126">
        <v>10544498</v>
      </c>
      <c r="I126">
        <v>86.784005376344055</v>
      </c>
      <c r="J126">
        <v>121842.77484750219</v>
      </c>
      <c r="K126">
        <v>101</v>
      </c>
      <c r="L126">
        <v>105</v>
      </c>
      <c r="M126">
        <v>86.541842905313359</v>
      </c>
      <c r="N126">
        <v>10553386</v>
      </c>
    </row>
    <row r="127" spans="1:14" x14ac:dyDescent="0.35">
      <c r="A127" t="s">
        <v>30</v>
      </c>
      <c r="B127">
        <v>202407</v>
      </c>
      <c r="C127" t="str">
        <f>MID(analisis_productividad__4[[#This Row],[Periodo]],1,4)</f>
        <v>2024</v>
      </c>
      <c r="D127" t="str">
        <f>MID(analisis_productividad__4[[#This Row],[Periodo]],5,2)</f>
        <v>07</v>
      </c>
      <c r="E127" t="s">
        <v>16</v>
      </c>
      <c r="F127" t="s">
        <v>19</v>
      </c>
      <c r="G127">
        <v>121347</v>
      </c>
      <c r="H127">
        <v>10506378</v>
      </c>
      <c r="I127">
        <v>86.58115591397852</v>
      </c>
      <c r="J127">
        <v>0</v>
      </c>
      <c r="K127">
        <v>101</v>
      </c>
      <c r="L127">
        <v>105</v>
      </c>
      <c r="N127">
        <v>0</v>
      </c>
    </row>
    <row r="128" spans="1:14" x14ac:dyDescent="0.35">
      <c r="A128" t="s">
        <v>53</v>
      </c>
      <c r="B128">
        <v>202512</v>
      </c>
      <c r="C128" t="str">
        <f>MID(analisis_productividad__4[[#This Row],[Periodo]],1,4)</f>
        <v>2025</v>
      </c>
      <c r="D128" t="str">
        <f>MID(analisis_productividad__4[[#This Row],[Periodo]],5,2)</f>
        <v>12</v>
      </c>
      <c r="E128" t="s">
        <v>11</v>
      </c>
      <c r="F128" t="s">
        <v>12</v>
      </c>
      <c r="G128">
        <v>121234</v>
      </c>
      <c r="H128">
        <v>9232864</v>
      </c>
      <c r="I128">
        <v>76.157130376344043</v>
      </c>
      <c r="J128">
        <v>116350.807573667</v>
      </c>
      <c r="K128">
        <v>81</v>
      </c>
      <c r="L128">
        <v>77</v>
      </c>
      <c r="M128">
        <v>79.353671732396478</v>
      </c>
      <c r="N128">
        <v>10159534</v>
      </c>
    </row>
    <row r="129" spans="1:14" x14ac:dyDescent="0.35">
      <c r="A129" t="s">
        <v>43</v>
      </c>
      <c r="B129">
        <v>202412</v>
      </c>
      <c r="C129" t="str">
        <f>MID(analisis_productividad__4[[#This Row],[Periodo]],1,4)</f>
        <v>2024</v>
      </c>
      <c r="D129" t="str">
        <f>MID(analisis_productividad__4[[#This Row],[Periodo]],5,2)</f>
        <v>12</v>
      </c>
      <c r="E129" t="s">
        <v>11</v>
      </c>
      <c r="F129" t="s">
        <v>12</v>
      </c>
      <c r="G129">
        <v>121229</v>
      </c>
      <c r="H129">
        <v>10322704</v>
      </c>
      <c r="I129">
        <v>85.150672043010744</v>
      </c>
      <c r="J129">
        <v>0</v>
      </c>
      <c r="K129">
        <v>84.5</v>
      </c>
      <c r="L129">
        <v>86.5</v>
      </c>
      <c r="N129">
        <v>0</v>
      </c>
    </row>
    <row r="130" spans="1:14" x14ac:dyDescent="0.35">
      <c r="A130" t="s">
        <v>63</v>
      </c>
      <c r="B130">
        <v>202505</v>
      </c>
      <c r="C130" t="str">
        <f>MID(analisis_productividad__4[[#This Row],[Periodo]],1,4)</f>
        <v>2025</v>
      </c>
      <c r="D130" t="str">
        <f>MID(analisis_productividad__4[[#This Row],[Periodo]],5,2)</f>
        <v>05</v>
      </c>
      <c r="E130" t="s">
        <v>16</v>
      </c>
      <c r="F130" t="s">
        <v>17</v>
      </c>
      <c r="G130">
        <v>120971</v>
      </c>
      <c r="H130">
        <v>10406454</v>
      </c>
      <c r="I130">
        <v>86.024590053763376</v>
      </c>
      <c r="J130">
        <v>108260.06488602018</v>
      </c>
      <c r="K130">
        <v>86.5</v>
      </c>
      <c r="L130">
        <v>81.5</v>
      </c>
      <c r="M130">
        <v>96.124590549213693</v>
      </c>
      <c r="N130">
        <v>10085642</v>
      </c>
    </row>
    <row r="131" spans="1:14" x14ac:dyDescent="0.35">
      <c r="A131" t="s">
        <v>10</v>
      </c>
      <c r="B131">
        <v>202503</v>
      </c>
      <c r="C131" t="str">
        <f>MID(analisis_productividad__4[[#This Row],[Periodo]],1,4)</f>
        <v>2025</v>
      </c>
      <c r="D131" t="str">
        <f>MID(analisis_productividad__4[[#This Row],[Periodo]],5,2)</f>
        <v>03</v>
      </c>
      <c r="E131" t="s">
        <v>11</v>
      </c>
      <c r="F131" t="s">
        <v>12</v>
      </c>
      <c r="G131">
        <v>120956</v>
      </c>
      <c r="H131">
        <v>11059698</v>
      </c>
      <c r="I131">
        <v>91.435336021505307</v>
      </c>
      <c r="J131">
        <v>120896.88741263513</v>
      </c>
      <c r="K131">
        <v>98.5</v>
      </c>
      <c r="L131">
        <v>96.5</v>
      </c>
      <c r="M131">
        <v>91.480416549120633</v>
      </c>
      <c r="N131">
        <v>12315081</v>
      </c>
    </row>
    <row r="132" spans="1:14" x14ac:dyDescent="0.35">
      <c r="A132" t="s">
        <v>39</v>
      </c>
      <c r="B132">
        <v>202603</v>
      </c>
      <c r="C132" t="str">
        <f>MID(analisis_productividad__4[[#This Row],[Periodo]],1,4)</f>
        <v>2026</v>
      </c>
      <c r="D132" t="str">
        <f>MID(analisis_productividad__4[[#This Row],[Periodo]],5,2)</f>
        <v>03</v>
      </c>
      <c r="E132" t="s">
        <v>16</v>
      </c>
      <c r="F132" t="s">
        <v>17</v>
      </c>
      <c r="G132">
        <v>120904</v>
      </c>
      <c r="H132">
        <v>10383142</v>
      </c>
      <c r="I132">
        <v>85.879038978494563</v>
      </c>
      <c r="J132">
        <v>117800.62719711983</v>
      </c>
      <c r="K132">
        <v>93.5</v>
      </c>
      <c r="L132">
        <v>94</v>
      </c>
      <c r="M132">
        <v>84.619508156945685</v>
      </c>
      <c r="N132">
        <v>9968231</v>
      </c>
    </row>
    <row r="133" spans="1:14" x14ac:dyDescent="0.35">
      <c r="A133" t="s">
        <v>40</v>
      </c>
      <c r="B133">
        <v>202603</v>
      </c>
      <c r="C133" t="str">
        <f>MID(analisis_productividad__4[[#This Row],[Periodo]],1,4)</f>
        <v>2026</v>
      </c>
      <c r="D133" t="str">
        <f>MID(analisis_productividad__4[[#This Row],[Periodo]],5,2)</f>
        <v>03</v>
      </c>
      <c r="E133" t="s">
        <v>11</v>
      </c>
      <c r="F133" t="s">
        <v>14</v>
      </c>
      <c r="G133">
        <v>120499</v>
      </c>
      <c r="H133">
        <v>8437311</v>
      </c>
      <c r="I133">
        <v>70.019899193548412</v>
      </c>
      <c r="J133">
        <v>118051.21856134386</v>
      </c>
      <c r="K133">
        <v>76.5</v>
      </c>
      <c r="L133">
        <v>75.5</v>
      </c>
      <c r="M133">
        <v>67.697971575339096</v>
      </c>
      <c r="N133">
        <v>7991828</v>
      </c>
    </row>
    <row r="134" spans="1:14" x14ac:dyDescent="0.35">
      <c r="A134" t="s">
        <v>29</v>
      </c>
      <c r="B134">
        <v>202601</v>
      </c>
      <c r="C134" t="str">
        <f>MID(analisis_productividad__4[[#This Row],[Periodo]],1,4)</f>
        <v>2026</v>
      </c>
      <c r="D134" t="str">
        <f>MID(analisis_productividad__4[[#This Row],[Periodo]],5,2)</f>
        <v>01</v>
      </c>
      <c r="E134" t="s">
        <v>16</v>
      </c>
      <c r="F134" t="s">
        <v>19</v>
      </c>
      <c r="G134">
        <v>120493</v>
      </c>
      <c r="H134">
        <v>10143449</v>
      </c>
      <c r="I134">
        <v>84.183232526881724</v>
      </c>
      <c r="J134">
        <v>129912.11464541998</v>
      </c>
      <c r="K134">
        <v>96.5</v>
      </c>
      <c r="L134">
        <v>96</v>
      </c>
      <c r="M134">
        <v>83.321494048065787</v>
      </c>
      <c r="N134">
        <v>10824471</v>
      </c>
    </row>
    <row r="135" spans="1:14" x14ac:dyDescent="0.35">
      <c r="A135" t="s">
        <v>27</v>
      </c>
      <c r="B135">
        <v>202511</v>
      </c>
      <c r="C135" t="str">
        <f>MID(analisis_productividad__4[[#This Row],[Periodo]],1,4)</f>
        <v>2025</v>
      </c>
      <c r="D135" t="str">
        <f>MID(analisis_productividad__4[[#This Row],[Periodo]],5,2)</f>
        <v>11</v>
      </c>
      <c r="E135" t="s">
        <v>11</v>
      </c>
      <c r="F135" t="s">
        <v>14</v>
      </c>
      <c r="G135">
        <v>120361</v>
      </c>
      <c r="H135">
        <v>9580151</v>
      </c>
      <c r="I135">
        <v>79.594861111111172</v>
      </c>
      <c r="J135">
        <v>98943.671012343766</v>
      </c>
      <c r="K135">
        <v>88</v>
      </c>
      <c r="L135">
        <v>84</v>
      </c>
      <c r="M135">
        <v>96.824289941746983</v>
      </c>
      <c r="N135">
        <v>8608878</v>
      </c>
    </row>
    <row r="136" spans="1:14" x14ac:dyDescent="0.35">
      <c r="A136" t="s">
        <v>56</v>
      </c>
      <c r="B136">
        <v>202503</v>
      </c>
      <c r="C136" t="str">
        <f>MID(analisis_productividad__4[[#This Row],[Periodo]],1,4)</f>
        <v>2025</v>
      </c>
      <c r="D136" t="str">
        <f>MID(analisis_productividad__4[[#This Row],[Periodo]],5,2)</f>
        <v>03</v>
      </c>
      <c r="E136" t="s">
        <v>16</v>
      </c>
      <c r="F136" t="s">
        <v>21</v>
      </c>
      <c r="G136">
        <v>120289</v>
      </c>
      <c r="H136">
        <v>7107254</v>
      </c>
      <c r="I136">
        <v>59.084845430107499</v>
      </c>
      <c r="J136">
        <v>102617.39737322778</v>
      </c>
      <c r="K136">
        <v>72.5</v>
      </c>
      <c r="L136">
        <v>68.5</v>
      </c>
      <c r="M136">
        <v>69.259741836467953</v>
      </c>
      <c r="N136">
        <v>6868134</v>
      </c>
    </row>
    <row r="137" spans="1:14" x14ac:dyDescent="0.35">
      <c r="A137" t="s">
        <v>15</v>
      </c>
      <c r="B137">
        <v>202405</v>
      </c>
      <c r="C137" t="str">
        <f>MID(analisis_productividad__4[[#This Row],[Periodo]],1,4)</f>
        <v>2024</v>
      </c>
      <c r="D137" t="str">
        <f>MID(analisis_productividad__4[[#This Row],[Periodo]],5,2)</f>
        <v>05</v>
      </c>
      <c r="E137" t="s">
        <v>16</v>
      </c>
      <c r="F137" t="s">
        <v>17</v>
      </c>
      <c r="G137">
        <v>120204</v>
      </c>
      <c r="H137">
        <v>6091120</v>
      </c>
      <c r="I137">
        <v>50.673319892473131</v>
      </c>
      <c r="J137">
        <v>0</v>
      </c>
      <c r="K137">
        <v>61</v>
      </c>
      <c r="L137">
        <v>60</v>
      </c>
      <c r="N137">
        <v>0</v>
      </c>
    </row>
    <row r="138" spans="1:14" x14ac:dyDescent="0.35">
      <c r="A138" t="s">
        <v>8</v>
      </c>
      <c r="B138">
        <v>202503</v>
      </c>
      <c r="C138" t="str">
        <f>MID(analisis_productividad__4[[#This Row],[Periodo]],1,4)</f>
        <v>2025</v>
      </c>
      <c r="D138" t="str">
        <f>MID(analisis_productividad__4[[#This Row],[Periodo]],5,2)</f>
        <v>03</v>
      </c>
      <c r="E138" t="s">
        <v>9</v>
      </c>
      <c r="F138" t="s">
        <v>9</v>
      </c>
      <c r="G138">
        <v>120140</v>
      </c>
      <c r="H138">
        <v>3107812</v>
      </c>
      <c r="I138">
        <v>25.868245967741938</v>
      </c>
      <c r="J138">
        <v>76191.686301223745</v>
      </c>
      <c r="K138">
        <v>13.5</v>
      </c>
      <c r="L138">
        <v>12.5</v>
      </c>
      <c r="M138">
        <v>40.789379141882634</v>
      </c>
      <c r="N138">
        <v>941378</v>
      </c>
    </row>
    <row r="139" spans="1:14" x14ac:dyDescent="0.35">
      <c r="A139" t="s">
        <v>41</v>
      </c>
      <c r="B139">
        <v>202603</v>
      </c>
      <c r="C139" t="str">
        <f>MID(analisis_productividad__4[[#This Row],[Periodo]],1,4)</f>
        <v>2026</v>
      </c>
      <c r="D139" t="str">
        <f>MID(analisis_productividad__4[[#This Row],[Periodo]],5,2)</f>
        <v>03</v>
      </c>
      <c r="E139" t="s">
        <v>16</v>
      </c>
      <c r="F139" t="s">
        <v>19</v>
      </c>
      <c r="G139">
        <v>120071</v>
      </c>
      <c r="H139">
        <v>6484451</v>
      </c>
      <c r="I139">
        <v>54.005282258064511</v>
      </c>
      <c r="J139">
        <v>132658.56321990382</v>
      </c>
      <c r="K139">
        <v>57.5</v>
      </c>
      <c r="L139">
        <v>56.5</v>
      </c>
      <c r="M139">
        <v>50.698263574219922</v>
      </c>
      <c r="N139">
        <v>6725559</v>
      </c>
    </row>
    <row r="140" spans="1:14" x14ac:dyDescent="0.35">
      <c r="A140" t="s">
        <v>40</v>
      </c>
      <c r="B140">
        <v>202403</v>
      </c>
      <c r="C140" t="str">
        <f>MID(analisis_productividad__4[[#This Row],[Periodo]],1,4)</f>
        <v>2024</v>
      </c>
      <c r="D140" t="str">
        <f>MID(analisis_productividad__4[[#This Row],[Periodo]],5,2)</f>
        <v>03</v>
      </c>
      <c r="E140" t="s">
        <v>11</v>
      </c>
      <c r="F140" t="s">
        <v>14</v>
      </c>
      <c r="G140">
        <v>119878</v>
      </c>
      <c r="H140">
        <v>9145975</v>
      </c>
      <c r="I140">
        <v>76.293790322580648</v>
      </c>
      <c r="J140">
        <v>0</v>
      </c>
      <c r="K140">
        <v>76.5</v>
      </c>
      <c r="L140">
        <v>75.5</v>
      </c>
      <c r="N140">
        <v>0</v>
      </c>
    </row>
    <row r="141" spans="1:14" x14ac:dyDescent="0.35">
      <c r="A141" t="s">
        <v>29</v>
      </c>
      <c r="B141">
        <v>202605</v>
      </c>
      <c r="C141" t="str">
        <f>MID(analisis_productividad__4[[#This Row],[Periodo]],1,4)</f>
        <v>2026</v>
      </c>
      <c r="D141" t="str">
        <f>MID(analisis_productividad__4[[#This Row],[Periodo]],5,2)</f>
        <v>05</v>
      </c>
      <c r="E141" t="s">
        <v>16</v>
      </c>
      <c r="F141" t="s">
        <v>19</v>
      </c>
      <c r="G141">
        <v>119824</v>
      </c>
      <c r="H141">
        <v>10442437</v>
      </c>
      <c r="I141">
        <v>87.148212365590808</v>
      </c>
      <c r="J141">
        <v>132364.57245519134</v>
      </c>
      <c r="K141">
        <v>96.5</v>
      </c>
      <c r="L141">
        <v>96</v>
      </c>
      <c r="M141">
        <v>83.321494048065787</v>
      </c>
      <c r="N141">
        <v>11028814</v>
      </c>
    </row>
    <row r="142" spans="1:14" x14ac:dyDescent="0.35">
      <c r="A142" t="s">
        <v>15</v>
      </c>
      <c r="B142">
        <v>202506</v>
      </c>
      <c r="C142" t="str">
        <f>MID(analisis_productividad__4[[#This Row],[Periodo]],1,4)</f>
        <v>2025</v>
      </c>
      <c r="D142" t="str">
        <f>MID(analisis_productividad__4[[#This Row],[Periodo]],5,2)</f>
        <v>06</v>
      </c>
      <c r="E142" t="s">
        <v>16</v>
      </c>
      <c r="F142" t="s">
        <v>17</v>
      </c>
      <c r="G142">
        <v>119743</v>
      </c>
      <c r="H142">
        <v>6420726</v>
      </c>
      <c r="I142">
        <v>53.620826388888894</v>
      </c>
      <c r="J142">
        <v>134887.29141029992</v>
      </c>
      <c r="K142">
        <v>61</v>
      </c>
      <c r="L142">
        <v>60</v>
      </c>
      <c r="M142">
        <v>47.600675963382244</v>
      </c>
      <c r="N142">
        <v>6662679</v>
      </c>
    </row>
    <row r="143" spans="1:14" x14ac:dyDescent="0.35">
      <c r="A143" t="s">
        <v>28</v>
      </c>
      <c r="B143">
        <v>202403</v>
      </c>
      <c r="C143" t="str">
        <f>MID(analisis_productividad__4[[#This Row],[Periodo]],1,4)</f>
        <v>2024</v>
      </c>
      <c r="D143" t="str">
        <f>MID(analisis_productividad__4[[#This Row],[Periodo]],5,2)</f>
        <v>03</v>
      </c>
      <c r="E143" t="s">
        <v>16</v>
      </c>
      <c r="F143" t="s">
        <v>17</v>
      </c>
      <c r="G143">
        <v>119738</v>
      </c>
      <c r="H143">
        <v>7077844</v>
      </c>
      <c r="I143">
        <v>59.110860215053783</v>
      </c>
      <c r="J143">
        <v>0</v>
      </c>
      <c r="K143">
        <v>64</v>
      </c>
      <c r="L143">
        <v>67</v>
      </c>
      <c r="N143">
        <v>0</v>
      </c>
    </row>
    <row r="144" spans="1:14" x14ac:dyDescent="0.35">
      <c r="A144" t="s">
        <v>29</v>
      </c>
      <c r="B144">
        <v>202604</v>
      </c>
      <c r="C144" t="str">
        <f>MID(analisis_productividad__4[[#This Row],[Periodo]],1,4)</f>
        <v>2026</v>
      </c>
      <c r="D144" t="str">
        <f>MID(analisis_productividad__4[[#This Row],[Periodo]],5,2)</f>
        <v>04</v>
      </c>
      <c r="E144" t="s">
        <v>16</v>
      </c>
      <c r="F144" t="s">
        <v>19</v>
      </c>
      <c r="G144">
        <v>119706</v>
      </c>
      <c r="H144">
        <v>10206022</v>
      </c>
      <c r="I144">
        <v>85.258881944446841</v>
      </c>
      <c r="J144">
        <v>141890.44670970403</v>
      </c>
      <c r="K144">
        <v>96.5</v>
      </c>
      <c r="L144">
        <v>96</v>
      </c>
      <c r="M144">
        <v>83.321494048065787</v>
      </c>
      <c r="N144">
        <v>11822524</v>
      </c>
    </row>
    <row r="145" spans="1:14" x14ac:dyDescent="0.35">
      <c r="A145" t="s">
        <v>42</v>
      </c>
      <c r="B145">
        <v>202603</v>
      </c>
      <c r="C145" t="str">
        <f>MID(analisis_productividad__4[[#This Row],[Periodo]],1,4)</f>
        <v>2026</v>
      </c>
      <c r="D145" t="str">
        <f>MID(analisis_productividad__4[[#This Row],[Periodo]],5,2)</f>
        <v>03</v>
      </c>
      <c r="E145" t="s">
        <v>16</v>
      </c>
      <c r="F145" t="s">
        <v>19</v>
      </c>
      <c r="G145">
        <v>119695</v>
      </c>
      <c r="H145">
        <v>6432504</v>
      </c>
      <c r="I145">
        <v>53.740665322580661</v>
      </c>
      <c r="J145">
        <v>107383.13805009029</v>
      </c>
      <c r="K145">
        <v>62</v>
      </c>
      <c r="L145">
        <v>58</v>
      </c>
      <c r="M145">
        <v>54.66595376698497</v>
      </c>
      <c r="N145">
        <v>5870202</v>
      </c>
    </row>
    <row r="146" spans="1:14" x14ac:dyDescent="0.35">
      <c r="A146" t="s">
        <v>13</v>
      </c>
      <c r="B146">
        <v>202511</v>
      </c>
      <c r="C146" t="str">
        <f>MID(analisis_productividad__4[[#This Row],[Periodo]],1,4)</f>
        <v>2025</v>
      </c>
      <c r="D146" t="str">
        <f>MID(analisis_productividad__4[[#This Row],[Periodo]],5,2)</f>
        <v>11</v>
      </c>
      <c r="E146" t="s">
        <v>11</v>
      </c>
      <c r="F146" t="s">
        <v>14</v>
      </c>
      <c r="G146">
        <v>119583</v>
      </c>
      <c r="H146">
        <v>10277193</v>
      </c>
      <c r="I146">
        <v>85.941819444444505</v>
      </c>
      <c r="J146">
        <v>103626.71771521609</v>
      </c>
      <c r="K146">
        <v>100</v>
      </c>
      <c r="L146">
        <v>98</v>
      </c>
      <c r="M146">
        <v>99.175124587497606</v>
      </c>
      <c r="N146">
        <v>9287877</v>
      </c>
    </row>
    <row r="147" spans="1:14" x14ac:dyDescent="0.35">
      <c r="A147" t="s">
        <v>36</v>
      </c>
      <c r="B147">
        <v>202507</v>
      </c>
      <c r="C147" t="str">
        <f>MID(analisis_productividad__4[[#This Row],[Periodo]],1,4)</f>
        <v>2025</v>
      </c>
      <c r="D147" t="str">
        <f>MID(analisis_productividad__4[[#This Row],[Periodo]],5,2)</f>
        <v>07</v>
      </c>
      <c r="E147" t="s">
        <v>16</v>
      </c>
      <c r="F147" t="s">
        <v>17</v>
      </c>
      <c r="G147">
        <v>119561</v>
      </c>
      <c r="H147">
        <v>8149070</v>
      </c>
      <c r="I147">
        <v>68.15826612903227</v>
      </c>
      <c r="J147">
        <v>124122.63882738908</v>
      </c>
      <c r="K147">
        <v>76.5</v>
      </c>
      <c r="L147">
        <v>80</v>
      </c>
      <c r="M147">
        <v>65.653372317780722</v>
      </c>
      <c r="N147">
        <v>8471773</v>
      </c>
    </row>
    <row r="148" spans="1:14" x14ac:dyDescent="0.35">
      <c r="A148" t="s">
        <v>22</v>
      </c>
      <c r="B148">
        <v>202503</v>
      </c>
      <c r="C148" t="str">
        <f>MID(analisis_productividad__4[[#This Row],[Periodo]],1,4)</f>
        <v>2025</v>
      </c>
      <c r="D148" t="str">
        <f>MID(analisis_productividad__4[[#This Row],[Periodo]],5,2)</f>
        <v>03</v>
      </c>
      <c r="E148" t="s">
        <v>16</v>
      </c>
      <c r="F148" t="s">
        <v>21</v>
      </c>
      <c r="G148">
        <v>119551</v>
      </c>
      <c r="H148">
        <v>6436913</v>
      </c>
      <c r="I148">
        <v>53.842325268817198</v>
      </c>
      <c r="J148">
        <v>111379.65905814184</v>
      </c>
      <c r="K148">
        <v>59.5</v>
      </c>
      <c r="L148">
        <v>55.5</v>
      </c>
      <c r="M148">
        <v>57.792538731330069</v>
      </c>
      <c r="N148">
        <v>6168236</v>
      </c>
    </row>
    <row r="149" spans="1:14" x14ac:dyDescent="0.35">
      <c r="A149" t="s">
        <v>10</v>
      </c>
      <c r="B149">
        <v>202511</v>
      </c>
      <c r="C149" t="str">
        <f>MID(analisis_productividad__4[[#This Row],[Periodo]],1,4)</f>
        <v>2025</v>
      </c>
      <c r="D149" t="str">
        <f>MID(analisis_productividad__4[[#This Row],[Periodo]],5,2)</f>
        <v>11</v>
      </c>
      <c r="E149" t="s">
        <v>11</v>
      </c>
      <c r="F149" t="s">
        <v>12</v>
      </c>
      <c r="G149">
        <v>119548</v>
      </c>
      <c r="H149">
        <v>10556503</v>
      </c>
      <c r="I149">
        <v>88.303444444444509</v>
      </c>
      <c r="J149">
        <v>109455.43166215495</v>
      </c>
      <c r="K149">
        <v>98.5</v>
      </c>
      <c r="L149">
        <v>96.5</v>
      </c>
      <c r="M149">
        <v>96.445677566588913</v>
      </c>
      <c r="N149">
        <v>8535997</v>
      </c>
    </row>
    <row r="150" spans="1:14" x14ac:dyDescent="0.35">
      <c r="A150" t="s">
        <v>32</v>
      </c>
      <c r="B150">
        <v>202403</v>
      </c>
      <c r="C150" t="str">
        <f>MID(analisis_productividad__4[[#This Row],[Periodo]],1,4)</f>
        <v>2024</v>
      </c>
      <c r="D150" t="str">
        <f>MID(analisis_productividad__4[[#This Row],[Periodo]],5,2)</f>
        <v>03</v>
      </c>
      <c r="E150" t="s">
        <v>11</v>
      </c>
      <c r="F150" t="s">
        <v>12</v>
      </c>
      <c r="G150">
        <v>119495</v>
      </c>
      <c r="H150">
        <v>7545730</v>
      </c>
      <c r="I150">
        <v>63.146586021505392</v>
      </c>
      <c r="J150">
        <v>0</v>
      </c>
      <c r="K150">
        <v>65.5</v>
      </c>
      <c r="L150">
        <v>66</v>
      </c>
      <c r="N150">
        <v>0</v>
      </c>
    </row>
    <row r="151" spans="1:14" x14ac:dyDescent="0.35">
      <c r="A151" t="s">
        <v>13</v>
      </c>
      <c r="B151">
        <v>202605</v>
      </c>
      <c r="C151" t="str">
        <f>MID(analisis_productividad__4[[#This Row],[Periodo]],1,4)</f>
        <v>2026</v>
      </c>
      <c r="D151" t="str">
        <f>MID(analisis_productividad__4[[#This Row],[Periodo]],5,2)</f>
        <v>05</v>
      </c>
      <c r="E151" t="s">
        <v>11</v>
      </c>
      <c r="F151" t="s">
        <v>14</v>
      </c>
      <c r="G151">
        <v>119407</v>
      </c>
      <c r="H151">
        <v>11118522</v>
      </c>
      <c r="I151">
        <v>93.114771505377036</v>
      </c>
      <c r="J151">
        <v>120228.60825326118</v>
      </c>
      <c r="K151">
        <v>100</v>
      </c>
      <c r="L151">
        <v>98</v>
      </c>
      <c r="M151">
        <v>86.393284871267369</v>
      </c>
      <c r="N151">
        <v>10386944</v>
      </c>
    </row>
    <row r="152" spans="1:14" x14ac:dyDescent="0.35">
      <c r="A152" t="s">
        <v>38</v>
      </c>
      <c r="B152">
        <v>202606</v>
      </c>
      <c r="C152" t="str">
        <f>MID(analisis_productividad__4[[#This Row],[Periodo]],1,4)</f>
        <v>2026</v>
      </c>
      <c r="D152" t="str">
        <f>MID(analisis_productividad__4[[#This Row],[Periodo]],5,2)</f>
        <v>06</v>
      </c>
      <c r="E152" t="s">
        <v>34</v>
      </c>
      <c r="F152" t="s">
        <v>35</v>
      </c>
      <c r="G152">
        <v>119394</v>
      </c>
      <c r="H152">
        <v>12302365</v>
      </c>
      <c r="I152">
        <v>103.04038888889117</v>
      </c>
      <c r="J152">
        <v>100554.75198683646</v>
      </c>
      <c r="K152">
        <v>140.5</v>
      </c>
      <c r="L152">
        <v>125.5</v>
      </c>
      <c r="M152">
        <v>117.18897502469719</v>
      </c>
      <c r="N152">
        <v>11783908</v>
      </c>
    </row>
    <row r="153" spans="1:14" x14ac:dyDescent="0.35">
      <c r="A153" t="s">
        <v>63</v>
      </c>
      <c r="B153">
        <v>202408</v>
      </c>
      <c r="C153" t="str">
        <f>MID(analisis_productividad__4[[#This Row],[Periodo]],1,4)</f>
        <v>2024</v>
      </c>
      <c r="D153" t="str">
        <f>MID(analisis_productividad__4[[#This Row],[Periodo]],5,2)</f>
        <v>08</v>
      </c>
      <c r="E153" t="s">
        <v>16</v>
      </c>
      <c r="F153" t="s">
        <v>17</v>
      </c>
      <c r="G153">
        <v>119257</v>
      </c>
      <c r="H153">
        <v>11255898</v>
      </c>
      <c r="I153">
        <v>94.383897849462286</v>
      </c>
      <c r="J153">
        <v>0</v>
      </c>
      <c r="K153">
        <v>86.5</v>
      </c>
      <c r="L153">
        <v>81.5</v>
      </c>
      <c r="N153">
        <v>0</v>
      </c>
    </row>
    <row r="154" spans="1:14" x14ac:dyDescent="0.35">
      <c r="A154" t="s">
        <v>48</v>
      </c>
      <c r="B154">
        <v>202512</v>
      </c>
      <c r="C154" t="str">
        <f>MID(analisis_productividad__4[[#This Row],[Periodo]],1,4)</f>
        <v>2025</v>
      </c>
      <c r="D154" t="str">
        <f>MID(analisis_productividad__4[[#This Row],[Periodo]],5,2)</f>
        <v>12</v>
      </c>
      <c r="E154" t="s">
        <v>16</v>
      </c>
      <c r="F154" t="s">
        <v>21</v>
      </c>
      <c r="G154">
        <v>119238</v>
      </c>
      <c r="H154">
        <v>6746518</v>
      </c>
      <c r="I154">
        <v>56.580463709677375</v>
      </c>
      <c r="J154">
        <v>94928.500299965861</v>
      </c>
      <c r="K154">
        <v>56</v>
      </c>
      <c r="L154">
        <v>60</v>
      </c>
      <c r="M154">
        <v>71.069468902190451</v>
      </c>
      <c r="N154">
        <v>6482598</v>
      </c>
    </row>
    <row r="155" spans="1:14" x14ac:dyDescent="0.35">
      <c r="A155" t="s">
        <v>13</v>
      </c>
      <c r="B155">
        <v>202601</v>
      </c>
      <c r="C155" t="str">
        <f>MID(analisis_productividad__4[[#This Row],[Periodo]],1,4)</f>
        <v>2026</v>
      </c>
      <c r="D155" t="str">
        <f>MID(analisis_productividad__4[[#This Row],[Periodo]],5,2)</f>
        <v>01</v>
      </c>
      <c r="E155" t="s">
        <v>11</v>
      </c>
      <c r="F155" t="s">
        <v>14</v>
      </c>
      <c r="G155">
        <v>119201</v>
      </c>
      <c r="H155">
        <v>10454554</v>
      </c>
      <c r="I155">
        <v>87.704966397849461</v>
      </c>
      <c r="J155">
        <v>113159.87525613092</v>
      </c>
      <c r="K155">
        <v>100</v>
      </c>
      <c r="L155">
        <v>98</v>
      </c>
      <c r="M155">
        <v>86.393284871267369</v>
      </c>
      <c r="N155">
        <v>9776253</v>
      </c>
    </row>
    <row r="156" spans="1:14" x14ac:dyDescent="0.35">
      <c r="A156" t="s">
        <v>30</v>
      </c>
      <c r="B156">
        <v>202603</v>
      </c>
      <c r="C156" t="str">
        <f>MID(analisis_productividad__4[[#This Row],[Periodo]],1,4)</f>
        <v>2026</v>
      </c>
      <c r="D156" t="str">
        <f>MID(analisis_productividad__4[[#This Row],[Periodo]],5,2)</f>
        <v>03</v>
      </c>
      <c r="E156" t="s">
        <v>16</v>
      </c>
      <c r="F156" t="s">
        <v>19</v>
      </c>
      <c r="G156">
        <v>119167</v>
      </c>
      <c r="H156">
        <v>11426947</v>
      </c>
      <c r="I156">
        <v>95.890356182795671</v>
      </c>
      <c r="J156">
        <v>119568.63339234533</v>
      </c>
      <c r="K156">
        <v>101</v>
      </c>
      <c r="L156">
        <v>105</v>
      </c>
      <c r="M156">
        <v>90.439897606894348</v>
      </c>
      <c r="N156">
        <v>10813775</v>
      </c>
    </row>
    <row r="157" spans="1:14" x14ac:dyDescent="0.35">
      <c r="A157" t="s">
        <v>10</v>
      </c>
      <c r="B157">
        <v>202602</v>
      </c>
      <c r="C157" t="str">
        <f>MID(analisis_productividad__4[[#This Row],[Periodo]],1,4)</f>
        <v>2026</v>
      </c>
      <c r="D157" t="str">
        <f>MID(analisis_productividad__4[[#This Row],[Periodo]],5,2)</f>
        <v>02</v>
      </c>
      <c r="E157" t="s">
        <v>11</v>
      </c>
      <c r="F157" t="s">
        <v>12</v>
      </c>
      <c r="G157">
        <v>119002</v>
      </c>
      <c r="H157">
        <v>10786907</v>
      </c>
      <c r="I157">
        <v>90.644739583333319</v>
      </c>
      <c r="J157">
        <v>108284.24193226044</v>
      </c>
      <c r="K157">
        <v>98.5</v>
      </c>
      <c r="L157">
        <v>96.5</v>
      </c>
      <c r="M157">
        <v>87.166669283279759</v>
      </c>
      <c r="N157">
        <v>9438777</v>
      </c>
    </row>
    <row r="158" spans="1:14" x14ac:dyDescent="0.35">
      <c r="A158" t="s">
        <v>28</v>
      </c>
      <c r="B158">
        <v>202412</v>
      </c>
      <c r="C158" t="str">
        <f>MID(analisis_productividad__4[[#This Row],[Periodo]],1,4)</f>
        <v>2024</v>
      </c>
      <c r="D158" t="str">
        <f>MID(analisis_productividad__4[[#This Row],[Periodo]],5,2)</f>
        <v>12</v>
      </c>
      <c r="E158" t="s">
        <v>16</v>
      </c>
      <c r="F158" t="s">
        <v>17</v>
      </c>
      <c r="G158">
        <v>118789</v>
      </c>
      <c r="H158">
        <v>7583514</v>
      </c>
      <c r="I158">
        <v>63.840188172043028</v>
      </c>
      <c r="J158">
        <v>0</v>
      </c>
      <c r="K158">
        <v>64</v>
      </c>
      <c r="L158">
        <v>67</v>
      </c>
      <c r="N158">
        <v>0</v>
      </c>
    </row>
    <row r="159" spans="1:14" x14ac:dyDescent="0.35">
      <c r="A159" t="s">
        <v>25</v>
      </c>
      <c r="B159">
        <v>202511</v>
      </c>
      <c r="C159" t="str">
        <f>MID(analisis_productividad__4[[#This Row],[Periodo]],1,4)</f>
        <v>2025</v>
      </c>
      <c r="D159" t="str">
        <f>MID(analisis_productividad__4[[#This Row],[Periodo]],5,2)</f>
        <v>11</v>
      </c>
      <c r="E159" t="s">
        <v>16</v>
      </c>
      <c r="F159" t="s">
        <v>19</v>
      </c>
      <c r="G159">
        <v>118727</v>
      </c>
      <c r="H159">
        <v>10659761</v>
      </c>
      <c r="I159">
        <v>89.783798611111166</v>
      </c>
      <c r="J159">
        <v>111048.84603336702</v>
      </c>
      <c r="K159">
        <v>94</v>
      </c>
      <c r="L159">
        <v>92</v>
      </c>
      <c r="M159">
        <v>95.99164035254401</v>
      </c>
      <c r="N159">
        <v>8225214</v>
      </c>
    </row>
    <row r="160" spans="1:14" x14ac:dyDescent="0.35">
      <c r="A160" t="s">
        <v>63</v>
      </c>
      <c r="B160">
        <v>202411</v>
      </c>
      <c r="C160" t="str">
        <f>MID(analisis_productividad__4[[#This Row],[Periodo]],1,4)</f>
        <v>2024</v>
      </c>
      <c r="D160" t="str">
        <f>MID(analisis_productividad__4[[#This Row],[Periodo]],5,2)</f>
        <v>11</v>
      </c>
      <c r="E160" t="s">
        <v>16</v>
      </c>
      <c r="F160" t="s">
        <v>17</v>
      </c>
      <c r="G160">
        <v>118646</v>
      </c>
      <c r="H160">
        <v>10489145</v>
      </c>
      <c r="I160">
        <v>88.406986111111095</v>
      </c>
      <c r="J160">
        <v>0</v>
      </c>
      <c r="K160">
        <v>86.5</v>
      </c>
      <c r="L160">
        <v>81.5</v>
      </c>
      <c r="N160">
        <v>0</v>
      </c>
    </row>
    <row r="161" spans="1:14" x14ac:dyDescent="0.35">
      <c r="A161" t="s">
        <v>18</v>
      </c>
      <c r="B161">
        <v>202503</v>
      </c>
      <c r="C161" t="str">
        <f>MID(analisis_productividad__4[[#This Row],[Periodo]],1,4)</f>
        <v>2025</v>
      </c>
      <c r="D161" t="str">
        <f>MID(analisis_productividad__4[[#This Row],[Periodo]],5,2)</f>
        <v>03</v>
      </c>
      <c r="E161" t="s">
        <v>16</v>
      </c>
      <c r="F161" t="s">
        <v>19</v>
      </c>
      <c r="G161">
        <v>118554</v>
      </c>
      <c r="H161">
        <v>8040097</v>
      </c>
      <c r="I161">
        <v>67.818192204301084</v>
      </c>
      <c r="J161">
        <v>115289.11671409696</v>
      </c>
      <c r="K161">
        <v>70.5</v>
      </c>
      <c r="L161">
        <v>69.5</v>
      </c>
      <c r="M161">
        <v>69.738561966247588</v>
      </c>
      <c r="N161">
        <v>7462734</v>
      </c>
    </row>
    <row r="162" spans="1:14" x14ac:dyDescent="0.35">
      <c r="A162" t="s">
        <v>77</v>
      </c>
      <c r="B162">
        <v>202512</v>
      </c>
      <c r="C162" t="str">
        <f>MID(analisis_productividad__4[[#This Row],[Periodo]],1,4)</f>
        <v>2025</v>
      </c>
      <c r="D162" t="str">
        <f>MID(analisis_productividad__4[[#This Row],[Periodo]],5,2)</f>
        <v>12</v>
      </c>
      <c r="E162" t="s">
        <v>16</v>
      </c>
      <c r="F162" t="s">
        <v>21</v>
      </c>
      <c r="G162">
        <v>118455</v>
      </c>
      <c r="H162">
        <v>6905514</v>
      </c>
      <c r="I162">
        <v>58.296639784946194</v>
      </c>
      <c r="J162">
        <v>107532.26084819695</v>
      </c>
      <c r="K162">
        <v>60.5</v>
      </c>
      <c r="L162">
        <v>60.5</v>
      </c>
      <c r="M162">
        <v>64.218066239195878</v>
      </c>
      <c r="N162">
        <v>7271704</v>
      </c>
    </row>
    <row r="163" spans="1:14" x14ac:dyDescent="0.35">
      <c r="A163" t="s">
        <v>30</v>
      </c>
      <c r="B163">
        <v>202508</v>
      </c>
      <c r="C163" t="str">
        <f>MID(analisis_productividad__4[[#This Row],[Periodo]],1,4)</f>
        <v>2025</v>
      </c>
      <c r="D163" t="str">
        <f>MID(analisis_productividad__4[[#This Row],[Periodo]],5,2)</f>
        <v>08</v>
      </c>
      <c r="E163" t="s">
        <v>16</v>
      </c>
      <c r="F163" t="s">
        <v>19</v>
      </c>
      <c r="G163">
        <v>118453</v>
      </c>
      <c r="H163">
        <v>9312635</v>
      </c>
      <c r="I163">
        <v>78.618561827957024</v>
      </c>
      <c r="J163">
        <v>116313.42723881087</v>
      </c>
      <c r="K163">
        <v>101</v>
      </c>
      <c r="L163">
        <v>105</v>
      </c>
      <c r="M163">
        <v>80.065006689894901</v>
      </c>
      <c r="N163">
        <v>10376580</v>
      </c>
    </row>
    <row r="164" spans="1:14" x14ac:dyDescent="0.35">
      <c r="A164" t="s">
        <v>15</v>
      </c>
      <c r="B164">
        <v>202411</v>
      </c>
      <c r="C164" t="str">
        <f>MID(analisis_productividad__4[[#This Row],[Periodo]],1,4)</f>
        <v>2024</v>
      </c>
      <c r="D164" t="str">
        <f>MID(analisis_productividad__4[[#This Row],[Periodo]],5,2)</f>
        <v>11</v>
      </c>
      <c r="E164" t="s">
        <v>16</v>
      </c>
      <c r="F164" t="s">
        <v>17</v>
      </c>
      <c r="G164">
        <v>118453</v>
      </c>
      <c r="H164">
        <v>6827657</v>
      </c>
      <c r="I164">
        <v>57.64033333333338</v>
      </c>
      <c r="J164">
        <v>0</v>
      </c>
      <c r="K164">
        <v>61</v>
      </c>
      <c r="L164">
        <v>60</v>
      </c>
      <c r="N164">
        <v>0</v>
      </c>
    </row>
    <row r="165" spans="1:14" x14ac:dyDescent="0.35">
      <c r="A165" t="s">
        <v>36</v>
      </c>
      <c r="B165">
        <v>202503</v>
      </c>
      <c r="C165" t="str">
        <f>MID(analisis_productividad__4[[#This Row],[Periodo]],1,4)</f>
        <v>2025</v>
      </c>
      <c r="D165" t="str">
        <f>MID(analisis_productividad__4[[#This Row],[Periodo]],5,2)</f>
        <v>03</v>
      </c>
      <c r="E165" t="s">
        <v>16</v>
      </c>
      <c r="F165" t="s">
        <v>17</v>
      </c>
      <c r="G165">
        <v>118438</v>
      </c>
      <c r="H165">
        <v>8592178</v>
      </c>
      <c r="I165">
        <v>72.546014784946152</v>
      </c>
      <c r="J165">
        <v>123490.80790383094</v>
      </c>
      <c r="K165">
        <v>76.5</v>
      </c>
      <c r="L165">
        <v>80</v>
      </c>
      <c r="M165">
        <v>69.577469658237248</v>
      </c>
      <c r="N165">
        <v>8974387</v>
      </c>
    </row>
    <row r="166" spans="1:14" x14ac:dyDescent="0.35">
      <c r="A166" t="s">
        <v>43</v>
      </c>
      <c r="B166">
        <v>202603</v>
      </c>
      <c r="C166" t="str">
        <f>MID(analisis_productividad__4[[#This Row],[Periodo]],1,4)</f>
        <v>2026</v>
      </c>
      <c r="D166" t="str">
        <f>MID(analisis_productividad__4[[#This Row],[Periodo]],5,2)</f>
        <v>03</v>
      </c>
      <c r="E166" t="s">
        <v>11</v>
      </c>
      <c r="F166" t="s">
        <v>12</v>
      </c>
      <c r="G166">
        <v>118321</v>
      </c>
      <c r="H166">
        <v>8836273</v>
      </c>
      <c r="I166">
        <v>74.680544354838759</v>
      </c>
      <c r="J166">
        <v>117130.57290755016</v>
      </c>
      <c r="K166">
        <v>84.5</v>
      </c>
      <c r="L166">
        <v>86.5</v>
      </c>
      <c r="M166">
        <v>71.456708642637324</v>
      </c>
      <c r="N166">
        <v>8369765</v>
      </c>
    </row>
    <row r="167" spans="1:14" x14ac:dyDescent="0.35">
      <c r="A167" t="s">
        <v>36</v>
      </c>
      <c r="B167">
        <v>202407</v>
      </c>
      <c r="C167" t="str">
        <f>MID(analisis_productividad__4[[#This Row],[Periodo]],1,4)</f>
        <v>2024</v>
      </c>
      <c r="D167" t="str">
        <f>MID(analisis_productividad__4[[#This Row],[Periodo]],5,2)</f>
        <v>07</v>
      </c>
      <c r="E167" t="s">
        <v>16</v>
      </c>
      <c r="F167" t="s">
        <v>17</v>
      </c>
      <c r="G167">
        <v>118212</v>
      </c>
      <c r="H167">
        <v>8187367</v>
      </c>
      <c r="I167">
        <v>69.260013440860163</v>
      </c>
      <c r="J167">
        <v>0</v>
      </c>
      <c r="K167">
        <v>76.5</v>
      </c>
      <c r="L167">
        <v>80</v>
      </c>
      <c r="N167">
        <v>0</v>
      </c>
    </row>
    <row r="168" spans="1:14" x14ac:dyDescent="0.35">
      <c r="A168" t="s">
        <v>74</v>
      </c>
      <c r="B168">
        <v>202412</v>
      </c>
      <c r="C168" t="str">
        <f>MID(analisis_productividad__4[[#This Row],[Periodo]],1,4)</f>
        <v>2024</v>
      </c>
      <c r="D168" t="str">
        <f>MID(analisis_productividad__4[[#This Row],[Periodo]],5,2)</f>
        <v>12</v>
      </c>
      <c r="E168" t="s">
        <v>16</v>
      </c>
      <c r="F168" t="s">
        <v>19</v>
      </c>
      <c r="G168">
        <v>118081</v>
      </c>
      <c r="H168">
        <v>5984047</v>
      </c>
      <c r="I168">
        <v>50.677271505376346</v>
      </c>
      <c r="J168">
        <v>0</v>
      </c>
      <c r="K168">
        <v>50.5</v>
      </c>
      <c r="L168">
        <v>51.5</v>
      </c>
      <c r="N168">
        <v>0</v>
      </c>
    </row>
    <row r="169" spans="1:14" x14ac:dyDescent="0.35">
      <c r="A169" t="s">
        <v>36</v>
      </c>
      <c r="B169">
        <v>202510</v>
      </c>
      <c r="C169" t="str">
        <f>MID(analisis_productividad__4[[#This Row],[Periodo]],1,4)</f>
        <v>2025</v>
      </c>
      <c r="D169" t="str">
        <f>MID(analisis_productividad__4[[#This Row],[Periodo]],5,2)</f>
        <v>10</v>
      </c>
      <c r="E169" t="s">
        <v>16</v>
      </c>
      <c r="F169" t="s">
        <v>17</v>
      </c>
      <c r="G169">
        <v>118047</v>
      </c>
      <c r="H169">
        <v>7592238</v>
      </c>
      <c r="I169">
        <v>64.315463709677431</v>
      </c>
      <c r="J169">
        <v>115564.13045130158</v>
      </c>
      <c r="K169">
        <v>76.5</v>
      </c>
      <c r="L169">
        <v>80</v>
      </c>
      <c r="M169">
        <v>65.697182857265119</v>
      </c>
      <c r="N169">
        <v>8106898</v>
      </c>
    </row>
    <row r="170" spans="1:14" x14ac:dyDescent="0.35">
      <c r="A170" t="s">
        <v>31</v>
      </c>
      <c r="B170">
        <v>202403</v>
      </c>
      <c r="C170" t="str">
        <f>MID(analisis_productividad__4[[#This Row],[Periodo]],1,4)</f>
        <v>2024</v>
      </c>
      <c r="D170" t="str">
        <f>MID(analisis_productividad__4[[#This Row],[Periodo]],5,2)</f>
        <v>03</v>
      </c>
      <c r="E170" t="s">
        <v>11</v>
      </c>
      <c r="F170" t="s">
        <v>14</v>
      </c>
      <c r="G170">
        <v>117822</v>
      </c>
      <c r="H170">
        <v>10971023</v>
      </c>
      <c r="I170">
        <v>93.115336021505414</v>
      </c>
      <c r="J170">
        <v>0</v>
      </c>
      <c r="K170">
        <v>101.5</v>
      </c>
      <c r="L170">
        <v>97.5</v>
      </c>
      <c r="N170">
        <v>0</v>
      </c>
    </row>
    <row r="171" spans="1:14" x14ac:dyDescent="0.35">
      <c r="A171" t="s">
        <v>30</v>
      </c>
      <c r="B171">
        <v>202605</v>
      </c>
      <c r="C171" t="str">
        <f>MID(analisis_productividad__4[[#This Row],[Periodo]],1,4)</f>
        <v>2026</v>
      </c>
      <c r="D171" t="str">
        <f>MID(analisis_productividad__4[[#This Row],[Periodo]],5,2)</f>
        <v>05</v>
      </c>
      <c r="E171" t="s">
        <v>16</v>
      </c>
      <c r="F171" t="s">
        <v>19</v>
      </c>
      <c r="G171">
        <v>117692</v>
      </c>
      <c r="H171">
        <v>10615489</v>
      </c>
      <c r="I171">
        <v>90.196975806452315</v>
      </c>
      <c r="J171">
        <v>105834.63492411494</v>
      </c>
      <c r="K171">
        <v>101</v>
      </c>
      <c r="L171">
        <v>105</v>
      </c>
      <c r="M171">
        <v>90.439897606894348</v>
      </c>
      <c r="N171">
        <v>9571674</v>
      </c>
    </row>
    <row r="172" spans="1:14" x14ac:dyDescent="0.35">
      <c r="A172" t="s">
        <v>36</v>
      </c>
      <c r="B172">
        <v>202403</v>
      </c>
      <c r="C172" t="str">
        <f>MID(analisis_productividad__4[[#This Row],[Periodo]],1,4)</f>
        <v>2024</v>
      </c>
      <c r="D172" t="str">
        <f>MID(analisis_productividad__4[[#This Row],[Periodo]],5,2)</f>
        <v>03</v>
      </c>
      <c r="E172" t="s">
        <v>16</v>
      </c>
      <c r="F172" t="s">
        <v>17</v>
      </c>
      <c r="G172">
        <v>117610</v>
      </c>
      <c r="H172">
        <v>8684015</v>
      </c>
      <c r="I172">
        <v>73.837204301075232</v>
      </c>
      <c r="J172">
        <v>0</v>
      </c>
      <c r="K172">
        <v>76.5</v>
      </c>
      <c r="L172">
        <v>80</v>
      </c>
      <c r="N172">
        <v>0</v>
      </c>
    </row>
    <row r="173" spans="1:14" x14ac:dyDescent="0.35">
      <c r="A173" t="s">
        <v>22</v>
      </c>
      <c r="B173">
        <v>202511</v>
      </c>
      <c r="C173" t="str">
        <f>MID(analisis_productividad__4[[#This Row],[Periodo]],1,4)</f>
        <v>2025</v>
      </c>
      <c r="D173" t="str">
        <f>MID(analisis_productividad__4[[#This Row],[Periodo]],5,2)</f>
        <v>11</v>
      </c>
      <c r="E173" t="s">
        <v>16</v>
      </c>
      <c r="F173" t="s">
        <v>21</v>
      </c>
      <c r="G173">
        <v>117561</v>
      </c>
      <c r="H173">
        <v>5623041</v>
      </c>
      <c r="I173">
        <v>47.830708333333334</v>
      </c>
      <c r="J173">
        <v>93253.860877661529</v>
      </c>
      <c r="K173">
        <v>59.5</v>
      </c>
      <c r="L173">
        <v>55.5</v>
      </c>
      <c r="M173">
        <v>60.298206713143912</v>
      </c>
      <c r="N173">
        <v>4704036</v>
      </c>
    </row>
    <row r="174" spans="1:14" x14ac:dyDescent="0.35">
      <c r="A174" t="s">
        <v>40</v>
      </c>
      <c r="B174">
        <v>202503</v>
      </c>
      <c r="C174" t="str">
        <f>MID(analisis_productividad__4[[#This Row],[Periodo]],1,4)</f>
        <v>2025</v>
      </c>
      <c r="D174" t="str">
        <f>MID(analisis_productividad__4[[#This Row],[Periodo]],5,2)</f>
        <v>03</v>
      </c>
      <c r="E174" t="s">
        <v>11</v>
      </c>
      <c r="F174" t="s">
        <v>14</v>
      </c>
      <c r="G174">
        <v>117534</v>
      </c>
      <c r="H174">
        <v>8296699</v>
      </c>
      <c r="I174">
        <v>70.589872311827904</v>
      </c>
      <c r="J174">
        <v>125872.28994517167</v>
      </c>
      <c r="K174">
        <v>76.5</v>
      </c>
      <c r="L174">
        <v>75.5</v>
      </c>
      <c r="M174">
        <v>65.913627960641207</v>
      </c>
      <c r="N174">
        <v>9278367</v>
      </c>
    </row>
    <row r="175" spans="1:14" x14ac:dyDescent="0.35">
      <c r="A175" t="s">
        <v>54</v>
      </c>
      <c r="B175">
        <v>202508</v>
      </c>
      <c r="C175" t="str">
        <f>MID(analisis_productividad__4[[#This Row],[Periodo]],1,4)</f>
        <v>2025</v>
      </c>
      <c r="D175" t="str">
        <f>MID(analisis_productividad__4[[#This Row],[Periodo]],5,2)</f>
        <v>08</v>
      </c>
      <c r="E175" t="s">
        <v>11</v>
      </c>
      <c r="F175" t="s">
        <v>52</v>
      </c>
      <c r="G175">
        <v>117483</v>
      </c>
      <c r="H175">
        <v>8604126</v>
      </c>
      <c r="I175">
        <v>73.237452956989245</v>
      </c>
      <c r="J175">
        <v>94205.301583426175</v>
      </c>
      <c r="K175">
        <v>106</v>
      </c>
      <c r="L175">
        <v>102.5</v>
      </c>
      <c r="M175">
        <v>91.333777774495758</v>
      </c>
      <c r="N175">
        <v>9314915</v>
      </c>
    </row>
    <row r="176" spans="1:14" x14ac:dyDescent="0.35">
      <c r="A176" t="s">
        <v>15</v>
      </c>
      <c r="B176">
        <v>202401</v>
      </c>
      <c r="C176" t="str">
        <f>MID(analisis_productividad__4[[#This Row],[Periodo]],1,4)</f>
        <v>2024</v>
      </c>
      <c r="D176" t="str">
        <f>MID(analisis_productividad__4[[#This Row],[Periodo]],5,2)</f>
        <v>01</v>
      </c>
      <c r="E176" t="s">
        <v>16</v>
      </c>
      <c r="F176" t="s">
        <v>17</v>
      </c>
      <c r="G176">
        <v>116915</v>
      </c>
      <c r="H176">
        <v>6136360</v>
      </c>
      <c r="I176">
        <v>52.485557795698924</v>
      </c>
      <c r="J176">
        <v>0</v>
      </c>
      <c r="K176">
        <v>61</v>
      </c>
      <c r="L176">
        <v>60</v>
      </c>
      <c r="N176">
        <v>0</v>
      </c>
    </row>
    <row r="177" spans="1:14" x14ac:dyDescent="0.35">
      <c r="A177" t="s">
        <v>79</v>
      </c>
      <c r="B177">
        <v>202512</v>
      </c>
      <c r="C177" t="str">
        <f>MID(analisis_productividad__4[[#This Row],[Periodo]],1,4)</f>
        <v>2025</v>
      </c>
      <c r="D177" t="str">
        <f>MID(analisis_productividad__4[[#This Row],[Periodo]],5,2)</f>
        <v>12</v>
      </c>
      <c r="E177" t="s">
        <v>11</v>
      </c>
      <c r="F177" t="s">
        <v>12</v>
      </c>
      <c r="G177">
        <v>116902</v>
      </c>
      <c r="H177">
        <v>7631973</v>
      </c>
      <c r="I177">
        <v>65.285208333333301</v>
      </c>
      <c r="J177">
        <v>107276.66120107195</v>
      </c>
      <c r="K177">
        <v>64.5</v>
      </c>
      <c r="L177">
        <v>64</v>
      </c>
      <c r="M177">
        <v>71.142899998492297</v>
      </c>
      <c r="N177">
        <v>7792391</v>
      </c>
    </row>
    <row r="178" spans="1:14" x14ac:dyDescent="0.35">
      <c r="A178" t="s">
        <v>44</v>
      </c>
      <c r="B178">
        <v>202603</v>
      </c>
      <c r="C178" t="str">
        <f>MID(analisis_productividad__4[[#This Row],[Periodo]],1,4)</f>
        <v>2026</v>
      </c>
      <c r="D178" t="str">
        <f>MID(analisis_productividad__4[[#This Row],[Periodo]],5,2)</f>
        <v>03</v>
      </c>
      <c r="E178" t="s">
        <v>11</v>
      </c>
      <c r="F178" t="s">
        <v>12</v>
      </c>
      <c r="G178">
        <v>116890</v>
      </c>
      <c r="H178">
        <v>8104568</v>
      </c>
      <c r="I178">
        <v>69.334905913978503</v>
      </c>
      <c r="J178">
        <v>105733.12795942808</v>
      </c>
      <c r="K178">
        <v>78</v>
      </c>
      <c r="L178">
        <v>74.5</v>
      </c>
      <c r="M178">
        <v>66.954795775232199</v>
      </c>
      <c r="N178">
        <v>7079340</v>
      </c>
    </row>
    <row r="179" spans="1:14" x14ac:dyDescent="0.35">
      <c r="A179" t="s">
        <v>55</v>
      </c>
      <c r="B179">
        <v>202412</v>
      </c>
      <c r="C179" t="str">
        <f>MID(analisis_productividad__4[[#This Row],[Periodo]],1,4)</f>
        <v>2024</v>
      </c>
      <c r="D179" t="str">
        <f>MID(analisis_productividad__4[[#This Row],[Periodo]],5,2)</f>
        <v>12</v>
      </c>
      <c r="E179" t="s">
        <v>16</v>
      </c>
      <c r="F179" t="s">
        <v>21</v>
      </c>
      <c r="G179">
        <v>116853</v>
      </c>
      <c r="H179">
        <v>6508195</v>
      </c>
      <c r="I179">
        <v>55.695490591397878</v>
      </c>
      <c r="J179">
        <v>0</v>
      </c>
      <c r="K179">
        <v>55</v>
      </c>
      <c r="L179">
        <v>50.5</v>
      </c>
      <c r="N179">
        <v>0</v>
      </c>
    </row>
    <row r="180" spans="1:14" x14ac:dyDescent="0.35">
      <c r="A180" t="s">
        <v>29</v>
      </c>
      <c r="B180">
        <v>202511</v>
      </c>
      <c r="C180" t="str">
        <f>MID(analisis_productividad__4[[#This Row],[Periodo]],1,4)</f>
        <v>2025</v>
      </c>
      <c r="D180" t="str">
        <f>MID(analisis_productividad__4[[#This Row],[Periodo]],5,2)</f>
        <v>11</v>
      </c>
      <c r="E180" t="s">
        <v>16</v>
      </c>
      <c r="F180" t="s">
        <v>19</v>
      </c>
      <c r="G180">
        <v>116846</v>
      </c>
      <c r="H180">
        <v>10162513</v>
      </c>
      <c r="I180">
        <v>86.97329861111119</v>
      </c>
      <c r="J180">
        <v>118678.29156180941</v>
      </c>
      <c r="K180">
        <v>96.5</v>
      </c>
      <c r="L180">
        <v>96</v>
      </c>
      <c r="M180">
        <v>85.630767651447101</v>
      </c>
      <c r="N180">
        <v>8809430</v>
      </c>
    </row>
    <row r="181" spans="1:14" x14ac:dyDescent="0.35">
      <c r="A181" t="s">
        <v>31</v>
      </c>
      <c r="B181">
        <v>202604</v>
      </c>
      <c r="C181" t="str">
        <f>MID(analisis_productividad__4[[#This Row],[Periodo]],1,4)</f>
        <v>2026</v>
      </c>
      <c r="D181" t="str">
        <f>MID(analisis_productividad__4[[#This Row],[Periodo]],5,2)</f>
        <v>04</v>
      </c>
      <c r="E181" t="s">
        <v>11</v>
      </c>
      <c r="F181" t="s">
        <v>14</v>
      </c>
      <c r="G181">
        <v>116627</v>
      </c>
      <c r="H181">
        <v>9248364</v>
      </c>
      <c r="I181">
        <v>79.298381944446263</v>
      </c>
      <c r="J181">
        <v>104803.34241077057</v>
      </c>
      <c r="K181">
        <v>101.5</v>
      </c>
      <c r="L181">
        <v>97.5</v>
      </c>
      <c r="M181">
        <v>87.689184144336366</v>
      </c>
      <c r="N181">
        <v>9190120</v>
      </c>
    </row>
    <row r="182" spans="1:14" x14ac:dyDescent="0.35">
      <c r="A182" t="s">
        <v>45</v>
      </c>
      <c r="B182">
        <v>202601</v>
      </c>
      <c r="C182" t="str">
        <f>MID(analisis_productividad__4[[#This Row],[Periodo]],1,4)</f>
        <v>2026</v>
      </c>
      <c r="D182" t="str">
        <f>MID(analisis_productividad__4[[#This Row],[Periodo]],5,2)</f>
        <v>01</v>
      </c>
      <c r="E182" t="s">
        <v>34</v>
      </c>
      <c r="F182" t="s">
        <v>35</v>
      </c>
      <c r="G182">
        <v>116590</v>
      </c>
      <c r="H182">
        <v>2915277</v>
      </c>
      <c r="I182">
        <v>25.004583333333343</v>
      </c>
      <c r="J182">
        <v>124095.04450175312</v>
      </c>
      <c r="K182">
        <v>22.5</v>
      </c>
      <c r="L182">
        <v>21</v>
      </c>
      <c r="M182">
        <v>19.647967156057994</v>
      </c>
      <c r="N182">
        <v>2438215</v>
      </c>
    </row>
    <row r="183" spans="1:14" x14ac:dyDescent="0.35">
      <c r="A183" t="s">
        <v>29</v>
      </c>
      <c r="B183">
        <v>202602</v>
      </c>
      <c r="C183" t="str">
        <f>MID(analisis_productividad__4[[#This Row],[Periodo]],1,4)</f>
        <v>2026</v>
      </c>
      <c r="D183" t="str">
        <f>MID(analisis_productividad__4[[#This Row],[Periodo]],5,2)</f>
        <v>02</v>
      </c>
      <c r="E183" t="s">
        <v>16</v>
      </c>
      <c r="F183" t="s">
        <v>19</v>
      </c>
      <c r="G183">
        <v>116566</v>
      </c>
      <c r="H183">
        <v>9772019</v>
      </c>
      <c r="I183">
        <v>83.832552083333312</v>
      </c>
      <c r="J183">
        <v>123172.34068534133</v>
      </c>
      <c r="K183">
        <v>96.5</v>
      </c>
      <c r="L183">
        <v>96</v>
      </c>
      <c r="M183">
        <v>83.321494048065787</v>
      </c>
      <c r="N183">
        <v>10262903</v>
      </c>
    </row>
    <row r="184" spans="1:14" x14ac:dyDescent="0.35">
      <c r="A184" t="s">
        <v>36</v>
      </c>
      <c r="B184">
        <v>202508</v>
      </c>
      <c r="C184" t="str">
        <f>MID(analisis_productividad__4[[#This Row],[Periodo]],1,4)</f>
        <v>2025</v>
      </c>
      <c r="D184" t="str">
        <f>MID(analisis_productividad__4[[#This Row],[Periodo]],5,2)</f>
        <v>08</v>
      </c>
      <c r="E184" t="s">
        <v>16</v>
      </c>
      <c r="F184" t="s">
        <v>17</v>
      </c>
      <c r="G184">
        <v>116469</v>
      </c>
      <c r="H184">
        <v>8030241</v>
      </c>
      <c r="I184">
        <v>68.94717741935483</v>
      </c>
      <c r="J184">
        <v>119206.4188914056</v>
      </c>
      <c r="K184">
        <v>76.5</v>
      </c>
      <c r="L184">
        <v>80</v>
      </c>
      <c r="M184">
        <v>67.364168680508484</v>
      </c>
      <c r="N184">
        <v>8065606</v>
      </c>
    </row>
    <row r="185" spans="1:14" x14ac:dyDescent="0.35">
      <c r="A185" t="s">
        <v>31</v>
      </c>
      <c r="B185">
        <v>202505</v>
      </c>
      <c r="C185" t="str">
        <f>MID(analisis_productividad__4[[#This Row],[Periodo]],1,4)</f>
        <v>2025</v>
      </c>
      <c r="D185" t="str">
        <f>MID(analisis_productividad__4[[#This Row],[Periodo]],5,2)</f>
        <v>05</v>
      </c>
      <c r="E185" t="s">
        <v>11</v>
      </c>
      <c r="F185" t="s">
        <v>14</v>
      </c>
      <c r="G185">
        <v>116346</v>
      </c>
      <c r="H185">
        <v>9108123</v>
      </c>
      <c r="I185">
        <v>78.284509408602119</v>
      </c>
      <c r="J185">
        <v>102349.65532694815</v>
      </c>
      <c r="K185">
        <v>101.5</v>
      </c>
      <c r="L185">
        <v>97.5</v>
      </c>
      <c r="M185">
        <v>88.99026763602474</v>
      </c>
      <c r="N185">
        <v>9344925</v>
      </c>
    </row>
    <row r="186" spans="1:14" x14ac:dyDescent="0.35">
      <c r="A186" t="s">
        <v>62</v>
      </c>
      <c r="B186">
        <v>202512</v>
      </c>
      <c r="C186" t="str">
        <f>MID(analisis_productividad__4[[#This Row],[Periodo]],1,4)</f>
        <v>2025</v>
      </c>
      <c r="D186" t="str">
        <f>MID(analisis_productividad__4[[#This Row],[Periodo]],5,2)</f>
        <v>12</v>
      </c>
      <c r="E186" t="s">
        <v>16</v>
      </c>
      <c r="F186" t="s">
        <v>17</v>
      </c>
      <c r="G186">
        <v>116250</v>
      </c>
      <c r="H186">
        <v>3709388</v>
      </c>
      <c r="I186">
        <v>31.90880376344084</v>
      </c>
      <c r="J186">
        <v>113939.94261671984</v>
      </c>
      <c r="K186">
        <v>32.5</v>
      </c>
      <c r="L186">
        <v>32</v>
      </c>
      <c r="M186">
        <v>32.555645498944408</v>
      </c>
      <c r="N186">
        <v>3613824</v>
      </c>
    </row>
    <row r="187" spans="1:14" x14ac:dyDescent="0.35">
      <c r="A187" t="s">
        <v>20</v>
      </c>
      <c r="B187">
        <v>202403</v>
      </c>
      <c r="C187" t="str">
        <f>MID(analisis_productividad__4[[#This Row],[Periodo]],1,4)</f>
        <v>2024</v>
      </c>
      <c r="D187" t="str">
        <f>MID(analisis_productividad__4[[#This Row],[Periodo]],5,2)</f>
        <v>03</v>
      </c>
      <c r="E187" t="s">
        <v>16</v>
      </c>
      <c r="F187" t="s">
        <v>21</v>
      </c>
      <c r="G187">
        <v>116074</v>
      </c>
      <c r="H187">
        <v>10869841</v>
      </c>
      <c r="I187">
        <v>93.645416666666662</v>
      </c>
      <c r="J187">
        <v>0</v>
      </c>
      <c r="K187">
        <v>96.5</v>
      </c>
      <c r="L187">
        <v>94</v>
      </c>
      <c r="N187">
        <v>0</v>
      </c>
    </row>
    <row r="188" spans="1:14" x14ac:dyDescent="0.35">
      <c r="A188" t="s">
        <v>30</v>
      </c>
      <c r="B188">
        <v>202403</v>
      </c>
      <c r="C188" t="str">
        <f>MID(analisis_productividad__4[[#This Row],[Periodo]],1,4)</f>
        <v>2024</v>
      </c>
      <c r="D188" t="str">
        <f>MID(analisis_productividad__4[[#This Row],[Periodo]],5,2)</f>
        <v>03</v>
      </c>
      <c r="E188" t="s">
        <v>16</v>
      </c>
      <c r="F188" t="s">
        <v>19</v>
      </c>
      <c r="G188">
        <v>116041</v>
      </c>
      <c r="H188">
        <v>10374754</v>
      </c>
      <c r="I188">
        <v>89.406135752688186</v>
      </c>
      <c r="J188">
        <v>0</v>
      </c>
      <c r="K188">
        <v>101</v>
      </c>
      <c r="L188">
        <v>105</v>
      </c>
      <c r="N188">
        <v>0</v>
      </c>
    </row>
    <row r="189" spans="1:14" x14ac:dyDescent="0.35">
      <c r="A189" t="s">
        <v>131</v>
      </c>
      <c r="B189">
        <v>202412</v>
      </c>
      <c r="C189" t="str">
        <f>MID(analisis_productividad__4[[#This Row],[Periodo]],1,4)</f>
        <v>2024</v>
      </c>
      <c r="D189" t="str">
        <f>MID(analisis_productividad__4[[#This Row],[Periodo]],5,2)</f>
        <v>12</v>
      </c>
      <c r="E189" t="s">
        <v>16</v>
      </c>
      <c r="F189" t="s">
        <v>21</v>
      </c>
      <c r="G189">
        <v>116029</v>
      </c>
      <c r="H189">
        <v>16134149</v>
      </c>
      <c r="I189">
        <v>139.05227150537627</v>
      </c>
      <c r="J189">
        <v>0</v>
      </c>
      <c r="K189">
        <v>99</v>
      </c>
      <c r="L189">
        <v>32.5</v>
      </c>
      <c r="N189">
        <v>0</v>
      </c>
    </row>
    <row r="190" spans="1:14" x14ac:dyDescent="0.35">
      <c r="A190" t="s">
        <v>36</v>
      </c>
      <c r="B190">
        <v>202601</v>
      </c>
      <c r="C190" t="str">
        <f>MID(analisis_productividad__4[[#This Row],[Periodo]],1,4)</f>
        <v>2026</v>
      </c>
      <c r="D190" t="str">
        <f>MID(analisis_productividad__4[[#This Row],[Periodo]],5,2)</f>
        <v>01</v>
      </c>
      <c r="E190" t="s">
        <v>16</v>
      </c>
      <c r="F190" t="s">
        <v>17</v>
      </c>
      <c r="G190">
        <v>115835</v>
      </c>
      <c r="H190">
        <v>8570756</v>
      </c>
      <c r="I190">
        <v>73.991317204301012</v>
      </c>
      <c r="J190">
        <v>130159.94548710033</v>
      </c>
      <c r="K190">
        <v>76.5</v>
      </c>
      <c r="L190">
        <v>80</v>
      </c>
      <c r="M190">
        <v>67.450733277005639</v>
      </c>
      <c r="N190">
        <v>8779384</v>
      </c>
    </row>
    <row r="191" spans="1:14" x14ac:dyDescent="0.35">
      <c r="A191" t="s">
        <v>23</v>
      </c>
      <c r="B191">
        <v>202601</v>
      </c>
      <c r="C191" t="str">
        <f>MID(analisis_productividad__4[[#This Row],[Periodo]],1,4)</f>
        <v>2026</v>
      </c>
      <c r="D191" t="str">
        <f>MID(analisis_productividad__4[[#This Row],[Periodo]],5,2)</f>
        <v>01</v>
      </c>
      <c r="E191" t="s">
        <v>11</v>
      </c>
      <c r="F191" t="s">
        <v>12</v>
      </c>
      <c r="G191">
        <v>115829</v>
      </c>
      <c r="H191">
        <v>6665892</v>
      </c>
      <c r="I191">
        <v>57.54936155913979</v>
      </c>
      <c r="J191">
        <v>108205.02870923988</v>
      </c>
      <c r="K191">
        <v>68.5</v>
      </c>
      <c r="L191">
        <v>66</v>
      </c>
      <c r="M191">
        <v>59.179400136818131</v>
      </c>
      <c r="N191">
        <v>6403509</v>
      </c>
    </row>
    <row r="192" spans="1:14" x14ac:dyDescent="0.35">
      <c r="A192" t="s">
        <v>18</v>
      </c>
      <c r="B192">
        <v>202512</v>
      </c>
      <c r="C192" t="str">
        <f>MID(analisis_productividad__4[[#This Row],[Periodo]],1,4)</f>
        <v>2025</v>
      </c>
      <c r="D192" t="str">
        <f>MID(analisis_productividad__4[[#This Row],[Periodo]],5,2)</f>
        <v>12</v>
      </c>
      <c r="E192" t="s">
        <v>16</v>
      </c>
      <c r="F192" t="s">
        <v>19</v>
      </c>
      <c r="G192">
        <v>115820</v>
      </c>
      <c r="H192">
        <v>7787355</v>
      </c>
      <c r="I192">
        <v>67.236740591397862</v>
      </c>
      <c r="J192">
        <v>112402.42309663267</v>
      </c>
      <c r="K192">
        <v>70.5</v>
      </c>
      <c r="L192">
        <v>69.5</v>
      </c>
      <c r="M192">
        <v>69.281024692013872</v>
      </c>
      <c r="N192">
        <v>8072411</v>
      </c>
    </row>
    <row r="193" spans="1:14" x14ac:dyDescent="0.35">
      <c r="A193" t="s">
        <v>37</v>
      </c>
      <c r="B193">
        <v>202605</v>
      </c>
      <c r="C193" t="str">
        <f>MID(analisis_productividad__4[[#This Row],[Periodo]],1,4)</f>
        <v>2026</v>
      </c>
      <c r="D193" t="str">
        <f>MID(analisis_productividad__4[[#This Row],[Periodo]],5,2)</f>
        <v>05</v>
      </c>
      <c r="E193" t="s">
        <v>16</v>
      </c>
      <c r="F193" t="s">
        <v>17</v>
      </c>
      <c r="G193">
        <v>115778</v>
      </c>
      <c r="H193">
        <v>10633331</v>
      </c>
      <c r="I193">
        <v>91.842493279568345</v>
      </c>
      <c r="J193">
        <v>99185.695008362978</v>
      </c>
      <c r="K193">
        <v>107.5</v>
      </c>
      <c r="L193">
        <v>102.5</v>
      </c>
      <c r="M193">
        <v>96.70800932222366</v>
      </c>
      <c r="N193">
        <v>9592051</v>
      </c>
    </row>
    <row r="194" spans="1:14" x14ac:dyDescent="0.35">
      <c r="A194" t="s">
        <v>29</v>
      </c>
      <c r="B194">
        <v>202503</v>
      </c>
      <c r="C194" t="str">
        <f>MID(analisis_productividad__4[[#This Row],[Periodo]],1,4)</f>
        <v>2025</v>
      </c>
      <c r="D194" t="str">
        <f>MID(analisis_productividad__4[[#This Row],[Periodo]],5,2)</f>
        <v>03</v>
      </c>
      <c r="E194" t="s">
        <v>16</v>
      </c>
      <c r="F194" t="s">
        <v>19</v>
      </c>
      <c r="G194">
        <v>115557</v>
      </c>
      <c r="H194">
        <v>10777878</v>
      </c>
      <c r="I194">
        <v>93.268743279569861</v>
      </c>
      <c r="J194">
        <v>116629.38891095745</v>
      </c>
      <c r="K194">
        <v>96.5</v>
      </c>
      <c r="L194">
        <v>96</v>
      </c>
      <c r="M194">
        <v>92.411334918581645</v>
      </c>
      <c r="N194">
        <v>10232435</v>
      </c>
    </row>
    <row r="195" spans="1:14" x14ac:dyDescent="0.35">
      <c r="A195" t="s">
        <v>63</v>
      </c>
      <c r="B195">
        <v>202508</v>
      </c>
      <c r="C195" t="str">
        <f>MID(analisis_productividad__4[[#This Row],[Periodo]],1,4)</f>
        <v>2025</v>
      </c>
      <c r="D195" t="str">
        <f>MID(analisis_productividad__4[[#This Row],[Periodo]],5,2)</f>
        <v>08</v>
      </c>
      <c r="E195" t="s">
        <v>16</v>
      </c>
      <c r="F195" t="s">
        <v>17</v>
      </c>
      <c r="G195">
        <v>115552</v>
      </c>
      <c r="H195">
        <v>10790023</v>
      </c>
      <c r="I195">
        <v>93.377741935483797</v>
      </c>
      <c r="J195">
        <v>125219.37791073471</v>
      </c>
      <c r="K195">
        <v>86.5</v>
      </c>
      <c r="L195">
        <v>81.5</v>
      </c>
      <c r="M195">
        <v>86.168952681524217</v>
      </c>
      <c r="N195">
        <v>11717909</v>
      </c>
    </row>
    <row r="196" spans="1:14" x14ac:dyDescent="0.35">
      <c r="A196" t="s">
        <v>23</v>
      </c>
      <c r="B196">
        <v>202606</v>
      </c>
      <c r="C196" t="str">
        <f>MID(analisis_productividad__4[[#This Row],[Periodo]],1,4)</f>
        <v>2026</v>
      </c>
      <c r="D196" t="str">
        <f>MID(analisis_productividad__4[[#This Row],[Periodo]],5,2)</f>
        <v>06</v>
      </c>
      <c r="E196" t="s">
        <v>11</v>
      </c>
      <c r="F196" t="s">
        <v>12</v>
      </c>
      <c r="G196">
        <v>115441</v>
      </c>
      <c r="H196">
        <v>6738012</v>
      </c>
      <c r="I196">
        <v>58.367409722223101</v>
      </c>
      <c r="J196">
        <v>106743.32737228795</v>
      </c>
      <c r="K196">
        <v>68.5</v>
      </c>
      <c r="L196">
        <v>66</v>
      </c>
      <c r="M196">
        <v>59.179400136818131</v>
      </c>
      <c r="N196">
        <v>6317006</v>
      </c>
    </row>
    <row r="197" spans="1:14" x14ac:dyDescent="0.35">
      <c r="A197" t="s">
        <v>15</v>
      </c>
      <c r="B197">
        <v>202402</v>
      </c>
      <c r="C197" t="str">
        <f>MID(analisis_productividad__4[[#This Row],[Periodo]],1,4)</f>
        <v>2024</v>
      </c>
      <c r="D197" t="str">
        <f>MID(analisis_productividad__4[[#This Row],[Periodo]],5,2)</f>
        <v>02</v>
      </c>
      <c r="E197" t="s">
        <v>16</v>
      </c>
      <c r="F197" t="s">
        <v>17</v>
      </c>
      <c r="G197">
        <v>115420</v>
      </c>
      <c r="H197">
        <v>6169302</v>
      </c>
      <c r="I197">
        <v>53.450833333333343</v>
      </c>
      <c r="J197">
        <v>0</v>
      </c>
      <c r="K197">
        <v>61</v>
      </c>
      <c r="L197">
        <v>60</v>
      </c>
      <c r="N197">
        <v>0</v>
      </c>
    </row>
    <row r="198" spans="1:14" x14ac:dyDescent="0.35">
      <c r="A198" t="s">
        <v>63</v>
      </c>
      <c r="B198">
        <v>202510</v>
      </c>
      <c r="C198" t="str">
        <f>MID(analisis_productividad__4[[#This Row],[Periodo]],1,4)</f>
        <v>2025</v>
      </c>
      <c r="D198" t="str">
        <f>MID(analisis_productividad__4[[#This Row],[Periodo]],5,2)</f>
        <v>10</v>
      </c>
      <c r="E198" t="s">
        <v>16</v>
      </c>
      <c r="F198" t="s">
        <v>17</v>
      </c>
      <c r="G198">
        <v>115349</v>
      </c>
      <c r="H198">
        <v>9854178</v>
      </c>
      <c r="I198">
        <v>85.429354838709671</v>
      </c>
      <c r="J198">
        <v>119773.46061499079</v>
      </c>
      <c r="K198">
        <v>86.5</v>
      </c>
      <c r="L198">
        <v>81.5</v>
      </c>
      <c r="M198">
        <v>82.273469008932139</v>
      </c>
      <c r="N198">
        <v>9961736</v>
      </c>
    </row>
    <row r="199" spans="1:14" x14ac:dyDescent="0.35">
      <c r="A199" t="s">
        <v>10</v>
      </c>
      <c r="B199">
        <v>202505</v>
      </c>
      <c r="C199" t="str">
        <f>MID(analisis_productividad__4[[#This Row],[Periodo]],1,4)</f>
        <v>2025</v>
      </c>
      <c r="D199" t="str">
        <f>MID(analisis_productividad__4[[#This Row],[Periodo]],5,2)</f>
        <v>05</v>
      </c>
      <c r="E199" t="s">
        <v>11</v>
      </c>
      <c r="F199" t="s">
        <v>12</v>
      </c>
      <c r="G199">
        <v>115304</v>
      </c>
      <c r="H199">
        <v>10640804</v>
      </c>
      <c r="I199">
        <v>92.28469758064513</v>
      </c>
      <c r="J199">
        <v>104108.57598034492</v>
      </c>
      <c r="K199">
        <v>98.5</v>
      </c>
      <c r="L199">
        <v>96.5</v>
      </c>
      <c r="M199">
        <v>102.20871508230906</v>
      </c>
      <c r="N199">
        <v>10280494</v>
      </c>
    </row>
    <row r="200" spans="1:14" x14ac:dyDescent="0.35">
      <c r="A200" t="s">
        <v>10</v>
      </c>
      <c r="B200">
        <v>202403</v>
      </c>
      <c r="C200" t="str">
        <f>MID(analisis_productividad__4[[#This Row],[Periodo]],1,4)</f>
        <v>2024</v>
      </c>
      <c r="D200" t="str">
        <f>MID(analisis_productividad__4[[#This Row],[Periodo]],5,2)</f>
        <v>03</v>
      </c>
      <c r="E200" t="s">
        <v>11</v>
      </c>
      <c r="F200" t="s">
        <v>12</v>
      </c>
      <c r="G200">
        <v>115140</v>
      </c>
      <c r="H200">
        <v>11348128</v>
      </c>
      <c r="I200">
        <v>98.559482526881709</v>
      </c>
      <c r="J200">
        <v>0</v>
      </c>
      <c r="K200">
        <v>98.5</v>
      </c>
      <c r="L200">
        <v>96.5</v>
      </c>
      <c r="N200">
        <v>0</v>
      </c>
    </row>
    <row r="201" spans="1:14" x14ac:dyDescent="0.35">
      <c r="A201" t="s">
        <v>20</v>
      </c>
      <c r="B201">
        <v>202604</v>
      </c>
      <c r="C201" t="str">
        <f>MID(analisis_productividad__4[[#This Row],[Periodo]],1,4)</f>
        <v>2026</v>
      </c>
      <c r="D201" t="str">
        <f>MID(analisis_productividad__4[[#This Row],[Periodo]],5,2)</f>
        <v>04</v>
      </c>
      <c r="E201" t="s">
        <v>16</v>
      </c>
      <c r="F201" t="s">
        <v>21</v>
      </c>
      <c r="G201">
        <v>115132</v>
      </c>
      <c r="H201">
        <v>9436243</v>
      </c>
      <c r="I201">
        <v>81.960034722224805</v>
      </c>
      <c r="J201">
        <v>101730.10039471094</v>
      </c>
      <c r="K201">
        <v>96.5</v>
      </c>
      <c r="L201">
        <v>94</v>
      </c>
      <c r="M201">
        <v>87.753564014610347</v>
      </c>
      <c r="N201">
        <v>8927179</v>
      </c>
    </row>
    <row r="202" spans="1:14" x14ac:dyDescent="0.35">
      <c r="A202" t="s">
        <v>25</v>
      </c>
      <c r="B202">
        <v>202412</v>
      </c>
      <c r="C202" t="str">
        <f>MID(analisis_productividad__4[[#This Row],[Periodo]],1,4)</f>
        <v>2024</v>
      </c>
      <c r="D202" t="str">
        <f>MID(analisis_productividad__4[[#This Row],[Periodo]],5,2)</f>
        <v>12</v>
      </c>
      <c r="E202" t="s">
        <v>16</v>
      </c>
      <c r="F202" t="s">
        <v>19</v>
      </c>
      <c r="G202">
        <v>115120</v>
      </c>
      <c r="H202">
        <v>11595524</v>
      </c>
      <c r="I202">
        <v>100.72510752688173</v>
      </c>
      <c r="J202">
        <v>0</v>
      </c>
      <c r="K202">
        <v>94</v>
      </c>
      <c r="L202">
        <v>92</v>
      </c>
      <c r="N202">
        <v>0</v>
      </c>
    </row>
    <row r="203" spans="1:14" x14ac:dyDescent="0.35">
      <c r="A203" t="s">
        <v>36</v>
      </c>
      <c r="B203">
        <v>202605</v>
      </c>
      <c r="C203" t="str">
        <f>MID(analisis_productividad__4[[#This Row],[Periodo]],1,4)</f>
        <v>2026</v>
      </c>
      <c r="D203" t="str">
        <f>MID(analisis_productividad__4[[#This Row],[Periodo]],5,2)</f>
        <v>05</v>
      </c>
      <c r="E203" t="s">
        <v>16</v>
      </c>
      <c r="F203" t="s">
        <v>17</v>
      </c>
      <c r="G203">
        <v>115114</v>
      </c>
      <c r="H203">
        <v>8596435</v>
      </c>
      <c r="I203">
        <v>74.677815860214878</v>
      </c>
      <c r="J203">
        <v>123777.23603853211</v>
      </c>
      <c r="K203">
        <v>76.5</v>
      </c>
      <c r="L203">
        <v>80</v>
      </c>
      <c r="M203">
        <v>67.450733277005639</v>
      </c>
      <c r="N203">
        <v>8348865</v>
      </c>
    </row>
    <row r="204" spans="1:14" x14ac:dyDescent="0.35">
      <c r="A204" t="s">
        <v>31</v>
      </c>
      <c r="B204">
        <v>202501</v>
      </c>
      <c r="C204" t="str">
        <f>MID(analisis_productividad__4[[#This Row],[Periodo]],1,4)</f>
        <v>2025</v>
      </c>
      <c r="D204" t="str">
        <f>MID(analisis_productividad__4[[#This Row],[Periodo]],5,2)</f>
        <v>01</v>
      </c>
      <c r="E204" t="s">
        <v>11</v>
      </c>
      <c r="F204" t="s">
        <v>14</v>
      </c>
      <c r="G204">
        <v>114960</v>
      </c>
      <c r="H204">
        <v>9130389</v>
      </c>
      <c r="I204">
        <v>79.422197580645104</v>
      </c>
      <c r="J204">
        <v>106061.04696379416</v>
      </c>
      <c r="K204">
        <v>101.5</v>
      </c>
      <c r="L204">
        <v>97.5</v>
      </c>
      <c r="M204">
        <v>86.086164820877372</v>
      </c>
      <c r="N204">
        <v>9123322</v>
      </c>
    </row>
    <row r="205" spans="1:14" x14ac:dyDescent="0.35">
      <c r="A205" t="s">
        <v>27</v>
      </c>
      <c r="B205">
        <v>202606</v>
      </c>
      <c r="C205" t="str">
        <f>MID(analisis_productividad__4[[#This Row],[Periodo]],1,4)</f>
        <v>2026</v>
      </c>
      <c r="D205" t="str">
        <f>MID(analisis_productividad__4[[#This Row],[Periodo]],5,2)</f>
        <v>06</v>
      </c>
      <c r="E205" t="s">
        <v>11</v>
      </c>
      <c r="F205" t="s">
        <v>14</v>
      </c>
      <c r="G205">
        <v>114958</v>
      </c>
      <c r="H205">
        <v>8419492</v>
      </c>
      <c r="I205">
        <v>73.239979166668491</v>
      </c>
      <c r="J205">
        <v>105648.84895751612</v>
      </c>
      <c r="K205">
        <v>88</v>
      </c>
      <c r="L205">
        <v>84</v>
      </c>
      <c r="M205">
        <v>78.31726123421582</v>
      </c>
      <c r="N205">
        <v>8274129</v>
      </c>
    </row>
    <row r="206" spans="1:14" x14ac:dyDescent="0.35">
      <c r="A206" t="s">
        <v>31</v>
      </c>
      <c r="B206">
        <v>202511</v>
      </c>
      <c r="C206" t="str">
        <f>MID(analisis_productividad__4[[#This Row],[Periodo]],1,4)</f>
        <v>2025</v>
      </c>
      <c r="D206" t="str">
        <f>MID(analisis_productividad__4[[#This Row],[Periodo]],5,2)</f>
        <v>11</v>
      </c>
      <c r="E206" t="s">
        <v>11</v>
      </c>
      <c r="F206" t="s">
        <v>14</v>
      </c>
      <c r="G206">
        <v>114898</v>
      </c>
      <c r="H206">
        <v>9049452</v>
      </c>
      <c r="I206">
        <v>78.761034722222234</v>
      </c>
      <c r="J206">
        <v>113502.83713522171</v>
      </c>
      <c r="K206">
        <v>101.5</v>
      </c>
      <c r="L206">
        <v>97.5</v>
      </c>
      <c r="M206">
        <v>79.728864655770025</v>
      </c>
      <c r="N206">
        <v>9891318</v>
      </c>
    </row>
    <row r="207" spans="1:14" x14ac:dyDescent="0.35">
      <c r="A207" t="s">
        <v>39</v>
      </c>
      <c r="B207">
        <v>202412</v>
      </c>
      <c r="C207" t="str">
        <f>MID(analisis_productividad__4[[#This Row],[Periodo]],1,4)</f>
        <v>2024</v>
      </c>
      <c r="D207" t="str">
        <f>MID(analisis_productividad__4[[#This Row],[Periodo]],5,2)</f>
        <v>12</v>
      </c>
      <c r="E207" t="s">
        <v>16</v>
      </c>
      <c r="F207" t="s">
        <v>17</v>
      </c>
      <c r="G207">
        <v>114851</v>
      </c>
      <c r="H207">
        <v>11542001</v>
      </c>
      <c r="I207">
        <v>100.49502016129014</v>
      </c>
      <c r="J207">
        <v>0</v>
      </c>
      <c r="K207">
        <v>93.5</v>
      </c>
      <c r="L207">
        <v>94</v>
      </c>
      <c r="N207">
        <v>0</v>
      </c>
    </row>
    <row r="208" spans="1:14" x14ac:dyDescent="0.35">
      <c r="A208" t="s">
        <v>63</v>
      </c>
      <c r="B208">
        <v>202403</v>
      </c>
      <c r="C208" t="str">
        <f>MID(analisis_productividad__4[[#This Row],[Periodo]],1,4)</f>
        <v>2024</v>
      </c>
      <c r="D208" t="str">
        <f>MID(analisis_productividad__4[[#This Row],[Periodo]],5,2)</f>
        <v>03</v>
      </c>
      <c r="E208" t="s">
        <v>16</v>
      </c>
      <c r="F208" t="s">
        <v>17</v>
      </c>
      <c r="G208">
        <v>114631</v>
      </c>
      <c r="H208">
        <v>10851679</v>
      </c>
      <c r="I208">
        <v>94.665967741935546</v>
      </c>
      <c r="J208">
        <v>0</v>
      </c>
      <c r="K208">
        <v>86.5</v>
      </c>
      <c r="L208">
        <v>81.5</v>
      </c>
      <c r="N208">
        <v>0</v>
      </c>
    </row>
    <row r="209" spans="1:14" x14ac:dyDescent="0.35">
      <c r="A209" t="s">
        <v>42</v>
      </c>
      <c r="B209">
        <v>202601</v>
      </c>
      <c r="C209" t="str">
        <f>MID(analisis_productividad__4[[#This Row],[Periodo]],1,4)</f>
        <v>2026</v>
      </c>
      <c r="D209" t="str">
        <f>MID(analisis_productividad__4[[#This Row],[Periodo]],5,2)</f>
        <v>01</v>
      </c>
      <c r="E209" t="s">
        <v>16</v>
      </c>
      <c r="F209" t="s">
        <v>19</v>
      </c>
      <c r="G209">
        <v>114577</v>
      </c>
      <c r="H209">
        <v>6102849</v>
      </c>
      <c r="I209">
        <v>53.264072580645177</v>
      </c>
      <c r="J209">
        <v>105686.55735389813</v>
      </c>
      <c r="K209">
        <v>62</v>
      </c>
      <c r="L209">
        <v>58</v>
      </c>
      <c r="M209">
        <v>54.66595376698497</v>
      </c>
      <c r="N209">
        <v>5777456</v>
      </c>
    </row>
    <row r="210" spans="1:14" x14ac:dyDescent="0.35">
      <c r="A210" t="s">
        <v>36</v>
      </c>
      <c r="B210">
        <v>202604</v>
      </c>
      <c r="C210" t="str">
        <f>MID(analisis_productividad__4[[#This Row],[Periodo]],1,4)</f>
        <v>2026</v>
      </c>
      <c r="D210" t="str">
        <f>MID(analisis_productividad__4[[#This Row],[Periodo]],5,2)</f>
        <v>04</v>
      </c>
      <c r="E210" t="s">
        <v>16</v>
      </c>
      <c r="F210" t="s">
        <v>17</v>
      </c>
      <c r="G210">
        <v>114559</v>
      </c>
      <c r="H210">
        <v>8231659</v>
      </c>
      <c r="I210">
        <v>71.855097222222895</v>
      </c>
      <c r="J210">
        <v>115190.70502008517</v>
      </c>
      <c r="K210">
        <v>76.5</v>
      </c>
      <c r="L210">
        <v>80</v>
      </c>
      <c r="M210">
        <v>67.450733277005639</v>
      </c>
      <c r="N210">
        <v>7769698</v>
      </c>
    </row>
    <row r="211" spans="1:14" x14ac:dyDescent="0.35">
      <c r="A211" t="s">
        <v>31</v>
      </c>
      <c r="B211">
        <v>202504</v>
      </c>
      <c r="C211" t="str">
        <f>MID(analisis_productividad__4[[#This Row],[Periodo]],1,4)</f>
        <v>2025</v>
      </c>
      <c r="D211" t="str">
        <f>MID(analisis_productividad__4[[#This Row],[Periodo]],5,2)</f>
        <v>04</v>
      </c>
      <c r="E211" t="s">
        <v>11</v>
      </c>
      <c r="F211" t="s">
        <v>14</v>
      </c>
      <c r="G211">
        <v>114473</v>
      </c>
      <c r="H211">
        <v>8834966</v>
      </c>
      <c r="I211">
        <v>77.179375000000036</v>
      </c>
      <c r="J211">
        <v>107439.33305773434</v>
      </c>
      <c r="K211">
        <v>101.5</v>
      </c>
      <c r="L211">
        <v>97.5</v>
      </c>
      <c r="M211">
        <v>82.232135834763454</v>
      </c>
      <c r="N211">
        <v>9640378</v>
      </c>
    </row>
    <row r="212" spans="1:14" x14ac:dyDescent="0.35">
      <c r="A212" t="s">
        <v>20</v>
      </c>
      <c r="B212">
        <v>202602</v>
      </c>
      <c r="C212" t="str">
        <f>MID(analisis_productividad__4[[#This Row],[Periodo]],1,4)</f>
        <v>2026</v>
      </c>
      <c r="D212" t="str">
        <f>MID(analisis_productividad__4[[#This Row],[Periodo]],5,2)</f>
        <v>02</v>
      </c>
      <c r="E212" t="s">
        <v>16</v>
      </c>
      <c r="F212" t="s">
        <v>21</v>
      </c>
      <c r="G212">
        <v>114376</v>
      </c>
      <c r="H212">
        <v>10208666</v>
      </c>
      <c r="I212">
        <v>89.255052083333339</v>
      </c>
      <c r="J212">
        <v>107826.18398865969</v>
      </c>
      <c r="K212">
        <v>96.5</v>
      </c>
      <c r="L212">
        <v>94</v>
      </c>
      <c r="M212">
        <v>87.753564014610347</v>
      </c>
      <c r="N212">
        <v>9462132</v>
      </c>
    </row>
    <row r="213" spans="1:14" x14ac:dyDescent="0.35">
      <c r="A213" t="s">
        <v>42</v>
      </c>
      <c r="B213">
        <v>202602</v>
      </c>
      <c r="C213" t="str">
        <f>MID(analisis_productividad__4[[#This Row],[Periodo]],1,4)</f>
        <v>2026</v>
      </c>
      <c r="D213" t="str">
        <f>MID(analisis_productividad__4[[#This Row],[Periodo]],5,2)</f>
        <v>02</v>
      </c>
      <c r="E213" t="s">
        <v>16</v>
      </c>
      <c r="F213" t="s">
        <v>19</v>
      </c>
      <c r="G213">
        <v>114256</v>
      </c>
      <c r="H213">
        <v>5908629</v>
      </c>
      <c r="I213">
        <v>51.713854166666657</v>
      </c>
      <c r="J213">
        <v>101009.50801547768</v>
      </c>
      <c r="K213">
        <v>62</v>
      </c>
      <c r="L213">
        <v>58</v>
      </c>
      <c r="M213">
        <v>54.66595376698497</v>
      </c>
      <c r="N213">
        <v>5521781</v>
      </c>
    </row>
    <row r="214" spans="1:14" x14ac:dyDescent="0.35">
      <c r="A214" t="s">
        <v>51</v>
      </c>
      <c r="B214">
        <v>202512</v>
      </c>
      <c r="C214" t="str">
        <f>MID(analisis_productividad__4[[#This Row],[Periodo]],1,4)</f>
        <v>2025</v>
      </c>
      <c r="D214" t="str">
        <f>MID(analisis_productividad__4[[#This Row],[Periodo]],5,2)</f>
        <v>12</v>
      </c>
      <c r="E214" t="s">
        <v>11</v>
      </c>
      <c r="F214" t="s">
        <v>52</v>
      </c>
      <c r="G214">
        <v>114202</v>
      </c>
      <c r="H214">
        <v>12076142</v>
      </c>
      <c r="I214">
        <v>105.74346774193535</v>
      </c>
      <c r="J214">
        <v>112573.49857848899</v>
      </c>
      <c r="K214">
        <v>117.5</v>
      </c>
      <c r="L214">
        <v>99</v>
      </c>
      <c r="M214">
        <v>107.27340202170426</v>
      </c>
      <c r="N214">
        <v>11484073</v>
      </c>
    </row>
    <row r="215" spans="1:14" x14ac:dyDescent="0.35">
      <c r="A215" t="s">
        <v>37</v>
      </c>
      <c r="B215">
        <v>202604</v>
      </c>
      <c r="C215" t="str">
        <f>MID(analisis_productividad__4[[#This Row],[Periodo]],1,4)</f>
        <v>2026</v>
      </c>
      <c r="D215" t="str">
        <f>MID(analisis_productividad__4[[#This Row],[Periodo]],5,2)</f>
        <v>04</v>
      </c>
      <c r="E215" t="s">
        <v>16</v>
      </c>
      <c r="F215" t="s">
        <v>17</v>
      </c>
      <c r="G215">
        <v>114189</v>
      </c>
      <c r="H215">
        <v>10424061</v>
      </c>
      <c r="I215">
        <v>91.287437500002099</v>
      </c>
      <c r="J215">
        <v>97644.282781550224</v>
      </c>
      <c r="K215">
        <v>107.5</v>
      </c>
      <c r="L215">
        <v>102.5</v>
      </c>
      <c r="M215">
        <v>96.70800932222366</v>
      </c>
      <c r="N215">
        <v>9442984</v>
      </c>
    </row>
    <row r="216" spans="1:14" x14ac:dyDescent="0.35">
      <c r="A216" t="s">
        <v>65</v>
      </c>
      <c r="B216">
        <v>202512</v>
      </c>
      <c r="C216" t="str">
        <f>MID(analisis_productividad__4[[#This Row],[Periodo]],1,4)</f>
        <v>2025</v>
      </c>
      <c r="D216" t="str">
        <f>MID(analisis_productividad__4[[#This Row],[Periodo]],5,2)</f>
        <v>12</v>
      </c>
      <c r="E216" t="s">
        <v>16</v>
      </c>
      <c r="F216" t="s">
        <v>19</v>
      </c>
      <c r="G216">
        <v>114186</v>
      </c>
      <c r="H216">
        <v>7893106</v>
      </c>
      <c r="I216">
        <v>69.124858870967685</v>
      </c>
      <c r="J216">
        <v>107320.04919763489</v>
      </c>
      <c r="K216">
        <v>68</v>
      </c>
      <c r="L216">
        <v>68.5</v>
      </c>
      <c r="M216">
        <v>73.547354469289104</v>
      </c>
      <c r="N216">
        <v>7560103</v>
      </c>
    </row>
    <row r="217" spans="1:14" x14ac:dyDescent="0.35">
      <c r="A217" t="s">
        <v>46</v>
      </c>
      <c r="B217">
        <v>202603</v>
      </c>
      <c r="C217" t="str">
        <f>MID(analisis_productividad__4[[#This Row],[Periodo]],1,4)</f>
        <v>2026</v>
      </c>
      <c r="D217" t="str">
        <f>MID(analisis_productividad__4[[#This Row],[Periodo]],5,2)</f>
        <v>03</v>
      </c>
      <c r="E217" t="s">
        <v>11</v>
      </c>
      <c r="F217" t="s">
        <v>14</v>
      </c>
      <c r="G217">
        <v>114164</v>
      </c>
      <c r="H217">
        <v>8308574</v>
      </c>
      <c r="I217">
        <v>72.777278225806484</v>
      </c>
      <c r="J217">
        <v>123815.08932177197</v>
      </c>
      <c r="K217">
        <v>77</v>
      </c>
      <c r="L217">
        <v>79</v>
      </c>
      <c r="M217">
        <v>66.09086292651952</v>
      </c>
      <c r="N217">
        <v>8183046</v>
      </c>
    </row>
    <row r="218" spans="1:14" x14ac:dyDescent="0.35">
      <c r="A218" t="s">
        <v>63</v>
      </c>
      <c r="B218">
        <v>202409</v>
      </c>
      <c r="C218" t="str">
        <f>MID(analisis_productividad__4[[#This Row],[Periodo]],1,4)</f>
        <v>2024</v>
      </c>
      <c r="D218" t="str">
        <f>MID(analisis_productividad__4[[#This Row],[Periodo]],5,2)</f>
        <v>09</v>
      </c>
      <c r="E218" t="s">
        <v>16</v>
      </c>
      <c r="F218" t="s">
        <v>17</v>
      </c>
      <c r="G218">
        <v>114094</v>
      </c>
      <c r="H218">
        <v>10320356</v>
      </c>
      <c r="I218">
        <v>90.45487499999993</v>
      </c>
      <c r="J218">
        <v>0</v>
      </c>
      <c r="K218">
        <v>86.5</v>
      </c>
      <c r="L218">
        <v>81.5</v>
      </c>
      <c r="N218">
        <v>0</v>
      </c>
    </row>
    <row r="219" spans="1:14" x14ac:dyDescent="0.35">
      <c r="A219" t="s">
        <v>63</v>
      </c>
      <c r="B219">
        <v>202410</v>
      </c>
      <c r="C219" t="str">
        <f>MID(analisis_productividad__4[[#This Row],[Periodo]],1,4)</f>
        <v>2024</v>
      </c>
      <c r="D219" t="str">
        <f>MID(analisis_productividad__4[[#This Row],[Periodo]],5,2)</f>
        <v>10</v>
      </c>
      <c r="E219" t="s">
        <v>16</v>
      </c>
      <c r="F219" t="s">
        <v>17</v>
      </c>
      <c r="G219">
        <v>114070</v>
      </c>
      <c r="H219">
        <v>10230129</v>
      </c>
      <c r="I219">
        <v>89.68293682795688</v>
      </c>
      <c r="J219">
        <v>0</v>
      </c>
      <c r="K219">
        <v>86.5</v>
      </c>
      <c r="L219">
        <v>81.5</v>
      </c>
      <c r="N219">
        <v>0</v>
      </c>
    </row>
    <row r="220" spans="1:14" x14ac:dyDescent="0.35">
      <c r="A220" t="s">
        <v>29</v>
      </c>
      <c r="B220">
        <v>202606</v>
      </c>
      <c r="C220" t="str">
        <f>MID(analisis_productividad__4[[#This Row],[Periodo]],1,4)</f>
        <v>2026</v>
      </c>
      <c r="D220" t="str">
        <f>MID(analisis_productividad__4[[#This Row],[Periodo]],5,2)</f>
        <v>06</v>
      </c>
      <c r="E220" t="s">
        <v>16</v>
      </c>
      <c r="F220" t="s">
        <v>19</v>
      </c>
      <c r="G220">
        <v>113900</v>
      </c>
      <c r="H220">
        <v>9759385</v>
      </c>
      <c r="I220">
        <v>85.684083333335607</v>
      </c>
      <c r="J220">
        <v>125461.29316247745</v>
      </c>
      <c r="K220">
        <v>96.5</v>
      </c>
      <c r="L220">
        <v>96</v>
      </c>
      <c r="M220">
        <v>83.321494048065787</v>
      </c>
      <c r="N220">
        <v>10453622</v>
      </c>
    </row>
    <row r="221" spans="1:14" x14ac:dyDescent="0.35">
      <c r="A221" t="s">
        <v>80</v>
      </c>
      <c r="B221">
        <v>202412</v>
      </c>
      <c r="C221" t="str">
        <f>MID(analisis_productividad__4[[#This Row],[Periodo]],1,4)</f>
        <v>2024</v>
      </c>
      <c r="D221" t="str">
        <f>MID(analisis_productividad__4[[#This Row],[Periodo]],5,2)</f>
        <v>12</v>
      </c>
      <c r="E221" t="s">
        <v>16</v>
      </c>
      <c r="F221" t="s">
        <v>17</v>
      </c>
      <c r="G221">
        <v>113878</v>
      </c>
      <c r="H221">
        <v>6913636</v>
      </c>
      <c r="I221">
        <v>60.710981182795706</v>
      </c>
      <c r="J221">
        <v>0</v>
      </c>
      <c r="K221">
        <v>58</v>
      </c>
      <c r="L221">
        <v>58.5</v>
      </c>
      <c r="N221">
        <v>0</v>
      </c>
    </row>
    <row r="222" spans="1:14" x14ac:dyDescent="0.35">
      <c r="A222" t="s">
        <v>47</v>
      </c>
      <c r="B222">
        <v>202605</v>
      </c>
      <c r="C222" t="str">
        <f>MID(analisis_productividad__4[[#This Row],[Periodo]],1,4)</f>
        <v>2026</v>
      </c>
      <c r="D222" t="str">
        <f>MID(analisis_productividad__4[[#This Row],[Periodo]],5,2)</f>
        <v>05</v>
      </c>
      <c r="E222" t="s">
        <v>11</v>
      </c>
      <c r="F222" t="s">
        <v>14</v>
      </c>
      <c r="G222">
        <v>113845</v>
      </c>
      <c r="H222">
        <v>4505835</v>
      </c>
      <c r="I222">
        <v>39.578649193548237</v>
      </c>
      <c r="J222">
        <v>87459.384834373748</v>
      </c>
      <c r="K222">
        <v>61.5</v>
      </c>
      <c r="L222">
        <v>48.5</v>
      </c>
      <c r="M222">
        <v>53.715920394326645</v>
      </c>
      <c r="N222">
        <v>4697961</v>
      </c>
    </row>
    <row r="223" spans="1:14" x14ac:dyDescent="0.35">
      <c r="A223" t="s">
        <v>31</v>
      </c>
      <c r="B223">
        <v>202508</v>
      </c>
      <c r="C223" t="str">
        <f>MID(analisis_productividad__4[[#This Row],[Periodo]],1,4)</f>
        <v>2025</v>
      </c>
      <c r="D223" t="str">
        <f>MID(analisis_productividad__4[[#This Row],[Periodo]],5,2)</f>
        <v>08</v>
      </c>
      <c r="E223" t="s">
        <v>11</v>
      </c>
      <c r="F223" t="s">
        <v>14</v>
      </c>
      <c r="G223">
        <v>113819</v>
      </c>
      <c r="H223">
        <v>8708722</v>
      </c>
      <c r="I223">
        <v>76.513998655914008</v>
      </c>
      <c r="J223">
        <v>116893.381312774</v>
      </c>
      <c r="K223">
        <v>101.5</v>
      </c>
      <c r="L223">
        <v>97.5</v>
      </c>
      <c r="M223">
        <v>74.501415240080149</v>
      </c>
      <c r="N223">
        <v>9381613</v>
      </c>
    </row>
    <row r="224" spans="1:14" x14ac:dyDescent="0.35">
      <c r="A224" t="s">
        <v>80</v>
      </c>
      <c r="B224">
        <v>202512</v>
      </c>
      <c r="C224" t="str">
        <f>MID(analisis_productividad__4[[#This Row],[Periodo]],1,4)</f>
        <v>2025</v>
      </c>
      <c r="D224" t="str">
        <f>MID(analisis_productividad__4[[#This Row],[Periodo]],5,2)</f>
        <v>12</v>
      </c>
      <c r="E224" t="s">
        <v>16</v>
      </c>
      <c r="F224" t="s">
        <v>17</v>
      </c>
      <c r="G224">
        <v>113816</v>
      </c>
      <c r="H224">
        <v>6577991</v>
      </c>
      <c r="I224">
        <v>57.795161290322547</v>
      </c>
      <c r="J224">
        <v>119571.73802944807</v>
      </c>
      <c r="K224">
        <v>58</v>
      </c>
      <c r="L224">
        <v>58.5</v>
      </c>
      <c r="M224">
        <v>55.012923441657897</v>
      </c>
      <c r="N224">
        <v>7340783</v>
      </c>
    </row>
    <row r="225" spans="1:14" x14ac:dyDescent="0.35">
      <c r="A225" t="s">
        <v>56</v>
      </c>
      <c r="B225">
        <v>202412</v>
      </c>
      <c r="C225" t="str">
        <f>MID(analisis_productividad__4[[#This Row],[Periodo]],1,4)</f>
        <v>2024</v>
      </c>
      <c r="D225" t="str">
        <f>MID(analisis_productividad__4[[#This Row],[Periodo]],5,2)</f>
        <v>12</v>
      </c>
      <c r="E225" t="s">
        <v>16</v>
      </c>
      <c r="F225" t="s">
        <v>21</v>
      </c>
      <c r="G225">
        <v>113802</v>
      </c>
      <c r="H225">
        <v>8856171</v>
      </c>
      <c r="I225">
        <v>77.821041666666659</v>
      </c>
      <c r="J225">
        <v>0</v>
      </c>
      <c r="K225">
        <v>72.5</v>
      </c>
      <c r="L225">
        <v>68.5</v>
      </c>
      <c r="N225">
        <v>0</v>
      </c>
    </row>
    <row r="226" spans="1:14" x14ac:dyDescent="0.35">
      <c r="A226" t="s">
        <v>39</v>
      </c>
      <c r="B226">
        <v>202605</v>
      </c>
      <c r="C226" t="str">
        <f>MID(analisis_productividad__4[[#This Row],[Periodo]],1,4)</f>
        <v>2026</v>
      </c>
      <c r="D226" t="str">
        <f>MID(analisis_productividad__4[[#This Row],[Periodo]],5,2)</f>
        <v>05</v>
      </c>
      <c r="E226" t="s">
        <v>16</v>
      </c>
      <c r="F226" t="s">
        <v>17</v>
      </c>
      <c r="G226">
        <v>113745</v>
      </c>
      <c r="H226">
        <v>9421685</v>
      </c>
      <c r="I226">
        <v>82.831922043010792</v>
      </c>
      <c r="J226">
        <v>108438.12906216738</v>
      </c>
      <c r="K226">
        <v>93.5</v>
      </c>
      <c r="L226">
        <v>94</v>
      </c>
      <c r="M226">
        <v>84.619508156945685</v>
      </c>
      <c r="N226">
        <v>9175981</v>
      </c>
    </row>
    <row r="227" spans="1:14" x14ac:dyDescent="0.35">
      <c r="A227" t="s">
        <v>49</v>
      </c>
      <c r="B227">
        <v>202503</v>
      </c>
      <c r="C227" t="str">
        <f>MID(analisis_productividad__4[[#This Row],[Periodo]],1,4)</f>
        <v>2025</v>
      </c>
      <c r="D227" t="str">
        <f>MID(analisis_productividad__4[[#This Row],[Periodo]],5,2)</f>
        <v>03</v>
      </c>
      <c r="E227" t="s">
        <v>16</v>
      </c>
      <c r="F227" t="s">
        <v>21</v>
      </c>
      <c r="G227">
        <v>113640</v>
      </c>
      <c r="H227">
        <v>7510713</v>
      </c>
      <c r="I227">
        <v>66.091948924731128</v>
      </c>
      <c r="J227">
        <v>95306.852716712892</v>
      </c>
      <c r="K227">
        <v>75.5</v>
      </c>
      <c r="L227">
        <v>68</v>
      </c>
      <c r="M227">
        <v>78.80559032123962</v>
      </c>
      <c r="N227">
        <v>6833724</v>
      </c>
    </row>
    <row r="228" spans="1:14" x14ac:dyDescent="0.35">
      <c r="A228" t="s">
        <v>26</v>
      </c>
      <c r="B228">
        <v>202604</v>
      </c>
      <c r="C228" t="str">
        <f>MID(analisis_productividad__4[[#This Row],[Periodo]],1,4)</f>
        <v>2026</v>
      </c>
      <c r="D228" t="str">
        <f>MID(analisis_productividad__4[[#This Row],[Periodo]],5,2)</f>
        <v>04</v>
      </c>
      <c r="E228" t="s">
        <v>11</v>
      </c>
      <c r="F228" t="s">
        <v>12</v>
      </c>
      <c r="G228">
        <v>113601</v>
      </c>
      <c r="H228">
        <v>6454839</v>
      </c>
      <c r="I228">
        <v>56.82006944444543</v>
      </c>
      <c r="J228">
        <v>108045.81832211188</v>
      </c>
      <c r="K228">
        <v>65.5</v>
      </c>
      <c r="L228">
        <v>63</v>
      </c>
      <c r="M228">
        <v>55.389519717073902</v>
      </c>
      <c r="N228">
        <v>5984606</v>
      </c>
    </row>
    <row r="229" spans="1:14" x14ac:dyDescent="0.35">
      <c r="A229" t="s">
        <v>28</v>
      </c>
      <c r="B229">
        <v>202602</v>
      </c>
      <c r="C229" t="str">
        <f>MID(analisis_productividad__4[[#This Row],[Periodo]],1,4)</f>
        <v>2026</v>
      </c>
      <c r="D229" t="str">
        <f>MID(analisis_productividad__4[[#This Row],[Periodo]],5,2)</f>
        <v>02</v>
      </c>
      <c r="E229" t="s">
        <v>16</v>
      </c>
      <c r="F229" t="s">
        <v>17</v>
      </c>
      <c r="G229">
        <v>113574</v>
      </c>
      <c r="H229">
        <v>6425457</v>
      </c>
      <c r="I229">
        <v>56.57531250000001</v>
      </c>
      <c r="J229">
        <v>114589.300985807</v>
      </c>
      <c r="K229">
        <v>64</v>
      </c>
      <c r="L229">
        <v>67</v>
      </c>
      <c r="M229">
        <v>56.429371630436094</v>
      </c>
      <c r="N229">
        <v>6466202</v>
      </c>
    </row>
    <row r="230" spans="1:14" x14ac:dyDescent="0.35">
      <c r="A230" t="s">
        <v>36</v>
      </c>
      <c r="B230">
        <v>202409</v>
      </c>
      <c r="C230" t="str">
        <f>MID(analisis_productividad__4[[#This Row],[Periodo]],1,4)</f>
        <v>2024</v>
      </c>
      <c r="D230" t="str">
        <f>MID(analisis_productividad__4[[#This Row],[Periodo]],5,2)</f>
        <v>09</v>
      </c>
      <c r="E230" t="s">
        <v>16</v>
      </c>
      <c r="F230" t="s">
        <v>17</v>
      </c>
      <c r="G230">
        <v>113546</v>
      </c>
      <c r="H230">
        <v>7203165</v>
      </c>
      <c r="I230">
        <v>63.438131944444457</v>
      </c>
      <c r="J230">
        <v>0</v>
      </c>
      <c r="K230">
        <v>76.5</v>
      </c>
      <c r="L230">
        <v>80</v>
      </c>
      <c r="N230">
        <v>0</v>
      </c>
    </row>
    <row r="231" spans="1:14" x14ac:dyDescent="0.35">
      <c r="A231" t="s">
        <v>50</v>
      </c>
      <c r="B231">
        <v>202512</v>
      </c>
      <c r="C231" t="str">
        <f>MID(analisis_productividad__4[[#This Row],[Periodo]],1,4)</f>
        <v>2025</v>
      </c>
      <c r="D231" t="str">
        <f>MID(analisis_productividad__4[[#This Row],[Periodo]],5,2)</f>
        <v>12</v>
      </c>
      <c r="E231" t="s">
        <v>34</v>
      </c>
      <c r="F231" t="s">
        <v>35</v>
      </c>
      <c r="G231">
        <v>113531</v>
      </c>
      <c r="H231">
        <v>7816020</v>
      </c>
      <c r="I231">
        <v>68.844717741935526</v>
      </c>
      <c r="J231">
        <v>114263.59947629497</v>
      </c>
      <c r="K231">
        <v>79.5</v>
      </c>
      <c r="L231">
        <v>72.5</v>
      </c>
      <c r="M231">
        <v>68.403409973282905</v>
      </c>
      <c r="N231">
        <v>7788591</v>
      </c>
    </row>
    <row r="232" spans="1:14" x14ac:dyDescent="0.35">
      <c r="A232" t="s">
        <v>36</v>
      </c>
      <c r="B232">
        <v>202408</v>
      </c>
      <c r="C232" t="str">
        <f>MID(analisis_productividad__4[[#This Row],[Periodo]],1,4)</f>
        <v>2024</v>
      </c>
      <c r="D232" t="str">
        <f>MID(analisis_productividad__4[[#This Row],[Periodo]],5,2)</f>
        <v>08</v>
      </c>
      <c r="E232" t="s">
        <v>16</v>
      </c>
      <c r="F232" t="s">
        <v>17</v>
      </c>
      <c r="G232">
        <v>113530</v>
      </c>
      <c r="H232">
        <v>7838078</v>
      </c>
      <c r="I232">
        <v>69.039758064516064</v>
      </c>
      <c r="J232">
        <v>0</v>
      </c>
      <c r="K232">
        <v>76.5</v>
      </c>
      <c r="L232">
        <v>80</v>
      </c>
      <c r="N232">
        <v>0</v>
      </c>
    </row>
    <row r="233" spans="1:14" x14ac:dyDescent="0.35">
      <c r="A233" t="s">
        <v>30</v>
      </c>
      <c r="B233">
        <v>202510</v>
      </c>
      <c r="C233" t="str">
        <f>MID(analisis_productividad__4[[#This Row],[Periodo]],1,4)</f>
        <v>2025</v>
      </c>
      <c r="D233" t="str">
        <f>MID(analisis_productividad__4[[#This Row],[Periodo]],5,2)</f>
        <v>10</v>
      </c>
      <c r="E233" t="s">
        <v>16</v>
      </c>
      <c r="F233" t="s">
        <v>19</v>
      </c>
      <c r="G233">
        <v>113507</v>
      </c>
      <c r="H233">
        <v>9141348</v>
      </c>
      <c r="I233">
        <v>80.535611559139824</v>
      </c>
      <c r="J233">
        <v>105686.79949896064</v>
      </c>
      <c r="K233">
        <v>101</v>
      </c>
      <c r="L233">
        <v>105</v>
      </c>
      <c r="M233">
        <v>86.494697287998548</v>
      </c>
      <c r="N233">
        <v>10394525</v>
      </c>
    </row>
    <row r="234" spans="1:14" x14ac:dyDescent="0.35">
      <c r="A234" t="s">
        <v>46</v>
      </c>
      <c r="B234">
        <v>202503</v>
      </c>
      <c r="C234" t="str">
        <f>MID(analisis_productividad__4[[#This Row],[Periodo]],1,4)</f>
        <v>2025</v>
      </c>
      <c r="D234" t="str">
        <f>MID(analisis_productividad__4[[#This Row],[Periodo]],5,2)</f>
        <v>03</v>
      </c>
      <c r="E234" t="s">
        <v>11</v>
      </c>
      <c r="F234" t="s">
        <v>14</v>
      </c>
      <c r="G234">
        <v>113423</v>
      </c>
      <c r="H234">
        <v>7890988</v>
      </c>
      <c r="I234">
        <v>69.571485215053769</v>
      </c>
      <c r="J234">
        <v>116623.24429289803</v>
      </c>
      <c r="K234">
        <v>77</v>
      </c>
      <c r="L234">
        <v>79</v>
      </c>
      <c r="M234">
        <v>67.662219893161847</v>
      </c>
      <c r="N234">
        <v>7473181</v>
      </c>
    </row>
    <row r="235" spans="1:14" x14ac:dyDescent="0.35">
      <c r="A235" t="s">
        <v>72</v>
      </c>
      <c r="B235">
        <v>202412</v>
      </c>
      <c r="C235" t="str">
        <f>MID(analisis_productividad__4[[#This Row],[Periodo]],1,4)</f>
        <v>2024</v>
      </c>
      <c r="D235" t="str">
        <f>MID(analisis_productividad__4[[#This Row],[Periodo]],5,2)</f>
        <v>12</v>
      </c>
      <c r="E235" t="s">
        <v>11</v>
      </c>
      <c r="F235" t="s">
        <v>14</v>
      </c>
      <c r="G235">
        <v>113417</v>
      </c>
      <c r="H235">
        <v>7192880</v>
      </c>
      <c r="I235">
        <v>63.419576612903235</v>
      </c>
      <c r="J235">
        <v>0</v>
      </c>
      <c r="K235">
        <v>66</v>
      </c>
      <c r="L235">
        <v>64.5</v>
      </c>
      <c r="N235">
        <v>0</v>
      </c>
    </row>
    <row r="236" spans="1:14" x14ac:dyDescent="0.35">
      <c r="A236" t="s">
        <v>48</v>
      </c>
      <c r="B236">
        <v>202603</v>
      </c>
      <c r="C236" t="str">
        <f>MID(analisis_productividad__4[[#This Row],[Periodo]],1,4)</f>
        <v>2026</v>
      </c>
      <c r="D236" t="str">
        <f>MID(analisis_productividad__4[[#This Row],[Periodo]],5,2)</f>
        <v>03</v>
      </c>
      <c r="E236" t="s">
        <v>16</v>
      </c>
      <c r="F236" t="s">
        <v>21</v>
      </c>
      <c r="G236">
        <v>113388</v>
      </c>
      <c r="H236">
        <v>6308309</v>
      </c>
      <c r="I236">
        <v>55.634616935483884</v>
      </c>
      <c r="J236">
        <v>126513.57646179434</v>
      </c>
      <c r="K236">
        <v>56</v>
      </c>
      <c r="L236">
        <v>60</v>
      </c>
      <c r="M236">
        <v>48.493991244906013</v>
      </c>
      <c r="N236">
        <v>6135148</v>
      </c>
    </row>
    <row r="237" spans="1:14" x14ac:dyDescent="0.35">
      <c r="A237" t="s">
        <v>10</v>
      </c>
      <c r="B237">
        <v>202407</v>
      </c>
      <c r="C237" t="str">
        <f>MID(analisis_productividad__4[[#This Row],[Periodo]],1,4)</f>
        <v>2024</v>
      </c>
      <c r="D237" t="str">
        <f>MID(analisis_productividad__4[[#This Row],[Periodo]],5,2)</f>
        <v>07</v>
      </c>
      <c r="E237" t="s">
        <v>11</v>
      </c>
      <c r="F237" t="s">
        <v>12</v>
      </c>
      <c r="G237">
        <v>113273</v>
      </c>
      <c r="H237">
        <v>11069671</v>
      </c>
      <c r="I237">
        <v>97.725598118279592</v>
      </c>
      <c r="J237">
        <v>0</v>
      </c>
      <c r="K237">
        <v>98.5</v>
      </c>
      <c r="L237">
        <v>96.5</v>
      </c>
      <c r="N237">
        <v>0</v>
      </c>
    </row>
    <row r="238" spans="1:14" x14ac:dyDescent="0.35">
      <c r="A238" t="s">
        <v>54</v>
      </c>
      <c r="B238">
        <v>202512</v>
      </c>
      <c r="C238" t="str">
        <f>MID(analisis_productividad__4[[#This Row],[Periodo]],1,4)</f>
        <v>2025</v>
      </c>
      <c r="D238" t="str">
        <f>MID(analisis_productividad__4[[#This Row],[Periodo]],5,2)</f>
        <v>12</v>
      </c>
      <c r="E238" t="s">
        <v>11</v>
      </c>
      <c r="F238" t="s">
        <v>52</v>
      </c>
      <c r="G238">
        <v>113271</v>
      </c>
      <c r="H238">
        <v>11925593</v>
      </c>
      <c r="I238">
        <v>105.28338709677412</v>
      </c>
      <c r="J238">
        <v>109906.54280138739</v>
      </c>
      <c r="K238">
        <v>106</v>
      </c>
      <c r="L238">
        <v>102.5</v>
      </c>
      <c r="M238">
        <v>108.50667481690138</v>
      </c>
      <c r="N238">
        <v>13582118</v>
      </c>
    </row>
    <row r="239" spans="1:14" x14ac:dyDescent="0.35">
      <c r="A239" t="s">
        <v>30</v>
      </c>
      <c r="B239">
        <v>202406</v>
      </c>
      <c r="C239" t="str">
        <f>MID(analisis_productividad__4[[#This Row],[Periodo]],1,4)</f>
        <v>2024</v>
      </c>
      <c r="D239" t="str">
        <f>MID(analisis_productividad__4[[#This Row],[Periodo]],5,2)</f>
        <v>06</v>
      </c>
      <c r="E239" t="s">
        <v>16</v>
      </c>
      <c r="F239" t="s">
        <v>19</v>
      </c>
      <c r="G239">
        <v>113231</v>
      </c>
      <c r="H239">
        <v>9303796</v>
      </c>
      <c r="I239">
        <v>82.166194444444443</v>
      </c>
      <c r="J239">
        <v>0</v>
      </c>
      <c r="K239">
        <v>101</v>
      </c>
      <c r="L239">
        <v>105</v>
      </c>
      <c r="N239">
        <v>0</v>
      </c>
    </row>
    <row r="240" spans="1:14" x14ac:dyDescent="0.35">
      <c r="A240" t="s">
        <v>46</v>
      </c>
      <c r="B240">
        <v>202605</v>
      </c>
      <c r="C240" t="str">
        <f>MID(analisis_productividad__4[[#This Row],[Periodo]],1,4)</f>
        <v>2026</v>
      </c>
      <c r="D240" t="str">
        <f>MID(analisis_productividad__4[[#This Row],[Periodo]],5,2)</f>
        <v>05</v>
      </c>
      <c r="E240" t="s">
        <v>11</v>
      </c>
      <c r="F240" t="s">
        <v>14</v>
      </c>
      <c r="G240">
        <v>113228</v>
      </c>
      <c r="H240">
        <v>7841199</v>
      </c>
      <c r="I240">
        <v>69.251122311828112</v>
      </c>
      <c r="J240">
        <v>108025.58602446713</v>
      </c>
      <c r="K240">
        <v>77</v>
      </c>
      <c r="L240">
        <v>79</v>
      </c>
      <c r="M240">
        <v>66.09086292651952</v>
      </c>
      <c r="N240">
        <v>7139504</v>
      </c>
    </row>
    <row r="241" spans="1:14" x14ac:dyDescent="0.35">
      <c r="A241" t="s">
        <v>23</v>
      </c>
      <c r="B241">
        <v>202511</v>
      </c>
      <c r="C241" t="str">
        <f>MID(analisis_productividad__4[[#This Row],[Periodo]],1,4)</f>
        <v>2025</v>
      </c>
      <c r="D241" t="str">
        <f>MID(analisis_productividad__4[[#This Row],[Periodo]],5,2)</f>
        <v>11</v>
      </c>
      <c r="E241" t="s">
        <v>11</v>
      </c>
      <c r="F241" t="s">
        <v>12</v>
      </c>
      <c r="G241">
        <v>113218</v>
      </c>
      <c r="H241">
        <v>6664780</v>
      </c>
      <c r="I241">
        <v>58.866840277777797</v>
      </c>
      <c r="J241">
        <v>101986.27833970977</v>
      </c>
      <c r="K241">
        <v>68.5</v>
      </c>
      <c r="L241">
        <v>66</v>
      </c>
      <c r="M241">
        <v>65.349771542795622</v>
      </c>
      <c r="N241">
        <v>5482192</v>
      </c>
    </row>
    <row r="242" spans="1:14" x14ac:dyDescent="0.35">
      <c r="A242" t="s">
        <v>60</v>
      </c>
      <c r="B242">
        <v>202512</v>
      </c>
      <c r="C242" t="str">
        <f>MID(analisis_productividad__4[[#This Row],[Periodo]],1,4)</f>
        <v>2025</v>
      </c>
      <c r="D242" t="str">
        <f>MID(analisis_productividad__4[[#This Row],[Periodo]],5,2)</f>
        <v>12</v>
      </c>
      <c r="E242" t="s">
        <v>11</v>
      </c>
      <c r="F242" t="s">
        <v>14</v>
      </c>
      <c r="G242">
        <v>113122</v>
      </c>
      <c r="H242">
        <v>8279830</v>
      </c>
      <c r="I242">
        <v>73.194126344086001</v>
      </c>
      <c r="J242">
        <v>114418.82787974927</v>
      </c>
      <c r="K242">
        <v>75.5</v>
      </c>
      <c r="L242">
        <v>74</v>
      </c>
      <c r="M242">
        <v>72.364230200835934</v>
      </c>
      <c r="N242">
        <v>10680923</v>
      </c>
    </row>
    <row r="243" spans="1:14" x14ac:dyDescent="0.35">
      <c r="A243" t="s">
        <v>49</v>
      </c>
      <c r="B243">
        <v>202603</v>
      </c>
      <c r="C243" t="str">
        <f>MID(analisis_productividad__4[[#This Row],[Periodo]],1,4)</f>
        <v>2026</v>
      </c>
      <c r="D243" t="str">
        <f>MID(analisis_productividad__4[[#This Row],[Periodo]],5,2)</f>
        <v>03</v>
      </c>
      <c r="E243" t="s">
        <v>16</v>
      </c>
      <c r="F243" t="s">
        <v>21</v>
      </c>
      <c r="G243">
        <v>113038</v>
      </c>
      <c r="H243">
        <v>7311690</v>
      </c>
      <c r="I243">
        <v>64.683198924731201</v>
      </c>
      <c r="J243">
        <v>109425.83890846046</v>
      </c>
      <c r="K243">
        <v>75.5</v>
      </c>
      <c r="L243">
        <v>68</v>
      </c>
      <c r="M243">
        <v>66.56902434528007</v>
      </c>
      <c r="N243">
        <v>7284371</v>
      </c>
    </row>
    <row r="244" spans="1:14" x14ac:dyDescent="0.35">
      <c r="A244" t="s">
        <v>29</v>
      </c>
      <c r="B244">
        <v>202411</v>
      </c>
      <c r="C244" t="str">
        <f>MID(analisis_productividad__4[[#This Row],[Periodo]],1,4)</f>
        <v>2024</v>
      </c>
      <c r="D244" t="str">
        <f>MID(analisis_productividad__4[[#This Row],[Periodo]],5,2)</f>
        <v>11</v>
      </c>
      <c r="E244" t="s">
        <v>16</v>
      </c>
      <c r="F244" t="s">
        <v>19</v>
      </c>
      <c r="G244">
        <v>113027</v>
      </c>
      <c r="H244">
        <v>9877133</v>
      </c>
      <c r="I244">
        <v>87.387416666666738</v>
      </c>
      <c r="J244">
        <v>0</v>
      </c>
      <c r="K244">
        <v>96.5</v>
      </c>
      <c r="L244">
        <v>96</v>
      </c>
      <c r="N244">
        <v>0</v>
      </c>
    </row>
    <row r="245" spans="1:14" x14ac:dyDescent="0.35">
      <c r="A245" t="s">
        <v>73</v>
      </c>
      <c r="B245">
        <v>202512</v>
      </c>
      <c r="C245" t="str">
        <f>MID(analisis_productividad__4[[#This Row],[Periodo]],1,4)</f>
        <v>2025</v>
      </c>
      <c r="D245" t="str">
        <f>MID(analisis_productividad__4[[#This Row],[Periodo]],5,2)</f>
        <v>12</v>
      </c>
      <c r="E245" t="s">
        <v>16</v>
      </c>
      <c r="F245" t="s">
        <v>21</v>
      </c>
      <c r="G245">
        <v>112935</v>
      </c>
      <c r="H245">
        <v>4221961</v>
      </c>
      <c r="I245">
        <v>37.383998655913963</v>
      </c>
      <c r="J245">
        <v>96698.888088882144</v>
      </c>
      <c r="K245">
        <v>43.5</v>
      </c>
      <c r="L245">
        <v>41</v>
      </c>
      <c r="M245">
        <v>43.660905760563921</v>
      </c>
      <c r="N245">
        <v>4543170</v>
      </c>
    </row>
    <row r="246" spans="1:14" x14ac:dyDescent="0.35">
      <c r="A246" t="s">
        <v>36</v>
      </c>
      <c r="B246">
        <v>202411</v>
      </c>
      <c r="C246" t="str">
        <f>MID(analisis_productividad__4[[#This Row],[Periodo]],1,4)</f>
        <v>2024</v>
      </c>
      <c r="D246" t="str">
        <f>MID(analisis_productividad__4[[#This Row],[Periodo]],5,2)</f>
        <v>11</v>
      </c>
      <c r="E246" t="s">
        <v>16</v>
      </c>
      <c r="F246" t="s">
        <v>17</v>
      </c>
      <c r="G246">
        <v>112851</v>
      </c>
      <c r="H246">
        <v>7632668</v>
      </c>
      <c r="I246">
        <v>67.634729166666631</v>
      </c>
      <c r="J246">
        <v>0</v>
      </c>
      <c r="K246">
        <v>76.5</v>
      </c>
      <c r="L246">
        <v>80</v>
      </c>
      <c r="N246">
        <v>0</v>
      </c>
    </row>
    <row r="247" spans="1:14" x14ac:dyDescent="0.35">
      <c r="A247" t="s">
        <v>50</v>
      </c>
      <c r="B247">
        <v>202603</v>
      </c>
      <c r="C247" t="str">
        <f>MID(analisis_productividad__4[[#This Row],[Periodo]],1,4)</f>
        <v>2026</v>
      </c>
      <c r="D247" t="str">
        <f>MID(analisis_productividad__4[[#This Row],[Periodo]],5,2)</f>
        <v>03</v>
      </c>
      <c r="E247" t="s">
        <v>34</v>
      </c>
      <c r="F247" t="s">
        <v>35</v>
      </c>
      <c r="G247">
        <v>112841</v>
      </c>
      <c r="H247">
        <v>7288715</v>
      </c>
      <c r="I247">
        <v>64.59301747311828</v>
      </c>
      <c r="J247">
        <v>117601.53215495934</v>
      </c>
      <c r="K247">
        <v>79.5</v>
      </c>
      <c r="L247">
        <v>72.5</v>
      </c>
      <c r="M247">
        <v>64.209802769832038</v>
      </c>
      <c r="N247">
        <v>7551171</v>
      </c>
    </row>
    <row r="248" spans="1:14" x14ac:dyDescent="0.35">
      <c r="A248" t="s">
        <v>26</v>
      </c>
      <c r="B248">
        <v>202602</v>
      </c>
      <c r="C248" t="str">
        <f>MID(analisis_productividad__4[[#This Row],[Periodo]],1,4)</f>
        <v>2026</v>
      </c>
      <c r="D248" t="str">
        <f>MID(analisis_productividad__4[[#This Row],[Periodo]],5,2)</f>
        <v>02</v>
      </c>
      <c r="E248" t="s">
        <v>11</v>
      </c>
      <c r="F248" t="s">
        <v>12</v>
      </c>
      <c r="G248">
        <v>112809</v>
      </c>
      <c r="H248">
        <v>6631508</v>
      </c>
      <c r="I248">
        <v>58.785260416666652</v>
      </c>
      <c r="J248">
        <v>95873.406646692165</v>
      </c>
      <c r="K248">
        <v>65.5</v>
      </c>
      <c r="L248">
        <v>63</v>
      </c>
      <c r="M248">
        <v>55.389519717073902</v>
      </c>
      <c r="N248">
        <v>5310382</v>
      </c>
    </row>
    <row r="249" spans="1:14" x14ac:dyDescent="0.35">
      <c r="A249" t="s">
        <v>38</v>
      </c>
      <c r="B249">
        <v>202512</v>
      </c>
      <c r="C249" t="str">
        <f>MID(analisis_productividad__4[[#This Row],[Periodo]],1,4)</f>
        <v>2025</v>
      </c>
      <c r="D249" t="str">
        <f>MID(analisis_productividad__4[[#This Row],[Periodo]],5,2)</f>
        <v>12</v>
      </c>
      <c r="E249" t="s">
        <v>34</v>
      </c>
      <c r="F249" t="s">
        <v>35</v>
      </c>
      <c r="G249">
        <v>112766</v>
      </c>
      <c r="H249">
        <v>14605856</v>
      </c>
      <c r="I249">
        <v>129.52314516129019</v>
      </c>
      <c r="J249">
        <v>110829.52287331934</v>
      </c>
      <c r="K249">
        <v>140.5</v>
      </c>
      <c r="L249">
        <v>125.5</v>
      </c>
      <c r="M249">
        <v>131.78669168047247</v>
      </c>
      <c r="N249">
        <v>15121050</v>
      </c>
    </row>
    <row r="250" spans="1:14" x14ac:dyDescent="0.35">
      <c r="A250" t="s">
        <v>41</v>
      </c>
      <c r="B250">
        <v>202412</v>
      </c>
      <c r="C250" t="str">
        <f>MID(analisis_productividad__4[[#This Row],[Periodo]],1,4)</f>
        <v>2024</v>
      </c>
      <c r="D250" t="str">
        <f>MID(analisis_productividad__4[[#This Row],[Periodo]],5,2)</f>
        <v>12</v>
      </c>
      <c r="E250" t="s">
        <v>16</v>
      </c>
      <c r="F250" t="s">
        <v>19</v>
      </c>
      <c r="G250">
        <v>112691</v>
      </c>
      <c r="H250">
        <v>7326613</v>
      </c>
      <c r="I250">
        <v>65.015275537634423</v>
      </c>
      <c r="J250">
        <v>0</v>
      </c>
      <c r="K250">
        <v>57.5</v>
      </c>
      <c r="L250">
        <v>56.5</v>
      </c>
      <c r="N250">
        <v>0</v>
      </c>
    </row>
    <row r="251" spans="1:14" x14ac:dyDescent="0.35">
      <c r="A251" t="s">
        <v>13</v>
      </c>
      <c r="B251">
        <v>202606</v>
      </c>
      <c r="C251" t="str">
        <f>MID(analisis_productividad__4[[#This Row],[Periodo]],1,4)</f>
        <v>2026</v>
      </c>
      <c r="D251" t="str">
        <f>MID(analisis_productividad__4[[#This Row],[Periodo]],5,2)</f>
        <v>06</v>
      </c>
      <c r="E251" t="s">
        <v>11</v>
      </c>
      <c r="F251" t="s">
        <v>14</v>
      </c>
      <c r="G251">
        <v>112676</v>
      </c>
      <c r="H251">
        <v>9874453</v>
      </c>
      <c r="I251">
        <v>87.635576388891252</v>
      </c>
      <c r="J251">
        <v>110012.30028771533</v>
      </c>
      <c r="K251">
        <v>100</v>
      </c>
      <c r="L251">
        <v>98</v>
      </c>
      <c r="M251">
        <v>86.393284871267369</v>
      </c>
      <c r="N251">
        <v>9504324</v>
      </c>
    </row>
    <row r="252" spans="1:14" x14ac:dyDescent="0.35">
      <c r="A252" t="s">
        <v>10</v>
      </c>
      <c r="B252">
        <v>202507</v>
      </c>
      <c r="C252" t="str">
        <f>MID(analisis_productividad__4[[#This Row],[Periodo]],1,4)</f>
        <v>2025</v>
      </c>
      <c r="D252" t="str">
        <f>MID(analisis_productividad__4[[#This Row],[Periodo]],5,2)</f>
        <v>07</v>
      </c>
      <c r="E252" t="s">
        <v>11</v>
      </c>
      <c r="F252" t="s">
        <v>12</v>
      </c>
      <c r="G252">
        <v>112663</v>
      </c>
      <c r="H252">
        <v>10570689</v>
      </c>
      <c r="I252">
        <v>93.825873655913981</v>
      </c>
      <c r="J252">
        <v>118936.64682340669</v>
      </c>
      <c r="K252">
        <v>98.5</v>
      </c>
      <c r="L252">
        <v>96.5</v>
      </c>
      <c r="M252">
        <v>88.876632495743877</v>
      </c>
      <c r="N252">
        <v>11329608</v>
      </c>
    </row>
    <row r="253" spans="1:14" x14ac:dyDescent="0.35">
      <c r="A253" t="s">
        <v>31</v>
      </c>
      <c r="B253">
        <v>202507</v>
      </c>
      <c r="C253" t="str">
        <f>MID(analisis_productividad__4[[#This Row],[Periodo]],1,4)</f>
        <v>2025</v>
      </c>
      <c r="D253" t="str">
        <f>MID(analisis_productividad__4[[#This Row],[Periodo]],5,2)</f>
        <v>07</v>
      </c>
      <c r="E253" t="s">
        <v>11</v>
      </c>
      <c r="F253" t="s">
        <v>14</v>
      </c>
      <c r="G253">
        <v>112646</v>
      </c>
      <c r="H253">
        <v>8679367</v>
      </c>
      <c r="I253">
        <v>77.050053763440872</v>
      </c>
      <c r="J253">
        <v>116798.02756990527</v>
      </c>
      <c r="K253">
        <v>101.5</v>
      </c>
      <c r="L253">
        <v>97.5</v>
      </c>
      <c r="M253">
        <v>74.310906447502063</v>
      </c>
      <c r="N253">
        <v>10044018</v>
      </c>
    </row>
    <row r="254" spans="1:14" x14ac:dyDescent="0.35">
      <c r="A254" t="s">
        <v>76</v>
      </c>
      <c r="B254">
        <v>202512</v>
      </c>
      <c r="C254" t="str">
        <f>MID(analisis_productividad__4[[#This Row],[Periodo]],1,4)</f>
        <v>2025</v>
      </c>
      <c r="D254" t="str">
        <f>MID(analisis_productividad__4[[#This Row],[Periodo]],5,2)</f>
        <v>12</v>
      </c>
      <c r="E254" t="s">
        <v>11</v>
      </c>
      <c r="F254" t="s">
        <v>14</v>
      </c>
      <c r="G254">
        <v>112637</v>
      </c>
      <c r="H254">
        <v>8640643</v>
      </c>
      <c r="I254">
        <v>76.712143817204236</v>
      </c>
      <c r="J254">
        <v>114005.53612066893</v>
      </c>
      <c r="K254">
        <v>80</v>
      </c>
      <c r="L254">
        <v>78</v>
      </c>
      <c r="M254">
        <v>75.791433416481894</v>
      </c>
      <c r="N254">
        <v>9340407</v>
      </c>
    </row>
    <row r="255" spans="1:14" x14ac:dyDescent="0.35">
      <c r="A255" t="s">
        <v>63</v>
      </c>
      <c r="B255">
        <v>202501</v>
      </c>
      <c r="C255" t="str">
        <f>MID(analisis_productividad__4[[#This Row],[Periodo]],1,4)</f>
        <v>2025</v>
      </c>
      <c r="D255" t="str">
        <f>MID(analisis_productividad__4[[#This Row],[Periodo]],5,2)</f>
        <v>01</v>
      </c>
      <c r="E255" t="s">
        <v>16</v>
      </c>
      <c r="F255" t="s">
        <v>17</v>
      </c>
      <c r="G255">
        <v>112628</v>
      </c>
      <c r="H255">
        <v>10022142</v>
      </c>
      <c r="I255">
        <v>88.984583333333205</v>
      </c>
      <c r="J255">
        <v>112155.22207329926</v>
      </c>
      <c r="K255">
        <v>86.5</v>
      </c>
      <c r="L255">
        <v>81.5</v>
      </c>
      <c r="M255">
        <v>89.35956957447786</v>
      </c>
      <c r="N255">
        <v>9614086</v>
      </c>
    </row>
    <row r="256" spans="1:14" x14ac:dyDescent="0.35">
      <c r="A256" t="s">
        <v>30</v>
      </c>
      <c r="B256">
        <v>202505</v>
      </c>
      <c r="C256" t="str">
        <f>MID(analisis_productividad__4[[#This Row],[Periodo]],1,4)</f>
        <v>2025</v>
      </c>
      <c r="D256" t="str">
        <f>MID(analisis_productividad__4[[#This Row],[Periodo]],5,2)</f>
        <v>05</v>
      </c>
      <c r="E256" t="s">
        <v>16</v>
      </c>
      <c r="F256" t="s">
        <v>19</v>
      </c>
      <c r="G256">
        <v>112608</v>
      </c>
      <c r="H256">
        <v>9158754</v>
      </c>
      <c r="I256">
        <v>81.33303763440864</v>
      </c>
      <c r="J256">
        <v>107838.91998409382</v>
      </c>
      <c r="K256">
        <v>101</v>
      </c>
      <c r="L256">
        <v>105</v>
      </c>
      <c r="M256">
        <v>84.929952853301117</v>
      </c>
      <c r="N256">
        <v>9413634</v>
      </c>
    </row>
    <row r="257" spans="1:14" x14ac:dyDescent="0.35">
      <c r="A257" t="s">
        <v>63</v>
      </c>
      <c r="B257">
        <v>202502</v>
      </c>
      <c r="C257" t="str">
        <f>MID(analisis_productividad__4[[#This Row],[Periodo]],1,4)</f>
        <v>2025</v>
      </c>
      <c r="D257" t="str">
        <f>MID(analisis_productividad__4[[#This Row],[Periodo]],5,2)</f>
        <v>02</v>
      </c>
      <c r="E257" t="s">
        <v>16</v>
      </c>
      <c r="F257" t="s">
        <v>17</v>
      </c>
      <c r="G257">
        <v>112557</v>
      </c>
      <c r="H257">
        <v>9340743</v>
      </c>
      <c r="I257">
        <v>82.986666666666665</v>
      </c>
      <c r="J257">
        <v>100220.17229747995</v>
      </c>
      <c r="K257">
        <v>86.5</v>
      </c>
      <c r="L257">
        <v>81.5</v>
      </c>
      <c r="M257">
        <v>93.20222132799978</v>
      </c>
      <c r="N257">
        <v>8812657</v>
      </c>
    </row>
    <row r="258" spans="1:14" x14ac:dyDescent="0.35">
      <c r="A258" t="s">
        <v>45</v>
      </c>
      <c r="B258">
        <v>202602</v>
      </c>
      <c r="C258" t="str">
        <f>MID(analisis_productividad__4[[#This Row],[Periodo]],1,4)</f>
        <v>2026</v>
      </c>
      <c r="D258" t="str">
        <f>MID(analisis_productividad__4[[#This Row],[Periodo]],5,2)</f>
        <v>02</v>
      </c>
      <c r="E258" t="s">
        <v>34</v>
      </c>
      <c r="F258" t="s">
        <v>35</v>
      </c>
      <c r="G258">
        <v>112510</v>
      </c>
      <c r="H258">
        <v>2639017</v>
      </c>
      <c r="I258">
        <v>23.455937500000008</v>
      </c>
      <c r="J258">
        <v>123027.24641692521</v>
      </c>
      <c r="K258">
        <v>22.5</v>
      </c>
      <c r="L258">
        <v>21</v>
      </c>
      <c r="M258">
        <v>19.647967156057994</v>
      </c>
      <c r="N258">
        <v>2417235</v>
      </c>
    </row>
    <row r="259" spans="1:14" x14ac:dyDescent="0.35">
      <c r="A259" t="s">
        <v>20</v>
      </c>
      <c r="B259">
        <v>202503</v>
      </c>
      <c r="C259" t="str">
        <f>MID(analisis_productividad__4[[#This Row],[Periodo]],1,4)</f>
        <v>2025</v>
      </c>
      <c r="D259" t="str">
        <f>MID(analisis_productividad__4[[#This Row],[Periodo]],5,2)</f>
        <v>03</v>
      </c>
      <c r="E259" t="s">
        <v>16</v>
      </c>
      <c r="F259" t="s">
        <v>21</v>
      </c>
      <c r="G259">
        <v>112300</v>
      </c>
      <c r="H259">
        <v>11175328</v>
      </c>
      <c r="I259">
        <v>99.512997311827988</v>
      </c>
      <c r="J259">
        <v>121878.17850313014</v>
      </c>
      <c r="K259">
        <v>96.5</v>
      </c>
      <c r="L259">
        <v>94</v>
      </c>
      <c r="M259">
        <v>91.692607382649655</v>
      </c>
      <c r="N259">
        <v>10799054</v>
      </c>
    </row>
    <row r="260" spans="1:14" x14ac:dyDescent="0.35">
      <c r="A260" t="s">
        <v>51</v>
      </c>
      <c r="B260">
        <v>202605</v>
      </c>
      <c r="C260" t="str">
        <f>MID(analisis_productividad__4[[#This Row],[Periodo]],1,4)</f>
        <v>2026</v>
      </c>
      <c r="D260" t="str">
        <f>MID(analisis_productividad__4[[#This Row],[Periodo]],5,2)</f>
        <v>05</v>
      </c>
      <c r="E260" t="s">
        <v>11</v>
      </c>
      <c r="F260" t="s">
        <v>52</v>
      </c>
      <c r="G260">
        <v>112187</v>
      </c>
      <c r="H260">
        <v>9852862</v>
      </c>
      <c r="I260">
        <v>87.82506720430159</v>
      </c>
      <c r="J260">
        <v>99247.099121789361</v>
      </c>
      <c r="K260">
        <v>117.5</v>
      </c>
      <c r="L260">
        <v>99</v>
      </c>
      <c r="M260">
        <v>98.005014700369543</v>
      </c>
      <c r="N260">
        <v>9726713</v>
      </c>
    </row>
    <row r="261" spans="1:14" x14ac:dyDescent="0.35">
      <c r="A261" t="s">
        <v>69</v>
      </c>
      <c r="B261">
        <v>202512</v>
      </c>
      <c r="C261" t="str">
        <f>MID(analisis_productividad__4[[#This Row],[Periodo]],1,4)</f>
        <v>2025</v>
      </c>
      <c r="D261" t="str">
        <f>MID(analisis_productividad__4[[#This Row],[Periodo]],5,2)</f>
        <v>12</v>
      </c>
      <c r="E261" t="s">
        <v>11</v>
      </c>
      <c r="F261" t="s">
        <v>52</v>
      </c>
      <c r="G261">
        <v>112175</v>
      </c>
      <c r="H261">
        <v>6930340</v>
      </c>
      <c r="I261">
        <v>61.781774193548337</v>
      </c>
      <c r="J261">
        <v>107087.48614588447</v>
      </c>
      <c r="K261">
        <v>68</v>
      </c>
      <c r="L261">
        <v>60.5</v>
      </c>
      <c r="M261">
        <v>64.716617593944193</v>
      </c>
      <c r="N261">
        <v>7477236</v>
      </c>
    </row>
    <row r="262" spans="1:14" x14ac:dyDescent="0.35">
      <c r="A262" t="s">
        <v>38</v>
      </c>
      <c r="B262">
        <v>202604</v>
      </c>
      <c r="C262" t="str">
        <f>MID(analisis_productividad__4[[#This Row],[Periodo]],1,4)</f>
        <v>2026</v>
      </c>
      <c r="D262" t="str">
        <f>MID(analisis_productividad__4[[#This Row],[Periodo]],5,2)</f>
        <v>04</v>
      </c>
      <c r="E262" t="s">
        <v>34</v>
      </c>
      <c r="F262" t="s">
        <v>35</v>
      </c>
      <c r="G262">
        <v>112023</v>
      </c>
      <c r="H262">
        <v>12413583</v>
      </c>
      <c r="I262">
        <v>110.81277083333538</v>
      </c>
      <c r="J262">
        <v>104364.30202775045</v>
      </c>
      <c r="K262">
        <v>140.5</v>
      </c>
      <c r="L262">
        <v>125.5</v>
      </c>
      <c r="M262">
        <v>117.18897502469719</v>
      </c>
      <c r="N262">
        <v>12230346</v>
      </c>
    </row>
    <row r="263" spans="1:14" x14ac:dyDescent="0.35">
      <c r="A263" t="s">
        <v>27</v>
      </c>
      <c r="B263">
        <v>202508</v>
      </c>
      <c r="C263" t="str">
        <f>MID(analisis_productividad__4[[#This Row],[Periodo]],1,4)</f>
        <v>2025</v>
      </c>
      <c r="D263" t="str">
        <f>MID(analisis_productividad__4[[#This Row],[Periodo]],5,2)</f>
        <v>08</v>
      </c>
      <c r="E263" t="s">
        <v>11</v>
      </c>
      <c r="F263" t="s">
        <v>14</v>
      </c>
      <c r="G263">
        <v>112009</v>
      </c>
      <c r="H263">
        <v>8084035</v>
      </c>
      <c r="I263">
        <v>72.173104838709719</v>
      </c>
      <c r="J263">
        <v>102473.78464691582</v>
      </c>
      <c r="K263">
        <v>88</v>
      </c>
      <c r="L263">
        <v>84</v>
      </c>
      <c r="M263">
        <v>78.888807882468555</v>
      </c>
      <c r="N263">
        <v>7941669</v>
      </c>
    </row>
    <row r="264" spans="1:14" x14ac:dyDescent="0.35">
      <c r="A264" t="s">
        <v>13</v>
      </c>
      <c r="B264">
        <v>202505</v>
      </c>
      <c r="C264" t="str">
        <f>MID(analisis_productividad__4[[#This Row],[Periodo]],1,4)</f>
        <v>2025</v>
      </c>
      <c r="D264" t="str">
        <f>MID(analisis_productividad__4[[#This Row],[Periodo]],5,2)</f>
        <v>05</v>
      </c>
      <c r="E264" t="s">
        <v>11</v>
      </c>
      <c r="F264" t="s">
        <v>14</v>
      </c>
      <c r="G264">
        <v>112007</v>
      </c>
      <c r="H264">
        <v>9939149</v>
      </c>
      <c r="I264">
        <v>88.736948924731195</v>
      </c>
      <c r="J264">
        <v>110379.5220813425</v>
      </c>
      <c r="K264">
        <v>100</v>
      </c>
      <c r="L264">
        <v>98</v>
      </c>
      <c r="M264">
        <v>90.045226982188723</v>
      </c>
      <c r="N264">
        <v>10084544</v>
      </c>
    </row>
    <row r="265" spans="1:14" x14ac:dyDescent="0.35">
      <c r="A265" t="s">
        <v>10</v>
      </c>
      <c r="B265">
        <v>202508</v>
      </c>
      <c r="C265" t="str">
        <f>MID(analisis_productividad__4[[#This Row],[Periodo]],1,4)</f>
        <v>2025</v>
      </c>
      <c r="D265" t="str">
        <f>MID(analisis_productividad__4[[#This Row],[Periodo]],5,2)</f>
        <v>08</v>
      </c>
      <c r="E265" t="s">
        <v>11</v>
      </c>
      <c r="F265" t="s">
        <v>12</v>
      </c>
      <c r="G265">
        <v>111956</v>
      </c>
      <c r="H265">
        <v>9998396</v>
      </c>
      <c r="I265">
        <v>89.306310483870917</v>
      </c>
      <c r="J265">
        <v>111137.79398593061</v>
      </c>
      <c r="K265">
        <v>98.5</v>
      </c>
      <c r="L265">
        <v>96.5</v>
      </c>
      <c r="M265">
        <v>89.963957996734564</v>
      </c>
      <c r="N265">
        <v>10154262</v>
      </c>
    </row>
    <row r="266" spans="1:14" x14ac:dyDescent="0.35">
      <c r="A266" t="s">
        <v>66</v>
      </c>
      <c r="B266">
        <v>202503</v>
      </c>
      <c r="C266" t="str">
        <f>MID(analisis_productividad__4[[#This Row],[Periodo]],1,4)</f>
        <v>2025</v>
      </c>
      <c r="D266" t="str">
        <f>MID(analisis_productividad__4[[#This Row],[Periodo]],5,2)</f>
        <v>03</v>
      </c>
      <c r="E266" t="s">
        <v>11</v>
      </c>
      <c r="F266" t="s">
        <v>12</v>
      </c>
      <c r="G266">
        <v>111907</v>
      </c>
      <c r="H266">
        <v>8746879</v>
      </c>
      <c r="I266">
        <v>78.161821236559135</v>
      </c>
      <c r="J266">
        <v>96449.25833410272</v>
      </c>
      <c r="K266">
        <v>80</v>
      </c>
      <c r="L266">
        <v>80.5</v>
      </c>
      <c r="M266">
        <v>90.688916649836628</v>
      </c>
      <c r="N266">
        <v>7743438</v>
      </c>
    </row>
    <row r="267" spans="1:14" x14ac:dyDescent="0.35">
      <c r="A267" t="s">
        <v>86</v>
      </c>
      <c r="B267">
        <v>202512</v>
      </c>
      <c r="C267" t="str">
        <f>MID(analisis_productividad__4[[#This Row],[Periodo]],1,4)</f>
        <v>2025</v>
      </c>
      <c r="D267" t="str">
        <f>MID(analisis_productividad__4[[#This Row],[Periodo]],5,2)</f>
        <v>12</v>
      </c>
      <c r="E267" t="s">
        <v>11</v>
      </c>
      <c r="F267" t="s">
        <v>14</v>
      </c>
      <c r="G267">
        <v>111879</v>
      </c>
      <c r="H267">
        <v>6595512</v>
      </c>
      <c r="I267">
        <v>58.951948924731155</v>
      </c>
      <c r="J267">
        <v>116008.86282863523</v>
      </c>
      <c r="K267">
        <v>69.5</v>
      </c>
      <c r="L267">
        <v>59</v>
      </c>
      <c r="M267">
        <v>56.853521439501499</v>
      </c>
      <c r="N267">
        <v>8471976</v>
      </c>
    </row>
    <row r="268" spans="1:14" x14ac:dyDescent="0.35">
      <c r="A268" t="s">
        <v>61</v>
      </c>
      <c r="B268">
        <v>202412</v>
      </c>
      <c r="C268" t="str">
        <f>MID(analisis_productividad__4[[#This Row],[Periodo]],1,4)</f>
        <v>2024</v>
      </c>
      <c r="D268" t="str">
        <f>MID(analisis_productividad__4[[#This Row],[Periodo]],5,2)</f>
        <v>12</v>
      </c>
      <c r="E268" t="s">
        <v>11</v>
      </c>
      <c r="F268" t="s">
        <v>52</v>
      </c>
      <c r="G268">
        <v>111799</v>
      </c>
      <c r="H268">
        <v>11909829</v>
      </c>
      <c r="I268">
        <v>106.52936827956984</v>
      </c>
      <c r="J268">
        <v>0</v>
      </c>
      <c r="K268">
        <v>104.5</v>
      </c>
      <c r="L268">
        <v>99</v>
      </c>
      <c r="N268">
        <v>0</v>
      </c>
    </row>
    <row r="269" spans="1:14" x14ac:dyDescent="0.35">
      <c r="A269" t="s">
        <v>38</v>
      </c>
      <c r="B269">
        <v>202503</v>
      </c>
      <c r="C269" t="str">
        <f>MID(analisis_productividad__4[[#This Row],[Periodo]],1,4)</f>
        <v>2025</v>
      </c>
      <c r="D269" t="str">
        <f>MID(analisis_productividad__4[[#This Row],[Periodo]],5,2)</f>
        <v>03</v>
      </c>
      <c r="E269" t="s">
        <v>34</v>
      </c>
      <c r="F269" t="s">
        <v>35</v>
      </c>
      <c r="G269">
        <v>111742</v>
      </c>
      <c r="H269">
        <v>12988869</v>
      </c>
      <c r="I269">
        <v>116.23979838709668</v>
      </c>
      <c r="J269">
        <v>105012.76278606373</v>
      </c>
      <c r="K269">
        <v>140.5</v>
      </c>
      <c r="L269">
        <v>125.5</v>
      </c>
      <c r="M269">
        <v>123.68847809919494</v>
      </c>
      <c r="N269">
        <v>12488503</v>
      </c>
    </row>
    <row r="270" spans="1:14" x14ac:dyDescent="0.35">
      <c r="A270" t="s">
        <v>53</v>
      </c>
      <c r="B270">
        <v>202603</v>
      </c>
      <c r="C270" t="str">
        <f>MID(analisis_productividad__4[[#This Row],[Periodo]],1,4)</f>
        <v>2026</v>
      </c>
      <c r="D270" t="str">
        <f>MID(analisis_productividad__4[[#This Row],[Periodo]],5,2)</f>
        <v>03</v>
      </c>
      <c r="E270" t="s">
        <v>11</v>
      </c>
      <c r="F270" t="s">
        <v>12</v>
      </c>
      <c r="G270">
        <v>111742</v>
      </c>
      <c r="H270">
        <v>8123887</v>
      </c>
      <c r="I270">
        <v>72.702291666666682</v>
      </c>
      <c r="J270">
        <v>107563.72139819503</v>
      </c>
      <c r="K270">
        <v>81</v>
      </c>
      <c r="L270">
        <v>77</v>
      </c>
      <c r="M270">
        <v>69.978560745726568</v>
      </c>
      <c r="N270">
        <v>7527154</v>
      </c>
    </row>
    <row r="271" spans="1:14" x14ac:dyDescent="0.35">
      <c r="A271" t="s">
        <v>56</v>
      </c>
      <c r="B271">
        <v>202504</v>
      </c>
      <c r="C271" t="str">
        <f>MID(analisis_productividad__4[[#This Row],[Periodo]],1,4)</f>
        <v>2025</v>
      </c>
      <c r="D271" t="str">
        <f>MID(analisis_productividad__4[[#This Row],[Periodo]],5,2)</f>
        <v>04</v>
      </c>
      <c r="E271" t="s">
        <v>16</v>
      </c>
      <c r="F271" t="s">
        <v>21</v>
      </c>
      <c r="G271">
        <v>111708</v>
      </c>
      <c r="H271">
        <v>6293126</v>
      </c>
      <c r="I271">
        <v>56.335659722222246</v>
      </c>
      <c r="J271">
        <v>86279.360496622845</v>
      </c>
      <c r="K271">
        <v>72.5</v>
      </c>
      <c r="L271">
        <v>68.5</v>
      </c>
      <c r="M271">
        <v>72.938949869086343</v>
      </c>
      <c r="N271">
        <v>6005486</v>
      </c>
    </row>
    <row r="272" spans="1:14" x14ac:dyDescent="0.35">
      <c r="A272" t="s">
        <v>25</v>
      </c>
      <c r="B272">
        <v>202503</v>
      </c>
      <c r="C272" t="str">
        <f>MID(analisis_productividad__4[[#This Row],[Periodo]],1,4)</f>
        <v>2025</v>
      </c>
      <c r="D272" t="str">
        <f>MID(analisis_productividad__4[[#This Row],[Periodo]],5,2)</f>
        <v>03</v>
      </c>
      <c r="E272" t="s">
        <v>16</v>
      </c>
      <c r="F272" t="s">
        <v>19</v>
      </c>
      <c r="G272">
        <v>111589</v>
      </c>
      <c r="H272">
        <v>9712754</v>
      </c>
      <c r="I272">
        <v>87.040295698924751</v>
      </c>
      <c r="J272">
        <v>110717.68015118259</v>
      </c>
      <c r="K272">
        <v>94</v>
      </c>
      <c r="L272">
        <v>92</v>
      </c>
      <c r="M272">
        <v>87.725409950221533</v>
      </c>
      <c r="N272">
        <v>8717409</v>
      </c>
    </row>
    <row r="273" spans="1:14" x14ac:dyDescent="0.35">
      <c r="A273" t="s">
        <v>26</v>
      </c>
      <c r="B273">
        <v>202511</v>
      </c>
      <c r="C273" t="str">
        <f>MID(analisis_productividad__4[[#This Row],[Periodo]],1,4)</f>
        <v>2025</v>
      </c>
      <c r="D273" t="str">
        <f>MID(analisis_productividad__4[[#This Row],[Periodo]],5,2)</f>
        <v>11</v>
      </c>
      <c r="E273" t="s">
        <v>11</v>
      </c>
      <c r="F273" t="s">
        <v>12</v>
      </c>
      <c r="G273">
        <v>111571</v>
      </c>
      <c r="H273">
        <v>6420690</v>
      </c>
      <c r="I273">
        <v>57.54777777777781</v>
      </c>
      <c r="J273">
        <v>98049.065197058284</v>
      </c>
      <c r="K273">
        <v>65.5</v>
      </c>
      <c r="L273">
        <v>63</v>
      </c>
      <c r="M273">
        <v>65.484455635510116</v>
      </c>
      <c r="N273">
        <v>4412180</v>
      </c>
    </row>
    <row r="274" spans="1:14" x14ac:dyDescent="0.35">
      <c r="A274" t="s">
        <v>27</v>
      </c>
      <c r="B274">
        <v>202601</v>
      </c>
      <c r="C274" t="str">
        <f>MID(analisis_productividad__4[[#This Row],[Periodo]],1,4)</f>
        <v>2026</v>
      </c>
      <c r="D274" t="str">
        <f>MID(analisis_productividad__4[[#This Row],[Periodo]],5,2)</f>
        <v>01</v>
      </c>
      <c r="E274" t="s">
        <v>11</v>
      </c>
      <c r="F274" t="s">
        <v>14</v>
      </c>
      <c r="G274">
        <v>111534</v>
      </c>
      <c r="H274">
        <v>8810471</v>
      </c>
      <c r="I274">
        <v>78.993588709677411</v>
      </c>
      <c r="J274">
        <v>103102.31612864764</v>
      </c>
      <c r="K274">
        <v>88</v>
      </c>
      <c r="L274">
        <v>84</v>
      </c>
      <c r="M274">
        <v>78.31726123421582</v>
      </c>
      <c r="N274">
        <v>8074691</v>
      </c>
    </row>
    <row r="275" spans="1:14" x14ac:dyDescent="0.35">
      <c r="A275" t="s">
        <v>63</v>
      </c>
      <c r="B275">
        <v>202506</v>
      </c>
      <c r="C275" t="str">
        <f>MID(analisis_productividad__4[[#This Row],[Periodo]],1,4)</f>
        <v>2025</v>
      </c>
      <c r="D275" t="str">
        <f>MID(analisis_productividad__4[[#This Row],[Periodo]],5,2)</f>
        <v>06</v>
      </c>
      <c r="E275" t="s">
        <v>16</v>
      </c>
      <c r="F275" t="s">
        <v>17</v>
      </c>
      <c r="G275">
        <v>111464</v>
      </c>
      <c r="H275">
        <v>10118432</v>
      </c>
      <c r="I275">
        <v>90.777312499999979</v>
      </c>
      <c r="J275">
        <v>116196.2081967853</v>
      </c>
      <c r="K275">
        <v>86.5</v>
      </c>
      <c r="L275">
        <v>81.5</v>
      </c>
      <c r="M275">
        <v>87.080572912188543</v>
      </c>
      <c r="N275">
        <v>10586056</v>
      </c>
    </row>
    <row r="276" spans="1:14" x14ac:dyDescent="0.35">
      <c r="A276" t="s">
        <v>28</v>
      </c>
      <c r="B276">
        <v>202508</v>
      </c>
      <c r="C276" t="str">
        <f>MID(analisis_productividad__4[[#This Row],[Periodo]],1,4)</f>
        <v>2025</v>
      </c>
      <c r="D276" t="str">
        <f>MID(analisis_productividad__4[[#This Row],[Periodo]],5,2)</f>
        <v>08</v>
      </c>
      <c r="E276" t="s">
        <v>16</v>
      </c>
      <c r="F276" t="s">
        <v>17</v>
      </c>
      <c r="G276">
        <v>111410</v>
      </c>
      <c r="H276">
        <v>5937900</v>
      </c>
      <c r="I276">
        <v>53.297802419354859</v>
      </c>
      <c r="J276">
        <v>105731.88988755093</v>
      </c>
      <c r="K276">
        <v>64</v>
      </c>
      <c r="L276">
        <v>67</v>
      </c>
      <c r="M276">
        <v>56.15996901516786</v>
      </c>
      <c r="N276">
        <v>5555332</v>
      </c>
    </row>
    <row r="277" spans="1:14" x14ac:dyDescent="0.35">
      <c r="A277" t="s">
        <v>28</v>
      </c>
      <c r="B277">
        <v>202402</v>
      </c>
      <c r="C277" t="str">
        <f>MID(analisis_productividad__4[[#This Row],[Periodo]],1,4)</f>
        <v>2024</v>
      </c>
      <c r="D277" t="str">
        <f>MID(analisis_productividad__4[[#This Row],[Periodo]],5,2)</f>
        <v>02</v>
      </c>
      <c r="E277" t="s">
        <v>16</v>
      </c>
      <c r="F277" t="s">
        <v>17</v>
      </c>
      <c r="G277">
        <v>111390</v>
      </c>
      <c r="H277">
        <v>5827306</v>
      </c>
      <c r="I277">
        <v>52.314590517241385</v>
      </c>
      <c r="J277">
        <v>0</v>
      </c>
      <c r="K277">
        <v>64</v>
      </c>
      <c r="L277">
        <v>67</v>
      </c>
      <c r="N277">
        <v>0</v>
      </c>
    </row>
    <row r="278" spans="1:14" x14ac:dyDescent="0.35">
      <c r="A278" t="s">
        <v>44</v>
      </c>
      <c r="B278">
        <v>202412</v>
      </c>
      <c r="C278" t="str">
        <f>MID(analisis_productividad__4[[#This Row],[Periodo]],1,4)</f>
        <v>2024</v>
      </c>
      <c r="D278" t="str">
        <f>MID(analisis_productividad__4[[#This Row],[Periodo]],5,2)</f>
        <v>12</v>
      </c>
      <c r="E278" t="s">
        <v>11</v>
      </c>
      <c r="F278" t="s">
        <v>12</v>
      </c>
      <c r="G278">
        <v>111335</v>
      </c>
      <c r="H278">
        <v>9277996</v>
      </c>
      <c r="I278">
        <v>83.334294354838732</v>
      </c>
      <c r="J278">
        <v>0</v>
      </c>
      <c r="K278">
        <v>78</v>
      </c>
      <c r="L278">
        <v>74.5</v>
      </c>
      <c r="N278">
        <v>0</v>
      </c>
    </row>
    <row r="279" spans="1:14" x14ac:dyDescent="0.35">
      <c r="A279" t="s">
        <v>31</v>
      </c>
      <c r="B279">
        <v>202408</v>
      </c>
      <c r="C279" t="str">
        <f>MID(analisis_productividad__4[[#This Row],[Periodo]],1,4)</f>
        <v>2024</v>
      </c>
      <c r="D279" t="str">
        <f>MID(analisis_productividad__4[[#This Row],[Periodo]],5,2)</f>
        <v>08</v>
      </c>
      <c r="E279" t="s">
        <v>11</v>
      </c>
      <c r="F279" t="s">
        <v>14</v>
      </c>
      <c r="G279">
        <v>111327</v>
      </c>
      <c r="H279">
        <v>9098427</v>
      </c>
      <c r="I279">
        <v>81.727022849462344</v>
      </c>
      <c r="J279">
        <v>0</v>
      </c>
      <c r="K279">
        <v>101.5</v>
      </c>
      <c r="L279">
        <v>97.5</v>
      </c>
      <c r="N279">
        <v>0</v>
      </c>
    </row>
    <row r="280" spans="1:14" x14ac:dyDescent="0.35">
      <c r="A280" t="s">
        <v>56</v>
      </c>
      <c r="B280">
        <v>202407</v>
      </c>
      <c r="C280" t="str">
        <f>MID(analisis_productividad__4[[#This Row],[Periodo]],1,4)</f>
        <v>2024</v>
      </c>
      <c r="D280" t="str">
        <f>MID(analisis_productividad__4[[#This Row],[Periodo]],5,2)</f>
        <v>07</v>
      </c>
      <c r="E280" t="s">
        <v>16</v>
      </c>
      <c r="F280" t="s">
        <v>21</v>
      </c>
      <c r="G280">
        <v>111280</v>
      </c>
      <c r="H280">
        <v>6556586</v>
      </c>
      <c r="I280">
        <v>58.919536290322583</v>
      </c>
      <c r="J280">
        <v>0</v>
      </c>
      <c r="K280">
        <v>72.5</v>
      </c>
      <c r="L280">
        <v>68.5</v>
      </c>
      <c r="N280">
        <v>0</v>
      </c>
    </row>
    <row r="281" spans="1:14" x14ac:dyDescent="0.35">
      <c r="A281" t="s">
        <v>31</v>
      </c>
      <c r="B281">
        <v>202407</v>
      </c>
      <c r="C281" t="str">
        <f>MID(analisis_productividad__4[[#This Row],[Periodo]],1,4)</f>
        <v>2024</v>
      </c>
      <c r="D281" t="str">
        <f>MID(analisis_productividad__4[[#This Row],[Periodo]],5,2)</f>
        <v>07</v>
      </c>
      <c r="E281" t="s">
        <v>11</v>
      </c>
      <c r="F281" t="s">
        <v>14</v>
      </c>
      <c r="G281">
        <v>111236</v>
      </c>
      <c r="H281">
        <v>9643425</v>
      </c>
      <c r="I281">
        <v>86.693212365591421</v>
      </c>
      <c r="J281">
        <v>0</v>
      </c>
      <c r="K281">
        <v>101.5</v>
      </c>
      <c r="L281">
        <v>97.5</v>
      </c>
      <c r="N281">
        <v>0</v>
      </c>
    </row>
    <row r="282" spans="1:14" x14ac:dyDescent="0.35">
      <c r="A282" t="s">
        <v>20</v>
      </c>
      <c r="B282">
        <v>202605</v>
      </c>
      <c r="C282" t="str">
        <f>MID(analisis_productividad__4[[#This Row],[Periodo]],1,4)</f>
        <v>2026</v>
      </c>
      <c r="D282" t="str">
        <f>MID(analisis_productividad__4[[#This Row],[Periodo]],5,2)</f>
        <v>05</v>
      </c>
      <c r="E282" t="s">
        <v>16</v>
      </c>
      <c r="F282" t="s">
        <v>21</v>
      </c>
      <c r="G282">
        <v>111235</v>
      </c>
      <c r="H282">
        <v>9115554</v>
      </c>
      <c r="I282">
        <v>81.948877688171194</v>
      </c>
      <c r="J282">
        <v>102554.75771447453</v>
      </c>
      <c r="K282">
        <v>96.5</v>
      </c>
      <c r="L282">
        <v>94</v>
      </c>
      <c r="M282">
        <v>87.753564014610347</v>
      </c>
      <c r="N282">
        <v>8999545</v>
      </c>
    </row>
    <row r="283" spans="1:14" x14ac:dyDescent="0.35">
      <c r="A283" t="s">
        <v>30</v>
      </c>
      <c r="B283">
        <v>202606</v>
      </c>
      <c r="C283" t="str">
        <f>MID(analisis_productividad__4[[#This Row],[Periodo]],1,4)</f>
        <v>2026</v>
      </c>
      <c r="D283" t="str">
        <f>MID(analisis_productividad__4[[#This Row],[Periodo]],5,2)</f>
        <v>06</v>
      </c>
      <c r="E283" t="s">
        <v>16</v>
      </c>
      <c r="F283" t="s">
        <v>19</v>
      </c>
      <c r="G283">
        <v>111213</v>
      </c>
      <c r="H283">
        <v>9523313</v>
      </c>
      <c r="I283">
        <v>85.631437500002036</v>
      </c>
      <c r="J283">
        <v>98147.556110494057</v>
      </c>
      <c r="K283">
        <v>101</v>
      </c>
      <c r="L283">
        <v>105</v>
      </c>
      <c r="M283">
        <v>90.439897606894348</v>
      </c>
      <c r="N283">
        <v>8876455</v>
      </c>
    </row>
    <row r="284" spans="1:14" x14ac:dyDescent="0.35">
      <c r="A284" t="s">
        <v>36</v>
      </c>
      <c r="B284">
        <v>202505</v>
      </c>
      <c r="C284" t="str">
        <f>MID(analisis_productividad__4[[#This Row],[Periodo]],1,4)</f>
        <v>2025</v>
      </c>
      <c r="D284" t="str">
        <f>MID(analisis_productividad__4[[#This Row],[Periodo]],5,2)</f>
        <v>05</v>
      </c>
      <c r="E284" t="s">
        <v>16</v>
      </c>
      <c r="F284" t="s">
        <v>17</v>
      </c>
      <c r="G284">
        <v>111168</v>
      </c>
      <c r="H284">
        <v>7799406</v>
      </c>
      <c r="I284">
        <v>70.159005376344041</v>
      </c>
      <c r="J284">
        <v>106664.00732659786</v>
      </c>
      <c r="K284">
        <v>76.5</v>
      </c>
      <c r="L284">
        <v>80</v>
      </c>
      <c r="M284">
        <v>73.121253602621124</v>
      </c>
      <c r="N284">
        <v>7767000</v>
      </c>
    </row>
    <row r="285" spans="1:14" x14ac:dyDescent="0.35">
      <c r="A285" t="s">
        <v>29</v>
      </c>
      <c r="B285">
        <v>202501</v>
      </c>
      <c r="C285" t="str">
        <f>MID(analisis_productividad__4[[#This Row],[Periodo]],1,4)</f>
        <v>2025</v>
      </c>
      <c r="D285" t="str">
        <f>MID(analisis_productividad__4[[#This Row],[Periodo]],5,2)</f>
        <v>01</v>
      </c>
      <c r="E285" t="s">
        <v>16</v>
      </c>
      <c r="F285" t="s">
        <v>19</v>
      </c>
      <c r="G285">
        <v>111167</v>
      </c>
      <c r="H285">
        <v>9611332</v>
      </c>
      <c r="I285">
        <v>86.458467741935451</v>
      </c>
      <c r="J285">
        <v>111072.02177140661</v>
      </c>
      <c r="K285">
        <v>96.5</v>
      </c>
      <c r="L285">
        <v>96</v>
      </c>
      <c r="M285">
        <v>86.532432620887562</v>
      </c>
      <c r="N285">
        <v>9212826</v>
      </c>
    </row>
    <row r="286" spans="1:14" x14ac:dyDescent="0.35">
      <c r="A286" t="s">
        <v>24</v>
      </c>
      <c r="B286">
        <v>202403</v>
      </c>
      <c r="C286" t="str">
        <f>MID(analisis_productividad__4[[#This Row],[Periodo]],1,4)</f>
        <v>2024</v>
      </c>
      <c r="D286" t="str">
        <f>MID(analisis_productividad__4[[#This Row],[Periodo]],5,2)</f>
        <v>03</v>
      </c>
      <c r="E286" t="s">
        <v>16</v>
      </c>
      <c r="F286" t="s">
        <v>21</v>
      </c>
      <c r="G286">
        <v>111150</v>
      </c>
      <c r="H286">
        <v>12471200</v>
      </c>
      <c r="I286">
        <v>112.20125000000007</v>
      </c>
      <c r="J286">
        <v>0</v>
      </c>
      <c r="K286">
        <v>125</v>
      </c>
      <c r="L286">
        <v>118.5</v>
      </c>
      <c r="N286">
        <v>0</v>
      </c>
    </row>
    <row r="287" spans="1:14" x14ac:dyDescent="0.35">
      <c r="A287" t="s">
        <v>29</v>
      </c>
      <c r="B287">
        <v>202403</v>
      </c>
      <c r="C287" t="str">
        <f>MID(analisis_productividad__4[[#This Row],[Periodo]],1,4)</f>
        <v>2024</v>
      </c>
      <c r="D287" t="str">
        <f>MID(analisis_productividad__4[[#This Row],[Periodo]],5,2)</f>
        <v>03</v>
      </c>
      <c r="E287" t="s">
        <v>16</v>
      </c>
      <c r="F287" t="s">
        <v>19</v>
      </c>
      <c r="G287">
        <v>111076</v>
      </c>
      <c r="H287">
        <v>10383992</v>
      </c>
      <c r="I287">
        <v>93.485799731182766</v>
      </c>
      <c r="J287">
        <v>0</v>
      </c>
      <c r="K287">
        <v>96.5</v>
      </c>
      <c r="L287">
        <v>96</v>
      </c>
      <c r="N287">
        <v>0</v>
      </c>
    </row>
    <row r="288" spans="1:14" x14ac:dyDescent="0.35">
      <c r="A288" t="s">
        <v>46</v>
      </c>
      <c r="B288">
        <v>202403</v>
      </c>
      <c r="C288" t="str">
        <f>MID(analisis_productividad__4[[#This Row],[Periodo]],1,4)</f>
        <v>2024</v>
      </c>
      <c r="D288" t="str">
        <f>MID(analisis_productividad__4[[#This Row],[Periodo]],5,2)</f>
        <v>03</v>
      </c>
      <c r="E288" t="s">
        <v>11</v>
      </c>
      <c r="F288" t="s">
        <v>14</v>
      </c>
      <c r="G288">
        <v>111070</v>
      </c>
      <c r="H288">
        <v>7404395</v>
      </c>
      <c r="I288">
        <v>66.664368279569885</v>
      </c>
      <c r="J288">
        <v>0</v>
      </c>
      <c r="K288">
        <v>77</v>
      </c>
      <c r="L288">
        <v>79</v>
      </c>
      <c r="N288">
        <v>0</v>
      </c>
    </row>
    <row r="289" spans="1:14" x14ac:dyDescent="0.35">
      <c r="A289" t="s">
        <v>25</v>
      </c>
      <c r="B289">
        <v>202602</v>
      </c>
      <c r="C289" t="str">
        <f>MID(analisis_productividad__4[[#This Row],[Periodo]],1,4)</f>
        <v>2026</v>
      </c>
      <c r="D289" t="str">
        <f>MID(analisis_productividad__4[[#This Row],[Periodo]],5,2)</f>
        <v>02</v>
      </c>
      <c r="E289" t="s">
        <v>16</v>
      </c>
      <c r="F289" t="s">
        <v>19</v>
      </c>
      <c r="G289">
        <v>111022</v>
      </c>
      <c r="H289">
        <v>9209972</v>
      </c>
      <c r="I289">
        <v>82.955937500000005</v>
      </c>
      <c r="J289">
        <v>96949.833778636981</v>
      </c>
      <c r="K289">
        <v>94</v>
      </c>
      <c r="L289">
        <v>92</v>
      </c>
      <c r="M289">
        <v>81.933174564661712</v>
      </c>
      <c r="N289">
        <v>7943408</v>
      </c>
    </row>
    <row r="290" spans="1:14" x14ac:dyDescent="0.35">
      <c r="A290" t="s">
        <v>53</v>
      </c>
      <c r="B290">
        <v>202605</v>
      </c>
      <c r="C290" t="str">
        <f>MID(analisis_productividad__4[[#This Row],[Periodo]],1,4)</f>
        <v>2026</v>
      </c>
      <c r="D290" t="str">
        <f>MID(analisis_productividad__4[[#This Row],[Periodo]],5,2)</f>
        <v>05</v>
      </c>
      <c r="E290" t="s">
        <v>11</v>
      </c>
      <c r="F290" t="s">
        <v>12</v>
      </c>
      <c r="G290">
        <v>110956</v>
      </c>
      <c r="H290">
        <v>7695273</v>
      </c>
      <c r="I290">
        <v>69.354287634408436</v>
      </c>
      <c r="J290">
        <v>93403.795211652076</v>
      </c>
      <c r="K290">
        <v>81</v>
      </c>
      <c r="L290">
        <v>77</v>
      </c>
      <c r="M290">
        <v>69.978560745726568</v>
      </c>
      <c r="N290">
        <v>6536263</v>
      </c>
    </row>
    <row r="291" spans="1:14" x14ac:dyDescent="0.35">
      <c r="A291" t="s">
        <v>33</v>
      </c>
      <c r="B291">
        <v>202512</v>
      </c>
      <c r="C291" t="str">
        <f>MID(analisis_productividad__4[[#This Row],[Periodo]],1,4)</f>
        <v>2025</v>
      </c>
      <c r="D291" t="str">
        <f>MID(analisis_productividad__4[[#This Row],[Periodo]],5,2)</f>
        <v>12</v>
      </c>
      <c r="E291" t="s">
        <v>34</v>
      </c>
      <c r="F291" t="s">
        <v>35</v>
      </c>
      <c r="G291">
        <v>110948</v>
      </c>
      <c r="H291">
        <v>1591718</v>
      </c>
      <c r="I291">
        <v>14.346471774193535</v>
      </c>
      <c r="J291">
        <v>109360.52258677871</v>
      </c>
      <c r="K291">
        <v>15</v>
      </c>
      <c r="L291">
        <v>15</v>
      </c>
      <c r="M291">
        <v>14.554772438445104</v>
      </c>
      <c r="N291">
        <v>1527267</v>
      </c>
    </row>
    <row r="292" spans="1:14" x14ac:dyDescent="0.35">
      <c r="A292" t="s">
        <v>53</v>
      </c>
      <c r="B292">
        <v>202412</v>
      </c>
      <c r="C292" t="str">
        <f>MID(analisis_productividad__4[[#This Row],[Periodo]],1,4)</f>
        <v>2024</v>
      </c>
      <c r="D292" t="str">
        <f>MID(analisis_productividad__4[[#This Row],[Periodo]],5,2)</f>
        <v>12</v>
      </c>
      <c r="E292" t="s">
        <v>11</v>
      </c>
      <c r="F292" t="s">
        <v>12</v>
      </c>
      <c r="G292">
        <v>110810</v>
      </c>
      <c r="H292">
        <v>9158060</v>
      </c>
      <c r="I292">
        <v>82.646290322580654</v>
      </c>
      <c r="J292">
        <v>0</v>
      </c>
      <c r="K292">
        <v>81</v>
      </c>
      <c r="L292">
        <v>77</v>
      </c>
      <c r="N292">
        <v>0</v>
      </c>
    </row>
    <row r="293" spans="1:14" x14ac:dyDescent="0.35">
      <c r="A293" t="s">
        <v>30</v>
      </c>
      <c r="B293">
        <v>202408</v>
      </c>
      <c r="C293" t="str">
        <f>MID(analisis_productividad__4[[#This Row],[Periodo]],1,4)</f>
        <v>2024</v>
      </c>
      <c r="D293" t="str">
        <f>MID(analisis_productividad__4[[#This Row],[Periodo]],5,2)</f>
        <v>08</v>
      </c>
      <c r="E293" t="s">
        <v>16</v>
      </c>
      <c r="F293" t="s">
        <v>19</v>
      </c>
      <c r="G293">
        <v>110775</v>
      </c>
      <c r="H293">
        <v>9520567</v>
      </c>
      <c r="I293">
        <v>85.945322580645168</v>
      </c>
      <c r="J293">
        <v>0</v>
      </c>
      <c r="K293">
        <v>101</v>
      </c>
      <c r="L293">
        <v>105</v>
      </c>
      <c r="N293">
        <v>0</v>
      </c>
    </row>
    <row r="294" spans="1:14" x14ac:dyDescent="0.35">
      <c r="A294" t="s">
        <v>46</v>
      </c>
      <c r="B294">
        <v>202407</v>
      </c>
      <c r="C294" t="str">
        <f>MID(analisis_productividad__4[[#This Row],[Periodo]],1,4)</f>
        <v>2024</v>
      </c>
      <c r="D294" t="str">
        <f>MID(analisis_productividad__4[[#This Row],[Periodo]],5,2)</f>
        <v>07</v>
      </c>
      <c r="E294" t="s">
        <v>11</v>
      </c>
      <c r="F294" t="s">
        <v>14</v>
      </c>
      <c r="G294">
        <v>110770</v>
      </c>
      <c r="H294">
        <v>7572535</v>
      </c>
      <c r="I294">
        <v>68.362856182795724</v>
      </c>
      <c r="J294">
        <v>0</v>
      </c>
      <c r="K294">
        <v>77</v>
      </c>
      <c r="L294">
        <v>79</v>
      </c>
      <c r="N294">
        <v>0</v>
      </c>
    </row>
    <row r="295" spans="1:14" x14ac:dyDescent="0.35">
      <c r="A295" t="s">
        <v>54</v>
      </c>
      <c r="B295">
        <v>202505</v>
      </c>
      <c r="C295" t="str">
        <f>MID(analisis_productividad__4[[#This Row],[Periodo]],1,4)</f>
        <v>2025</v>
      </c>
      <c r="D295" t="str">
        <f>MID(analisis_productividad__4[[#This Row],[Periodo]],5,2)</f>
        <v>05</v>
      </c>
      <c r="E295" t="s">
        <v>11</v>
      </c>
      <c r="F295" t="s">
        <v>52</v>
      </c>
      <c r="G295">
        <v>110744</v>
      </c>
      <c r="H295">
        <v>9124921</v>
      </c>
      <c r="I295">
        <v>82.396586021505428</v>
      </c>
      <c r="J295">
        <v>87833.923215744595</v>
      </c>
      <c r="K295">
        <v>106</v>
      </c>
      <c r="L295">
        <v>102.5</v>
      </c>
      <c r="M295">
        <v>103.88834980747303</v>
      </c>
      <c r="N295">
        <v>9644611</v>
      </c>
    </row>
    <row r="296" spans="1:14" x14ac:dyDescent="0.35">
      <c r="A296" t="s">
        <v>63</v>
      </c>
      <c r="B296">
        <v>202504</v>
      </c>
      <c r="C296" t="str">
        <f>MID(analisis_productividad__4[[#This Row],[Periodo]],1,4)</f>
        <v>2025</v>
      </c>
      <c r="D296" t="str">
        <f>MID(analisis_productividad__4[[#This Row],[Periodo]],5,2)</f>
        <v>04</v>
      </c>
      <c r="E296" t="s">
        <v>16</v>
      </c>
      <c r="F296" t="s">
        <v>17</v>
      </c>
      <c r="G296">
        <v>110725</v>
      </c>
      <c r="H296">
        <v>9747705</v>
      </c>
      <c r="I296">
        <v>88.035305555555553</v>
      </c>
      <c r="J296">
        <v>102298.86971491559</v>
      </c>
      <c r="K296">
        <v>86.5</v>
      </c>
      <c r="L296">
        <v>81.5</v>
      </c>
      <c r="M296">
        <v>95.286539012256014</v>
      </c>
      <c r="N296">
        <v>10042147</v>
      </c>
    </row>
    <row r="297" spans="1:14" x14ac:dyDescent="0.35">
      <c r="A297" t="s">
        <v>27</v>
      </c>
      <c r="B297">
        <v>202602</v>
      </c>
      <c r="C297" t="str">
        <f>MID(analisis_productividad__4[[#This Row],[Periodo]],1,4)</f>
        <v>2026</v>
      </c>
      <c r="D297" t="str">
        <f>MID(analisis_productividad__4[[#This Row],[Periodo]],5,2)</f>
        <v>02</v>
      </c>
      <c r="E297" t="s">
        <v>11</v>
      </c>
      <c r="F297" t="s">
        <v>14</v>
      </c>
      <c r="G297">
        <v>110701</v>
      </c>
      <c r="H297">
        <v>8794025</v>
      </c>
      <c r="I297">
        <v>79.439114583333321</v>
      </c>
      <c r="J297">
        <v>103341.3836829127</v>
      </c>
      <c r="K297">
        <v>88</v>
      </c>
      <c r="L297">
        <v>84</v>
      </c>
      <c r="M297">
        <v>78.31726123421582</v>
      </c>
      <c r="N297">
        <v>8093414</v>
      </c>
    </row>
    <row r="298" spans="1:14" x14ac:dyDescent="0.35">
      <c r="A298" t="s">
        <v>36</v>
      </c>
      <c r="B298">
        <v>202501</v>
      </c>
      <c r="C298" t="str">
        <f>MID(analisis_productividad__4[[#This Row],[Periodo]],1,4)</f>
        <v>2025</v>
      </c>
      <c r="D298" t="str">
        <f>MID(analisis_productividad__4[[#This Row],[Periodo]],5,2)</f>
        <v>01</v>
      </c>
      <c r="E298" t="s">
        <v>16</v>
      </c>
      <c r="F298" t="s">
        <v>17</v>
      </c>
      <c r="G298">
        <v>110686</v>
      </c>
      <c r="H298">
        <v>7809154</v>
      </c>
      <c r="I298">
        <v>70.552096774193487</v>
      </c>
      <c r="J298">
        <v>115958.24421871296</v>
      </c>
      <c r="K298">
        <v>76.5</v>
      </c>
      <c r="L298">
        <v>80</v>
      </c>
      <c r="M298">
        <v>67.344532703262374</v>
      </c>
      <c r="N298">
        <v>8028642</v>
      </c>
    </row>
    <row r="299" spans="1:14" x14ac:dyDescent="0.35">
      <c r="A299" t="s">
        <v>63</v>
      </c>
      <c r="B299">
        <v>202406</v>
      </c>
      <c r="C299" t="str">
        <f>MID(analisis_productividad__4[[#This Row],[Periodo]],1,4)</f>
        <v>2024</v>
      </c>
      <c r="D299" t="str">
        <f>MID(analisis_productividad__4[[#This Row],[Periodo]],5,2)</f>
        <v>06</v>
      </c>
      <c r="E299" t="s">
        <v>16</v>
      </c>
      <c r="F299" t="s">
        <v>17</v>
      </c>
      <c r="G299">
        <v>110663</v>
      </c>
      <c r="H299">
        <v>10346385</v>
      </c>
      <c r="I299">
        <v>93.494479166666622</v>
      </c>
      <c r="J299">
        <v>0</v>
      </c>
      <c r="K299">
        <v>86.5</v>
      </c>
      <c r="L299">
        <v>81.5</v>
      </c>
      <c r="N299">
        <v>0</v>
      </c>
    </row>
    <row r="300" spans="1:14" x14ac:dyDescent="0.35">
      <c r="A300" t="s">
        <v>23</v>
      </c>
      <c r="B300">
        <v>202604</v>
      </c>
      <c r="C300" t="str">
        <f>MID(analisis_productividad__4[[#This Row],[Periodo]],1,4)</f>
        <v>2026</v>
      </c>
      <c r="D300" t="str">
        <f>MID(analisis_productividad__4[[#This Row],[Periodo]],5,2)</f>
        <v>04</v>
      </c>
      <c r="E300" t="s">
        <v>11</v>
      </c>
      <c r="F300" t="s">
        <v>12</v>
      </c>
      <c r="G300">
        <v>110663</v>
      </c>
      <c r="H300">
        <v>6763465</v>
      </c>
      <c r="I300">
        <v>61.117826388890578</v>
      </c>
      <c r="J300">
        <v>104982.59167440828</v>
      </c>
      <c r="K300">
        <v>68.5</v>
      </c>
      <c r="L300">
        <v>66</v>
      </c>
      <c r="M300">
        <v>59.179400136818131</v>
      </c>
      <c r="N300">
        <v>6212807</v>
      </c>
    </row>
    <row r="301" spans="1:14" x14ac:dyDescent="0.35">
      <c r="A301" t="s">
        <v>13</v>
      </c>
      <c r="B301">
        <v>202504</v>
      </c>
      <c r="C301" t="str">
        <f>MID(analisis_productividad__4[[#This Row],[Periodo]],1,4)</f>
        <v>2025</v>
      </c>
      <c r="D301" t="str">
        <f>MID(analisis_productividad__4[[#This Row],[Periodo]],5,2)</f>
        <v>04</v>
      </c>
      <c r="E301" t="s">
        <v>11</v>
      </c>
      <c r="F301" t="s">
        <v>14</v>
      </c>
      <c r="G301">
        <v>110654</v>
      </c>
      <c r="H301">
        <v>9508746</v>
      </c>
      <c r="I301">
        <v>85.932000000000045</v>
      </c>
      <c r="J301">
        <v>103125.87984484779</v>
      </c>
      <c r="K301">
        <v>100</v>
      </c>
      <c r="L301">
        <v>98</v>
      </c>
      <c r="M301">
        <v>92.205239890373264</v>
      </c>
      <c r="N301">
        <v>10359067</v>
      </c>
    </row>
    <row r="302" spans="1:14" x14ac:dyDescent="0.35">
      <c r="A302" t="s">
        <v>53</v>
      </c>
      <c r="B302">
        <v>202606</v>
      </c>
      <c r="C302" t="str">
        <f>MID(analisis_productividad__4[[#This Row],[Periodo]],1,4)</f>
        <v>2026</v>
      </c>
      <c r="D302" t="str">
        <f>MID(analisis_productividad__4[[#This Row],[Periodo]],5,2)</f>
        <v>06</v>
      </c>
      <c r="E302" t="s">
        <v>11</v>
      </c>
      <c r="F302" t="s">
        <v>12</v>
      </c>
      <c r="G302">
        <v>110583</v>
      </c>
      <c r="H302">
        <v>6657495</v>
      </c>
      <c r="I302">
        <v>60.203500000001135</v>
      </c>
      <c r="J302">
        <v>86555.598595529693</v>
      </c>
      <c r="K302">
        <v>81</v>
      </c>
      <c r="L302">
        <v>77</v>
      </c>
      <c r="M302">
        <v>69.978560745726568</v>
      </c>
      <c r="N302">
        <v>6057036</v>
      </c>
    </row>
    <row r="303" spans="1:14" x14ac:dyDescent="0.35">
      <c r="A303" t="s">
        <v>31</v>
      </c>
      <c r="B303">
        <v>202412</v>
      </c>
      <c r="C303" t="str">
        <f>MID(analisis_productividad__4[[#This Row],[Periodo]],1,4)</f>
        <v>2024</v>
      </c>
      <c r="D303" t="str">
        <f>MID(analisis_productividad__4[[#This Row],[Periodo]],5,2)</f>
        <v>12</v>
      </c>
      <c r="E303" t="s">
        <v>11</v>
      </c>
      <c r="F303" t="s">
        <v>14</v>
      </c>
      <c r="G303">
        <v>110538</v>
      </c>
      <c r="H303">
        <v>10830091</v>
      </c>
      <c r="I303">
        <v>97.976431451612797</v>
      </c>
      <c r="J303">
        <v>0</v>
      </c>
      <c r="K303">
        <v>101.5</v>
      </c>
      <c r="L303">
        <v>97.5</v>
      </c>
      <c r="N303">
        <v>0</v>
      </c>
    </row>
    <row r="304" spans="1:14" x14ac:dyDescent="0.35">
      <c r="A304" t="s">
        <v>59</v>
      </c>
      <c r="B304">
        <v>202412</v>
      </c>
      <c r="C304" t="str">
        <f>MID(analisis_productividad__4[[#This Row],[Periodo]],1,4)</f>
        <v>2024</v>
      </c>
      <c r="D304" t="str">
        <f>MID(analisis_productividad__4[[#This Row],[Periodo]],5,2)</f>
        <v>12</v>
      </c>
      <c r="E304" t="s">
        <v>11</v>
      </c>
      <c r="F304" t="s">
        <v>12</v>
      </c>
      <c r="G304">
        <v>110535</v>
      </c>
      <c r="H304">
        <v>12374027</v>
      </c>
      <c r="I304">
        <v>111.94702956989246</v>
      </c>
      <c r="J304">
        <v>0</v>
      </c>
      <c r="K304">
        <v>94.5</v>
      </c>
      <c r="L304">
        <v>97</v>
      </c>
      <c r="N304">
        <v>0</v>
      </c>
    </row>
    <row r="305" spans="1:14" x14ac:dyDescent="0.35">
      <c r="A305" t="s">
        <v>15</v>
      </c>
      <c r="B305">
        <v>202502</v>
      </c>
      <c r="C305" t="str">
        <f>MID(analisis_productividad__4[[#This Row],[Periodo]],1,4)</f>
        <v>2025</v>
      </c>
      <c r="D305" t="str">
        <f>MID(analisis_productividad__4[[#This Row],[Periodo]],5,2)</f>
        <v>02</v>
      </c>
      <c r="E305" t="s">
        <v>16</v>
      </c>
      <c r="F305" t="s">
        <v>17</v>
      </c>
      <c r="G305">
        <v>110485</v>
      </c>
      <c r="H305">
        <v>6269034</v>
      </c>
      <c r="I305">
        <v>56.741093750000005</v>
      </c>
      <c r="J305">
        <v>121191.12840772673</v>
      </c>
      <c r="K305">
        <v>61</v>
      </c>
      <c r="L305">
        <v>60</v>
      </c>
      <c r="M305">
        <v>51.728493350675883</v>
      </c>
      <c r="N305">
        <v>6362513</v>
      </c>
    </row>
    <row r="306" spans="1:14" x14ac:dyDescent="0.35">
      <c r="A306" t="s">
        <v>86</v>
      </c>
      <c r="B306">
        <v>202412</v>
      </c>
      <c r="C306" t="str">
        <f>MID(analisis_productividad__4[[#This Row],[Periodo]],1,4)</f>
        <v>2024</v>
      </c>
      <c r="D306" t="str">
        <f>MID(analisis_productividad__4[[#This Row],[Periodo]],5,2)</f>
        <v>12</v>
      </c>
      <c r="E306" t="s">
        <v>11</v>
      </c>
      <c r="F306" t="s">
        <v>14</v>
      </c>
      <c r="G306">
        <v>110485</v>
      </c>
      <c r="H306">
        <v>7641850</v>
      </c>
      <c r="I306">
        <v>69.166633064516162</v>
      </c>
      <c r="J306">
        <v>0</v>
      </c>
      <c r="K306">
        <v>69.5</v>
      </c>
      <c r="L306">
        <v>59</v>
      </c>
      <c r="N306">
        <v>0</v>
      </c>
    </row>
    <row r="307" spans="1:14" x14ac:dyDescent="0.35">
      <c r="A307" t="s">
        <v>36</v>
      </c>
      <c r="B307">
        <v>202401</v>
      </c>
      <c r="C307" t="str">
        <f>MID(analisis_productividad__4[[#This Row],[Periodo]],1,4)</f>
        <v>2024</v>
      </c>
      <c r="D307" t="str">
        <f>MID(analisis_productividad__4[[#This Row],[Periodo]],5,2)</f>
        <v>01</v>
      </c>
      <c r="E307" t="s">
        <v>16</v>
      </c>
      <c r="F307" t="s">
        <v>17</v>
      </c>
      <c r="G307">
        <v>110436</v>
      </c>
      <c r="H307">
        <v>7572520</v>
      </c>
      <c r="I307">
        <v>68.569045698924697</v>
      </c>
      <c r="J307">
        <v>0</v>
      </c>
      <c r="K307">
        <v>76.5</v>
      </c>
      <c r="L307">
        <v>80</v>
      </c>
      <c r="N307">
        <v>0</v>
      </c>
    </row>
    <row r="308" spans="1:14" x14ac:dyDescent="0.35">
      <c r="A308" t="s">
        <v>38</v>
      </c>
      <c r="B308">
        <v>202603</v>
      </c>
      <c r="C308" t="str">
        <f>MID(analisis_productividad__4[[#This Row],[Periodo]],1,4)</f>
        <v>2026</v>
      </c>
      <c r="D308" t="str">
        <f>MID(analisis_productividad__4[[#This Row],[Periodo]],5,2)</f>
        <v>03</v>
      </c>
      <c r="E308" t="s">
        <v>34</v>
      </c>
      <c r="F308" t="s">
        <v>35</v>
      </c>
      <c r="G308">
        <v>110399</v>
      </c>
      <c r="H308">
        <v>13175582</v>
      </c>
      <c r="I308">
        <v>119.34553091397841</v>
      </c>
      <c r="J308">
        <v>114549.61121360562</v>
      </c>
      <c r="K308">
        <v>140.5</v>
      </c>
      <c r="L308">
        <v>125.5</v>
      </c>
      <c r="M308">
        <v>117.18897502469719</v>
      </c>
      <c r="N308">
        <v>13423952</v>
      </c>
    </row>
    <row r="309" spans="1:14" x14ac:dyDescent="0.35">
      <c r="A309" t="s">
        <v>131</v>
      </c>
      <c r="B309">
        <v>202406</v>
      </c>
      <c r="C309" t="str">
        <f>MID(analisis_productividad__4[[#This Row],[Periodo]],1,4)</f>
        <v>2024</v>
      </c>
      <c r="D309" t="str">
        <f>MID(analisis_productividad__4[[#This Row],[Periodo]],5,2)</f>
        <v>06</v>
      </c>
      <c r="E309" t="s">
        <v>16</v>
      </c>
      <c r="F309" t="s">
        <v>21</v>
      </c>
      <c r="G309">
        <v>110237</v>
      </c>
      <c r="H309">
        <v>11594317</v>
      </c>
      <c r="I309">
        <v>105.17660416666673</v>
      </c>
      <c r="J309">
        <v>0</v>
      </c>
      <c r="K309">
        <v>99</v>
      </c>
      <c r="L309">
        <v>32.5</v>
      </c>
      <c r="N309">
        <v>0</v>
      </c>
    </row>
    <row r="310" spans="1:14" x14ac:dyDescent="0.35">
      <c r="A310" t="s">
        <v>54</v>
      </c>
      <c r="B310">
        <v>202603</v>
      </c>
      <c r="C310" t="str">
        <f>MID(analisis_productividad__4[[#This Row],[Periodo]],1,4)</f>
        <v>2026</v>
      </c>
      <c r="D310" t="str">
        <f>MID(analisis_productividad__4[[#This Row],[Periodo]],5,2)</f>
        <v>03</v>
      </c>
      <c r="E310" t="s">
        <v>11</v>
      </c>
      <c r="F310" t="s">
        <v>52</v>
      </c>
      <c r="G310">
        <v>110226</v>
      </c>
      <c r="H310">
        <v>10091243</v>
      </c>
      <c r="I310">
        <v>91.550591397849416</v>
      </c>
      <c r="J310">
        <v>114056.08013723641</v>
      </c>
      <c r="K310">
        <v>106</v>
      </c>
      <c r="L310">
        <v>102.5</v>
      </c>
      <c r="M310">
        <v>90.060822135394957</v>
      </c>
      <c r="N310">
        <v>10271984</v>
      </c>
    </row>
    <row r="311" spans="1:14" x14ac:dyDescent="0.35">
      <c r="A311" t="s">
        <v>13</v>
      </c>
      <c r="B311">
        <v>202507</v>
      </c>
      <c r="C311" t="str">
        <f>MID(analisis_productividad__4[[#This Row],[Periodo]],1,4)</f>
        <v>2025</v>
      </c>
      <c r="D311" t="str">
        <f>MID(analisis_productividad__4[[#This Row],[Periodo]],5,2)</f>
        <v>07</v>
      </c>
      <c r="E311" t="s">
        <v>11</v>
      </c>
      <c r="F311" t="s">
        <v>14</v>
      </c>
      <c r="G311">
        <v>110189</v>
      </c>
      <c r="H311">
        <v>9776787</v>
      </c>
      <c r="I311">
        <v>88.727352150537669</v>
      </c>
      <c r="J311">
        <v>111263.55492807068</v>
      </c>
      <c r="K311">
        <v>100</v>
      </c>
      <c r="L311">
        <v>98</v>
      </c>
      <c r="M311">
        <v>87.870526843407688</v>
      </c>
      <c r="N311">
        <v>10189414</v>
      </c>
    </row>
    <row r="312" spans="1:14" x14ac:dyDescent="0.35">
      <c r="A312" t="s">
        <v>23</v>
      </c>
      <c r="B312">
        <v>202602</v>
      </c>
      <c r="C312" t="str">
        <f>MID(analisis_productividad__4[[#This Row],[Periodo]],1,4)</f>
        <v>2026</v>
      </c>
      <c r="D312" t="str">
        <f>MID(analisis_productividad__4[[#This Row],[Periodo]],5,2)</f>
        <v>02</v>
      </c>
      <c r="E312" t="s">
        <v>11</v>
      </c>
      <c r="F312" t="s">
        <v>12</v>
      </c>
      <c r="G312">
        <v>110154</v>
      </c>
      <c r="H312">
        <v>6817105</v>
      </c>
      <c r="I312">
        <v>61.886979166666691</v>
      </c>
      <c r="J312">
        <v>103811.10089823078</v>
      </c>
      <c r="K312">
        <v>68.5</v>
      </c>
      <c r="L312">
        <v>66</v>
      </c>
      <c r="M312">
        <v>59.179400136818131</v>
      </c>
      <c r="N312">
        <v>6143479</v>
      </c>
    </row>
    <row r="313" spans="1:14" x14ac:dyDescent="0.35">
      <c r="A313" t="s">
        <v>36</v>
      </c>
      <c r="B313">
        <v>202410</v>
      </c>
      <c r="C313" t="str">
        <f>MID(analisis_productividad__4[[#This Row],[Periodo]],1,4)</f>
        <v>2024</v>
      </c>
      <c r="D313" t="str">
        <f>MID(analisis_productividad__4[[#This Row],[Periodo]],5,2)</f>
        <v>10</v>
      </c>
      <c r="E313" t="s">
        <v>16</v>
      </c>
      <c r="F313" t="s">
        <v>17</v>
      </c>
      <c r="G313">
        <v>110061</v>
      </c>
      <c r="H313">
        <v>7260782</v>
      </c>
      <c r="I313">
        <v>65.970483870967726</v>
      </c>
      <c r="J313">
        <v>0</v>
      </c>
      <c r="K313">
        <v>76.5</v>
      </c>
      <c r="L313">
        <v>80</v>
      </c>
      <c r="N313">
        <v>0</v>
      </c>
    </row>
    <row r="314" spans="1:14" x14ac:dyDescent="0.35">
      <c r="A314" t="s">
        <v>37</v>
      </c>
      <c r="B314">
        <v>202606</v>
      </c>
      <c r="C314" t="str">
        <f>MID(analisis_productividad__4[[#This Row],[Periodo]],1,4)</f>
        <v>2026</v>
      </c>
      <c r="D314" t="str">
        <f>MID(analisis_productividad__4[[#This Row],[Periodo]],5,2)</f>
        <v>06</v>
      </c>
      <c r="E314" t="s">
        <v>16</v>
      </c>
      <c r="F314" t="s">
        <v>17</v>
      </c>
      <c r="G314">
        <v>110050</v>
      </c>
      <c r="H314">
        <v>9765595</v>
      </c>
      <c r="I314">
        <v>88.738125000002739</v>
      </c>
      <c r="J314">
        <v>93000.708306723303</v>
      </c>
      <c r="K314">
        <v>107.5</v>
      </c>
      <c r="L314">
        <v>102.5</v>
      </c>
      <c r="M314">
        <v>96.70800932222366</v>
      </c>
      <c r="N314">
        <v>8993913</v>
      </c>
    </row>
    <row r="315" spans="1:14" x14ac:dyDescent="0.35">
      <c r="A315" t="s">
        <v>30</v>
      </c>
      <c r="B315">
        <v>202504</v>
      </c>
      <c r="C315" t="str">
        <f>MID(analisis_productividad__4[[#This Row],[Periodo]],1,4)</f>
        <v>2025</v>
      </c>
      <c r="D315" t="str">
        <f>MID(analisis_productividad__4[[#This Row],[Periodo]],5,2)</f>
        <v>04</v>
      </c>
      <c r="E315" t="s">
        <v>16</v>
      </c>
      <c r="F315" t="s">
        <v>19</v>
      </c>
      <c r="G315">
        <v>110002</v>
      </c>
      <c r="H315">
        <v>9071064</v>
      </c>
      <c r="I315">
        <v>82.462527777777865</v>
      </c>
      <c r="J315">
        <v>109637.28017857777</v>
      </c>
      <c r="K315">
        <v>101</v>
      </c>
      <c r="L315">
        <v>105</v>
      </c>
      <c r="M315">
        <v>82.737035844240253</v>
      </c>
      <c r="N315">
        <v>9802363</v>
      </c>
    </row>
    <row r="316" spans="1:14" x14ac:dyDescent="0.35">
      <c r="A316" t="s">
        <v>10</v>
      </c>
      <c r="B316">
        <v>202509</v>
      </c>
      <c r="C316" t="str">
        <f>MID(analisis_productividad__4[[#This Row],[Periodo]],1,4)</f>
        <v>2025</v>
      </c>
      <c r="D316" t="str">
        <f>MID(analisis_productividad__4[[#This Row],[Periodo]],5,2)</f>
        <v>09</v>
      </c>
      <c r="E316" t="s">
        <v>11</v>
      </c>
      <c r="F316" t="s">
        <v>12</v>
      </c>
      <c r="G316">
        <v>109969</v>
      </c>
      <c r="H316">
        <v>8986833</v>
      </c>
      <c r="I316">
        <v>81.721451388888951</v>
      </c>
      <c r="J316">
        <v>103048.32384519652</v>
      </c>
      <c r="K316">
        <v>98.5</v>
      </c>
      <c r="L316">
        <v>96.5</v>
      </c>
      <c r="M316">
        <v>87.209888377227728</v>
      </c>
      <c r="N316">
        <v>9449895</v>
      </c>
    </row>
    <row r="317" spans="1:14" x14ac:dyDescent="0.35">
      <c r="A317" t="s">
        <v>20</v>
      </c>
      <c r="B317">
        <v>202511</v>
      </c>
      <c r="C317" t="str">
        <f>MID(analisis_productividad__4[[#This Row],[Periodo]],1,4)</f>
        <v>2025</v>
      </c>
      <c r="D317" t="str">
        <f>MID(analisis_productividad__4[[#This Row],[Periodo]],5,2)</f>
        <v>11</v>
      </c>
      <c r="E317" t="s">
        <v>16</v>
      </c>
      <c r="F317" t="s">
        <v>21</v>
      </c>
      <c r="G317">
        <v>109801</v>
      </c>
      <c r="H317">
        <v>9055149</v>
      </c>
      <c r="I317">
        <v>82.469090277777809</v>
      </c>
      <c r="J317">
        <v>99988.056001644392</v>
      </c>
      <c r="K317">
        <v>96.5</v>
      </c>
      <c r="L317">
        <v>94</v>
      </c>
      <c r="M317">
        <v>90.562307360501919</v>
      </c>
      <c r="N317">
        <v>8241357</v>
      </c>
    </row>
    <row r="318" spans="1:14" x14ac:dyDescent="0.35">
      <c r="A318" t="s">
        <v>18</v>
      </c>
      <c r="B318">
        <v>202403</v>
      </c>
      <c r="C318" t="str">
        <f>MID(analisis_productividad__4[[#This Row],[Periodo]],1,4)</f>
        <v>2024</v>
      </c>
      <c r="D318" t="str">
        <f>MID(analisis_productividad__4[[#This Row],[Periodo]],5,2)</f>
        <v>03</v>
      </c>
      <c r="E318" t="s">
        <v>16</v>
      </c>
      <c r="F318" t="s">
        <v>19</v>
      </c>
      <c r="G318">
        <v>109799</v>
      </c>
      <c r="H318">
        <v>7494314</v>
      </c>
      <c r="I318">
        <v>68.254751344086031</v>
      </c>
      <c r="J318">
        <v>0</v>
      </c>
      <c r="K318">
        <v>70.5</v>
      </c>
      <c r="L318">
        <v>69.5</v>
      </c>
      <c r="N318">
        <v>0</v>
      </c>
    </row>
    <row r="319" spans="1:14" x14ac:dyDescent="0.35">
      <c r="A319" t="s">
        <v>49</v>
      </c>
      <c r="B319">
        <v>202412</v>
      </c>
      <c r="C319" t="str">
        <f>MID(analisis_productividad__4[[#This Row],[Periodo]],1,4)</f>
        <v>2024</v>
      </c>
      <c r="D319" t="str">
        <f>MID(analisis_productividad__4[[#This Row],[Periodo]],5,2)</f>
        <v>12</v>
      </c>
      <c r="E319" t="s">
        <v>16</v>
      </c>
      <c r="F319" t="s">
        <v>21</v>
      </c>
      <c r="G319">
        <v>109756</v>
      </c>
      <c r="H319">
        <v>7967134</v>
      </c>
      <c r="I319">
        <v>72.589717741935473</v>
      </c>
      <c r="J319">
        <v>0</v>
      </c>
      <c r="K319">
        <v>75.5</v>
      </c>
      <c r="L319">
        <v>68</v>
      </c>
      <c r="N319">
        <v>0</v>
      </c>
    </row>
    <row r="320" spans="1:14" x14ac:dyDescent="0.35">
      <c r="A320" t="s">
        <v>36</v>
      </c>
      <c r="B320">
        <v>202606</v>
      </c>
      <c r="C320" t="str">
        <f>MID(analisis_productividad__4[[#This Row],[Periodo]],1,4)</f>
        <v>2026</v>
      </c>
      <c r="D320" t="str">
        <f>MID(analisis_productividad__4[[#This Row],[Periodo]],5,2)</f>
        <v>06</v>
      </c>
      <c r="E320" t="s">
        <v>16</v>
      </c>
      <c r="F320" t="s">
        <v>17</v>
      </c>
      <c r="G320">
        <v>109674</v>
      </c>
      <c r="H320">
        <v>7796493</v>
      </c>
      <c r="I320">
        <v>71.087625000001495</v>
      </c>
      <c r="J320">
        <v>121294.30267571435</v>
      </c>
      <c r="K320">
        <v>76.5</v>
      </c>
      <c r="L320">
        <v>80</v>
      </c>
      <c r="M320">
        <v>67.450733277005639</v>
      </c>
      <c r="N320">
        <v>8181390</v>
      </c>
    </row>
    <row r="321" spans="1:14" x14ac:dyDescent="0.35">
      <c r="A321" t="s">
        <v>27</v>
      </c>
      <c r="B321">
        <v>202403</v>
      </c>
      <c r="C321" t="str">
        <f>MID(analisis_productividad__4[[#This Row],[Periodo]],1,4)</f>
        <v>2024</v>
      </c>
      <c r="D321" t="str">
        <f>MID(analisis_productividad__4[[#This Row],[Periodo]],5,2)</f>
        <v>03</v>
      </c>
      <c r="E321" t="s">
        <v>11</v>
      </c>
      <c r="F321" t="s">
        <v>14</v>
      </c>
      <c r="G321">
        <v>109670</v>
      </c>
      <c r="H321">
        <v>9355427</v>
      </c>
      <c r="I321">
        <v>85.30492607526881</v>
      </c>
      <c r="J321">
        <v>0</v>
      </c>
      <c r="K321">
        <v>88</v>
      </c>
      <c r="L321">
        <v>84</v>
      </c>
      <c r="N321">
        <v>0</v>
      </c>
    </row>
    <row r="322" spans="1:14" x14ac:dyDescent="0.35">
      <c r="A322" t="s">
        <v>47</v>
      </c>
      <c r="B322">
        <v>202512</v>
      </c>
      <c r="C322" t="str">
        <f>MID(analisis_productividad__4[[#This Row],[Periodo]],1,4)</f>
        <v>2025</v>
      </c>
      <c r="D322" t="str">
        <f>MID(analisis_productividad__4[[#This Row],[Periodo]],5,2)</f>
        <v>12</v>
      </c>
      <c r="E322" t="s">
        <v>11</v>
      </c>
      <c r="F322" t="s">
        <v>14</v>
      </c>
      <c r="G322">
        <v>109665</v>
      </c>
      <c r="H322">
        <v>5613454</v>
      </c>
      <c r="I322">
        <v>51.18721774193547</v>
      </c>
      <c r="J322">
        <v>98723.498187989404</v>
      </c>
      <c r="K322">
        <v>61.5</v>
      </c>
      <c r="L322">
        <v>48.5</v>
      </c>
      <c r="M322">
        <v>56.860368028195808</v>
      </c>
      <c r="N322">
        <v>6567747</v>
      </c>
    </row>
    <row r="323" spans="1:14" x14ac:dyDescent="0.35">
      <c r="A323" t="s">
        <v>37</v>
      </c>
      <c r="B323">
        <v>202507</v>
      </c>
      <c r="C323" t="str">
        <f>MID(analisis_productividad__4[[#This Row],[Periodo]],1,4)</f>
        <v>2025</v>
      </c>
      <c r="D323" t="str">
        <f>MID(analisis_productividad__4[[#This Row],[Periodo]],5,2)</f>
        <v>07</v>
      </c>
      <c r="E323" t="s">
        <v>16</v>
      </c>
      <c r="F323" t="s">
        <v>17</v>
      </c>
      <c r="G323">
        <v>109575</v>
      </c>
      <c r="H323">
        <v>10512165</v>
      </c>
      <c r="I323">
        <v>95.935893817204345</v>
      </c>
      <c r="J323">
        <v>106631.81353985007</v>
      </c>
      <c r="K323">
        <v>107.5</v>
      </c>
      <c r="L323">
        <v>102.5</v>
      </c>
      <c r="M323">
        <v>98.583759958949116</v>
      </c>
      <c r="N323">
        <v>11151548</v>
      </c>
    </row>
    <row r="324" spans="1:14" x14ac:dyDescent="0.35">
      <c r="A324" t="s">
        <v>23</v>
      </c>
      <c r="B324">
        <v>202403</v>
      </c>
      <c r="C324" t="str">
        <f>MID(analisis_productividad__4[[#This Row],[Periodo]],1,4)</f>
        <v>2024</v>
      </c>
      <c r="D324" t="str">
        <f>MID(analisis_productividad__4[[#This Row],[Periodo]],5,2)</f>
        <v>03</v>
      </c>
      <c r="E324" t="s">
        <v>11</v>
      </c>
      <c r="F324" t="s">
        <v>12</v>
      </c>
      <c r="G324">
        <v>109449</v>
      </c>
      <c r="H324">
        <v>6976996</v>
      </c>
      <c r="I324">
        <v>63.746572580645157</v>
      </c>
      <c r="J324">
        <v>0</v>
      </c>
      <c r="K324">
        <v>68.5</v>
      </c>
      <c r="L324">
        <v>66</v>
      </c>
      <c r="N324">
        <v>0</v>
      </c>
    </row>
    <row r="325" spans="1:14" x14ac:dyDescent="0.35">
      <c r="A325" t="s">
        <v>10</v>
      </c>
      <c r="B325">
        <v>202504</v>
      </c>
      <c r="C325" t="str">
        <f>MID(analisis_productividad__4[[#This Row],[Periodo]],1,4)</f>
        <v>2025</v>
      </c>
      <c r="D325" t="str">
        <f>MID(analisis_productividad__4[[#This Row],[Periodo]],5,2)</f>
        <v>04</v>
      </c>
      <c r="E325" t="s">
        <v>11</v>
      </c>
      <c r="F325" t="s">
        <v>12</v>
      </c>
      <c r="G325">
        <v>109401</v>
      </c>
      <c r="H325">
        <v>9825275</v>
      </c>
      <c r="I325">
        <v>89.809562500000069</v>
      </c>
      <c r="J325">
        <v>102565.80748755697</v>
      </c>
      <c r="K325">
        <v>98.5</v>
      </c>
      <c r="L325">
        <v>96.5</v>
      </c>
      <c r="M325">
        <v>95.794840022021717</v>
      </c>
      <c r="N325">
        <v>10896040</v>
      </c>
    </row>
    <row r="326" spans="1:14" x14ac:dyDescent="0.35">
      <c r="A326" t="s">
        <v>18</v>
      </c>
      <c r="B326">
        <v>202602</v>
      </c>
      <c r="C326" t="str">
        <f>MID(analisis_productividad__4[[#This Row],[Periodo]],1,4)</f>
        <v>2026</v>
      </c>
      <c r="D326" t="str">
        <f>MID(analisis_productividad__4[[#This Row],[Periodo]],5,2)</f>
        <v>02</v>
      </c>
      <c r="E326" t="s">
        <v>16</v>
      </c>
      <c r="F326" t="s">
        <v>19</v>
      </c>
      <c r="G326">
        <v>109324</v>
      </c>
      <c r="H326">
        <v>6256659</v>
      </c>
      <c r="I326">
        <v>57.23020833333333</v>
      </c>
      <c r="J326">
        <v>83735.853013819302</v>
      </c>
      <c r="K326">
        <v>70.5</v>
      </c>
      <c r="L326">
        <v>69.5</v>
      </c>
      <c r="M326">
        <v>63.576561684054447</v>
      </c>
      <c r="N326">
        <v>5323638</v>
      </c>
    </row>
    <row r="327" spans="1:14" x14ac:dyDescent="0.35">
      <c r="A327" t="s">
        <v>13</v>
      </c>
      <c r="B327">
        <v>202508</v>
      </c>
      <c r="C327" t="str">
        <f>MID(analisis_productividad__4[[#This Row],[Periodo]],1,4)</f>
        <v>2025</v>
      </c>
      <c r="D327" t="str">
        <f>MID(analisis_productividad__4[[#This Row],[Periodo]],5,2)</f>
        <v>08</v>
      </c>
      <c r="E327" t="s">
        <v>11</v>
      </c>
      <c r="F327" t="s">
        <v>14</v>
      </c>
      <c r="G327">
        <v>109283</v>
      </c>
      <c r="H327">
        <v>9546020</v>
      </c>
      <c r="I327">
        <v>87.351202956989241</v>
      </c>
      <c r="J327">
        <v>105401.8628119015</v>
      </c>
      <c r="K327">
        <v>100</v>
      </c>
      <c r="L327">
        <v>98</v>
      </c>
      <c r="M327">
        <v>90.56785255338113</v>
      </c>
      <c r="N327">
        <v>9264086</v>
      </c>
    </row>
    <row r="328" spans="1:14" x14ac:dyDescent="0.35">
      <c r="A328" t="s">
        <v>27</v>
      </c>
      <c r="B328">
        <v>202507</v>
      </c>
      <c r="C328" t="str">
        <f>MID(analisis_productividad__4[[#This Row],[Periodo]],1,4)</f>
        <v>2025</v>
      </c>
      <c r="D328" t="str">
        <f>MID(analisis_productividad__4[[#This Row],[Periodo]],5,2)</f>
        <v>07</v>
      </c>
      <c r="E328" t="s">
        <v>11</v>
      </c>
      <c r="F328" t="s">
        <v>14</v>
      </c>
      <c r="G328">
        <v>109240</v>
      </c>
      <c r="H328">
        <v>8678149</v>
      </c>
      <c r="I328">
        <v>79.441108870967753</v>
      </c>
      <c r="J328">
        <v>113025.44549054602</v>
      </c>
      <c r="K328">
        <v>88</v>
      </c>
      <c r="L328">
        <v>84</v>
      </c>
      <c r="M328">
        <v>76.780486308509012</v>
      </c>
      <c r="N328">
        <v>8985639</v>
      </c>
    </row>
    <row r="329" spans="1:14" x14ac:dyDescent="0.35">
      <c r="A329" t="s">
        <v>10</v>
      </c>
      <c r="B329">
        <v>202510</v>
      </c>
      <c r="C329" t="str">
        <f>MID(analisis_productividad__4[[#This Row],[Periodo]],1,4)</f>
        <v>2025</v>
      </c>
      <c r="D329" t="str">
        <f>MID(analisis_productividad__4[[#This Row],[Periodo]],5,2)</f>
        <v>10</v>
      </c>
      <c r="E329" t="s">
        <v>11</v>
      </c>
      <c r="F329" t="s">
        <v>12</v>
      </c>
      <c r="G329">
        <v>109205</v>
      </c>
      <c r="H329">
        <v>9214774</v>
      </c>
      <c r="I329">
        <v>84.380625000000038</v>
      </c>
      <c r="J329">
        <v>108936.98038214205</v>
      </c>
      <c r="K329">
        <v>98.5</v>
      </c>
      <c r="L329">
        <v>96.5</v>
      </c>
      <c r="M329">
        <v>84.588120559935817</v>
      </c>
      <c r="N329">
        <v>9115655</v>
      </c>
    </row>
    <row r="330" spans="1:14" x14ac:dyDescent="0.35">
      <c r="A330" t="s">
        <v>22</v>
      </c>
      <c r="B330">
        <v>202606</v>
      </c>
      <c r="C330" t="str">
        <f>MID(analisis_productividad__4[[#This Row],[Periodo]],1,4)</f>
        <v>2026</v>
      </c>
      <c r="D330" t="str">
        <f>MID(analisis_productividad__4[[#This Row],[Periodo]],5,2)</f>
        <v>06</v>
      </c>
      <c r="E330" t="s">
        <v>16</v>
      </c>
      <c r="F330" t="s">
        <v>21</v>
      </c>
      <c r="G330">
        <v>109201</v>
      </c>
      <c r="H330">
        <v>5245173</v>
      </c>
      <c r="I330">
        <v>48.032104166666819</v>
      </c>
      <c r="J330">
        <v>88681.5792300662</v>
      </c>
      <c r="K330">
        <v>59.5</v>
      </c>
      <c r="L330">
        <v>55.5</v>
      </c>
      <c r="M330">
        <v>53.278949580299148</v>
      </c>
      <c r="N330">
        <v>4724861</v>
      </c>
    </row>
    <row r="331" spans="1:14" x14ac:dyDescent="0.35">
      <c r="A331" t="s">
        <v>18</v>
      </c>
      <c r="B331">
        <v>202604</v>
      </c>
      <c r="C331" t="str">
        <f>MID(analisis_productividad__4[[#This Row],[Periodo]],1,4)</f>
        <v>2026</v>
      </c>
      <c r="D331" t="str">
        <f>MID(analisis_productividad__4[[#This Row],[Periodo]],5,2)</f>
        <v>04</v>
      </c>
      <c r="E331" t="s">
        <v>16</v>
      </c>
      <c r="F331" t="s">
        <v>19</v>
      </c>
      <c r="G331">
        <v>109172</v>
      </c>
      <c r="H331">
        <v>6572691</v>
      </c>
      <c r="I331">
        <v>60.205152777779077</v>
      </c>
      <c r="J331">
        <v>85212.529921365058</v>
      </c>
      <c r="K331">
        <v>70.5</v>
      </c>
      <c r="L331">
        <v>69.5</v>
      </c>
      <c r="M331">
        <v>63.576561684054447</v>
      </c>
      <c r="N331">
        <v>5417520</v>
      </c>
    </row>
    <row r="332" spans="1:14" x14ac:dyDescent="0.35">
      <c r="A332" t="s">
        <v>55</v>
      </c>
      <c r="B332">
        <v>202603</v>
      </c>
      <c r="C332" t="str">
        <f>MID(analisis_productividad__4[[#This Row],[Periodo]],1,4)</f>
        <v>2026</v>
      </c>
      <c r="D332" t="str">
        <f>MID(analisis_productividad__4[[#This Row],[Periodo]],5,2)</f>
        <v>03</v>
      </c>
      <c r="E332" t="s">
        <v>16</v>
      </c>
      <c r="F332" t="s">
        <v>21</v>
      </c>
      <c r="G332">
        <v>109158</v>
      </c>
      <c r="H332">
        <v>5143510</v>
      </c>
      <c r="I332">
        <v>47.119643817204299</v>
      </c>
      <c r="J332">
        <v>112881.47564209858</v>
      </c>
      <c r="K332">
        <v>55</v>
      </c>
      <c r="L332">
        <v>50.5</v>
      </c>
      <c r="M332">
        <v>48.493991244906027</v>
      </c>
      <c r="N332">
        <v>5474073</v>
      </c>
    </row>
    <row r="333" spans="1:14" x14ac:dyDescent="0.35">
      <c r="A333" t="s">
        <v>23</v>
      </c>
      <c r="B333">
        <v>202505</v>
      </c>
      <c r="C333" t="str">
        <f>MID(analisis_productividad__4[[#This Row],[Periodo]],1,4)</f>
        <v>2025</v>
      </c>
      <c r="D333" t="str">
        <f>MID(analisis_productividad__4[[#This Row],[Periodo]],5,2)</f>
        <v>05</v>
      </c>
      <c r="E333" t="s">
        <v>11</v>
      </c>
      <c r="F333" t="s">
        <v>12</v>
      </c>
      <c r="G333">
        <v>109157</v>
      </c>
      <c r="H333">
        <v>6405895</v>
      </c>
      <c r="I333">
        <v>58.685309139784955</v>
      </c>
      <c r="J333">
        <v>99663.778448527824</v>
      </c>
      <c r="K333">
        <v>68.5</v>
      </c>
      <c r="L333">
        <v>66</v>
      </c>
      <c r="M333">
        <v>64.275058900244048</v>
      </c>
      <c r="N333">
        <v>6228071</v>
      </c>
    </row>
    <row r="334" spans="1:14" x14ac:dyDescent="0.35">
      <c r="A334" t="s">
        <v>31</v>
      </c>
      <c r="B334">
        <v>202605</v>
      </c>
      <c r="C334" t="str">
        <f>MID(analisis_productividad__4[[#This Row],[Periodo]],1,4)</f>
        <v>2026</v>
      </c>
      <c r="D334" t="str">
        <f>MID(analisis_productividad__4[[#This Row],[Periodo]],5,2)</f>
        <v>05</v>
      </c>
      <c r="E334" t="s">
        <v>11</v>
      </c>
      <c r="F334" t="s">
        <v>14</v>
      </c>
      <c r="G334">
        <v>109070</v>
      </c>
      <c r="H334">
        <v>9696481</v>
      </c>
      <c r="I334">
        <v>88.901081989247189</v>
      </c>
      <c r="J334">
        <v>104797.06014454384</v>
      </c>
      <c r="K334">
        <v>101.5</v>
      </c>
      <c r="L334">
        <v>97.5</v>
      </c>
      <c r="M334">
        <v>87.689184144336366</v>
      </c>
      <c r="N334">
        <v>9189569</v>
      </c>
    </row>
    <row r="335" spans="1:14" x14ac:dyDescent="0.35">
      <c r="A335" t="s">
        <v>37</v>
      </c>
      <c r="B335">
        <v>202508</v>
      </c>
      <c r="C335" t="str">
        <f>MID(analisis_productividad__4[[#This Row],[Periodo]],1,4)</f>
        <v>2025</v>
      </c>
      <c r="D335" t="str">
        <f>MID(analisis_productividad__4[[#This Row],[Periodo]],5,2)</f>
        <v>08</v>
      </c>
      <c r="E335" t="s">
        <v>16</v>
      </c>
      <c r="F335" t="s">
        <v>17</v>
      </c>
      <c r="G335">
        <v>109030</v>
      </c>
      <c r="H335">
        <v>10146125</v>
      </c>
      <c r="I335">
        <v>93.058508064516147</v>
      </c>
      <c r="J335">
        <v>104672.81663635101</v>
      </c>
      <c r="K335">
        <v>107.5</v>
      </c>
      <c r="L335">
        <v>102.5</v>
      </c>
      <c r="M335">
        <v>96.931804130667047</v>
      </c>
      <c r="N335">
        <v>10454639</v>
      </c>
    </row>
    <row r="336" spans="1:14" x14ac:dyDescent="0.35">
      <c r="A336" t="s">
        <v>36</v>
      </c>
      <c r="B336">
        <v>202602</v>
      </c>
      <c r="C336" t="str">
        <f>MID(analisis_productividad__4[[#This Row],[Periodo]],1,4)</f>
        <v>2026</v>
      </c>
      <c r="D336" t="str">
        <f>MID(analisis_productividad__4[[#This Row],[Periodo]],5,2)</f>
        <v>02</v>
      </c>
      <c r="E336" t="s">
        <v>16</v>
      </c>
      <c r="F336" t="s">
        <v>17</v>
      </c>
      <c r="G336">
        <v>109020</v>
      </c>
      <c r="H336">
        <v>7937803</v>
      </c>
      <c r="I336">
        <v>72.810312500000009</v>
      </c>
      <c r="J336">
        <v>116004.55495073838</v>
      </c>
      <c r="K336">
        <v>76.5</v>
      </c>
      <c r="L336">
        <v>80</v>
      </c>
      <c r="M336">
        <v>67.450733277005639</v>
      </c>
      <c r="N336">
        <v>7824592</v>
      </c>
    </row>
    <row r="337" spans="1:14" x14ac:dyDescent="0.35">
      <c r="A337" t="s">
        <v>60</v>
      </c>
      <c r="B337">
        <v>202412</v>
      </c>
      <c r="C337" t="str">
        <f>MID(analisis_productividad__4[[#This Row],[Periodo]],1,4)</f>
        <v>2024</v>
      </c>
      <c r="D337" t="str">
        <f>MID(analisis_productividad__4[[#This Row],[Periodo]],5,2)</f>
        <v>12</v>
      </c>
      <c r="E337" t="s">
        <v>11</v>
      </c>
      <c r="F337" t="s">
        <v>14</v>
      </c>
      <c r="G337">
        <v>108970</v>
      </c>
      <c r="H337">
        <v>9268448</v>
      </c>
      <c r="I337">
        <v>85.054798387096753</v>
      </c>
      <c r="J337">
        <v>0</v>
      </c>
      <c r="K337">
        <v>75.5</v>
      </c>
      <c r="L337">
        <v>74</v>
      </c>
      <c r="N337">
        <v>0</v>
      </c>
    </row>
    <row r="338" spans="1:14" x14ac:dyDescent="0.35">
      <c r="A338" t="s">
        <v>31</v>
      </c>
      <c r="B338">
        <v>202406</v>
      </c>
      <c r="C338" t="str">
        <f>MID(analisis_productividad__4[[#This Row],[Periodo]],1,4)</f>
        <v>2024</v>
      </c>
      <c r="D338" t="str">
        <f>MID(analisis_productividad__4[[#This Row],[Periodo]],5,2)</f>
        <v>06</v>
      </c>
      <c r="E338" t="s">
        <v>11</v>
      </c>
      <c r="F338" t="s">
        <v>14</v>
      </c>
      <c r="G338">
        <v>108900</v>
      </c>
      <c r="H338">
        <v>9368328</v>
      </c>
      <c r="I338">
        <v>86.0269861111111</v>
      </c>
      <c r="J338">
        <v>0</v>
      </c>
      <c r="K338">
        <v>101.5</v>
      </c>
      <c r="L338">
        <v>97.5</v>
      </c>
      <c r="N338">
        <v>0</v>
      </c>
    </row>
    <row r="339" spans="1:14" x14ac:dyDescent="0.35">
      <c r="A339" t="s">
        <v>30</v>
      </c>
      <c r="B339">
        <v>202401</v>
      </c>
      <c r="C339" t="str">
        <f>MID(analisis_productividad__4[[#This Row],[Periodo]],1,4)</f>
        <v>2024</v>
      </c>
      <c r="D339" t="str">
        <f>MID(analisis_productividad__4[[#This Row],[Periodo]],5,2)</f>
        <v>01</v>
      </c>
      <c r="E339" t="s">
        <v>16</v>
      </c>
      <c r="F339" t="s">
        <v>19</v>
      </c>
      <c r="G339">
        <v>108831</v>
      </c>
      <c r="H339">
        <v>8696416</v>
      </c>
      <c r="I339">
        <v>79.907305107526838</v>
      </c>
      <c r="J339">
        <v>0</v>
      </c>
      <c r="K339">
        <v>101</v>
      </c>
      <c r="L339">
        <v>105</v>
      </c>
      <c r="N339">
        <v>0</v>
      </c>
    </row>
    <row r="340" spans="1:14" x14ac:dyDescent="0.35">
      <c r="A340" t="s">
        <v>50</v>
      </c>
      <c r="B340">
        <v>202412</v>
      </c>
      <c r="C340" t="str">
        <f>MID(analisis_productividad__4[[#This Row],[Periodo]],1,4)</f>
        <v>2024</v>
      </c>
      <c r="D340" t="str">
        <f>MID(analisis_productividad__4[[#This Row],[Periodo]],5,2)</f>
        <v>12</v>
      </c>
      <c r="E340" t="s">
        <v>34</v>
      </c>
      <c r="F340" t="s">
        <v>35</v>
      </c>
      <c r="G340">
        <v>108822</v>
      </c>
      <c r="H340">
        <v>7327512</v>
      </c>
      <c r="I340">
        <v>67.334543010752668</v>
      </c>
      <c r="J340">
        <v>0</v>
      </c>
      <c r="K340">
        <v>79.5</v>
      </c>
      <c r="L340">
        <v>72.5</v>
      </c>
      <c r="N340">
        <v>0</v>
      </c>
    </row>
    <row r="341" spans="1:14" x14ac:dyDescent="0.35">
      <c r="A341" t="s">
        <v>10</v>
      </c>
      <c r="B341">
        <v>202501</v>
      </c>
      <c r="C341" t="str">
        <f>MID(analisis_productividad__4[[#This Row],[Periodo]],1,4)</f>
        <v>2025</v>
      </c>
      <c r="D341" t="str">
        <f>MID(analisis_productividad__4[[#This Row],[Periodo]],5,2)</f>
        <v>01</v>
      </c>
      <c r="E341" t="s">
        <v>11</v>
      </c>
      <c r="F341" t="s">
        <v>12</v>
      </c>
      <c r="G341">
        <v>108773</v>
      </c>
      <c r="H341">
        <v>9602129</v>
      </c>
      <c r="I341">
        <v>88.276538978494514</v>
      </c>
      <c r="J341">
        <v>87350.543497883307</v>
      </c>
      <c r="K341">
        <v>98.5</v>
      </c>
      <c r="L341">
        <v>96.5</v>
      </c>
      <c r="M341">
        <v>109.92637773607761</v>
      </c>
      <c r="N341">
        <v>9867847</v>
      </c>
    </row>
    <row r="342" spans="1:14" x14ac:dyDescent="0.35">
      <c r="A342" t="s">
        <v>56</v>
      </c>
      <c r="B342">
        <v>202605</v>
      </c>
      <c r="C342" t="str">
        <f>MID(analisis_productividad__4[[#This Row],[Periodo]],1,4)</f>
        <v>2026</v>
      </c>
      <c r="D342" t="str">
        <f>MID(analisis_productividad__4[[#This Row],[Periodo]],5,2)</f>
        <v>05</v>
      </c>
      <c r="E342" t="s">
        <v>16</v>
      </c>
      <c r="F342" t="s">
        <v>21</v>
      </c>
      <c r="G342">
        <v>108634</v>
      </c>
      <c r="H342">
        <v>6293447</v>
      </c>
      <c r="I342">
        <v>57.932715053764007</v>
      </c>
      <c r="J342">
        <v>118516.65281528508</v>
      </c>
      <c r="K342">
        <v>72.5</v>
      </c>
      <c r="L342">
        <v>68.5</v>
      </c>
      <c r="M342">
        <v>63.042188618377821</v>
      </c>
      <c r="N342">
        <v>7471549</v>
      </c>
    </row>
    <row r="343" spans="1:14" x14ac:dyDescent="0.35">
      <c r="A343" t="s">
        <v>76</v>
      </c>
      <c r="B343">
        <v>202412</v>
      </c>
      <c r="C343" t="str">
        <f>MID(analisis_productividad__4[[#This Row],[Periodo]],1,4)</f>
        <v>2024</v>
      </c>
      <c r="D343" t="str">
        <f>MID(analisis_productividad__4[[#This Row],[Periodo]],5,2)</f>
        <v>12</v>
      </c>
      <c r="E343" t="s">
        <v>11</v>
      </c>
      <c r="F343" t="s">
        <v>14</v>
      </c>
      <c r="G343">
        <v>108577</v>
      </c>
      <c r="H343">
        <v>8975065</v>
      </c>
      <c r="I343">
        <v>82.661061827957013</v>
      </c>
      <c r="J343">
        <v>0</v>
      </c>
      <c r="K343">
        <v>80</v>
      </c>
      <c r="L343">
        <v>78</v>
      </c>
      <c r="N343">
        <v>0</v>
      </c>
    </row>
    <row r="344" spans="1:14" x14ac:dyDescent="0.35">
      <c r="A344" t="s">
        <v>57</v>
      </c>
      <c r="B344">
        <v>202503</v>
      </c>
      <c r="C344" t="str">
        <f>MID(analisis_productividad__4[[#This Row],[Periodo]],1,4)</f>
        <v>2025</v>
      </c>
      <c r="D344" t="str">
        <f>MID(analisis_productividad__4[[#This Row],[Periodo]],5,2)</f>
        <v>03</v>
      </c>
      <c r="E344" t="s">
        <v>16</v>
      </c>
      <c r="F344" t="s">
        <v>19</v>
      </c>
      <c r="G344">
        <v>108560</v>
      </c>
      <c r="H344">
        <v>7136134</v>
      </c>
      <c r="I344">
        <v>65.734516129032258</v>
      </c>
      <c r="J344">
        <v>108805.40326338074</v>
      </c>
      <c r="K344">
        <v>71</v>
      </c>
      <c r="L344">
        <v>74.5</v>
      </c>
      <c r="M344">
        <v>65.586213698651093</v>
      </c>
      <c r="N344">
        <v>7045355</v>
      </c>
    </row>
    <row r="345" spans="1:14" x14ac:dyDescent="0.35">
      <c r="A345" t="s">
        <v>62</v>
      </c>
      <c r="B345">
        <v>202412</v>
      </c>
      <c r="C345" t="str">
        <f>MID(analisis_productividad__4[[#This Row],[Periodo]],1,4)</f>
        <v>2024</v>
      </c>
      <c r="D345" t="str">
        <f>MID(analisis_productividad__4[[#This Row],[Periodo]],5,2)</f>
        <v>12</v>
      </c>
      <c r="E345" t="s">
        <v>16</v>
      </c>
      <c r="F345" t="s">
        <v>17</v>
      </c>
      <c r="G345">
        <v>108514</v>
      </c>
      <c r="H345">
        <v>3591365</v>
      </c>
      <c r="I345">
        <v>33.095793010752701</v>
      </c>
      <c r="J345">
        <v>0</v>
      </c>
      <c r="K345">
        <v>32.5</v>
      </c>
      <c r="L345">
        <v>32</v>
      </c>
      <c r="N345">
        <v>0</v>
      </c>
    </row>
    <row r="346" spans="1:14" x14ac:dyDescent="0.35">
      <c r="A346" t="s">
        <v>24</v>
      </c>
      <c r="B346">
        <v>202604</v>
      </c>
      <c r="C346" t="str">
        <f>MID(analisis_productividad__4[[#This Row],[Periodo]],1,4)</f>
        <v>2026</v>
      </c>
      <c r="D346" t="str">
        <f>MID(analisis_productividad__4[[#This Row],[Periodo]],5,2)</f>
        <v>04</v>
      </c>
      <c r="E346" t="s">
        <v>16</v>
      </c>
      <c r="F346" t="s">
        <v>21</v>
      </c>
      <c r="G346">
        <v>108452</v>
      </c>
      <c r="H346">
        <v>11096009</v>
      </c>
      <c r="I346">
        <v>102.31268055555807</v>
      </c>
      <c r="J346">
        <v>99505.456439394111</v>
      </c>
      <c r="K346">
        <v>125</v>
      </c>
      <c r="L346">
        <v>118.5</v>
      </c>
      <c r="M346">
        <v>102.97612103755296</v>
      </c>
      <c r="N346">
        <v>10246686</v>
      </c>
    </row>
    <row r="347" spans="1:14" x14ac:dyDescent="0.35">
      <c r="A347" t="s">
        <v>27</v>
      </c>
      <c r="B347">
        <v>202505</v>
      </c>
      <c r="C347" t="str">
        <f>MID(analisis_productividad__4[[#This Row],[Periodo]],1,4)</f>
        <v>2025</v>
      </c>
      <c r="D347" t="str">
        <f>MID(analisis_productividad__4[[#This Row],[Periodo]],5,2)</f>
        <v>05</v>
      </c>
      <c r="E347" t="s">
        <v>11</v>
      </c>
      <c r="F347" t="s">
        <v>14</v>
      </c>
      <c r="G347">
        <v>108385</v>
      </c>
      <c r="H347">
        <v>8610995</v>
      </c>
      <c r="I347">
        <v>79.44807123655913</v>
      </c>
      <c r="J347">
        <v>99620.645477740021</v>
      </c>
      <c r="K347">
        <v>88</v>
      </c>
      <c r="L347">
        <v>84</v>
      </c>
      <c r="M347">
        <v>86.437859328306672</v>
      </c>
      <c r="N347">
        <v>8374079</v>
      </c>
    </row>
    <row r="348" spans="1:14" x14ac:dyDescent="0.35">
      <c r="A348" t="s">
        <v>37</v>
      </c>
      <c r="B348">
        <v>202601</v>
      </c>
      <c r="C348" t="str">
        <f>MID(analisis_productividad__4[[#This Row],[Periodo]],1,4)</f>
        <v>2026</v>
      </c>
      <c r="D348" t="str">
        <f>MID(analisis_productividad__4[[#This Row],[Periodo]],5,2)</f>
        <v>01</v>
      </c>
      <c r="E348" t="s">
        <v>16</v>
      </c>
      <c r="F348" t="s">
        <v>17</v>
      </c>
      <c r="G348">
        <v>108357</v>
      </c>
      <c r="H348">
        <v>9803963</v>
      </c>
      <c r="I348">
        <v>90.478434139784994</v>
      </c>
      <c r="J348">
        <v>103489.82257873937</v>
      </c>
      <c r="K348">
        <v>107.5</v>
      </c>
      <c r="L348">
        <v>102.5</v>
      </c>
      <c r="M348">
        <v>96.70800932222366</v>
      </c>
      <c r="N348">
        <v>10008295</v>
      </c>
    </row>
    <row r="349" spans="1:14" x14ac:dyDescent="0.35">
      <c r="A349" t="s">
        <v>29</v>
      </c>
      <c r="B349">
        <v>202407</v>
      </c>
      <c r="C349" t="str">
        <f>MID(analisis_productividad__4[[#This Row],[Periodo]],1,4)</f>
        <v>2024</v>
      </c>
      <c r="D349" t="str">
        <f>MID(analisis_productividad__4[[#This Row],[Periodo]],5,2)</f>
        <v>07</v>
      </c>
      <c r="E349" t="s">
        <v>16</v>
      </c>
      <c r="F349" t="s">
        <v>19</v>
      </c>
      <c r="G349">
        <v>108345</v>
      </c>
      <c r="H349">
        <v>9805646</v>
      </c>
      <c r="I349">
        <v>90.50426075268814</v>
      </c>
      <c r="J349">
        <v>0</v>
      </c>
      <c r="K349">
        <v>96.5</v>
      </c>
      <c r="L349">
        <v>96</v>
      </c>
      <c r="N349">
        <v>0</v>
      </c>
    </row>
    <row r="350" spans="1:14" x14ac:dyDescent="0.35">
      <c r="A350" t="s">
        <v>22</v>
      </c>
      <c r="B350">
        <v>202412</v>
      </c>
      <c r="C350" t="str">
        <f>MID(analisis_productividad__4[[#This Row],[Periodo]],1,4)</f>
        <v>2024</v>
      </c>
      <c r="D350" t="str">
        <f>MID(analisis_productividad__4[[#This Row],[Periodo]],5,2)</f>
        <v>12</v>
      </c>
      <c r="E350" t="s">
        <v>16</v>
      </c>
      <c r="F350" t="s">
        <v>21</v>
      </c>
      <c r="G350">
        <v>108267</v>
      </c>
      <c r="H350">
        <v>7162352</v>
      </c>
      <c r="I350">
        <v>66.154798387096761</v>
      </c>
      <c r="J350">
        <v>0</v>
      </c>
      <c r="K350">
        <v>59.5</v>
      </c>
      <c r="L350">
        <v>55.5</v>
      </c>
      <c r="N350">
        <v>0</v>
      </c>
    </row>
    <row r="351" spans="1:14" x14ac:dyDescent="0.35">
      <c r="A351" t="s">
        <v>36</v>
      </c>
      <c r="B351">
        <v>202506</v>
      </c>
      <c r="C351" t="str">
        <f>MID(analisis_productividad__4[[#This Row],[Periodo]],1,4)</f>
        <v>2025</v>
      </c>
      <c r="D351" t="str">
        <f>MID(analisis_productividad__4[[#This Row],[Periodo]],5,2)</f>
        <v>06</v>
      </c>
      <c r="E351" t="s">
        <v>16</v>
      </c>
      <c r="F351" t="s">
        <v>17</v>
      </c>
      <c r="G351">
        <v>108184</v>
      </c>
      <c r="H351">
        <v>7435945</v>
      </c>
      <c r="I351">
        <v>68.734458333333379</v>
      </c>
      <c r="J351">
        <v>112384.57976399391</v>
      </c>
      <c r="K351">
        <v>76.5</v>
      </c>
      <c r="L351">
        <v>80</v>
      </c>
      <c r="M351">
        <v>66.165167726883723</v>
      </c>
      <c r="N351">
        <v>7565211</v>
      </c>
    </row>
    <row r="352" spans="1:14" x14ac:dyDescent="0.35">
      <c r="A352" t="s">
        <v>36</v>
      </c>
      <c r="B352">
        <v>202509</v>
      </c>
      <c r="C352" t="str">
        <f>MID(analisis_productividad__4[[#This Row],[Periodo]],1,4)</f>
        <v>2025</v>
      </c>
      <c r="D352" t="str">
        <f>MID(analisis_productividad__4[[#This Row],[Periodo]],5,2)</f>
        <v>09</v>
      </c>
      <c r="E352" t="s">
        <v>16</v>
      </c>
      <c r="F352" t="s">
        <v>17</v>
      </c>
      <c r="G352">
        <v>108136</v>
      </c>
      <c r="H352">
        <v>7477486</v>
      </c>
      <c r="I352">
        <v>69.148673611111178</v>
      </c>
      <c r="J352">
        <v>119223.60769739456</v>
      </c>
      <c r="K352">
        <v>76.5</v>
      </c>
      <c r="L352">
        <v>80</v>
      </c>
      <c r="M352">
        <v>62.718164081889384</v>
      </c>
      <c r="N352">
        <v>7610625</v>
      </c>
    </row>
    <row r="353" spans="1:14" x14ac:dyDescent="0.35">
      <c r="A353" t="s">
        <v>31</v>
      </c>
      <c r="B353">
        <v>202411</v>
      </c>
      <c r="C353" t="str">
        <f>MID(analisis_productividad__4[[#This Row],[Periodo]],1,4)</f>
        <v>2024</v>
      </c>
      <c r="D353" t="str">
        <f>MID(analisis_productividad__4[[#This Row],[Periodo]],5,2)</f>
        <v>11</v>
      </c>
      <c r="E353" t="s">
        <v>11</v>
      </c>
      <c r="F353" t="s">
        <v>14</v>
      </c>
      <c r="G353">
        <v>108098</v>
      </c>
      <c r="H353">
        <v>9422543</v>
      </c>
      <c r="I353">
        <v>87.166722222222234</v>
      </c>
      <c r="J353">
        <v>0</v>
      </c>
      <c r="K353">
        <v>101.5</v>
      </c>
      <c r="L353">
        <v>97.5</v>
      </c>
      <c r="N353">
        <v>0</v>
      </c>
    </row>
    <row r="354" spans="1:14" x14ac:dyDescent="0.35">
      <c r="A354" t="s">
        <v>66</v>
      </c>
      <c r="B354">
        <v>202512</v>
      </c>
      <c r="C354" t="str">
        <f>MID(analisis_productividad__4[[#This Row],[Periodo]],1,4)</f>
        <v>2025</v>
      </c>
      <c r="D354" t="str">
        <f>MID(analisis_productividad__4[[#This Row],[Periodo]],5,2)</f>
        <v>12</v>
      </c>
      <c r="E354" t="s">
        <v>11</v>
      </c>
      <c r="F354" t="s">
        <v>12</v>
      </c>
      <c r="G354">
        <v>107941</v>
      </c>
      <c r="H354">
        <v>8484826</v>
      </c>
      <c r="I354">
        <v>78.606189516129007</v>
      </c>
      <c r="J354">
        <v>101372.15897226818</v>
      </c>
      <c r="K354">
        <v>80</v>
      </c>
      <c r="L354">
        <v>80.5</v>
      </c>
      <c r="M354">
        <v>83.699765359847419</v>
      </c>
      <c r="N354">
        <v>10051524</v>
      </c>
    </row>
    <row r="355" spans="1:14" x14ac:dyDescent="0.35">
      <c r="A355" t="s">
        <v>13</v>
      </c>
      <c r="B355">
        <v>202510</v>
      </c>
      <c r="C355" t="str">
        <f>MID(analisis_productividad__4[[#This Row],[Periodo]],1,4)</f>
        <v>2025</v>
      </c>
      <c r="D355" t="str">
        <f>MID(analisis_productividad__4[[#This Row],[Periodo]],5,2)</f>
        <v>10</v>
      </c>
      <c r="E355" t="s">
        <v>11</v>
      </c>
      <c r="F355" t="s">
        <v>14</v>
      </c>
      <c r="G355">
        <v>107892</v>
      </c>
      <c r="H355">
        <v>9021708</v>
      </c>
      <c r="I355">
        <v>83.618104838709712</v>
      </c>
      <c r="J355">
        <v>104564.68277775752</v>
      </c>
      <c r="K355">
        <v>100</v>
      </c>
      <c r="L355">
        <v>98</v>
      </c>
      <c r="M355">
        <v>86.278727198692877</v>
      </c>
      <c r="N355">
        <v>9671467</v>
      </c>
    </row>
    <row r="356" spans="1:14" x14ac:dyDescent="0.35">
      <c r="A356" t="s">
        <v>57</v>
      </c>
      <c r="B356">
        <v>202603</v>
      </c>
      <c r="C356" t="str">
        <f>MID(analisis_productividad__4[[#This Row],[Periodo]],1,4)</f>
        <v>2026</v>
      </c>
      <c r="D356" t="str">
        <f>MID(analisis_productividad__4[[#This Row],[Periodo]],5,2)</f>
        <v>03</v>
      </c>
      <c r="E356" t="s">
        <v>16</v>
      </c>
      <c r="F356" t="s">
        <v>19</v>
      </c>
      <c r="G356">
        <v>107881</v>
      </c>
      <c r="H356">
        <v>7356206</v>
      </c>
      <c r="I356">
        <v>68.187856182795727</v>
      </c>
      <c r="J356">
        <v>109301.10356113937</v>
      </c>
      <c r="K356">
        <v>71</v>
      </c>
      <c r="L356">
        <v>74.5</v>
      </c>
      <c r="M356">
        <v>62.681117153293116</v>
      </c>
      <c r="N356">
        <v>6851115</v>
      </c>
    </row>
    <row r="357" spans="1:14" x14ac:dyDescent="0.35">
      <c r="A357" t="s">
        <v>56</v>
      </c>
      <c r="B357">
        <v>202512</v>
      </c>
      <c r="C357" t="str">
        <f>MID(analisis_productividad__4[[#This Row],[Periodo]],1,4)</f>
        <v>2025</v>
      </c>
      <c r="D357" t="str">
        <f>MID(analisis_productividad__4[[#This Row],[Periodo]],5,2)</f>
        <v>12</v>
      </c>
      <c r="E357" t="s">
        <v>16</v>
      </c>
      <c r="F357" t="s">
        <v>21</v>
      </c>
      <c r="G357">
        <v>107781</v>
      </c>
      <c r="H357">
        <v>8432968</v>
      </c>
      <c r="I357">
        <v>78.241935483870904</v>
      </c>
      <c r="J357">
        <v>119491.83927440362</v>
      </c>
      <c r="K357">
        <v>72.5</v>
      </c>
      <c r="L357">
        <v>68.5</v>
      </c>
      <c r="M357">
        <v>70.57358938658858</v>
      </c>
      <c r="N357">
        <v>8386515</v>
      </c>
    </row>
    <row r="358" spans="1:14" x14ac:dyDescent="0.35">
      <c r="A358" t="s">
        <v>67</v>
      </c>
      <c r="B358">
        <v>202512</v>
      </c>
      <c r="C358" t="str">
        <f>MID(analisis_productividad__4[[#This Row],[Periodo]],1,4)</f>
        <v>2025</v>
      </c>
      <c r="D358" t="str">
        <f>MID(analisis_productividad__4[[#This Row],[Periodo]],5,2)</f>
        <v>12</v>
      </c>
      <c r="E358" t="s">
        <v>16</v>
      </c>
      <c r="F358" t="s">
        <v>19</v>
      </c>
      <c r="G358">
        <v>107755</v>
      </c>
      <c r="H358">
        <v>8543718</v>
      </c>
      <c r="I358">
        <v>79.28831317204299</v>
      </c>
      <c r="J358">
        <v>100022.09602496725</v>
      </c>
      <c r="K358">
        <v>79.5</v>
      </c>
      <c r="L358">
        <v>81.5</v>
      </c>
      <c r="M358">
        <v>85.418305849812782</v>
      </c>
      <c r="N358">
        <v>9075372</v>
      </c>
    </row>
    <row r="359" spans="1:14" x14ac:dyDescent="0.35">
      <c r="A359" t="s">
        <v>58</v>
      </c>
      <c r="B359">
        <v>202603</v>
      </c>
      <c r="C359" t="str">
        <f>MID(analisis_productividad__4[[#This Row],[Periodo]],1,4)</f>
        <v>2026</v>
      </c>
      <c r="D359" t="str">
        <f>MID(analisis_productividad__4[[#This Row],[Periodo]],5,2)</f>
        <v>03</v>
      </c>
      <c r="E359" t="s">
        <v>34</v>
      </c>
      <c r="F359" t="s">
        <v>35</v>
      </c>
      <c r="G359">
        <v>107730</v>
      </c>
      <c r="H359">
        <v>4505513</v>
      </c>
      <c r="I359">
        <v>41.82217741935483</v>
      </c>
      <c r="J359">
        <v>106988.45546499165</v>
      </c>
      <c r="K359">
        <v>53.5</v>
      </c>
      <c r="L359">
        <v>52</v>
      </c>
      <c r="M359">
        <v>43.483853774506514</v>
      </c>
      <c r="N359">
        <v>4652270</v>
      </c>
    </row>
    <row r="360" spans="1:14" x14ac:dyDescent="0.35">
      <c r="A360" t="s">
        <v>27</v>
      </c>
      <c r="B360">
        <v>202407</v>
      </c>
      <c r="C360" t="str">
        <f>MID(analisis_productividad__4[[#This Row],[Periodo]],1,4)</f>
        <v>2024</v>
      </c>
      <c r="D360" t="str">
        <f>MID(analisis_productividad__4[[#This Row],[Periodo]],5,2)</f>
        <v>07</v>
      </c>
      <c r="E360" t="s">
        <v>11</v>
      </c>
      <c r="F360" t="s">
        <v>14</v>
      </c>
      <c r="G360">
        <v>107643</v>
      </c>
      <c r="H360">
        <v>8975410</v>
      </c>
      <c r="I360">
        <v>83.381055107526933</v>
      </c>
      <c r="J360">
        <v>0</v>
      </c>
      <c r="K360">
        <v>88</v>
      </c>
      <c r="L360">
        <v>84</v>
      </c>
      <c r="N360">
        <v>0</v>
      </c>
    </row>
    <row r="361" spans="1:14" x14ac:dyDescent="0.35">
      <c r="A361" t="s">
        <v>15</v>
      </c>
      <c r="B361">
        <v>202504</v>
      </c>
      <c r="C361" t="str">
        <f>MID(analisis_productividad__4[[#This Row],[Periodo]],1,4)</f>
        <v>2025</v>
      </c>
      <c r="D361" t="str">
        <f>MID(analisis_productividad__4[[#This Row],[Periodo]],5,2)</f>
        <v>04</v>
      </c>
      <c r="E361" t="s">
        <v>16</v>
      </c>
      <c r="F361" t="s">
        <v>17</v>
      </c>
      <c r="G361">
        <v>107627</v>
      </c>
      <c r="H361">
        <v>5907237</v>
      </c>
      <c r="I361">
        <v>54.886270833333313</v>
      </c>
      <c r="J361">
        <v>112655.66131259392</v>
      </c>
      <c r="K361">
        <v>61</v>
      </c>
      <c r="L361">
        <v>60</v>
      </c>
      <c r="M361">
        <v>52.436222478058639</v>
      </c>
      <c r="N361">
        <v>6501964</v>
      </c>
    </row>
    <row r="362" spans="1:14" x14ac:dyDescent="0.35">
      <c r="A362" t="s">
        <v>28</v>
      </c>
      <c r="B362">
        <v>202511</v>
      </c>
      <c r="C362" t="str">
        <f>MID(analisis_productividad__4[[#This Row],[Periodo]],1,4)</f>
        <v>2025</v>
      </c>
      <c r="D362" t="str">
        <f>MID(analisis_productividad__4[[#This Row],[Periodo]],5,2)</f>
        <v>11</v>
      </c>
      <c r="E362" t="s">
        <v>16</v>
      </c>
      <c r="F362" t="s">
        <v>17</v>
      </c>
      <c r="G362">
        <v>107622</v>
      </c>
      <c r="H362">
        <v>6136504</v>
      </c>
      <c r="I362">
        <v>57.018888888888895</v>
      </c>
      <c r="J362">
        <v>107831.8428212568</v>
      </c>
      <c r="K362">
        <v>64</v>
      </c>
      <c r="L362">
        <v>67</v>
      </c>
      <c r="M362">
        <v>56.908088830234824</v>
      </c>
      <c r="N362">
        <v>4852398</v>
      </c>
    </row>
    <row r="363" spans="1:14" x14ac:dyDescent="0.35">
      <c r="A363" t="s">
        <v>10</v>
      </c>
      <c r="B363">
        <v>202406</v>
      </c>
      <c r="C363" t="str">
        <f>MID(analisis_productividad__4[[#This Row],[Periodo]],1,4)</f>
        <v>2024</v>
      </c>
      <c r="D363" t="str">
        <f>MID(analisis_productividad__4[[#This Row],[Periodo]],5,2)</f>
        <v>06</v>
      </c>
      <c r="E363" t="s">
        <v>11</v>
      </c>
      <c r="F363" t="s">
        <v>12</v>
      </c>
      <c r="G363">
        <v>107617</v>
      </c>
      <c r="H363">
        <v>10246701</v>
      </c>
      <c r="I363">
        <v>95.214777777777769</v>
      </c>
      <c r="J363">
        <v>0</v>
      </c>
      <c r="K363">
        <v>98.5</v>
      </c>
      <c r="L363">
        <v>96.5</v>
      </c>
      <c r="N363">
        <v>0</v>
      </c>
    </row>
    <row r="364" spans="1:14" x14ac:dyDescent="0.35">
      <c r="A364" t="s">
        <v>50</v>
      </c>
      <c r="B364">
        <v>202606</v>
      </c>
      <c r="C364" t="str">
        <f>MID(analisis_productividad__4[[#This Row],[Periodo]],1,4)</f>
        <v>2026</v>
      </c>
      <c r="D364" t="str">
        <f>MID(analisis_productividad__4[[#This Row],[Periodo]],5,2)</f>
        <v>06</v>
      </c>
      <c r="E364" t="s">
        <v>34</v>
      </c>
      <c r="F364" t="s">
        <v>35</v>
      </c>
      <c r="G364">
        <v>107588</v>
      </c>
      <c r="H364">
        <v>6418284</v>
      </c>
      <c r="I364">
        <v>59.655993055557062</v>
      </c>
      <c r="J364">
        <v>92906.652912237332</v>
      </c>
      <c r="K364">
        <v>79.5</v>
      </c>
      <c r="L364">
        <v>72.5</v>
      </c>
      <c r="M364">
        <v>64.209802769832038</v>
      </c>
      <c r="N364">
        <v>5965518</v>
      </c>
    </row>
    <row r="365" spans="1:14" x14ac:dyDescent="0.35">
      <c r="A365" t="s">
        <v>23</v>
      </c>
      <c r="B365">
        <v>202508</v>
      </c>
      <c r="C365" t="str">
        <f>MID(analisis_productividad__4[[#This Row],[Periodo]],1,4)</f>
        <v>2025</v>
      </c>
      <c r="D365" t="str">
        <f>MID(analisis_productividad__4[[#This Row],[Periodo]],5,2)</f>
        <v>08</v>
      </c>
      <c r="E365" t="s">
        <v>11</v>
      </c>
      <c r="F365" t="s">
        <v>12</v>
      </c>
      <c r="G365">
        <v>107568</v>
      </c>
      <c r="H365">
        <v>6207557</v>
      </c>
      <c r="I365">
        <v>57.708131720430089</v>
      </c>
      <c r="J365">
        <v>106327.68283905581</v>
      </c>
      <c r="K365">
        <v>68.5</v>
      </c>
      <c r="L365">
        <v>66</v>
      </c>
      <c r="M365">
        <v>58.381380504606156</v>
      </c>
      <c r="N365">
        <v>6023653</v>
      </c>
    </row>
    <row r="366" spans="1:14" x14ac:dyDescent="0.35">
      <c r="A366" t="s">
        <v>97</v>
      </c>
      <c r="B366">
        <v>202512</v>
      </c>
      <c r="C366" t="str">
        <f>MID(analisis_productividad__4[[#This Row],[Periodo]],1,4)</f>
        <v>2025</v>
      </c>
      <c r="D366" t="str">
        <f>MID(analisis_productividad__4[[#This Row],[Periodo]],5,2)</f>
        <v>12</v>
      </c>
      <c r="E366" t="s">
        <v>11</v>
      </c>
      <c r="F366" t="s">
        <v>12</v>
      </c>
      <c r="G366">
        <v>107424</v>
      </c>
      <c r="H366">
        <v>6359032</v>
      </c>
      <c r="I366">
        <v>59.195537634408602</v>
      </c>
      <c r="J366">
        <v>106043.42091129776</v>
      </c>
      <c r="K366">
        <v>66.5</v>
      </c>
      <c r="L366">
        <v>63.5</v>
      </c>
      <c r="M366">
        <v>59.966306210728</v>
      </c>
      <c r="N366">
        <v>6845366</v>
      </c>
    </row>
    <row r="367" spans="1:14" x14ac:dyDescent="0.35">
      <c r="A367" t="s">
        <v>30</v>
      </c>
      <c r="B367">
        <v>202506</v>
      </c>
      <c r="C367" t="str">
        <f>MID(analisis_productividad__4[[#This Row],[Periodo]],1,4)</f>
        <v>2025</v>
      </c>
      <c r="D367" t="str">
        <f>MID(analisis_productividad__4[[#This Row],[Periodo]],5,2)</f>
        <v>06</v>
      </c>
      <c r="E367" t="s">
        <v>16</v>
      </c>
      <c r="F367" t="s">
        <v>19</v>
      </c>
      <c r="G367">
        <v>107421</v>
      </c>
      <c r="H367">
        <v>8509559</v>
      </c>
      <c r="I367">
        <v>79.216958333333352</v>
      </c>
      <c r="J367">
        <v>118893.00680835548</v>
      </c>
      <c r="K367">
        <v>101</v>
      </c>
      <c r="L367">
        <v>105</v>
      </c>
      <c r="M367">
        <v>71.573248742178919</v>
      </c>
      <c r="N367">
        <v>9799888</v>
      </c>
    </row>
    <row r="368" spans="1:14" x14ac:dyDescent="0.35">
      <c r="A368" t="s">
        <v>61</v>
      </c>
      <c r="B368">
        <v>202505</v>
      </c>
      <c r="C368" t="str">
        <f>MID(analisis_productividad__4[[#This Row],[Periodo]],1,4)</f>
        <v>2025</v>
      </c>
      <c r="D368" t="str">
        <f>MID(analisis_productividad__4[[#This Row],[Periodo]],5,2)</f>
        <v>05</v>
      </c>
      <c r="E368" t="s">
        <v>11</v>
      </c>
      <c r="F368" t="s">
        <v>52</v>
      </c>
      <c r="G368">
        <v>107420</v>
      </c>
      <c r="H368">
        <v>9008388</v>
      </c>
      <c r="I368">
        <v>83.861081989247239</v>
      </c>
      <c r="J368">
        <v>94025.938743418563</v>
      </c>
      <c r="K368">
        <v>104.5</v>
      </c>
      <c r="L368">
        <v>99</v>
      </c>
      <c r="M368">
        <v>95.807482279782633</v>
      </c>
      <c r="N368">
        <v>9335897</v>
      </c>
    </row>
    <row r="369" spans="1:14" x14ac:dyDescent="0.35">
      <c r="A369" t="s">
        <v>75</v>
      </c>
      <c r="B369">
        <v>202412</v>
      </c>
      <c r="C369" t="str">
        <f>MID(analisis_productividad__4[[#This Row],[Periodo]],1,4)</f>
        <v>2024</v>
      </c>
      <c r="D369" t="str">
        <f>MID(analisis_productividad__4[[#This Row],[Periodo]],5,2)</f>
        <v>12</v>
      </c>
      <c r="E369" t="s">
        <v>11</v>
      </c>
      <c r="F369" t="s">
        <v>52</v>
      </c>
      <c r="G369">
        <v>107361</v>
      </c>
      <c r="H369">
        <v>12342686</v>
      </c>
      <c r="I369">
        <v>114.9640389784946</v>
      </c>
      <c r="J369">
        <v>0</v>
      </c>
      <c r="K369">
        <v>118</v>
      </c>
      <c r="L369">
        <v>106</v>
      </c>
      <c r="N369">
        <v>0</v>
      </c>
    </row>
    <row r="370" spans="1:14" x14ac:dyDescent="0.35">
      <c r="A370" t="s">
        <v>43</v>
      </c>
      <c r="B370">
        <v>202511</v>
      </c>
      <c r="C370" t="str">
        <f>MID(analisis_productividad__4[[#This Row],[Periodo]],1,4)</f>
        <v>2025</v>
      </c>
      <c r="D370" t="str">
        <f>MID(analisis_productividad__4[[#This Row],[Periodo]],5,2)</f>
        <v>11</v>
      </c>
      <c r="E370" t="s">
        <v>11</v>
      </c>
      <c r="F370" t="s">
        <v>12</v>
      </c>
      <c r="G370">
        <v>107341</v>
      </c>
      <c r="H370">
        <v>7489290</v>
      </c>
      <c r="I370">
        <v>69.770750000000035</v>
      </c>
      <c r="J370">
        <v>93487.481008159462</v>
      </c>
      <c r="K370">
        <v>84.5</v>
      </c>
      <c r="L370">
        <v>86.5</v>
      </c>
      <c r="M370">
        <v>80.110087888092139</v>
      </c>
      <c r="N370">
        <v>6537255</v>
      </c>
    </row>
    <row r="371" spans="1:14" x14ac:dyDescent="0.35">
      <c r="A371" t="s">
        <v>10</v>
      </c>
      <c r="B371">
        <v>202506</v>
      </c>
      <c r="C371" t="str">
        <f>MID(analisis_productividad__4[[#This Row],[Periodo]],1,4)</f>
        <v>2025</v>
      </c>
      <c r="D371" t="str">
        <f>MID(analisis_productividad__4[[#This Row],[Periodo]],5,2)</f>
        <v>06</v>
      </c>
      <c r="E371" t="s">
        <v>11</v>
      </c>
      <c r="F371" t="s">
        <v>12</v>
      </c>
      <c r="G371">
        <v>107293</v>
      </c>
      <c r="H371">
        <v>9844291</v>
      </c>
      <c r="I371">
        <v>91.751868055555533</v>
      </c>
      <c r="J371">
        <v>112997.54221566915</v>
      </c>
      <c r="K371">
        <v>98.5</v>
      </c>
      <c r="L371">
        <v>96.5</v>
      </c>
      <c r="M371">
        <v>87.119511690006547</v>
      </c>
      <c r="N371">
        <v>10265541</v>
      </c>
    </row>
    <row r="372" spans="1:14" x14ac:dyDescent="0.35">
      <c r="A372" t="s">
        <v>15</v>
      </c>
      <c r="B372">
        <v>202404</v>
      </c>
      <c r="C372" t="str">
        <f>MID(analisis_productividad__4[[#This Row],[Periodo]],1,4)</f>
        <v>2024</v>
      </c>
      <c r="D372" t="str">
        <f>MID(analisis_productividad__4[[#This Row],[Periodo]],5,2)</f>
        <v>04</v>
      </c>
      <c r="E372" t="s">
        <v>16</v>
      </c>
      <c r="F372" t="s">
        <v>17</v>
      </c>
      <c r="G372">
        <v>107291</v>
      </c>
      <c r="H372">
        <v>5495693</v>
      </c>
      <c r="I372">
        <v>51.222256944444482</v>
      </c>
      <c r="J372">
        <v>0</v>
      </c>
      <c r="K372">
        <v>61</v>
      </c>
      <c r="L372">
        <v>60</v>
      </c>
      <c r="N372">
        <v>0</v>
      </c>
    </row>
    <row r="373" spans="1:14" x14ac:dyDescent="0.35">
      <c r="A373" t="s">
        <v>51</v>
      </c>
      <c r="B373">
        <v>202412</v>
      </c>
      <c r="C373" t="str">
        <f>MID(analisis_productividad__4[[#This Row],[Periodo]],1,4)</f>
        <v>2024</v>
      </c>
      <c r="D373" t="str">
        <f>MID(analisis_productividad__4[[#This Row],[Periodo]],5,2)</f>
        <v>12</v>
      </c>
      <c r="E373" t="s">
        <v>11</v>
      </c>
      <c r="F373" t="s">
        <v>52</v>
      </c>
      <c r="G373">
        <v>107213</v>
      </c>
      <c r="H373">
        <v>12610184</v>
      </c>
      <c r="I373">
        <v>117.61820564516131</v>
      </c>
      <c r="J373">
        <v>0</v>
      </c>
      <c r="K373">
        <v>117.5</v>
      </c>
      <c r="L373">
        <v>99</v>
      </c>
      <c r="N373">
        <v>0</v>
      </c>
    </row>
    <row r="374" spans="1:14" x14ac:dyDescent="0.35">
      <c r="A374" t="s">
        <v>30</v>
      </c>
      <c r="B374">
        <v>202509</v>
      </c>
      <c r="C374" t="str">
        <f>MID(analisis_productividad__4[[#This Row],[Periodo]],1,4)</f>
        <v>2025</v>
      </c>
      <c r="D374" t="str">
        <f>MID(analisis_productividad__4[[#This Row],[Periodo]],5,2)</f>
        <v>09</v>
      </c>
      <c r="E374" t="s">
        <v>16</v>
      </c>
      <c r="F374" t="s">
        <v>19</v>
      </c>
      <c r="G374">
        <v>107076</v>
      </c>
      <c r="H374">
        <v>8593179</v>
      </c>
      <c r="I374">
        <v>80.252715277777824</v>
      </c>
      <c r="J374">
        <v>102363.61310532382</v>
      </c>
      <c r="K374">
        <v>101</v>
      </c>
      <c r="L374">
        <v>105</v>
      </c>
      <c r="M374">
        <v>83.947597581948571</v>
      </c>
      <c r="N374">
        <v>9642057</v>
      </c>
    </row>
    <row r="375" spans="1:14" x14ac:dyDescent="0.35">
      <c r="A375" t="s">
        <v>40</v>
      </c>
      <c r="B375">
        <v>202407</v>
      </c>
      <c r="C375" t="str">
        <f>MID(analisis_productividad__4[[#This Row],[Periodo]],1,4)</f>
        <v>2024</v>
      </c>
      <c r="D375" t="str">
        <f>MID(analisis_productividad__4[[#This Row],[Periodo]],5,2)</f>
        <v>07</v>
      </c>
      <c r="E375" t="s">
        <v>11</v>
      </c>
      <c r="F375" t="s">
        <v>14</v>
      </c>
      <c r="G375">
        <v>107069</v>
      </c>
      <c r="H375">
        <v>6934056</v>
      </c>
      <c r="I375">
        <v>64.76265456989249</v>
      </c>
      <c r="J375">
        <v>0</v>
      </c>
      <c r="K375">
        <v>76.5</v>
      </c>
      <c r="L375">
        <v>75.5</v>
      </c>
      <c r="N375">
        <v>0</v>
      </c>
    </row>
    <row r="376" spans="1:14" x14ac:dyDescent="0.35">
      <c r="A376" t="s">
        <v>18</v>
      </c>
      <c r="B376">
        <v>202412</v>
      </c>
      <c r="C376" t="str">
        <f>MID(analisis_productividad__4[[#This Row],[Periodo]],1,4)</f>
        <v>2024</v>
      </c>
      <c r="D376" t="str">
        <f>MID(analisis_productividad__4[[#This Row],[Periodo]],5,2)</f>
        <v>12</v>
      </c>
      <c r="E376" t="s">
        <v>16</v>
      </c>
      <c r="F376" t="s">
        <v>19</v>
      </c>
      <c r="G376">
        <v>107050</v>
      </c>
      <c r="H376">
        <v>7859845</v>
      </c>
      <c r="I376">
        <v>73.422237903225778</v>
      </c>
      <c r="J376">
        <v>0</v>
      </c>
      <c r="K376">
        <v>70.5</v>
      </c>
      <c r="L376">
        <v>69.5</v>
      </c>
      <c r="N376">
        <v>0</v>
      </c>
    </row>
    <row r="377" spans="1:14" x14ac:dyDescent="0.35">
      <c r="A377" t="s">
        <v>36</v>
      </c>
      <c r="B377">
        <v>202406</v>
      </c>
      <c r="C377" t="str">
        <f>MID(analisis_productividad__4[[#This Row],[Periodo]],1,4)</f>
        <v>2024</v>
      </c>
      <c r="D377" t="str">
        <f>MID(analisis_productividad__4[[#This Row],[Periodo]],5,2)</f>
        <v>06</v>
      </c>
      <c r="E377" t="s">
        <v>16</v>
      </c>
      <c r="F377" t="s">
        <v>17</v>
      </c>
      <c r="G377">
        <v>107033</v>
      </c>
      <c r="H377">
        <v>7427294</v>
      </c>
      <c r="I377">
        <v>69.392604166666615</v>
      </c>
      <c r="J377">
        <v>0</v>
      </c>
      <c r="K377">
        <v>76.5</v>
      </c>
      <c r="L377">
        <v>80</v>
      </c>
      <c r="N377">
        <v>0</v>
      </c>
    </row>
    <row r="378" spans="1:14" x14ac:dyDescent="0.35">
      <c r="A378" t="s">
        <v>64</v>
      </c>
      <c r="B378">
        <v>202512</v>
      </c>
      <c r="C378" t="str">
        <f>MID(analisis_productividad__4[[#This Row],[Periodo]],1,4)</f>
        <v>2025</v>
      </c>
      <c r="D378" t="str">
        <f>MID(analisis_productividad__4[[#This Row],[Periodo]],5,2)</f>
        <v>12</v>
      </c>
      <c r="E378" t="s">
        <v>16</v>
      </c>
      <c r="F378" t="s">
        <v>21</v>
      </c>
      <c r="G378">
        <v>106905</v>
      </c>
      <c r="H378">
        <v>13089041</v>
      </c>
      <c r="I378">
        <v>122.43663306451614</v>
      </c>
      <c r="J378">
        <v>108625.67128443321</v>
      </c>
      <c r="K378">
        <v>88.5</v>
      </c>
      <c r="L378">
        <v>92.5</v>
      </c>
      <c r="M378">
        <v>120.49675583340442</v>
      </c>
      <c r="N378">
        <v>9905528</v>
      </c>
    </row>
    <row r="379" spans="1:14" x14ac:dyDescent="0.35">
      <c r="A379" t="s">
        <v>48</v>
      </c>
      <c r="B379">
        <v>202503</v>
      </c>
      <c r="C379" t="str">
        <f>MID(analisis_productividad__4[[#This Row],[Periodo]],1,4)</f>
        <v>2025</v>
      </c>
      <c r="D379" t="str">
        <f>MID(analisis_productividad__4[[#This Row],[Periodo]],5,2)</f>
        <v>03</v>
      </c>
      <c r="E379" t="s">
        <v>16</v>
      </c>
      <c r="F379" t="s">
        <v>21</v>
      </c>
      <c r="G379">
        <v>106836</v>
      </c>
      <c r="H379">
        <v>5799927</v>
      </c>
      <c r="I379">
        <v>54.288010752688159</v>
      </c>
      <c r="J379">
        <v>85505.532722375516</v>
      </c>
      <c r="K379">
        <v>56</v>
      </c>
      <c r="L379">
        <v>60</v>
      </c>
      <c r="M379">
        <v>67.831018945072842</v>
      </c>
      <c r="N379">
        <v>5529759</v>
      </c>
    </row>
    <row r="380" spans="1:14" x14ac:dyDescent="0.35">
      <c r="A380" t="s">
        <v>51</v>
      </c>
      <c r="B380">
        <v>202606</v>
      </c>
      <c r="C380" t="str">
        <f>MID(analisis_productividad__4[[#This Row],[Periodo]],1,4)</f>
        <v>2026</v>
      </c>
      <c r="D380" t="str">
        <f>MID(analisis_productividad__4[[#This Row],[Periodo]],5,2)</f>
        <v>06</v>
      </c>
      <c r="E380" t="s">
        <v>11</v>
      </c>
      <c r="F380" t="s">
        <v>52</v>
      </c>
      <c r="G380">
        <v>106831</v>
      </c>
      <c r="H380">
        <v>9332724</v>
      </c>
      <c r="I380">
        <v>87.359756944446133</v>
      </c>
      <c r="J380">
        <v>87868.82580374254</v>
      </c>
      <c r="K380">
        <v>117.5</v>
      </c>
      <c r="L380">
        <v>99</v>
      </c>
      <c r="M380">
        <v>98.005014700369543</v>
      </c>
      <c r="N380">
        <v>8611586</v>
      </c>
    </row>
    <row r="381" spans="1:14" x14ac:dyDescent="0.35">
      <c r="A381" t="s">
        <v>63</v>
      </c>
      <c r="B381">
        <v>202401</v>
      </c>
      <c r="C381" t="str">
        <f>MID(analisis_productividad__4[[#This Row],[Periodo]],1,4)</f>
        <v>2024</v>
      </c>
      <c r="D381" t="str">
        <f>MID(analisis_productividad__4[[#This Row],[Periodo]],5,2)</f>
        <v>01</v>
      </c>
      <c r="E381" t="s">
        <v>16</v>
      </c>
      <c r="F381" t="s">
        <v>17</v>
      </c>
      <c r="G381">
        <v>106814</v>
      </c>
      <c r="H381">
        <v>9058449</v>
      </c>
      <c r="I381">
        <v>84.805423387096752</v>
      </c>
      <c r="J381">
        <v>0</v>
      </c>
      <c r="K381">
        <v>86.5</v>
      </c>
      <c r="L381">
        <v>81.5</v>
      </c>
      <c r="N381">
        <v>0</v>
      </c>
    </row>
    <row r="382" spans="1:14" x14ac:dyDescent="0.35">
      <c r="A382" t="s">
        <v>29</v>
      </c>
      <c r="B382">
        <v>202410</v>
      </c>
      <c r="C382" t="str">
        <f>MID(analisis_productividad__4[[#This Row],[Periodo]],1,4)</f>
        <v>2024</v>
      </c>
      <c r="D382" t="str">
        <f>MID(analisis_productividad__4[[#This Row],[Periodo]],5,2)</f>
        <v>10</v>
      </c>
      <c r="E382" t="s">
        <v>16</v>
      </c>
      <c r="F382" t="s">
        <v>19</v>
      </c>
      <c r="G382">
        <v>106800</v>
      </c>
      <c r="H382">
        <v>9301387</v>
      </c>
      <c r="I382">
        <v>87.091948924731156</v>
      </c>
      <c r="J382">
        <v>0</v>
      </c>
      <c r="K382">
        <v>96.5</v>
      </c>
      <c r="L382">
        <v>96</v>
      </c>
      <c r="N382">
        <v>0</v>
      </c>
    </row>
    <row r="383" spans="1:14" x14ac:dyDescent="0.35">
      <c r="A383" t="s">
        <v>28</v>
      </c>
      <c r="B383">
        <v>202505</v>
      </c>
      <c r="C383" t="str">
        <f>MID(analisis_productividad__4[[#This Row],[Periodo]],1,4)</f>
        <v>2025</v>
      </c>
      <c r="D383" t="str">
        <f>MID(analisis_productividad__4[[#This Row],[Periodo]],5,2)</f>
        <v>05</v>
      </c>
      <c r="E383" t="s">
        <v>16</v>
      </c>
      <c r="F383" t="s">
        <v>17</v>
      </c>
      <c r="G383">
        <v>106748</v>
      </c>
      <c r="H383">
        <v>6027624</v>
      </c>
      <c r="I383">
        <v>56.465725806451616</v>
      </c>
      <c r="J383">
        <v>97004.406206876811</v>
      </c>
      <c r="K383">
        <v>64</v>
      </c>
      <c r="L383">
        <v>67</v>
      </c>
      <c r="M383">
        <v>62.137629471646527</v>
      </c>
      <c r="N383">
        <v>5814137</v>
      </c>
    </row>
    <row r="384" spans="1:14" x14ac:dyDescent="0.35">
      <c r="A384" t="s">
        <v>26</v>
      </c>
      <c r="B384">
        <v>202504</v>
      </c>
      <c r="C384" t="str">
        <f>MID(analisis_productividad__4[[#This Row],[Periodo]],1,4)</f>
        <v>2025</v>
      </c>
      <c r="D384" t="str">
        <f>MID(analisis_productividad__4[[#This Row],[Periodo]],5,2)</f>
        <v>04</v>
      </c>
      <c r="E384" t="s">
        <v>11</v>
      </c>
      <c r="F384" t="s">
        <v>12</v>
      </c>
      <c r="G384">
        <v>106490</v>
      </c>
      <c r="H384">
        <v>5654294</v>
      </c>
      <c r="I384">
        <v>53.096701388888903</v>
      </c>
      <c r="J384">
        <v>70926.927223961218</v>
      </c>
      <c r="K384">
        <v>65.5</v>
      </c>
      <c r="L384">
        <v>63</v>
      </c>
      <c r="M384">
        <v>79.719992833551245</v>
      </c>
      <c r="N384">
        <v>5127387</v>
      </c>
    </row>
    <row r="385" spans="1:14" x14ac:dyDescent="0.35">
      <c r="A385" t="s">
        <v>26</v>
      </c>
      <c r="B385">
        <v>202601</v>
      </c>
      <c r="C385" t="str">
        <f>MID(analisis_productividad__4[[#This Row],[Periodo]],1,4)</f>
        <v>2026</v>
      </c>
      <c r="D385" t="str">
        <f>MID(analisis_productividad__4[[#This Row],[Periodo]],5,2)</f>
        <v>01</v>
      </c>
      <c r="E385" t="s">
        <v>11</v>
      </c>
      <c r="F385" t="s">
        <v>12</v>
      </c>
      <c r="G385">
        <v>106480</v>
      </c>
      <c r="H385">
        <v>6201146</v>
      </c>
      <c r="I385">
        <v>58.237788978494621</v>
      </c>
      <c r="J385">
        <v>96604.228827616796</v>
      </c>
      <c r="K385">
        <v>65.5</v>
      </c>
      <c r="L385">
        <v>63</v>
      </c>
      <c r="M385">
        <v>55.389519717073902</v>
      </c>
      <c r="N385">
        <v>5350862</v>
      </c>
    </row>
    <row r="386" spans="1:14" x14ac:dyDescent="0.35">
      <c r="A386" t="s">
        <v>41</v>
      </c>
      <c r="B386">
        <v>202503</v>
      </c>
      <c r="C386" t="str">
        <f>MID(analisis_productividad__4[[#This Row],[Periodo]],1,4)</f>
        <v>2025</v>
      </c>
      <c r="D386" t="str">
        <f>MID(analisis_productividad__4[[#This Row],[Periodo]],5,2)</f>
        <v>03</v>
      </c>
      <c r="E386" t="s">
        <v>16</v>
      </c>
      <c r="F386" t="s">
        <v>19</v>
      </c>
      <c r="G386">
        <v>106437</v>
      </c>
      <c r="H386">
        <v>5861082</v>
      </c>
      <c r="I386">
        <v>55.066102150537638</v>
      </c>
      <c r="J386">
        <v>105673.0274846556</v>
      </c>
      <c r="K386">
        <v>57.5</v>
      </c>
      <c r="L386">
        <v>56.5</v>
      </c>
      <c r="M386">
        <v>55.464313169707054</v>
      </c>
      <c r="N386">
        <v>5791094</v>
      </c>
    </row>
    <row r="387" spans="1:14" x14ac:dyDescent="0.35">
      <c r="A387" t="s">
        <v>24</v>
      </c>
      <c r="B387">
        <v>202511</v>
      </c>
      <c r="C387" t="str">
        <f>MID(analisis_productividad__4[[#This Row],[Periodo]],1,4)</f>
        <v>2025</v>
      </c>
      <c r="D387" t="str">
        <f>MID(analisis_productividad__4[[#This Row],[Periodo]],5,2)</f>
        <v>11</v>
      </c>
      <c r="E387" t="s">
        <v>16</v>
      </c>
      <c r="F387" t="s">
        <v>21</v>
      </c>
      <c r="G387">
        <v>106338</v>
      </c>
      <c r="H387">
        <v>10432010</v>
      </c>
      <c r="I387">
        <v>98.102472222222232</v>
      </c>
      <c r="J387">
        <v>97686.454064170946</v>
      </c>
      <c r="K387">
        <v>125</v>
      </c>
      <c r="L387">
        <v>118.5</v>
      </c>
      <c r="M387">
        <v>106.79075333359053</v>
      </c>
      <c r="N387">
        <v>9407386</v>
      </c>
    </row>
    <row r="388" spans="1:14" x14ac:dyDescent="0.35">
      <c r="A388" t="s">
        <v>13</v>
      </c>
      <c r="B388">
        <v>202501</v>
      </c>
      <c r="C388" t="str">
        <f>MID(analisis_productividad__4[[#This Row],[Periodo]],1,4)</f>
        <v>2025</v>
      </c>
      <c r="D388" t="str">
        <f>MID(analisis_productividad__4[[#This Row],[Periodo]],5,2)</f>
        <v>01</v>
      </c>
      <c r="E388" t="s">
        <v>11</v>
      </c>
      <c r="F388" t="s">
        <v>14</v>
      </c>
      <c r="G388">
        <v>106283</v>
      </c>
      <c r="H388">
        <v>9376441</v>
      </c>
      <c r="I388">
        <v>88.221075268817216</v>
      </c>
      <c r="J388">
        <v>110874.79503333212</v>
      </c>
      <c r="K388">
        <v>100</v>
      </c>
      <c r="L388">
        <v>98</v>
      </c>
      <c r="M388">
        <v>84.567830201455351</v>
      </c>
      <c r="N388">
        <v>9454267</v>
      </c>
    </row>
    <row r="389" spans="1:14" x14ac:dyDescent="0.35">
      <c r="A389" t="s">
        <v>51</v>
      </c>
      <c r="B389">
        <v>202511</v>
      </c>
      <c r="C389" t="str">
        <f>MID(analisis_productividad__4[[#This Row],[Periodo]],1,4)</f>
        <v>2025</v>
      </c>
      <c r="D389" t="str">
        <f>MID(analisis_productividad__4[[#This Row],[Periodo]],5,2)</f>
        <v>11</v>
      </c>
      <c r="E389" t="s">
        <v>11</v>
      </c>
      <c r="F389" t="s">
        <v>52</v>
      </c>
      <c r="G389">
        <v>106274</v>
      </c>
      <c r="H389">
        <v>9492395</v>
      </c>
      <c r="I389">
        <v>89.320000000000022</v>
      </c>
      <c r="J389">
        <v>100904.94566071444</v>
      </c>
      <c r="K389">
        <v>117.5</v>
      </c>
      <c r="L389">
        <v>99</v>
      </c>
      <c r="M389">
        <v>94.072641413608139</v>
      </c>
      <c r="N389">
        <v>8439071</v>
      </c>
    </row>
    <row r="390" spans="1:14" x14ac:dyDescent="0.35">
      <c r="A390" t="s">
        <v>43</v>
      </c>
      <c r="B390">
        <v>202503</v>
      </c>
      <c r="C390" t="str">
        <f>MID(analisis_productividad__4[[#This Row],[Periodo]],1,4)</f>
        <v>2025</v>
      </c>
      <c r="D390" t="str">
        <f>MID(analisis_productividad__4[[#This Row],[Periodo]],5,2)</f>
        <v>03</v>
      </c>
      <c r="E390" t="s">
        <v>11</v>
      </c>
      <c r="F390" t="s">
        <v>12</v>
      </c>
      <c r="G390">
        <v>106219</v>
      </c>
      <c r="H390">
        <v>8161892</v>
      </c>
      <c r="I390">
        <v>76.840430107526842</v>
      </c>
      <c r="J390">
        <v>107130.91749358042</v>
      </c>
      <c r="K390">
        <v>84.5</v>
      </c>
      <c r="L390">
        <v>86.5</v>
      </c>
      <c r="M390">
        <v>76.186148508334043</v>
      </c>
      <c r="N390">
        <v>8223943</v>
      </c>
    </row>
    <row r="391" spans="1:14" x14ac:dyDescent="0.35">
      <c r="A391" t="s">
        <v>26</v>
      </c>
      <c r="B391">
        <v>202505</v>
      </c>
      <c r="C391" t="str">
        <f>MID(analisis_productividad__4[[#This Row],[Periodo]],1,4)</f>
        <v>2025</v>
      </c>
      <c r="D391" t="str">
        <f>MID(analisis_productividad__4[[#This Row],[Periodo]],5,2)</f>
        <v>05</v>
      </c>
      <c r="E391" t="s">
        <v>11</v>
      </c>
      <c r="F391" t="s">
        <v>12</v>
      </c>
      <c r="G391">
        <v>106130</v>
      </c>
      <c r="H391">
        <v>6023437</v>
      </c>
      <c r="I391">
        <v>56.755369623655923</v>
      </c>
      <c r="J391">
        <v>77060.961099533059</v>
      </c>
      <c r="K391">
        <v>65.5</v>
      </c>
      <c r="L391">
        <v>63</v>
      </c>
      <c r="M391">
        <v>78.164567558663606</v>
      </c>
      <c r="N391">
        <v>5068743</v>
      </c>
    </row>
    <row r="392" spans="1:14" x14ac:dyDescent="0.35">
      <c r="A392" t="s">
        <v>31</v>
      </c>
      <c r="B392">
        <v>202506</v>
      </c>
      <c r="C392" t="str">
        <f>MID(analisis_productividad__4[[#This Row],[Periodo]],1,4)</f>
        <v>2025</v>
      </c>
      <c r="D392" t="str">
        <f>MID(analisis_productividad__4[[#This Row],[Periodo]],5,2)</f>
        <v>06</v>
      </c>
      <c r="E392" t="s">
        <v>11</v>
      </c>
      <c r="F392" t="s">
        <v>14</v>
      </c>
      <c r="G392">
        <v>106091</v>
      </c>
      <c r="H392">
        <v>8553825</v>
      </c>
      <c r="I392">
        <v>80.627215277777736</v>
      </c>
      <c r="J392">
        <v>114344.8686996313</v>
      </c>
      <c r="K392">
        <v>101.5</v>
      </c>
      <c r="L392">
        <v>97.5</v>
      </c>
      <c r="M392">
        <v>74.807249833569344</v>
      </c>
      <c r="N392">
        <v>9427621</v>
      </c>
    </row>
    <row r="393" spans="1:14" x14ac:dyDescent="0.35">
      <c r="A393" t="s">
        <v>22</v>
      </c>
      <c r="B393">
        <v>202403</v>
      </c>
      <c r="C393" t="str">
        <f>MID(analisis_productividad__4[[#This Row],[Periodo]],1,4)</f>
        <v>2024</v>
      </c>
      <c r="D393" t="str">
        <f>MID(analisis_productividad__4[[#This Row],[Periodo]],5,2)</f>
        <v>03</v>
      </c>
      <c r="E393" t="s">
        <v>16</v>
      </c>
      <c r="F393" t="s">
        <v>21</v>
      </c>
      <c r="G393">
        <v>106076</v>
      </c>
      <c r="H393">
        <v>6488249</v>
      </c>
      <c r="I393">
        <v>61.166122311827955</v>
      </c>
      <c r="J393">
        <v>0</v>
      </c>
      <c r="K393">
        <v>59.5</v>
      </c>
      <c r="L393">
        <v>55.5</v>
      </c>
      <c r="N393">
        <v>0</v>
      </c>
    </row>
    <row r="394" spans="1:14" x14ac:dyDescent="0.35">
      <c r="A394" t="s">
        <v>29</v>
      </c>
      <c r="B394">
        <v>202510</v>
      </c>
      <c r="C394" t="str">
        <f>MID(analisis_productividad__4[[#This Row],[Periodo]],1,4)</f>
        <v>2025</v>
      </c>
      <c r="D394" t="str">
        <f>MID(analisis_productividad__4[[#This Row],[Periodo]],5,2)</f>
        <v>10</v>
      </c>
      <c r="E394" t="s">
        <v>16</v>
      </c>
      <c r="F394" t="s">
        <v>19</v>
      </c>
      <c r="G394">
        <v>106030</v>
      </c>
      <c r="H394">
        <v>9006152</v>
      </c>
      <c r="I394">
        <v>84.93991935483875</v>
      </c>
      <c r="J394">
        <v>112139.60160015043</v>
      </c>
      <c r="K394">
        <v>96.5</v>
      </c>
      <c r="L394">
        <v>96</v>
      </c>
      <c r="M394">
        <v>80.311970985171726</v>
      </c>
      <c r="N394">
        <v>8643706</v>
      </c>
    </row>
    <row r="395" spans="1:14" x14ac:dyDescent="0.35">
      <c r="A395" t="s">
        <v>42</v>
      </c>
      <c r="B395">
        <v>202412</v>
      </c>
      <c r="C395" t="str">
        <f>MID(analisis_productividad__4[[#This Row],[Periodo]],1,4)</f>
        <v>2024</v>
      </c>
      <c r="D395" t="str">
        <f>MID(analisis_productividad__4[[#This Row],[Periodo]],5,2)</f>
        <v>12</v>
      </c>
      <c r="E395" t="s">
        <v>16</v>
      </c>
      <c r="F395" t="s">
        <v>19</v>
      </c>
      <c r="G395">
        <v>105979</v>
      </c>
      <c r="H395">
        <v>7231168</v>
      </c>
      <c r="I395">
        <v>68.231794354838698</v>
      </c>
      <c r="J395">
        <v>0</v>
      </c>
      <c r="K395">
        <v>62</v>
      </c>
      <c r="L395">
        <v>58</v>
      </c>
      <c r="N395">
        <v>0</v>
      </c>
    </row>
    <row r="396" spans="1:14" x14ac:dyDescent="0.35">
      <c r="A396" t="s">
        <v>13</v>
      </c>
      <c r="B396">
        <v>202407</v>
      </c>
      <c r="C396" t="str">
        <f>MID(analisis_productividad__4[[#This Row],[Periodo]],1,4)</f>
        <v>2024</v>
      </c>
      <c r="D396" t="str">
        <f>MID(analisis_productividad__4[[#This Row],[Periodo]],5,2)</f>
        <v>07</v>
      </c>
      <c r="E396" t="s">
        <v>11</v>
      </c>
      <c r="F396" t="s">
        <v>14</v>
      </c>
      <c r="G396">
        <v>105965</v>
      </c>
      <c r="H396">
        <v>9803615</v>
      </c>
      <c r="I396">
        <v>92.517231182795697</v>
      </c>
      <c r="J396">
        <v>0</v>
      </c>
      <c r="K396">
        <v>100</v>
      </c>
      <c r="L396">
        <v>98</v>
      </c>
      <c r="N396">
        <v>0</v>
      </c>
    </row>
    <row r="397" spans="1:14" x14ac:dyDescent="0.35">
      <c r="A397" t="s">
        <v>59</v>
      </c>
      <c r="B397">
        <v>202603</v>
      </c>
      <c r="C397" t="str">
        <f>MID(analisis_productividad__4[[#This Row],[Periodo]],1,4)</f>
        <v>2026</v>
      </c>
      <c r="D397" t="str">
        <f>MID(analisis_productividad__4[[#This Row],[Periodo]],5,2)</f>
        <v>03</v>
      </c>
      <c r="E397" t="s">
        <v>11</v>
      </c>
      <c r="F397" t="s">
        <v>12</v>
      </c>
      <c r="G397">
        <v>105964</v>
      </c>
      <c r="H397">
        <v>9971997</v>
      </c>
      <c r="I397">
        <v>94.107614247311872</v>
      </c>
      <c r="J397">
        <v>111233.83704237548</v>
      </c>
      <c r="K397">
        <v>94.5</v>
      </c>
      <c r="L397">
        <v>97</v>
      </c>
      <c r="M397">
        <v>83.184435661200979</v>
      </c>
      <c r="N397">
        <v>9252924</v>
      </c>
    </row>
    <row r="398" spans="1:14" x14ac:dyDescent="0.35">
      <c r="A398" t="s">
        <v>51</v>
      </c>
      <c r="B398">
        <v>202604</v>
      </c>
      <c r="C398" t="str">
        <f>MID(analisis_productividad__4[[#This Row],[Periodo]],1,4)</f>
        <v>2026</v>
      </c>
      <c r="D398" t="str">
        <f>MID(analisis_productividad__4[[#This Row],[Periodo]],5,2)</f>
        <v>04</v>
      </c>
      <c r="E398" t="s">
        <v>11</v>
      </c>
      <c r="F398" t="s">
        <v>52</v>
      </c>
      <c r="G398">
        <v>105948</v>
      </c>
      <c r="H398">
        <v>9158680</v>
      </c>
      <c r="I398">
        <v>86.444750000001889</v>
      </c>
      <c r="J398">
        <v>96861.10709459646</v>
      </c>
      <c r="K398">
        <v>117.5</v>
      </c>
      <c r="L398">
        <v>99</v>
      </c>
      <c r="M398">
        <v>98.005014700369543</v>
      </c>
      <c r="N398">
        <v>9492874</v>
      </c>
    </row>
    <row r="399" spans="1:14" x14ac:dyDescent="0.35">
      <c r="A399" t="s">
        <v>24</v>
      </c>
      <c r="B399">
        <v>202601</v>
      </c>
      <c r="C399" t="str">
        <f>MID(analisis_productividad__4[[#This Row],[Periodo]],1,4)</f>
        <v>2026</v>
      </c>
      <c r="D399" t="str">
        <f>MID(analisis_productividad__4[[#This Row],[Periodo]],5,2)</f>
        <v>01</v>
      </c>
      <c r="E399" t="s">
        <v>16</v>
      </c>
      <c r="F399" t="s">
        <v>21</v>
      </c>
      <c r="G399">
        <v>105915</v>
      </c>
      <c r="H399">
        <v>9845910</v>
      </c>
      <c r="I399">
        <v>92.960658602150474</v>
      </c>
      <c r="J399">
        <v>92458.434258053996</v>
      </c>
      <c r="K399">
        <v>125</v>
      </c>
      <c r="L399">
        <v>118.5</v>
      </c>
      <c r="M399">
        <v>102.97612103755296</v>
      </c>
      <c r="N399">
        <v>9521011</v>
      </c>
    </row>
    <row r="400" spans="1:14" x14ac:dyDescent="0.35">
      <c r="A400" t="s">
        <v>10</v>
      </c>
      <c r="B400">
        <v>202408</v>
      </c>
      <c r="C400" t="str">
        <f>MID(analisis_productividad__4[[#This Row],[Periodo]],1,4)</f>
        <v>2024</v>
      </c>
      <c r="D400" t="str">
        <f>MID(analisis_productividad__4[[#This Row],[Periodo]],5,2)</f>
        <v>08</v>
      </c>
      <c r="E400" t="s">
        <v>11</v>
      </c>
      <c r="F400" t="s">
        <v>12</v>
      </c>
      <c r="G400">
        <v>105846</v>
      </c>
      <c r="H400">
        <v>9999369</v>
      </c>
      <c r="I400">
        <v>94.471350806451625</v>
      </c>
      <c r="J400">
        <v>0</v>
      </c>
      <c r="K400">
        <v>98.5</v>
      </c>
      <c r="L400">
        <v>96.5</v>
      </c>
      <c r="N400">
        <v>0</v>
      </c>
    </row>
    <row r="401" spans="1:14" x14ac:dyDescent="0.35">
      <c r="A401" t="s">
        <v>57</v>
      </c>
      <c r="B401">
        <v>202401</v>
      </c>
      <c r="C401" t="str">
        <f>MID(analisis_productividad__4[[#This Row],[Periodo]],1,4)</f>
        <v>2024</v>
      </c>
      <c r="D401" t="str">
        <f>MID(analisis_productividad__4[[#This Row],[Periodo]],5,2)</f>
        <v>01</v>
      </c>
      <c r="E401" t="s">
        <v>16</v>
      </c>
      <c r="F401" t="s">
        <v>19</v>
      </c>
      <c r="G401">
        <v>105832</v>
      </c>
      <c r="H401">
        <v>6231859</v>
      </c>
      <c r="I401">
        <v>58.884348118279554</v>
      </c>
      <c r="J401">
        <v>0</v>
      </c>
      <c r="K401">
        <v>71</v>
      </c>
      <c r="L401">
        <v>74.5</v>
      </c>
      <c r="N401">
        <v>0</v>
      </c>
    </row>
    <row r="402" spans="1:14" x14ac:dyDescent="0.35">
      <c r="A402" t="s">
        <v>29</v>
      </c>
      <c r="B402">
        <v>202401</v>
      </c>
      <c r="C402" t="str">
        <f>MID(analisis_productividad__4[[#This Row],[Periodo]],1,4)</f>
        <v>2024</v>
      </c>
      <c r="D402" t="str">
        <f>MID(analisis_productividad__4[[#This Row],[Periodo]],5,2)</f>
        <v>01</v>
      </c>
      <c r="E402" t="s">
        <v>16</v>
      </c>
      <c r="F402" t="s">
        <v>19</v>
      </c>
      <c r="G402">
        <v>105783</v>
      </c>
      <c r="H402">
        <v>9050374</v>
      </c>
      <c r="I402">
        <v>85.556135752688192</v>
      </c>
      <c r="J402">
        <v>0</v>
      </c>
      <c r="K402">
        <v>96.5</v>
      </c>
      <c r="L402">
        <v>96</v>
      </c>
      <c r="N402">
        <v>0</v>
      </c>
    </row>
    <row r="403" spans="1:14" x14ac:dyDescent="0.35">
      <c r="A403" t="s">
        <v>29</v>
      </c>
      <c r="B403">
        <v>202507</v>
      </c>
      <c r="C403" t="str">
        <f>MID(analisis_productividad__4[[#This Row],[Periodo]],1,4)</f>
        <v>2025</v>
      </c>
      <c r="D403" t="str">
        <f>MID(analisis_productividad__4[[#This Row],[Periodo]],5,2)</f>
        <v>07</v>
      </c>
      <c r="E403" t="s">
        <v>16</v>
      </c>
      <c r="F403" t="s">
        <v>19</v>
      </c>
      <c r="G403">
        <v>105782</v>
      </c>
      <c r="H403">
        <v>9396947</v>
      </c>
      <c r="I403">
        <v>88.83286962365591</v>
      </c>
      <c r="J403">
        <v>113761.80784609295</v>
      </c>
      <c r="K403">
        <v>96.5</v>
      </c>
      <c r="L403">
        <v>96</v>
      </c>
      <c r="M403">
        <v>82.601947858573254</v>
      </c>
      <c r="N403">
        <v>9645197</v>
      </c>
    </row>
    <row r="404" spans="1:14" x14ac:dyDescent="0.35">
      <c r="A404" t="s">
        <v>33</v>
      </c>
      <c r="B404">
        <v>202603</v>
      </c>
      <c r="C404" t="str">
        <f>MID(analisis_productividad__4[[#This Row],[Periodo]],1,4)</f>
        <v>2026</v>
      </c>
      <c r="D404" t="str">
        <f>MID(analisis_productividad__4[[#This Row],[Periodo]],5,2)</f>
        <v>03</v>
      </c>
      <c r="E404" t="s">
        <v>34</v>
      </c>
      <c r="F404" t="s">
        <v>35</v>
      </c>
      <c r="G404">
        <v>105768</v>
      </c>
      <c r="H404">
        <v>1258609</v>
      </c>
      <c r="I404">
        <v>11.899764784946232</v>
      </c>
      <c r="J404">
        <v>85152.732667678036</v>
      </c>
      <c r="K404">
        <v>15</v>
      </c>
      <c r="L404">
        <v>15</v>
      </c>
      <c r="M404">
        <v>13.971887755419019</v>
      </c>
      <c r="N404">
        <v>1189744</v>
      </c>
    </row>
    <row r="405" spans="1:14" x14ac:dyDescent="0.35">
      <c r="A405" t="s">
        <v>71</v>
      </c>
      <c r="B405">
        <v>202512</v>
      </c>
      <c r="C405" t="str">
        <f>MID(analisis_productividad__4[[#This Row],[Periodo]],1,4)</f>
        <v>2025</v>
      </c>
      <c r="D405" t="str">
        <f>MID(analisis_productividad__4[[#This Row],[Periodo]],5,2)</f>
        <v>12</v>
      </c>
      <c r="E405" t="s">
        <v>16</v>
      </c>
      <c r="F405" t="s">
        <v>19</v>
      </c>
      <c r="G405">
        <v>105765</v>
      </c>
      <c r="H405">
        <v>3860864</v>
      </c>
      <c r="I405">
        <v>36.504200268817186</v>
      </c>
      <c r="J405">
        <v>84062.660973939506</v>
      </c>
      <c r="K405">
        <v>41.5</v>
      </c>
      <c r="L405">
        <v>35.5</v>
      </c>
      <c r="M405">
        <v>45.928406206376422</v>
      </c>
      <c r="N405">
        <v>2990896</v>
      </c>
    </row>
    <row r="406" spans="1:14" x14ac:dyDescent="0.35">
      <c r="A406" t="s">
        <v>25</v>
      </c>
      <c r="B406">
        <v>202411</v>
      </c>
      <c r="C406" t="str">
        <f>MID(analisis_productividad__4[[#This Row],[Periodo]],1,4)</f>
        <v>2024</v>
      </c>
      <c r="D406" t="str">
        <f>MID(analisis_productividad__4[[#This Row],[Periodo]],5,2)</f>
        <v>11</v>
      </c>
      <c r="E406" t="s">
        <v>16</v>
      </c>
      <c r="F406" t="s">
        <v>19</v>
      </c>
      <c r="G406">
        <v>105761</v>
      </c>
      <c r="H406">
        <v>9358420</v>
      </c>
      <c r="I406">
        <v>88.486659722222271</v>
      </c>
      <c r="J406">
        <v>0</v>
      </c>
      <c r="K406">
        <v>94</v>
      </c>
      <c r="L406">
        <v>92</v>
      </c>
      <c r="N406">
        <v>0</v>
      </c>
    </row>
    <row r="407" spans="1:14" x14ac:dyDescent="0.35">
      <c r="A407" t="s">
        <v>61</v>
      </c>
      <c r="B407">
        <v>202503</v>
      </c>
      <c r="C407" t="str">
        <f>MID(analisis_productividad__4[[#This Row],[Periodo]],1,4)</f>
        <v>2025</v>
      </c>
      <c r="D407" t="str">
        <f>MID(analisis_productividad__4[[#This Row],[Periodo]],5,2)</f>
        <v>03</v>
      </c>
      <c r="E407" t="s">
        <v>11</v>
      </c>
      <c r="F407" t="s">
        <v>52</v>
      </c>
      <c r="G407">
        <v>105616</v>
      </c>
      <c r="H407">
        <v>9287982</v>
      </c>
      <c r="I407">
        <v>87.941357526881688</v>
      </c>
      <c r="J407">
        <v>101104.94861025721</v>
      </c>
      <c r="K407">
        <v>104.5</v>
      </c>
      <c r="L407">
        <v>99</v>
      </c>
      <c r="M407">
        <v>91.864759912035822</v>
      </c>
      <c r="N407">
        <v>9869013</v>
      </c>
    </row>
    <row r="408" spans="1:14" x14ac:dyDescent="0.35">
      <c r="A408" t="s">
        <v>13</v>
      </c>
      <c r="B408">
        <v>202401</v>
      </c>
      <c r="C408" t="str">
        <f>MID(analisis_productividad__4[[#This Row],[Periodo]],1,4)</f>
        <v>2024</v>
      </c>
      <c r="D408" t="str">
        <f>MID(analisis_productividad__4[[#This Row],[Periodo]],5,2)</f>
        <v>01</v>
      </c>
      <c r="E408" t="s">
        <v>11</v>
      </c>
      <c r="F408" t="s">
        <v>14</v>
      </c>
      <c r="G408">
        <v>105595</v>
      </c>
      <c r="H408">
        <v>9060334</v>
      </c>
      <c r="I408">
        <v>85.802641129032224</v>
      </c>
      <c r="J408">
        <v>0</v>
      </c>
      <c r="K408">
        <v>100</v>
      </c>
      <c r="L408">
        <v>98</v>
      </c>
      <c r="N408">
        <v>0</v>
      </c>
    </row>
    <row r="409" spans="1:14" x14ac:dyDescent="0.35">
      <c r="A409" t="s">
        <v>38</v>
      </c>
      <c r="B409">
        <v>202412</v>
      </c>
      <c r="C409" t="str">
        <f>MID(analisis_productividad__4[[#This Row],[Periodo]],1,4)</f>
        <v>2024</v>
      </c>
      <c r="D409" t="str">
        <f>MID(analisis_productividad__4[[#This Row],[Periodo]],5,2)</f>
        <v>12</v>
      </c>
      <c r="E409" t="s">
        <v>34</v>
      </c>
      <c r="F409" t="s">
        <v>35</v>
      </c>
      <c r="G409">
        <v>105552</v>
      </c>
      <c r="H409">
        <v>14365631</v>
      </c>
      <c r="I409">
        <v>136.10013440860209</v>
      </c>
      <c r="J409">
        <v>0</v>
      </c>
      <c r="K409">
        <v>140.5</v>
      </c>
      <c r="L409">
        <v>125.5</v>
      </c>
      <c r="N409">
        <v>0</v>
      </c>
    </row>
    <row r="410" spans="1:14" x14ac:dyDescent="0.35">
      <c r="A410" t="s">
        <v>38</v>
      </c>
      <c r="B410">
        <v>202504</v>
      </c>
      <c r="C410" t="str">
        <f>MID(analisis_productividad__4[[#This Row],[Periodo]],1,4)</f>
        <v>2025</v>
      </c>
      <c r="D410" t="str">
        <f>MID(analisis_productividad__4[[#This Row],[Periodo]],5,2)</f>
        <v>04</v>
      </c>
      <c r="E410" t="s">
        <v>34</v>
      </c>
      <c r="F410" t="s">
        <v>35</v>
      </c>
      <c r="G410">
        <v>105546</v>
      </c>
      <c r="H410">
        <v>11784903</v>
      </c>
      <c r="I410">
        <v>111.65656249999994</v>
      </c>
      <c r="J410">
        <v>95444.229306874622</v>
      </c>
      <c r="K410">
        <v>140.5</v>
      </c>
      <c r="L410">
        <v>125.5</v>
      </c>
      <c r="M410">
        <v>123.47422998313387</v>
      </c>
      <c r="N410">
        <v>12212836</v>
      </c>
    </row>
    <row r="411" spans="1:14" x14ac:dyDescent="0.35">
      <c r="A411" t="s">
        <v>13</v>
      </c>
      <c r="B411">
        <v>202502</v>
      </c>
      <c r="C411" t="str">
        <f>MID(analisis_productividad__4[[#This Row],[Periodo]],1,4)</f>
        <v>2025</v>
      </c>
      <c r="D411" t="str">
        <f>MID(analisis_productividad__4[[#This Row],[Periodo]],5,2)</f>
        <v>02</v>
      </c>
      <c r="E411" t="s">
        <v>11</v>
      </c>
      <c r="F411" t="s">
        <v>14</v>
      </c>
      <c r="G411">
        <v>105517</v>
      </c>
      <c r="H411">
        <v>9714100</v>
      </c>
      <c r="I411">
        <v>92.062239583333309</v>
      </c>
      <c r="J411">
        <v>99095.377054368</v>
      </c>
      <c r="K411">
        <v>100</v>
      </c>
      <c r="L411">
        <v>98</v>
      </c>
      <c r="M411">
        <v>98.027778376285156</v>
      </c>
      <c r="N411">
        <v>9605863</v>
      </c>
    </row>
    <row r="412" spans="1:14" x14ac:dyDescent="0.35">
      <c r="A412" t="s">
        <v>32</v>
      </c>
      <c r="B412">
        <v>202511</v>
      </c>
      <c r="C412" t="str">
        <f>MID(analisis_productividad__4[[#This Row],[Periodo]],1,4)</f>
        <v>2025</v>
      </c>
      <c r="D412" t="str">
        <f>MID(analisis_productividad__4[[#This Row],[Periodo]],5,2)</f>
        <v>11</v>
      </c>
      <c r="E412" t="s">
        <v>11</v>
      </c>
      <c r="F412" t="s">
        <v>12</v>
      </c>
      <c r="G412">
        <v>105505</v>
      </c>
      <c r="H412">
        <v>5812994</v>
      </c>
      <c r="I412">
        <v>55.09704861111112</v>
      </c>
      <c r="J412">
        <v>90585.841260537491</v>
      </c>
      <c r="K412">
        <v>65.5</v>
      </c>
      <c r="L412">
        <v>66</v>
      </c>
      <c r="M412">
        <v>64.171105430053032</v>
      </c>
      <c r="N412">
        <v>6105832</v>
      </c>
    </row>
    <row r="413" spans="1:14" x14ac:dyDescent="0.35">
      <c r="A413" t="s">
        <v>55</v>
      </c>
      <c r="B413">
        <v>202605</v>
      </c>
      <c r="C413" t="str">
        <f>MID(analisis_productividad__4[[#This Row],[Periodo]],1,4)</f>
        <v>2026</v>
      </c>
      <c r="D413" t="str">
        <f>MID(analisis_productividad__4[[#This Row],[Periodo]],5,2)</f>
        <v>05</v>
      </c>
      <c r="E413" t="s">
        <v>16</v>
      </c>
      <c r="F413" t="s">
        <v>21</v>
      </c>
      <c r="G413">
        <v>105498</v>
      </c>
      <c r="H413">
        <v>4820413</v>
      </c>
      <c r="I413">
        <v>45.691982526882263</v>
      </c>
      <c r="J413">
        <v>100614.73024686392</v>
      </c>
      <c r="K413">
        <v>55</v>
      </c>
      <c r="L413">
        <v>50.5</v>
      </c>
      <c r="M413">
        <v>48.493991244906027</v>
      </c>
      <c r="N413">
        <v>4879210</v>
      </c>
    </row>
    <row r="414" spans="1:14" x14ac:dyDescent="0.35">
      <c r="A414" t="s">
        <v>38</v>
      </c>
      <c r="B414">
        <v>202508</v>
      </c>
      <c r="C414" t="str">
        <f>MID(analisis_productividad__4[[#This Row],[Periodo]],1,4)</f>
        <v>2025</v>
      </c>
      <c r="D414" t="str">
        <f>MID(analisis_productividad__4[[#This Row],[Periodo]],5,2)</f>
        <v>08</v>
      </c>
      <c r="E414" t="s">
        <v>34</v>
      </c>
      <c r="F414" t="s">
        <v>35</v>
      </c>
      <c r="G414">
        <v>105495</v>
      </c>
      <c r="H414">
        <v>11808830</v>
      </c>
      <c r="I414">
        <v>111.93780913978495</v>
      </c>
      <c r="J414">
        <v>104533.06841877493</v>
      </c>
      <c r="K414">
        <v>140.5</v>
      </c>
      <c r="L414">
        <v>125.5</v>
      </c>
      <c r="M414">
        <v>112.96740656929809</v>
      </c>
      <c r="N414">
        <v>12074434</v>
      </c>
    </row>
    <row r="415" spans="1:14" x14ac:dyDescent="0.35">
      <c r="A415" t="s">
        <v>25</v>
      </c>
      <c r="B415">
        <v>202403</v>
      </c>
      <c r="C415" t="str">
        <f>MID(analisis_productividad__4[[#This Row],[Periodo]],1,4)</f>
        <v>2024</v>
      </c>
      <c r="D415" t="str">
        <f>MID(analisis_productividad__4[[#This Row],[Periodo]],5,2)</f>
        <v>03</v>
      </c>
      <c r="E415" t="s">
        <v>16</v>
      </c>
      <c r="F415" t="s">
        <v>19</v>
      </c>
      <c r="G415">
        <v>105445</v>
      </c>
      <c r="H415">
        <v>8777630</v>
      </c>
      <c r="I415">
        <v>83.243360215053769</v>
      </c>
      <c r="J415">
        <v>0</v>
      </c>
      <c r="K415">
        <v>94</v>
      </c>
      <c r="L415">
        <v>92</v>
      </c>
      <c r="N415">
        <v>0</v>
      </c>
    </row>
    <row r="416" spans="1:14" x14ac:dyDescent="0.35">
      <c r="A416" t="s">
        <v>38</v>
      </c>
      <c r="B416">
        <v>202401</v>
      </c>
      <c r="C416" t="str">
        <f>MID(analisis_productividad__4[[#This Row],[Periodo]],1,4)</f>
        <v>2024</v>
      </c>
      <c r="D416" t="str">
        <f>MID(analisis_productividad__4[[#This Row],[Periodo]],5,2)</f>
        <v>01</v>
      </c>
      <c r="E416" t="s">
        <v>34</v>
      </c>
      <c r="F416" t="s">
        <v>35</v>
      </c>
      <c r="G416">
        <v>105427</v>
      </c>
      <c r="H416">
        <v>11061633</v>
      </c>
      <c r="I416">
        <v>104.92176747311835</v>
      </c>
      <c r="J416">
        <v>0</v>
      </c>
      <c r="K416">
        <v>140.5</v>
      </c>
      <c r="L416">
        <v>125.5</v>
      </c>
      <c r="N416">
        <v>0</v>
      </c>
    </row>
    <row r="417" spans="1:14" x14ac:dyDescent="0.35">
      <c r="A417" t="s">
        <v>60</v>
      </c>
      <c r="B417">
        <v>202603</v>
      </c>
      <c r="C417" t="str">
        <f>MID(analisis_productividad__4[[#This Row],[Periodo]],1,4)</f>
        <v>2026</v>
      </c>
      <c r="D417" t="str">
        <f>MID(analisis_productividad__4[[#This Row],[Periodo]],5,2)</f>
        <v>03</v>
      </c>
      <c r="E417" t="s">
        <v>11</v>
      </c>
      <c r="F417" t="s">
        <v>14</v>
      </c>
      <c r="G417">
        <v>105327</v>
      </c>
      <c r="H417">
        <v>7166385</v>
      </c>
      <c r="I417">
        <v>68.039153225806444</v>
      </c>
      <c r="J417">
        <v>113522.21694288925</v>
      </c>
      <c r="K417">
        <v>75.5</v>
      </c>
      <c r="L417">
        <v>74</v>
      </c>
      <c r="M417">
        <v>63.845934941054651</v>
      </c>
      <c r="N417">
        <v>7247932</v>
      </c>
    </row>
    <row r="418" spans="1:14" x14ac:dyDescent="0.35">
      <c r="A418" t="s">
        <v>55</v>
      </c>
      <c r="B418">
        <v>202511</v>
      </c>
      <c r="C418" t="str">
        <f>MID(analisis_productividad__4[[#This Row],[Periodo]],1,4)</f>
        <v>2025</v>
      </c>
      <c r="D418" t="str">
        <f>MID(analisis_productividad__4[[#This Row],[Periodo]],5,2)</f>
        <v>11</v>
      </c>
      <c r="E418" t="s">
        <v>16</v>
      </c>
      <c r="F418" t="s">
        <v>21</v>
      </c>
      <c r="G418">
        <v>105251</v>
      </c>
      <c r="H418">
        <v>4807212</v>
      </c>
      <c r="I418">
        <v>45.673833333333334</v>
      </c>
      <c r="J418">
        <v>95769.308337767594</v>
      </c>
      <c r="K418">
        <v>55</v>
      </c>
      <c r="L418">
        <v>50.5</v>
      </c>
      <c r="M418">
        <v>50.19574948840085</v>
      </c>
      <c r="N418">
        <v>4656231</v>
      </c>
    </row>
    <row r="419" spans="1:14" x14ac:dyDescent="0.35">
      <c r="A419" t="s">
        <v>70</v>
      </c>
      <c r="B419">
        <v>202503</v>
      </c>
      <c r="C419" t="str">
        <f>MID(analisis_productividad__4[[#This Row],[Periodo]],1,4)</f>
        <v>2025</v>
      </c>
      <c r="D419" t="str">
        <f>MID(analisis_productividad__4[[#This Row],[Periodo]],5,2)</f>
        <v>03</v>
      </c>
      <c r="E419" t="s">
        <v>11</v>
      </c>
      <c r="F419" t="s">
        <v>14</v>
      </c>
      <c r="G419">
        <v>105249</v>
      </c>
      <c r="H419">
        <v>5983425</v>
      </c>
      <c r="I419">
        <v>56.849926075268826</v>
      </c>
      <c r="J419">
        <v>101000.18468849287</v>
      </c>
      <c r="K419">
        <v>65</v>
      </c>
      <c r="L419">
        <v>67.5</v>
      </c>
      <c r="M419">
        <v>59.241721175601988</v>
      </c>
      <c r="N419">
        <v>5893246</v>
      </c>
    </row>
    <row r="420" spans="1:14" x14ac:dyDescent="0.35">
      <c r="A420" t="s">
        <v>29</v>
      </c>
      <c r="B420">
        <v>202505</v>
      </c>
      <c r="C420" t="str">
        <f>MID(analisis_productividad__4[[#This Row],[Periodo]],1,4)</f>
        <v>2025</v>
      </c>
      <c r="D420" t="str">
        <f>MID(analisis_productividad__4[[#This Row],[Periodo]],5,2)</f>
        <v>05</v>
      </c>
      <c r="E420" t="s">
        <v>16</v>
      </c>
      <c r="F420" t="s">
        <v>19</v>
      </c>
      <c r="G420">
        <v>105127</v>
      </c>
      <c r="H420">
        <v>9273271</v>
      </c>
      <c r="I420">
        <v>88.210114247311822</v>
      </c>
      <c r="J420">
        <v>101733.64098081054</v>
      </c>
      <c r="K420">
        <v>96.5</v>
      </c>
      <c r="L420">
        <v>96</v>
      </c>
      <c r="M420">
        <v>91.152451938185976</v>
      </c>
      <c r="N420">
        <v>8621026</v>
      </c>
    </row>
    <row r="421" spans="1:14" x14ac:dyDescent="0.35">
      <c r="A421" t="s">
        <v>13</v>
      </c>
      <c r="B421">
        <v>202405</v>
      </c>
      <c r="C421" t="str">
        <f>MID(analisis_productividad__4[[#This Row],[Periodo]],1,4)</f>
        <v>2024</v>
      </c>
      <c r="D421" t="str">
        <f>MID(analisis_productividad__4[[#This Row],[Periodo]],5,2)</f>
        <v>05</v>
      </c>
      <c r="E421" t="s">
        <v>11</v>
      </c>
      <c r="F421" t="s">
        <v>14</v>
      </c>
      <c r="G421">
        <v>105123</v>
      </c>
      <c r="H421">
        <v>9373318</v>
      </c>
      <c r="I421">
        <v>89.16494623655916</v>
      </c>
      <c r="J421">
        <v>0</v>
      </c>
      <c r="K421">
        <v>100</v>
      </c>
      <c r="L421">
        <v>98</v>
      </c>
      <c r="N421">
        <v>0</v>
      </c>
    </row>
    <row r="422" spans="1:14" x14ac:dyDescent="0.35">
      <c r="A422" t="s">
        <v>131</v>
      </c>
      <c r="B422">
        <v>202407</v>
      </c>
      <c r="C422" t="str">
        <f>MID(analisis_productividad__4[[#This Row],[Periodo]],1,4)</f>
        <v>2024</v>
      </c>
      <c r="D422" t="str">
        <f>MID(analisis_productividad__4[[#This Row],[Periodo]],5,2)</f>
        <v>07</v>
      </c>
      <c r="E422" t="s">
        <v>16</v>
      </c>
      <c r="F422" t="s">
        <v>21</v>
      </c>
      <c r="G422">
        <v>105060</v>
      </c>
      <c r="H422">
        <v>12100429</v>
      </c>
      <c r="I422">
        <v>115.17681451612901</v>
      </c>
      <c r="J422">
        <v>0</v>
      </c>
      <c r="K422">
        <v>99</v>
      </c>
      <c r="L422">
        <v>32.5</v>
      </c>
      <c r="N422">
        <v>0</v>
      </c>
    </row>
    <row r="423" spans="1:14" x14ac:dyDescent="0.35">
      <c r="A423" t="s">
        <v>38</v>
      </c>
      <c r="B423">
        <v>202511</v>
      </c>
      <c r="C423" t="str">
        <f>MID(analisis_productividad__4[[#This Row],[Periodo]],1,4)</f>
        <v>2025</v>
      </c>
      <c r="D423" t="str">
        <f>MID(analisis_productividad__4[[#This Row],[Periodo]],5,2)</f>
        <v>11</v>
      </c>
      <c r="E423" t="s">
        <v>34</v>
      </c>
      <c r="F423" t="s">
        <v>35</v>
      </c>
      <c r="G423">
        <v>105039</v>
      </c>
      <c r="H423">
        <v>11882743</v>
      </c>
      <c r="I423">
        <v>113.12656249999999</v>
      </c>
      <c r="J423">
        <v>104116.42340851264</v>
      </c>
      <c r="K423">
        <v>140.5</v>
      </c>
      <c r="L423">
        <v>125.5</v>
      </c>
      <c r="M423">
        <v>114.12938546089607</v>
      </c>
      <c r="N423">
        <v>11981475</v>
      </c>
    </row>
    <row r="424" spans="1:14" x14ac:dyDescent="0.35">
      <c r="A424" t="s">
        <v>51</v>
      </c>
      <c r="B424">
        <v>202403</v>
      </c>
      <c r="C424" t="str">
        <f>MID(analisis_productividad__4[[#This Row],[Periodo]],1,4)</f>
        <v>2024</v>
      </c>
      <c r="D424" t="str">
        <f>MID(analisis_productividad__4[[#This Row],[Periodo]],5,2)</f>
        <v>03</v>
      </c>
      <c r="E424" t="s">
        <v>11</v>
      </c>
      <c r="F424" t="s">
        <v>52</v>
      </c>
      <c r="G424">
        <v>105013</v>
      </c>
      <c r="H424">
        <v>9829525</v>
      </c>
      <c r="I424">
        <v>93.602701612903218</v>
      </c>
      <c r="J424">
        <v>0</v>
      </c>
      <c r="K424">
        <v>117.5</v>
      </c>
      <c r="L424">
        <v>99</v>
      </c>
      <c r="N424">
        <v>0</v>
      </c>
    </row>
    <row r="425" spans="1:14" x14ac:dyDescent="0.35">
      <c r="A425" t="s">
        <v>23</v>
      </c>
      <c r="B425">
        <v>202502</v>
      </c>
      <c r="C425" t="str">
        <f>MID(analisis_productividad__4[[#This Row],[Periodo]],1,4)</f>
        <v>2025</v>
      </c>
      <c r="D425" t="str">
        <f>MID(analisis_productividad__4[[#This Row],[Periodo]],5,2)</f>
        <v>02</v>
      </c>
      <c r="E425" t="s">
        <v>11</v>
      </c>
      <c r="F425" t="s">
        <v>12</v>
      </c>
      <c r="G425">
        <v>104993</v>
      </c>
      <c r="H425">
        <v>6209815</v>
      </c>
      <c r="I425">
        <v>59.145156249999999</v>
      </c>
      <c r="J425">
        <v>89755.752041097483</v>
      </c>
      <c r="K425">
        <v>68.5</v>
      </c>
      <c r="L425">
        <v>66</v>
      </c>
      <c r="M425">
        <v>69.185702740885517</v>
      </c>
      <c r="N425">
        <v>5537651</v>
      </c>
    </row>
    <row r="426" spans="1:14" x14ac:dyDescent="0.35">
      <c r="A426" t="s">
        <v>61</v>
      </c>
      <c r="B426">
        <v>202601</v>
      </c>
      <c r="C426" t="str">
        <f>MID(analisis_productividad__4[[#This Row],[Periodo]],1,4)</f>
        <v>2026</v>
      </c>
      <c r="D426" t="str">
        <f>MID(analisis_productividad__4[[#This Row],[Periodo]],5,2)</f>
        <v>01</v>
      </c>
      <c r="E426" t="s">
        <v>11</v>
      </c>
      <c r="F426" t="s">
        <v>52</v>
      </c>
      <c r="G426">
        <v>104947</v>
      </c>
      <c r="H426">
        <v>9145687</v>
      </c>
      <c r="I426">
        <v>87.145625000000052</v>
      </c>
      <c r="J426">
        <v>97460.262379580527</v>
      </c>
      <c r="K426">
        <v>104.5</v>
      </c>
      <c r="L426">
        <v>99</v>
      </c>
      <c r="M426">
        <v>90.280982690474389</v>
      </c>
      <c r="N426">
        <v>8798808</v>
      </c>
    </row>
    <row r="427" spans="1:14" x14ac:dyDescent="0.35">
      <c r="A427" t="s">
        <v>13</v>
      </c>
      <c r="B427">
        <v>202406</v>
      </c>
      <c r="C427" t="str">
        <f>MID(analisis_productividad__4[[#This Row],[Periodo]],1,4)</f>
        <v>2024</v>
      </c>
      <c r="D427" t="str">
        <f>MID(analisis_productividad__4[[#This Row],[Periodo]],5,2)</f>
        <v>06</v>
      </c>
      <c r="E427" t="s">
        <v>11</v>
      </c>
      <c r="F427" t="s">
        <v>14</v>
      </c>
      <c r="G427">
        <v>104938</v>
      </c>
      <c r="H427">
        <v>9501968</v>
      </c>
      <c r="I427">
        <v>90.548548611111158</v>
      </c>
      <c r="J427">
        <v>0</v>
      </c>
      <c r="K427">
        <v>100</v>
      </c>
      <c r="L427">
        <v>98</v>
      </c>
      <c r="N427">
        <v>0</v>
      </c>
    </row>
    <row r="428" spans="1:14" x14ac:dyDescent="0.35">
      <c r="A428" t="s">
        <v>27</v>
      </c>
      <c r="B428">
        <v>202510</v>
      </c>
      <c r="C428" t="str">
        <f>MID(analisis_productividad__4[[#This Row],[Periodo]],1,4)</f>
        <v>2025</v>
      </c>
      <c r="D428" t="str">
        <f>MID(analisis_productividad__4[[#This Row],[Periodo]],5,2)</f>
        <v>10</v>
      </c>
      <c r="E428" t="s">
        <v>11</v>
      </c>
      <c r="F428" t="s">
        <v>14</v>
      </c>
      <c r="G428">
        <v>104920</v>
      </c>
      <c r="H428">
        <v>7593715</v>
      </c>
      <c r="I428">
        <v>72.376565860215038</v>
      </c>
      <c r="J428">
        <v>96507.931338608512</v>
      </c>
      <c r="K428">
        <v>88</v>
      </c>
      <c r="L428">
        <v>84</v>
      </c>
      <c r="M428">
        <v>78.684885114329376</v>
      </c>
      <c r="N428">
        <v>9069877</v>
      </c>
    </row>
    <row r="429" spans="1:14" x14ac:dyDescent="0.35">
      <c r="A429" t="s">
        <v>29</v>
      </c>
      <c r="B429">
        <v>202406</v>
      </c>
      <c r="C429" t="str">
        <f>MID(analisis_productividad__4[[#This Row],[Periodo]],1,4)</f>
        <v>2024</v>
      </c>
      <c r="D429" t="str">
        <f>MID(analisis_productividad__4[[#This Row],[Periodo]],5,2)</f>
        <v>06</v>
      </c>
      <c r="E429" t="s">
        <v>16</v>
      </c>
      <c r="F429" t="s">
        <v>19</v>
      </c>
      <c r="G429">
        <v>104900</v>
      </c>
      <c r="H429">
        <v>9114866</v>
      </c>
      <c r="I429">
        <v>86.89104861111106</v>
      </c>
      <c r="J429">
        <v>0</v>
      </c>
      <c r="K429">
        <v>96.5</v>
      </c>
      <c r="L429">
        <v>96</v>
      </c>
      <c r="N429">
        <v>0</v>
      </c>
    </row>
    <row r="430" spans="1:14" x14ac:dyDescent="0.35">
      <c r="A430" t="s">
        <v>61</v>
      </c>
      <c r="B430">
        <v>202605</v>
      </c>
      <c r="C430" t="str">
        <f>MID(analisis_productividad__4[[#This Row],[Periodo]],1,4)</f>
        <v>2026</v>
      </c>
      <c r="D430" t="str">
        <f>MID(analisis_productividad__4[[#This Row],[Periodo]],5,2)</f>
        <v>05</v>
      </c>
      <c r="E430" t="s">
        <v>11</v>
      </c>
      <c r="F430" t="s">
        <v>52</v>
      </c>
      <c r="G430">
        <v>104885</v>
      </c>
      <c r="H430">
        <v>9618226</v>
      </c>
      <c r="I430">
        <v>91.702916666667335</v>
      </c>
      <c r="J430">
        <v>102075.57540877689</v>
      </c>
      <c r="K430">
        <v>104.5</v>
      </c>
      <c r="L430">
        <v>99</v>
      </c>
      <c r="M430">
        <v>90.280982690474389</v>
      </c>
      <c r="N430">
        <v>9215483</v>
      </c>
    </row>
    <row r="431" spans="1:14" x14ac:dyDescent="0.35">
      <c r="A431" t="s">
        <v>54</v>
      </c>
      <c r="B431">
        <v>202507</v>
      </c>
      <c r="C431" t="str">
        <f>MID(analisis_productividad__4[[#This Row],[Periodo]],1,4)</f>
        <v>2025</v>
      </c>
      <c r="D431" t="str">
        <f>MID(analisis_productividad__4[[#This Row],[Periodo]],5,2)</f>
        <v>07</v>
      </c>
      <c r="E431" t="s">
        <v>11</v>
      </c>
      <c r="F431" t="s">
        <v>52</v>
      </c>
      <c r="G431">
        <v>104832</v>
      </c>
      <c r="H431">
        <v>8588566</v>
      </c>
      <c r="I431">
        <v>81.927190860215077</v>
      </c>
      <c r="J431">
        <v>88354.199901076907</v>
      </c>
      <c r="K431">
        <v>106</v>
      </c>
      <c r="L431">
        <v>102.5</v>
      </c>
      <c r="M431">
        <v>97.206081087440396</v>
      </c>
      <c r="N431">
        <v>9530104</v>
      </c>
    </row>
    <row r="432" spans="1:14" x14ac:dyDescent="0.35">
      <c r="A432" t="s">
        <v>62</v>
      </c>
      <c r="B432">
        <v>202603</v>
      </c>
      <c r="C432" t="str">
        <f>MID(analisis_productividad__4[[#This Row],[Periodo]],1,4)</f>
        <v>2026</v>
      </c>
      <c r="D432" t="str">
        <f>MID(analisis_productividad__4[[#This Row],[Periodo]],5,2)</f>
        <v>03</v>
      </c>
      <c r="E432" t="s">
        <v>16</v>
      </c>
      <c r="F432" t="s">
        <v>17</v>
      </c>
      <c r="G432">
        <v>104742</v>
      </c>
      <c r="H432">
        <v>3340842</v>
      </c>
      <c r="I432">
        <v>31.896055107526877</v>
      </c>
      <c r="J432">
        <v>111581.22958064523</v>
      </c>
      <c r="K432">
        <v>32.5</v>
      </c>
      <c r="L432">
        <v>32</v>
      </c>
      <c r="M432">
        <v>29.073700348097926</v>
      </c>
      <c r="N432">
        <v>3244079</v>
      </c>
    </row>
    <row r="433" spans="1:14" x14ac:dyDescent="0.35">
      <c r="A433" t="s">
        <v>36</v>
      </c>
      <c r="B433">
        <v>202402</v>
      </c>
      <c r="C433" t="str">
        <f>MID(analisis_productividad__4[[#This Row],[Periodo]],1,4)</f>
        <v>2024</v>
      </c>
      <c r="D433" t="str">
        <f>MID(analisis_productividad__4[[#This Row],[Periodo]],5,2)</f>
        <v>02</v>
      </c>
      <c r="E433" t="s">
        <v>16</v>
      </c>
      <c r="F433" t="s">
        <v>17</v>
      </c>
      <c r="G433">
        <v>104734</v>
      </c>
      <c r="H433">
        <v>7399676</v>
      </c>
      <c r="I433">
        <v>70.652377873563239</v>
      </c>
      <c r="J433">
        <v>0</v>
      </c>
      <c r="K433">
        <v>76.5</v>
      </c>
      <c r="L433">
        <v>80</v>
      </c>
      <c r="N433">
        <v>0</v>
      </c>
    </row>
    <row r="434" spans="1:14" x14ac:dyDescent="0.35">
      <c r="A434" t="s">
        <v>76</v>
      </c>
      <c r="B434">
        <v>202503</v>
      </c>
      <c r="C434" t="str">
        <f>MID(analisis_productividad__4[[#This Row],[Periodo]],1,4)</f>
        <v>2025</v>
      </c>
      <c r="D434" t="str">
        <f>MID(analisis_productividad__4[[#This Row],[Periodo]],5,2)</f>
        <v>03</v>
      </c>
      <c r="E434" t="s">
        <v>11</v>
      </c>
      <c r="F434" t="s">
        <v>14</v>
      </c>
      <c r="G434">
        <v>104701</v>
      </c>
      <c r="H434">
        <v>7134988</v>
      </c>
      <c r="I434">
        <v>68.146505376344123</v>
      </c>
      <c r="J434">
        <v>90197.58534115777</v>
      </c>
      <c r="K434">
        <v>80</v>
      </c>
      <c r="L434">
        <v>78</v>
      </c>
      <c r="M434">
        <v>79.103975932538134</v>
      </c>
      <c r="N434">
        <v>7037984</v>
      </c>
    </row>
    <row r="435" spans="1:14" x14ac:dyDescent="0.35">
      <c r="A435" t="s">
        <v>23</v>
      </c>
      <c r="B435">
        <v>202501</v>
      </c>
      <c r="C435" t="str">
        <f>MID(analisis_productividad__4[[#This Row],[Periodo]],1,4)</f>
        <v>2025</v>
      </c>
      <c r="D435" t="str">
        <f>MID(analisis_productividad__4[[#This Row],[Periodo]],5,2)</f>
        <v>01</v>
      </c>
      <c r="E435" t="s">
        <v>11</v>
      </c>
      <c r="F435" t="s">
        <v>12</v>
      </c>
      <c r="G435">
        <v>104694</v>
      </c>
      <c r="H435">
        <v>6017118</v>
      </c>
      <c r="I435">
        <v>57.473151881720426</v>
      </c>
      <c r="J435">
        <v>96639.061921541943</v>
      </c>
      <c r="K435">
        <v>68.5</v>
      </c>
      <c r="L435">
        <v>66</v>
      </c>
      <c r="M435">
        <v>62.26382676277526</v>
      </c>
      <c r="N435">
        <v>5738302</v>
      </c>
    </row>
    <row r="436" spans="1:14" x14ac:dyDescent="0.35">
      <c r="A436" t="s">
        <v>54</v>
      </c>
      <c r="B436">
        <v>202412</v>
      </c>
      <c r="C436" t="str">
        <f>MID(analisis_productividad__4[[#This Row],[Periodo]],1,4)</f>
        <v>2024</v>
      </c>
      <c r="D436" t="str">
        <f>MID(analisis_productividad__4[[#This Row],[Periodo]],5,2)</f>
        <v>12</v>
      </c>
      <c r="E436" t="s">
        <v>11</v>
      </c>
      <c r="F436" t="s">
        <v>52</v>
      </c>
      <c r="G436">
        <v>104673</v>
      </c>
      <c r="H436">
        <v>12036273</v>
      </c>
      <c r="I436">
        <v>114.9893951612903</v>
      </c>
      <c r="J436">
        <v>0</v>
      </c>
      <c r="K436">
        <v>106</v>
      </c>
      <c r="L436">
        <v>102.5</v>
      </c>
      <c r="N436">
        <v>0</v>
      </c>
    </row>
    <row r="437" spans="1:14" x14ac:dyDescent="0.35">
      <c r="A437" t="s">
        <v>29</v>
      </c>
      <c r="B437">
        <v>202508</v>
      </c>
      <c r="C437" t="str">
        <f>MID(analisis_productividad__4[[#This Row],[Periodo]],1,4)</f>
        <v>2025</v>
      </c>
      <c r="D437" t="str">
        <f>MID(analisis_productividad__4[[#This Row],[Periodo]],5,2)</f>
        <v>08</v>
      </c>
      <c r="E437" t="s">
        <v>16</v>
      </c>
      <c r="F437" t="s">
        <v>19</v>
      </c>
      <c r="G437">
        <v>104630</v>
      </c>
      <c r="H437">
        <v>8757570</v>
      </c>
      <c r="I437">
        <v>83.700524193548461</v>
      </c>
      <c r="J437">
        <v>102265.09066150687</v>
      </c>
      <c r="K437">
        <v>96.5</v>
      </c>
      <c r="L437">
        <v>96</v>
      </c>
      <c r="M437">
        <v>85.635967399541897</v>
      </c>
      <c r="N437">
        <v>8700331</v>
      </c>
    </row>
    <row r="438" spans="1:14" x14ac:dyDescent="0.35">
      <c r="A438" t="s">
        <v>54</v>
      </c>
      <c r="B438">
        <v>202506</v>
      </c>
      <c r="C438" t="str">
        <f>MID(analisis_productividad__4[[#This Row],[Periodo]],1,4)</f>
        <v>2025</v>
      </c>
      <c r="D438" t="str">
        <f>MID(analisis_productividad__4[[#This Row],[Periodo]],5,2)</f>
        <v>06</v>
      </c>
      <c r="E438" t="s">
        <v>11</v>
      </c>
      <c r="F438" t="s">
        <v>52</v>
      </c>
      <c r="G438">
        <v>104612</v>
      </c>
      <c r="H438">
        <v>8602758</v>
      </c>
      <c r="I438">
        <v>82.234736111111161</v>
      </c>
      <c r="J438">
        <v>91546.123187854289</v>
      </c>
      <c r="K438">
        <v>106</v>
      </c>
      <c r="L438">
        <v>102.5</v>
      </c>
      <c r="M438">
        <v>93.971845671137643</v>
      </c>
      <c r="N438">
        <v>9434213</v>
      </c>
    </row>
    <row r="439" spans="1:14" x14ac:dyDescent="0.35">
      <c r="A439" t="s">
        <v>31</v>
      </c>
      <c r="B439">
        <v>202409</v>
      </c>
      <c r="C439" t="str">
        <f>MID(analisis_productividad__4[[#This Row],[Periodo]],1,4)</f>
        <v>2024</v>
      </c>
      <c r="D439" t="str">
        <f>MID(analisis_productividad__4[[#This Row],[Periodo]],5,2)</f>
        <v>09</v>
      </c>
      <c r="E439" t="s">
        <v>11</v>
      </c>
      <c r="F439" t="s">
        <v>14</v>
      </c>
      <c r="G439">
        <v>104556</v>
      </c>
      <c r="H439">
        <v>8542833</v>
      </c>
      <c r="I439">
        <v>81.705701388888869</v>
      </c>
      <c r="J439">
        <v>0</v>
      </c>
      <c r="K439">
        <v>101.5</v>
      </c>
      <c r="L439">
        <v>97.5</v>
      </c>
      <c r="N439">
        <v>0</v>
      </c>
    </row>
    <row r="440" spans="1:14" x14ac:dyDescent="0.35">
      <c r="A440" t="s">
        <v>28</v>
      </c>
      <c r="B440">
        <v>202601</v>
      </c>
      <c r="C440" t="str">
        <f>MID(analisis_productividad__4[[#This Row],[Periodo]],1,4)</f>
        <v>2026</v>
      </c>
      <c r="D440" t="str">
        <f>MID(analisis_productividad__4[[#This Row],[Periodo]],5,2)</f>
        <v>01</v>
      </c>
      <c r="E440" t="s">
        <v>16</v>
      </c>
      <c r="F440" t="s">
        <v>17</v>
      </c>
      <c r="G440">
        <v>104552</v>
      </c>
      <c r="H440">
        <v>5704413</v>
      </c>
      <c r="I440">
        <v>54.560295698924726</v>
      </c>
      <c r="J440">
        <v>108585.22098968561</v>
      </c>
      <c r="K440">
        <v>64</v>
      </c>
      <c r="L440">
        <v>67</v>
      </c>
      <c r="M440">
        <v>56.429371630436094</v>
      </c>
      <c r="N440">
        <v>6127396</v>
      </c>
    </row>
    <row r="441" spans="1:14" x14ac:dyDescent="0.35">
      <c r="A441" t="s">
        <v>51</v>
      </c>
      <c r="B441">
        <v>202401</v>
      </c>
      <c r="C441" t="str">
        <f>MID(analisis_productividad__4[[#This Row],[Periodo]],1,4)</f>
        <v>2024</v>
      </c>
      <c r="D441" t="str">
        <f>MID(analisis_productividad__4[[#This Row],[Periodo]],5,2)</f>
        <v>01</v>
      </c>
      <c r="E441" t="s">
        <v>11</v>
      </c>
      <c r="F441" t="s">
        <v>52</v>
      </c>
      <c r="G441">
        <v>104520</v>
      </c>
      <c r="H441">
        <v>9077716</v>
      </c>
      <c r="I441">
        <v>86.851418010752695</v>
      </c>
      <c r="J441">
        <v>0</v>
      </c>
      <c r="K441">
        <v>117.5</v>
      </c>
      <c r="L441">
        <v>99</v>
      </c>
      <c r="N441">
        <v>0</v>
      </c>
    </row>
    <row r="442" spans="1:14" x14ac:dyDescent="0.35">
      <c r="A442" t="s">
        <v>37</v>
      </c>
      <c r="B442">
        <v>202403</v>
      </c>
      <c r="C442" t="str">
        <f>MID(analisis_productividad__4[[#This Row],[Periodo]],1,4)</f>
        <v>2024</v>
      </c>
      <c r="D442" t="str">
        <f>MID(analisis_productividad__4[[#This Row],[Periodo]],5,2)</f>
        <v>03</v>
      </c>
      <c r="E442" t="s">
        <v>16</v>
      </c>
      <c r="F442" t="s">
        <v>17</v>
      </c>
      <c r="G442">
        <v>104516</v>
      </c>
      <c r="H442">
        <v>10898452</v>
      </c>
      <c r="I442">
        <v>104.27534946236558</v>
      </c>
      <c r="J442">
        <v>0</v>
      </c>
      <c r="K442">
        <v>107.5</v>
      </c>
      <c r="L442">
        <v>102.5</v>
      </c>
      <c r="N442">
        <v>0</v>
      </c>
    </row>
    <row r="443" spans="1:14" x14ac:dyDescent="0.35">
      <c r="A443" t="s">
        <v>54</v>
      </c>
      <c r="B443">
        <v>202509</v>
      </c>
      <c r="C443" t="str">
        <f>MID(analisis_productividad__4[[#This Row],[Periodo]],1,4)</f>
        <v>2025</v>
      </c>
      <c r="D443" t="str">
        <f>MID(analisis_productividad__4[[#This Row],[Periodo]],5,2)</f>
        <v>09</v>
      </c>
      <c r="E443" t="s">
        <v>11</v>
      </c>
      <c r="F443" t="s">
        <v>52</v>
      </c>
      <c r="G443">
        <v>104493</v>
      </c>
      <c r="H443">
        <v>7953297</v>
      </c>
      <c r="I443">
        <v>76.113381944444512</v>
      </c>
      <c r="J443">
        <v>89214.789273034577</v>
      </c>
      <c r="K443">
        <v>106</v>
      </c>
      <c r="L443">
        <v>102.5</v>
      </c>
      <c r="M443">
        <v>89.147744951339675</v>
      </c>
      <c r="N443">
        <v>9511064</v>
      </c>
    </row>
    <row r="444" spans="1:14" x14ac:dyDescent="0.35">
      <c r="A444" t="s">
        <v>43</v>
      </c>
      <c r="B444">
        <v>202605</v>
      </c>
      <c r="C444" t="str">
        <f>MID(analisis_productividad__4[[#This Row],[Periodo]],1,4)</f>
        <v>2026</v>
      </c>
      <c r="D444" t="str">
        <f>MID(analisis_productividad__4[[#This Row],[Periodo]],5,2)</f>
        <v>05</v>
      </c>
      <c r="E444" t="s">
        <v>11</v>
      </c>
      <c r="F444" t="s">
        <v>12</v>
      </c>
      <c r="G444">
        <v>104477</v>
      </c>
      <c r="H444">
        <v>8049012</v>
      </c>
      <c r="I444">
        <v>77.040974462365995</v>
      </c>
      <c r="J444">
        <v>108158.1278988328</v>
      </c>
      <c r="K444">
        <v>84.5</v>
      </c>
      <c r="L444">
        <v>86.5</v>
      </c>
      <c r="M444">
        <v>71.456708642637324</v>
      </c>
      <c r="N444">
        <v>7728624</v>
      </c>
    </row>
    <row r="445" spans="1:14" x14ac:dyDescent="0.35">
      <c r="A445" t="s">
        <v>24</v>
      </c>
      <c r="B445">
        <v>202605</v>
      </c>
      <c r="C445" t="str">
        <f>MID(analisis_productividad__4[[#This Row],[Periodo]],1,4)</f>
        <v>2026</v>
      </c>
      <c r="D445" t="str">
        <f>MID(analisis_productividad__4[[#This Row],[Periodo]],5,2)</f>
        <v>05</v>
      </c>
      <c r="E445" t="s">
        <v>16</v>
      </c>
      <c r="F445" t="s">
        <v>21</v>
      </c>
      <c r="G445">
        <v>104467</v>
      </c>
      <c r="H445">
        <v>10814175</v>
      </c>
      <c r="I445">
        <v>103.51715725806233</v>
      </c>
      <c r="J445">
        <v>101566.29016435651</v>
      </c>
      <c r="K445">
        <v>125</v>
      </c>
      <c r="L445">
        <v>118.5</v>
      </c>
      <c r="M445">
        <v>102.97612103755296</v>
      </c>
      <c r="N445">
        <v>10458903</v>
      </c>
    </row>
    <row r="446" spans="1:14" x14ac:dyDescent="0.35">
      <c r="A446" t="s">
        <v>30</v>
      </c>
      <c r="B446">
        <v>202404</v>
      </c>
      <c r="C446" t="str">
        <f>MID(analisis_productividad__4[[#This Row],[Periodo]],1,4)</f>
        <v>2024</v>
      </c>
      <c r="D446" t="str">
        <f>MID(analisis_productividad__4[[#This Row],[Periodo]],5,2)</f>
        <v>04</v>
      </c>
      <c r="E446" t="s">
        <v>16</v>
      </c>
      <c r="F446" t="s">
        <v>19</v>
      </c>
      <c r="G446">
        <v>104416</v>
      </c>
      <c r="H446">
        <v>8472470</v>
      </c>
      <c r="I446">
        <v>81.141131944444439</v>
      </c>
      <c r="J446">
        <v>0</v>
      </c>
      <c r="K446">
        <v>101</v>
      </c>
      <c r="L446">
        <v>105</v>
      </c>
      <c r="N446">
        <v>0</v>
      </c>
    </row>
    <row r="447" spans="1:14" x14ac:dyDescent="0.35">
      <c r="A447" t="s">
        <v>55</v>
      </c>
      <c r="B447">
        <v>202503</v>
      </c>
      <c r="C447" t="str">
        <f>MID(analisis_productividad__4[[#This Row],[Periodo]],1,4)</f>
        <v>2025</v>
      </c>
      <c r="D447" t="str">
        <f>MID(analisis_productividad__4[[#This Row],[Periodo]],5,2)</f>
        <v>03</v>
      </c>
      <c r="E447" t="s">
        <v>16</v>
      </c>
      <c r="F447" t="s">
        <v>21</v>
      </c>
      <c r="G447">
        <v>104398</v>
      </c>
      <c r="H447">
        <v>5393702</v>
      </c>
      <c r="I447">
        <v>51.664657258064508</v>
      </c>
      <c r="J447">
        <v>100722.13644935125</v>
      </c>
      <c r="K447">
        <v>55</v>
      </c>
      <c r="L447">
        <v>50.5</v>
      </c>
      <c r="M447">
        <v>53.550316545482097</v>
      </c>
      <c r="N447">
        <v>5049256</v>
      </c>
    </row>
    <row r="448" spans="1:14" x14ac:dyDescent="0.35">
      <c r="A448" t="s">
        <v>55</v>
      </c>
      <c r="B448">
        <v>202601</v>
      </c>
      <c r="C448" t="str">
        <f>MID(analisis_productividad__4[[#This Row],[Periodo]],1,4)</f>
        <v>2026</v>
      </c>
      <c r="D448" t="str">
        <f>MID(analisis_productividad__4[[#This Row],[Periodo]],5,2)</f>
        <v>01</v>
      </c>
      <c r="E448" t="s">
        <v>16</v>
      </c>
      <c r="F448" t="s">
        <v>21</v>
      </c>
      <c r="G448">
        <v>104369</v>
      </c>
      <c r="H448">
        <v>4842988</v>
      </c>
      <c r="I448">
        <v>46.402379032258075</v>
      </c>
      <c r="J448">
        <v>101226.74992885116</v>
      </c>
      <c r="K448">
        <v>55</v>
      </c>
      <c r="L448">
        <v>50.5</v>
      </c>
      <c r="M448">
        <v>48.493991244906027</v>
      </c>
      <c r="N448">
        <v>4908889</v>
      </c>
    </row>
    <row r="449" spans="1:14" x14ac:dyDescent="0.35">
      <c r="A449" t="s">
        <v>55</v>
      </c>
      <c r="B449">
        <v>202401</v>
      </c>
      <c r="C449" t="str">
        <f>MID(analisis_productividad__4[[#This Row],[Periodo]],1,4)</f>
        <v>2024</v>
      </c>
      <c r="D449" t="str">
        <f>MID(analisis_productividad__4[[#This Row],[Periodo]],5,2)</f>
        <v>01</v>
      </c>
      <c r="E449" t="s">
        <v>16</v>
      </c>
      <c r="F449" t="s">
        <v>21</v>
      </c>
      <c r="G449">
        <v>104320</v>
      </c>
      <c r="H449">
        <v>4733448</v>
      </c>
      <c r="I449">
        <v>45.374112903225821</v>
      </c>
      <c r="J449">
        <v>0</v>
      </c>
      <c r="K449">
        <v>55</v>
      </c>
      <c r="L449">
        <v>50.5</v>
      </c>
      <c r="N449">
        <v>0</v>
      </c>
    </row>
    <row r="450" spans="1:14" x14ac:dyDescent="0.35">
      <c r="A450" t="s">
        <v>30</v>
      </c>
      <c r="B450">
        <v>202411</v>
      </c>
      <c r="C450" t="str">
        <f>MID(analisis_productividad__4[[#This Row],[Periodo]],1,4)</f>
        <v>2024</v>
      </c>
      <c r="D450" t="str">
        <f>MID(analisis_productividad__4[[#This Row],[Periodo]],5,2)</f>
        <v>11</v>
      </c>
      <c r="E450" t="s">
        <v>16</v>
      </c>
      <c r="F450" t="s">
        <v>19</v>
      </c>
      <c r="G450">
        <v>104278</v>
      </c>
      <c r="H450">
        <v>9759954</v>
      </c>
      <c r="I450">
        <v>93.595395833333413</v>
      </c>
      <c r="J450">
        <v>0</v>
      </c>
      <c r="K450">
        <v>101</v>
      </c>
      <c r="L450">
        <v>105</v>
      </c>
      <c r="N450">
        <v>0</v>
      </c>
    </row>
    <row r="451" spans="1:14" x14ac:dyDescent="0.35">
      <c r="A451" t="s">
        <v>20</v>
      </c>
      <c r="B451">
        <v>202407</v>
      </c>
      <c r="C451" t="str">
        <f>MID(analisis_productividad__4[[#This Row],[Periodo]],1,4)</f>
        <v>2024</v>
      </c>
      <c r="D451" t="str">
        <f>MID(analisis_productividad__4[[#This Row],[Periodo]],5,2)</f>
        <v>07</v>
      </c>
      <c r="E451" t="s">
        <v>16</v>
      </c>
      <c r="F451" t="s">
        <v>21</v>
      </c>
      <c r="G451">
        <v>104261</v>
      </c>
      <c r="H451">
        <v>9242000</v>
      </c>
      <c r="I451">
        <v>88.642815860215066</v>
      </c>
      <c r="J451">
        <v>0</v>
      </c>
      <c r="K451">
        <v>96.5</v>
      </c>
      <c r="L451">
        <v>94</v>
      </c>
      <c r="N451">
        <v>0</v>
      </c>
    </row>
    <row r="452" spans="1:14" x14ac:dyDescent="0.35">
      <c r="A452" t="s">
        <v>23</v>
      </c>
      <c r="B452">
        <v>202407</v>
      </c>
      <c r="C452" t="str">
        <f>MID(analisis_productividad__4[[#This Row],[Periodo]],1,4)</f>
        <v>2024</v>
      </c>
      <c r="D452" t="str">
        <f>MID(analisis_productividad__4[[#This Row],[Periodo]],5,2)</f>
        <v>07</v>
      </c>
      <c r="E452" t="s">
        <v>11</v>
      </c>
      <c r="F452" t="s">
        <v>12</v>
      </c>
      <c r="G452">
        <v>104251</v>
      </c>
      <c r="H452">
        <v>6433148</v>
      </c>
      <c r="I452">
        <v>61.70810483870968</v>
      </c>
      <c r="J452">
        <v>0</v>
      </c>
      <c r="K452">
        <v>68.5</v>
      </c>
      <c r="L452">
        <v>66</v>
      </c>
      <c r="N452">
        <v>0</v>
      </c>
    </row>
    <row r="453" spans="1:14" x14ac:dyDescent="0.35">
      <c r="A453" t="s">
        <v>10</v>
      </c>
      <c r="B453">
        <v>202411</v>
      </c>
      <c r="C453" t="str">
        <f>MID(analisis_productividad__4[[#This Row],[Periodo]],1,4)</f>
        <v>2024</v>
      </c>
      <c r="D453" t="str">
        <f>MID(analisis_productividad__4[[#This Row],[Periodo]],5,2)</f>
        <v>11</v>
      </c>
      <c r="E453" t="s">
        <v>11</v>
      </c>
      <c r="F453" t="s">
        <v>12</v>
      </c>
      <c r="G453">
        <v>104243</v>
      </c>
      <c r="H453">
        <v>9797913</v>
      </c>
      <c r="I453">
        <v>93.990847222222314</v>
      </c>
      <c r="J453">
        <v>0</v>
      </c>
      <c r="K453">
        <v>98.5</v>
      </c>
      <c r="L453">
        <v>96.5</v>
      </c>
      <c r="N453">
        <v>0</v>
      </c>
    </row>
    <row r="454" spans="1:14" x14ac:dyDescent="0.35">
      <c r="A454" t="s">
        <v>49</v>
      </c>
      <c r="B454">
        <v>202407</v>
      </c>
      <c r="C454" t="str">
        <f>MID(analisis_productividad__4[[#This Row],[Periodo]],1,4)</f>
        <v>2024</v>
      </c>
      <c r="D454" t="str">
        <f>MID(analisis_productividad__4[[#This Row],[Periodo]],5,2)</f>
        <v>07</v>
      </c>
      <c r="E454" t="s">
        <v>16</v>
      </c>
      <c r="F454" t="s">
        <v>21</v>
      </c>
      <c r="G454">
        <v>104222</v>
      </c>
      <c r="H454">
        <v>6385224</v>
      </c>
      <c r="I454">
        <v>61.265665322580645</v>
      </c>
      <c r="J454">
        <v>0</v>
      </c>
      <c r="K454">
        <v>75.5</v>
      </c>
      <c r="L454">
        <v>68</v>
      </c>
      <c r="N454">
        <v>0</v>
      </c>
    </row>
    <row r="455" spans="1:14" x14ac:dyDescent="0.35">
      <c r="A455" t="s">
        <v>56</v>
      </c>
      <c r="B455">
        <v>202408</v>
      </c>
      <c r="C455" t="str">
        <f>MID(analisis_productividad__4[[#This Row],[Periodo]],1,4)</f>
        <v>2024</v>
      </c>
      <c r="D455" t="str">
        <f>MID(analisis_productividad__4[[#This Row],[Periodo]],5,2)</f>
        <v>08</v>
      </c>
      <c r="E455" t="s">
        <v>16</v>
      </c>
      <c r="F455" t="s">
        <v>21</v>
      </c>
      <c r="G455">
        <v>104204</v>
      </c>
      <c r="H455">
        <v>6413887</v>
      </c>
      <c r="I455">
        <v>61.551404569892469</v>
      </c>
      <c r="J455">
        <v>0</v>
      </c>
      <c r="K455">
        <v>72.5</v>
      </c>
      <c r="L455">
        <v>68.5</v>
      </c>
      <c r="N455">
        <v>0</v>
      </c>
    </row>
    <row r="456" spans="1:14" x14ac:dyDescent="0.35">
      <c r="A456" t="s">
        <v>50</v>
      </c>
      <c r="B456">
        <v>202605</v>
      </c>
      <c r="C456" t="str">
        <f>MID(analisis_productividad__4[[#This Row],[Periodo]],1,4)</f>
        <v>2026</v>
      </c>
      <c r="D456" t="str">
        <f>MID(analisis_productividad__4[[#This Row],[Periodo]],5,2)</f>
        <v>05</v>
      </c>
      <c r="E456" t="s">
        <v>34</v>
      </c>
      <c r="F456" t="s">
        <v>35</v>
      </c>
      <c r="G456">
        <v>104197</v>
      </c>
      <c r="H456">
        <v>6795114</v>
      </c>
      <c r="I456">
        <v>65.214032258064549</v>
      </c>
      <c r="J456">
        <v>99696.074872661469</v>
      </c>
      <c r="K456">
        <v>79.5</v>
      </c>
      <c r="L456">
        <v>72.5</v>
      </c>
      <c r="M456">
        <v>64.209802769832038</v>
      </c>
      <c r="N456">
        <v>6401465</v>
      </c>
    </row>
    <row r="457" spans="1:14" x14ac:dyDescent="0.35">
      <c r="A457" t="s">
        <v>33</v>
      </c>
      <c r="B457">
        <v>202412</v>
      </c>
      <c r="C457" t="str">
        <f>MID(analisis_productividad__4[[#This Row],[Periodo]],1,4)</f>
        <v>2024</v>
      </c>
      <c r="D457" t="str">
        <f>MID(analisis_productividad__4[[#This Row],[Periodo]],5,2)</f>
        <v>12</v>
      </c>
      <c r="E457" t="s">
        <v>34</v>
      </c>
      <c r="F457" t="s">
        <v>35</v>
      </c>
      <c r="G457">
        <v>104153</v>
      </c>
      <c r="H457">
        <v>1602803</v>
      </c>
      <c r="I457">
        <v>15.388944892473123</v>
      </c>
      <c r="J457">
        <v>0</v>
      </c>
      <c r="K457">
        <v>15</v>
      </c>
      <c r="L457">
        <v>15</v>
      </c>
      <c r="N457">
        <v>0</v>
      </c>
    </row>
    <row r="458" spans="1:14" x14ac:dyDescent="0.35">
      <c r="A458" t="s">
        <v>63</v>
      </c>
      <c r="B458">
        <v>202606</v>
      </c>
      <c r="C458" t="str">
        <f>MID(analisis_productividad__4[[#This Row],[Periodo]],1,4)</f>
        <v>2026</v>
      </c>
      <c r="D458" t="str">
        <f>MID(analisis_productividad__4[[#This Row],[Periodo]],5,2)</f>
        <v>06</v>
      </c>
      <c r="E458" t="s">
        <v>16</v>
      </c>
      <c r="F458" t="s">
        <v>17</v>
      </c>
      <c r="G458">
        <v>104113</v>
      </c>
      <c r="H458">
        <v>6863597</v>
      </c>
      <c r="I458">
        <v>65.92463888888939</v>
      </c>
      <c r="J458">
        <v>89439.852208567827</v>
      </c>
      <c r="K458">
        <v>86.5</v>
      </c>
      <c r="L458">
        <v>81.5</v>
      </c>
      <c r="M458">
        <v>76.26782259426129</v>
      </c>
      <c r="N458">
        <v>6821383</v>
      </c>
    </row>
    <row r="459" spans="1:14" x14ac:dyDescent="0.35">
      <c r="A459" t="s">
        <v>31</v>
      </c>
      <c r="B459">
        <v>202601</v>
      </c>
      <c r="C459" t="str">
        <f>MID(analisis_productividad__4[[#This Row],[Periodo]],1,4)</f>
        <v>2026</v>
      </c>
      <c r="D459" t="str">
        <f>MID(analisis_productividad__4[[#This Row],[Periodo]],5,2)</f>
        <v>01</v>
      </c>
      <c r="E459" t="s">
        <v>11</v>
      </c>
      <c r="F459" t="s">
        <v>14</v>
      </c>
      <c r="G459">
        <v>104072</v>
      </c>
      <c r="H459">
        <v>8408861</v>
      </c>
      <c r="I459">
        <v>80.798487903225833</v>
      </c>
      <c r="J459">
        <v>111207.44818367474</v>
      </c>
      <c r="K459">
        <v>101.5</v>
      </c>
      <c r="L459">
        <v>97.5</v>
      </c>
      <c r="M459">
        <v>87.689184144336366</v>
      </c>
      <c r="N459">
        <v>9751690</v>
      </c>
    </row>
    <row r="460" spans="1:14" x14ac:dyDescent="0.35">
      <c r="A460" t="s">
        <v>47</v>
      </c>
      <c r="B460">
        <v>202603</v>
      </c>
      <c r="C460" t="str">
        <f>MID(analisis_productividad__4[[#This Row],[Periodo]],1,4)</f>
        <v>2026</v>
      </c>
      <c r="D460" t="str">
        <f>MID(analisis_productividad__4[[#This Row],[Periodo]],5,2)</f>
        <v>03</v>
      </c>
      <c r="E460" t="s">
        <v>11</v>
      </c>
      <c r="F460" t="s">
        <v>14</v>
      </c>
      <c r="G460">
        <v>104067</v>
      </c>
      <c r="H460">
        <v>5004846</v>
      </c>
      <c r="I460">
        <v>48.092634408602144</v>
      </c>
      <c r="J460">
        <v>96521.80478597185</v>
      </c>
      <c r="K460">
        <v>61.5</v>
      </c>
      <c r="L460">
        <v>48.5</v>
      </c>
      <c r="M460">
        <v>53.715920394326645</v>
      </c>
      <c r="N460">
        <v>5184758</v>
      </c>
    </row>
    <row r="461" spans="1:14" x14ac:dyDescent="0.35">
      <c r="A461" t="s">
        <v>20</v>
      </c>
      <c r="B461">
        <v>202606</v>
      </c>
      <c r="C461" t="str">
        <f>MID(analisis_productividad__4[[#This Row],[Periodo]],1,4)</f>
        <v>2026</v>
      </c>
      <c r="D461" t="str">
        <f>MID(analisis_productividad__4[[#This Row],[Periodo]],5,2)</f>
        <v>06</v>
      </c>
      <c r="E461" t="s">
        <v>16</v>
      </c>
      <c r="F461" t="s">
        <v>21</v>
      </c>
      <c r="G461">
        <v>104027</v>
      </c>
      <c r="H461">
        <v>8215276</v>
      </c>
      <c r="I461">
        <v>78.972444444447063</v>
      </c>
      <c r="J461">
        <v>95403.114340816173</v>
      </c>
      <c r="K461">
        <v>96.5</v>
      </c>
      <c r="L461">
        <v>94</v>
      </c>
      <c r="M461">
        <v>87.753564014610347</v>
      </c>
      <c r="N461">
        <v>8371963</v>
      </c>
    </row>
    <row r="462" spans="1:14" x14ac:dyDescent="0.35">
      <c r="A462" t="s">
        <v>43</v>
      </c>
      <c r="B462">
        <v>202602</v>
      </c>
      <c r="C462" t="str">
        <f>MID(analisis_productividad__4[[#This Row],[Periodo]],1,4)</f>
        <v>2026</v>
      </c>
      <c r="D462" t="str">
        <f>MID(analisis_productividad__4[[#This Row],[Periodo]],5,2)</f>
        <v>02</v>
      </c>
      <c r="E462" t="s">
        <v>11</v>
      </c>
      <c r="F462" t="s">
        <v>12</v>
      </c>
      <c r="G462">
        <v>103990</v>
      </c>
      <c r="H462">
        <v>7142513</v>
      </c>
      <c r="I462">
        <v>68.684635416666652</v>
      </c>
      <c r="J462">
        <v>83669.807985426058</v>
      </c>
      <c r="K462">
        <v>84.5</v>
      </c>
      <c r="L462">
        <v>86.5</v>
      </c>
      <c r="M462">
        <v>71.456708642637324</v>
      </c>
      <c r="N462">
        <v>5978769</v>
      </c>
    </row>
    <row r="463" spans="1:14" x14ac:dyDescent="0.35">
      <c r="A463" t="s">
        <v>37</v>
      </c>
      <c r="B463">
        <v>202510</v>
      </c>
      <c r="C463" t="str">
        <f>MID(analisis_productividad__4[[#This Row],[Periodo]],1,4)</f>
        <v>2025</v>
      </c>
      <c r="D463" t="str">
        <f>MID(analisis_productividad__4[[#This Row],[Periodo]],5,2)</f>
        <v>10</v>
      </c>
      <c r="E463" t="s">
        <v>16</v>
      </c>
      <c r="F463" t="s">
        <v>17</v>
      </c>
      <c r="G463">
        <v>103983</v>
      </c>
      <c r="H463">
        <v>9119866</v>
      </c>
      <c r="I463">
        <v>87.705436827956973</v>
      </c>
      <c r="J463">
        <v>99384.678444291756</v>
      </c>
      <c r="K463">
        <v>107.5</v>
      </c>
      <c r="L463">
        <v>102.5</v>
      </c>
      <c r="M463">
        <v>91.763296946339452</v>
      </c>
      <c r="N463">
        <v>10093394</v>
      </c>
    </row>
    <row r="464" spans="1:14" x14ac:dyDescent="0.35">
      <c r="A464" t="s">
        <v>42</v>
      </c>
      <c r="B464">
        <v>202604</v>
      </c>
      <c r="C464" t="str">
        <f>MID(analisis_productividad__4[[#This Row],[Periodo]],1,4)</f>
        <v>2026</v>
      </c>
      <c r="D464" t="str">
        <f>MID(analisis_productividad__4[[#This Row],[Periodo]],5,2)</f>
        <v>04</v>
      </c>
      <c r="E464" t="s">
        <v>16</v>
      </c>
      <c r="F464" t="s">
        <v>19</v>
      </c>
      <c r="G464">
        <v>103979</v>
      </c>
      <c r="H464">
        <v>5259503</v>
      </c>
      <c r="I464">
        <v>50.582534722221894</v>
      </c>
      <c r="J464">
        <v>91060.884787971576</v>
      </c>
      <c r="K464">
        <v>62</v>
      </c>
      <c r="L464">
        <v>58</v>
      </c>
      <c r="M464">
        <v>54.66595376698497</v>
      </c>
      <c r="N464">
        <v>4977930</v>
      </c>
    </row>
    <row r="465" spans="1:14" x14ac:dyDescent="0.35">
      <c r="A465" t="s">
        <v>29</v>
      </c>
      <c r="B465">
        <v>202509</v>
      </c>
      <c r="C465" t="str">
        <f>MID(analisis_productividad__4[[#This Row],[Periodo]],1,4)</f>
        <v>2025</v>
      </c>
      <c r="D465" t="str">
        <f>MID(analisis_productividad__4[[#This Row],[Periodo]],5,2)</f>
        <v>09</v>
      </c>
      <c r="E465" t="s">
        <v>16</v>
      </c>
      <c r="F465" t="s">
        <v>19</v>
      </c>
      <c r="G465">
        <v>103970</v>
      </c>
      <c r="H465">
        <v>8419613</v>
      </c>
      <c r="I465">
        <v>80.981493055555603</v>
      </c>
      <c r="J465">
        <v>107285.70031447147</v>
      </c>
      <c r="K465">
        <v>96.5</v>
      </c>
      <c r="L465">
        <v>96</v>
      </c>
      <c r="M465">
        <v>78.478427556708624</v>
      </c>
      <c r="N465">
        <v>8498994</v>
      </c>
    </row>
    <row r="466" spans="1:14" x14ac:dyDescent="0.35">
      <c r="A466" t="s">
        <v>42</v>
      </c>
      <c r="B466">
        <v>202511</v>
      </c>
      <c r="C466" t="str">
        <f>MID(analisis_productividad__4[[#This Row],[Periodo]],1,4)</f>
        <v>2025</v>
      </c>
      <c r="D466" t="str">
        <f>MID(analisis_productividad__4[[#This Row],[Periodo]],5,2)</f>
        <v>11</v>
      </c>
      <c r="E466" t="s">
        <v>16</v>
      </c>
      <c r="F466" t="s">
        <v>19</v>
      </c>
      <c r="G466">
        <v>103893</v>
      </c>
      <c r="H466">
        <v>5197912</v>
      </c>
      <c r="I466">
        <v>50.031236111111141</v>
      </c>
      <c r="J466">
        <v>81786.931125730131</v>
      </c>
      <c r="K466">
        <v>62</v>
      </c>
      <c r="L466">
        <v>58</v>
      </c>
      <c r="M466">
        <v>63.554305173882966</v>
      </c>
      <c r="N466">
        <v>4632150</v>
      </c>
    </row>
    <row r="467" spans="1:14" x14ac:dyDescent="0.35">
      <c r="A467" t="s">
        <v>25</v>
      </c>
      <c r="B467">
        <v>202601</v>
      </c>
      <c r="C467" t="str">
        <f>MID(analisis_productividad__4[[#This Row],[Periodo]],1,4)</f>
        <v>2026</v>
      </c>
      <c r="D467" t="str">
        <f>MID(analisis_productividad__4[[#This Row],[Periodo]],5,2)</f>
        <v>01</v>
      </c>
      <c r="E467" t="s">
        <v>16</v>
      </c>
      <c r="F467" t="s">
        <v>19</v>
      </c>
      <c r="G467">
        <v>103868</v>
      </c>
      <c r="H467">
        <v>8907904</v>
      </c>
      <c r="I467">
        <v>85.761525537634427</v>
      </c>
      <c r="J467">
        <v>104111.13288388449</v>
      </c>
      <c r="K467">
        <v>94</v>
      </c>
      <c r="L467">
        <v>92</v>
      </c>
      <c r="M467">
        <v>81.933174564661712</v>
      </c>
      <c r="N467">
        <v>8530156</v>
      </c>
    </row>
    <row r="468" spans="1:14" x14ac:dyDescent="0.35">
      <c r="A468" t="s">
        <v>50</v>
      </c>
      <c r="B468">
        <v>202503</v>
      </c>
      <c r="C468" t="str">
        <f>MID(analisis_productividad__4[[#This Row],[Periodo]],1,4)</f>
        <v>2025</v>
      </c>
      <c r="D468" t="str">
        <f>MID(analisis_productividad__4[[#This Row],[Periodo]],5,2)</f>
        <v>03</v>
      </c>
      <c r="E468" t="s">
        <v>34</v>
      </c>
      <c r="F468" t="s">
        <v>35</v>
      </c>
      <c r="G468">
        <v>103843</v>
      </c>
      <c r="H468">
        <v>6146098</v>
      </c>
      <c r="I468">
        <v>59.186317204301069</v>
      </c>
      <c r="J468">
        <v>104169.13278526044</v>
      </c>
      <c r="K468">
        <v>79.5</v>
      </c>
      <c r="L468">
        <v>72.5</v>
      </c>
      <c r="M468">
        <v>59.001139835443198</v>
      </c>
      <c r="N468">
        <v>6731883</v>
      </c>
    </row>
    <row r="469" spans="1:14" x14ac:dyDescent="0.35">
      <c r="A469" t="s">
        <v>131</v>
      </c>
      <c r="B469">
        <v>202405</v>
      </c>
      <c r="C469" t="str">
        <f>MID(analisis_productividad__4[[#This Row],[Periodo]],1,4)</f>
        <v>2024</v>
      </c>
      <c r="D469" t="str">
        <f>MID(analisis_productividad__4[[#This Row],[Periodo]],5,2)</f>
        <v>05</v>
      </c>
      <c r="E469" t="s">
        <v>16</v>
      </c>
      <c r="F469" t="s">
        <v>21</v>
      </c>
      <c r="G469">
        <v>103839</v>
      </c>
      <c r="H469">
        <v>11484835</v>
      </c>
      <c r="I469">
        <v>110.60258736559145</v>
      </c>
      <c r="J469">
        <v>0</v>
      </c>
      <c r="K469">
        <v>99</v>
      </c>
      <c r="L469">
        <v>32.5</v>
      </c>
      <c r="N469">
        <v>0</v>
      </c>
    </row>
    <row r="470" spans="1:14" x14ac:dyDescent="0.35">
      <c r="A470" t="s">
        <v>28</v>
      </c>
      <c r="B470">
        <v>202507</v>
      </c>
      <c r="C470" t="str">
        <f>MID(analisis_productividad__4[[#This Row],[Periodo]],1,4)</f>
        <v>2025</v>
      </c>
      <c r="D470" t="str">
        <f>MID(analisis_productividad__4[[#This Row],[Periodo]],5,2)</f>
        <v>07</v>
      </c>
      <c r="E470" t="s">
        <v>16</v>
      </c>
      <c r="F470" t="s">
        <v>17</v>
      </c>
      <c r="G470">
        <v>103815</v>
      </c>
      <c r="H470">
        <v>5811456</v>
      </c>
      <c r="I470">
        <v>55.978783602150536</v>
      </c>
      <c r="J470">
        <v>106679.43654334055</v>
      </c>
      <c r="K470">
        <v>64</v>
      </c>
      <c r="L470">
        <v>67</v>
      </c>
      <c r="M470">
        <v>54.47587406068633</v>
      </c>
      <c r="N470">
        <v>5992597</v>
      </c>
    </row>
    <row r="471" spans="1:14" x14ac:dyDescent="0.35">
      <c r="A471" t="s">
        <v>32</v>
      </c>
      <c r="B471">
        <v>202604</v>
      </c>
      <c r="C471" t="str">
        <f>MID(analisis_productividad__4[[#This Row],[Periodo]],1,4)</f>
        <v>2026</v>
      </c>
      <c r="D471" t="str">
        <f>MID(analisis_productividad__4[[#This Row],[Periodo]],5,2)</f>
        <v>04</v>
      </c>
      <c r="E471" t="s">
        <v>11</v>
      </c>
      <c r="F471" t="s">
        <v>12</v>
      </c>
      <c r="G471">
        <v>103783</v>
      </c>
      <c r="H471">
        <v>5786403</v>
      </c>
      <c r="I471">
        <v>55.754708333333504</v>
      </c>
      <c r="J471">
        <v>101888.58144040281</v>
      </c>
      <c r="K471">
        <v>65.5</v>
      </c>
      <c r="L471">
        <v>66</v>
      </c>
      <c r="M471">
        <v>55.812340478272937</v>
      </c>
      <c r="N471">
        <v>5686640</v>
      </c>
    </row>
    <row r="472" spans="1:14" x14ac:dyDescent="0.35">
      <c r="A472" t="s">
        <v>61</v>
      </c>
      <c r="B472">
        <v>202507</v>
      </c>
      <c r="C472" t="str">
        <f>MID(analisis_productividad__4[[#This Row],[Periodo]],1,4)</f>
        <v>2025</v>
      </c>
      <c r="D472" t="str">
        <f>MID(analisis_productividad__4[[#This Row],[Periodo]],5,2)</f>
        <v>07</v>
      </c>
      <c r="E472" t="s">
        <v>11</v>
      </c>
      <c r="F472" t="s">
        <v>52</v>
      </c>
      <c r="G472">
        <v>103778</v>
      </c>
      <c r="H472">
        <v>8574597</v>
      </c>
      <c r="I472">
        <v>82.624133064516158</v>
      </c>
      <c r="J472">
        <v>97893.277584257157</v>
      </c>
      <c r="K472">
        <v>104.5</v>
      </c>
      <c r="L472">
        <v>99</v>
      </c>
      <c r="M472">
        <v>87.591274514430324</v>
      </c>
      <c r="N472">
        <v>9216670</v>
      </c>
    </row>
    <row r="473" spans="1:14" x14ac:dyDescent="0.35">
      <c r="A473" t="s">
        <v>31</v>
      </c>
      <c r="B473">
        <v>202509</v>
      </c>
      <c r="C473" t="str">
        <f>MID(analisis_productividad__4[[#This Row],[Periodo]],1,4)</f>
        <v>2025</v>
      </c>
      <c r="D473" t="str">
        <f>MID(analisis_productividad__4[[#This Row],[Periodo]],5,2)</f>
        <v>09</v>
      </c>
      <c r="E473" t="s">
        <v>11</v>
      </c>
      <c r="F473" t="s">
        <v>14</v>
      </c>
      <c r="G473">
        <v>103778</v>
      </c>
      <c r="H473">
        <v>7888987</v>
      </c>
      <c r="I473">
        <v>76.017958333333439</v>
      </c>
      <c r="J473">
        <v>109783.95235610599</v>
      </c>
      <c r="K473">
        <v>101.5</v>
      </c>
      <c r="L473">
        <v>97.5</v>
      </c>
      <c r="M473">
        <v>71.859197821649829</v>
      </c>
      <c r="N473">
        <v>9239548</v>
      </c>
    </row>
    <row r="474" spans="1:14" x14ac:dyDescent="0.35">
      <c r="A474" t="s">
        <v>43</v>
      </c>
      <c r="B474">
        <v>202604</v>
      </c>
      <c r="C474" t="str">
        <f>MID(analisis_productividad__4[[#This Row],[Periodo]],1,4)</f>
        <v>2026</v>
      </c>
      <c r="D474" t="str">
        <f>MID(analisis_productividad__4[[#This Row],[Periodo]],5,2)</f>
        <v>04</v>
      </c>
      <c r="E474" t="s">
        <v>11</v>
      </c>
      <c r="F474" t="s">
        <v>12</v>
      </c>
      <c r="G474">
        <v>103768</v>
      </c>
      <c r="H474">
        <v>7449348</v>
      </c>
      <c r="I474">
        <v>71.788694444446747</v>
      </c>
      <c r="J474">
        <v>98747.294437931603</v>
      </c>
      <c r="K474">
        <v>84.5</v>
      </c>
      <c r="L474">
        <v>86.5</v>
      </c>
      <c r="M474">
        <v>71.456708642637324</v>
      </c>
      <c r="N474">
        <v>7056157</v>
      </c>
    </row>
    <row r="475" spans="1:14" x14ac:dyDescent="0.35">
      <c r="A475" t="s">
        <v>31</v>
      </c>
      <c r="B475">
        <v>202606</v>
      </c>
      <c r="C475" t="str">
        <f>MID(analisis_productividad__4[[#This Row],[Periodo]],1,4)</f>
        <v>2026</v>
      </c>
      <c r="D475" t="str">
        <f>MID(analisis_productividad__4[[#This Row],[Periodo]],5,2)</f>
        <v>06</v>
      </c>
      <c r="E475" t="s">
        <v>11</v>
      </c>
      <c r="F475" t="s">
        <v>14</v>
      </c>
      <c r="G475">
        <v>103752</v>
      </c>
      <c r="H475">
        <v>8676751</v>
      </c>
      <c r="I475">
        <v>83.629631944446245</v>
      </c>
      <c r="J475">
        <v>97941.746068288689</v>
      </c>
      <c r="K475">
        <v>101.5</v>
      </c>
      <c r="L475">
        <v>97.5</v>
      </c>
      <c r="M475">
        <v>87.689184144336366</v>
      </c>
      <c r="N475">
        <v>8588432</v>
      </c>
    </row>
    <row r="476" spans="1:14" x14ac:dyDescent="0.35">
      <c r="A476" t="s">
        <v>10</v>
      </c>
      <c r="B476">
        <v>202410</v>
      </c>
      <c r="C476" t="str">
        <f>MID(analisis_productividad__4[[#This Row],[Periodo]],1,4)</f>
        <v>2024</v>
      </c>
      <c r="D476" t="str">
        <f>MID(analisis_productividad__4[[#This Row],[Periodo]],5,2)</f>
        <v>10</v>
      </c>
      <c r="E476" t="s">
        <v>11</v>
      </c>
      <c r="F476" t="s">
        <v>12</v>
      </c>
      <c r="G476">
        <v>103750</v>
      </c>
      <c r="H476">
        <v>9074197</v>
      </c>
      <c r="I476">
        <v>87.462553763440852</v>
      </c>
      <c r="J476">
        <v>0</v>
      </c>
      <c r="K476">
        <v>98.5</v>
      </c>
      <c r="L476">
        <v>96.5</v>
      </c>
      <c r="N476">
        <v>0</v>
      </c>
    </row>
    <row r="477" spans="1:14" x14ac:dyDescent="0.35">
      <c r="A477" t="s">
        <v>84</v>
      </c>
      <c r="B477">
        <v>202512</v>
      </c>
      <c r="C477" t="str">
        <f>MID(analisis_productividad__4[[#This Row],[Periodo]],1,4)</f>
        <v>2025</v>
      </c>
      <c r="D477" t="str">
        <f>MID(analisis_productividad__4[[#This Row],[Periodo]],5,2)</f>
        <v>12</v>
      </c>
      <c r="E477" t="s">
        <v>11</v>
      </c>
      <c r="F477" t="s">
        <v>52</v>
      </c>
      <c r="G477">
        <v>103735</v>
      </c>
      <c r="H477">
        <v>12064039</v>
      </c>
      <c r="I477">
        <v>116.29709677419346</v>
      </c>
      <c r="J477">
        <v>108798.93202368998</v>
      </c>
      <c r="K477">
        <v>123</v>
      </c>
      <c r="L477">
        <v>115.5</v>
      </c>
      <c r="M477">
        <v>110.88380194185328</v>
      </c>
      <c r="N477">
        <v>13591580</v>
      </c>
    </row>
    <row r="478" spans="1:14" x14ac:dyDescent="0.35">
      <c r="A478" t="s">
        <v>94</v>
      </c>
      <c r="B478">
        <v>202512</v>
      </c>
      <c r="C478" t="str">
        <f>MID(analisis_productividad__4[[#This Row],[Periodo]],1,4)</f>
        <v>2025</v>
      </c>
      <c r="D478" t="str">
        <f>MID(analisis_productividad__4[[#This Row],[Periodo]],5,2)</f>
        <v>12</v>
      </c>
      <c r="E478" t="s">
        <v>11</v>
      </c>
      <c r="F478" t="s">
        <v>52</v>
      </c>
      <c r="G478">
        <v>103723</v>
      </c>
      <c r="H478">
        <v>7356985</v>
      </c>
      <c r="I478">
        <v>70.928864247311793</v>
      </c>
      <c r="J478">
        <v>101230.36323971218</v>
      </c>
      <c r="K478">
        <v>75.5</v>
      </c>
      <c r="L478">
        <v>70.5</v>
      </c>
      <c r="M478">
        <v>72.675675899519931</v>
      </c>
      <c r="N478">
        <v>8197903</v>
      </c>
    </row>
    <row r="479" spans="1:14" x14ac:dyDescent="0.35">
      <c r="A479" t="s">
        <v>47</v>
      </c>
      <c r="B479">
        <v>202604</v>
      </c>
      <c r="C479" t="str">
        <f>MID(analisis_productividad__4[[#This Row],[Periodo]],1,4)</f>
        <v>2026</v>
      </c>
      <c r="D479" t="str">
        <f>MID(analisis_productividad__4[[#This Row],[Periodo]],5,2)</f>
        <v>04</v>
      </c>
      <c r="E479" t="s">
        <v>11</v>
      </c>
      <c r="F479" t="s">
        <v>14</v>
      </c>
      <c r="G479">
        <v>103649</v>
      </c>
      <c r="H479">
        <v>4339266</v>
      </c>
      <c r="I479">
        <v>41.865201388888956</v>
      </c>
      <c r="J479">
        <v>82142.351779678778</v>
      </c>
      <c r="K479">
        <v>61.5</v>
      </c>
      <c r="L479">
        <v>48.5</v>
      </c>
      <c r="M479">
        <v>53.715920394326645</v>
      </c>
      <c r="N479">
        <v>4412352</v>
      </c>
    </row>
    <row r="480" spans="1:14" x14ac:dyDescent="0.35">
      <c r="A480" t="s">
        <v>28</v>
      </c>
      <c r="B480">
        <v>202504</v>
      </c>
      <c r="C480" t="str">
        <f>MID(analisis_productividad__4[[#This Row],[Periodo]],1,4)</f>
        <v>2025</v>
      </c>
      <c r="D480" t="str">
        <f>MID(analisis_productividad__4[[#This Row],[Periodo]],5,2)</f>
        <v>04</v>
      </c>
      <c r="E480" t="s">
        <v>16</v>
      </c>
      <c r="F480" t="s">
        <v>17</v>
      </c>
      <c r="G480">
        <v>103643</v>
      </c>
      <c r="H480">
        <v>5696436</v>
      </c>
      <c r="I480">
        <v>54.961909722222224</v>
      </c>
      <c r="J480">
        <v>100031.36786322236</v>
      </c>
      <c r="K480">
        <v>64</v>
      </c>
      <c r="L480">
        <v>67</v>
      </c>
      <c r="M480">
        <v>56.946501399331147</v>
      </c>
      <c r="N480">
        <v>5896757</v>
      </c>
    </row>
    <row r="481" spans="1:14" x14ac:dyDescent="0.35">
      <c r="A481" t="s">
        <v>22</v>
      </c>
      <c r="B481">
        <v>202601</v>
      </c>
      <c r="C481" t="str">
        <f>MID(analisis_productividad__4[[#This Row],[Periodo]],1,4)</f>
        <v>2026</v>
      </c>
      <c r="D481" t="str">
        <f>MID(analisis_productividad__4[[#This Row],[Periodo]],5,2)</f>
        <v>01</v>
      </c>
      <c r="E481" t="s">
        <v>16</v>
      </c>
      <c r="F481" t="s">
        <v>21</v>
      </c>
      <c r="G481">
        <v>103626</v>
      </c>
      <c r="H481">
        <v>5335932</v>
      </c>
      <c r="I481">
        <v>51.49215053763443</v>
      </c>
      <c r="J481">
        <v>97349.23859155555</v>
      </c>
      <c r="K481">
        <v>59.5</v>
      </c>
      <c r="L481">
        <v>55.5</v>
      </c>
      <c r="M481">
        <v>53.278949580299148</v>
      </c>
      <c r="N481">
        <v>5186665</v>
      </c>
    </row>
    <row r="482" spans="1:14" x14ac:dyDescent="0.35">
      <c r="A482" t="s">
        <v>57</v>
      </c>
      <c r="B482">
        <v>202403</v>
      </c>
      <c r="C482" t="str">
        <f>MID(analisis_productividad__4[[#This Row],[Periodo]],1,4)</f>
        <v>2024</v>
      </c>
      <c r="D482" t="str">
        <f>MID(analisis_productividad__4[[#This Row],[Periodo]],5,2)</f>
        <v>03</v>
      </c>
      <c r="E482" t="s">
        <v>16</v>
      </c>
      <c r="F482" t="s">
        <v>19</v>
      </c>
      <c r="G482">
        <v>103624</v>
      </c>
      <c r="H482">
        <v>7254425</v>
      </c>
      <c r="I482">
        <v>70.007056451612883</v>
      </c>
      <c r="J482">
        <v>0</v>
      </c>
      <c r="K482">
        <v>71</v>
      </c>
      <c r="L482">
        <v>74.5</v>
      </c>
      <c r="N482">
        <v>0</v>
      </c>
    </row>
    <row r="483" spans="1:14" x14ac:dyDescent="0.35">
      <c r="A483" t="s">
        <v>84</v>
      </c>
      <c r="B483">
        <v>202412</v>
      </c>
      <c r="C483" t="str">
        <f>MID(analisis_productividad__4[[#This Row],[Periodo]],1,4)</f>
        <v>2024</v>
      </c>
      <c r="D483" t="str">
        <f>MID(analisis_productividad__4[[#This Row],[Periodo]],5,2)</f>
        <v>12</v>
      </c>
      <c r="E483" t="s">
        <v>11</v>
      </c>
      <c r="F483" t="s">
        <v>52</v>
      </c>
      <c r="G483">
        <v>103618</v>
      </c>
      <c r="H483">
        <v>12445404</v>
      </c>
      <c r="I483">
        <v>120.10847446236545</v>
      </c>
      <c r="J483">
        <v>0</v>
      </c>
      <c r="K483">
        <v>123</v>
      </c>
      <c r="L483">
        <v>115.5</v>
      </c>
      <c r="N483">
        <v>0</v>
      </c>
    </row>
    <row r="484" spans="1:14" x14ac:dyDescent="0.35">
      <c r="A484" t="s">
        <v>64</v>
      </c>
      <c r="B484">
        <v>202603</v>
      </c>
      <c r="C484" t="str">
        <f>MID(analisis_productividad__4[[#This Row],[Periodo]],1,4)</f>
        <v>2026</v>
      </c>
      <c r="D484" t="str">
        <f>MID(analisis_productividad__4[[#This Row],[Periodo]],5,2)</f>
        <v>03</v>
      </c>
      <c r="E484" t="s">
        <v>16</v>
      </c>
      <c r="F484" t="s">
        <v>21</v>
      </c>
      <c r="G484">
        <v>103607</v>
      </c>
      <c r="H484">
        <v>11748511</v>
      </c>
      <c r="I484">
        <v>113.39538978494626</v>
      </c>
      <c r="J484">
        <v>105455.03454863922</v>
      </c>
      <c r="K484">
        <v>88.5</v>
      </c>
      <c r="L484">
        <v>92.5</v>
      </c>
      <c r="M484">
        <v>102.97612103755296</v>
      </c>
      <c r="N484">
        <v>10859350</v>
      </c>
    </row>
    <row r="485" spans="1:14" x14ac:dyDescent="0.35">
      <c r="A485" t="s">
        <v>68</v>
      </c>
      <c r="B485">
        <v>202512</v>
      </c>
      <c r="C485" t="str">
        <f>MID(analisis_productividad__4[[#This Row],[Periodo]],1,4)</f>
        <v>2025</v>
      </c>
      <c r="D485" t="str">
        <f>MID(analisis_productividad__4[[#This Row],[Periodo]],5,2)</f>
        <v>12</v>
      </c>
      <c r="E485" t="s">
        <v>11</v>
      </c>
      <c r="F485" t="s">
        <v>52</v>
      </c>
      <c r="G485">
        <v>103503</v>
      </c>
      <c r="H485">
        <v>10109540</v>
      </c>
      <c r="I485">
        <v>97.673803763440773</v>
      </c>
      <c r="J485">
        <v>108346.24989095044</v>
      </c>
      <c r="K485">
        <v>103</v>
      </c>
      <c r="L485">
        <v>91</v>
      </c>
      <c r="M485">
        <v>93.30770442147427</v>
      </c>
      <c r="N485">
        <v>11801559</v>
      </c>
    </row>
    <row r="486" spans="1:14" x14ac:dyDescent="0.35">
      <c r="A486" t="s">
        <v>64</v>
      </c>
      <c r="B486">
        <v>202412</v>
      </c>
      <c r="C486" t="str">
        <f>MID(analisis_productividad__4[[#This Row],[Periodo]],1,4)</f>
        <v>2024</v>
      </c>
      <c r="D486" t="str">
        <f>MID(analisis_productividad__4[[#This Row],[Periodo]],5,2)</f>
        <v>12</v>
      </c>
      <c r="E486" t="s">
        <v>16</v>
      </c>
      <c r="F486" t="s">
        <v>21</v>
      </c>
      <c r="G486">
        <v>103453</v>
      </c>
      <c r="H486">
        <v>9538930</v>
      </c>
      <c r="I486">
        <v>92.205430107526908</v>
      </c>
      <c r="J486">
        <v>0</v>
      </c>
      <c r="K486">
        <v>88.5</v>
      </c>
      <c r="L486">
        <v>92.5</v>
      </c>
      <c r="N486">
        <v>0</v>
      </c>
    </row>
    <row r="487" spans="1:14" x14ac:dyDescent="0.35">
      <c r="A487" t="s">
        <v>65</v>
      </c>
      <c r="B487">
        <v>202605</v>
      </c>
      <c r="C487" t="str">
        <f>MID(analisis_productividad__4[[#This Row],[Periodo]],1,4)</f>
        <v>2026</v>
      </c>
      <c r="D487" t="str">
        <f>MID(analisis_productividad__4[[#This Row],[Periodo]],5,2)</f>
        <v>05</v>
      </c>
      <c r="E487" t="s">
        <v>16</v>
      </c>
      <c r="F487" t="s">
        <v>19</v>
      </c>
      <c r="G487">
        <v>103452</v>
      </c>
      <c r="H487">
        <v>6363639</v>
      </c>
      <c r="I487">
        <v>61.513017473118332</v>
      </c>
      <c r="J487">
        <v>97975.944451106508</v>
      </c>
      <c r="K487">
        <v>68</v>
      </c>
      <c r="L487">
        <v>68.5</v>
      </c>
      <c r="M487">
        <v>60.397061823201135</v>
      </c>
      <c r="N487">
        <v>5917459</v>
      </c>
    </row>
    <row r="488" spans="1:14" x14ac:dyDescent="0.35">
      <c r="A488" t="s">
        <v>91</v>
      </c>
      <c r="B488">
        <v>202512</v>
      </c>
      <c r="C488" t="str">
        <f>MID(analisis_productividad__4[[#This Row],[Periodo]],1,4)</f>
        <v>2025</v>
      </c>
      <c r="D488" t="str">
        <f>MID(analisis_productividad__4[[#This Row],[Periodo]],5,2)</f>
        <v>12</v>
      </c>
      <c r="E488" t="s">
        <v>11</v>
      </c>
      <c r="F488" t="s">
        <v>12</v>
      </c>
      <c r="G488">
        <v>103430</v>
      </c>
      <c r="H488">
        <v>6147743</v>
      </c>
      <c r="I488">
        <v>59.438938172042981</v>
      </c>
      <c r="J488">
        <v>101166.52415063954</v>
      </c>
      <c r="K488">
        <v>55</v>
      </c>
      <c r="L488">
        <v>55.5</v>
      </c>
      <c r="M488">
        <v>60.768545836821026</v>
      </c>
      <c r="N488">
        <v>6049672</v>
      </c>
    </row>
    <row r="489" spans="1:14" x14ac:dyDescent="0.35">
      <c r="A489" t="s">
        <v>51</v>
      </c>
      <c r="B489">
        <v>202601</v>
      </c>
      <c r="C489" t="str">
        <f>MID(analisis_productividad__4[[#This Row],[Periodo]],1,4)</f>
        <v>2026</v>
      </c>
      <c r="D489" t="str">
        <f>MID(analisis_productividad__4[[#This Row],[Periodo]],5,2)</f>
        <v>01</v>
      </c>
      <c r="E489" t="s">
        <v>11</v>
      </c>
      <c r="F489" t="s">
        <v>52</v>
      </c>
      <c r="G489">
        <v>103414</v>
      </c>
      <c r="H489">
        <v>9608067</v>
      </c>
      <c r="I489">
        <v>92.909193548387137</v>
      </c>
      <c r="J489">
        <v>101902.16827917419</v>
      </c>
      <c r="K489">
        <v>117.5</v>
      </c>
      <c r="L489">
        <v>99</v>
      </c>
      <c r="M489">
        <v>98.005014700369543</v>
      </c>
      <c r="N489">
        <v>9986924</v>
      </c>
    </row>
    <row r="490" spans="1:14" x14ac:dyDescent="0.35">
      <c r="A490" t="s">
        <v>46</v>
      </c>
      <c r="B490">
        <v>202604</v>
      </c>
      <c r="C490" t="str">
        <f>MID(analisis_productividad__4[[#This Row],[Periodo]],1,4)</f>
        <v>2026</v>
      </c>
      <c r="D490" t="str">
        <f>MID(analisis_productividad__4[[#This Row],[Periodo]],5,2)</f>
        <v>04</v>
      </c>
      <c r="E490" t="s">
        <v>11</v>
      </c>
      <c r="F490" t="s">
        <v>14</v>
      </c>
      <c r="G490">
        <v>103380</v>
      </c>
      <c r="H490">
        <v>7169021</v>
      </c>
      <c r="I490">
        <v>69.346277777779918</v>
      </c>
      <c r="J490">
        <v>99623.482738005434</v>
      </c>
      <c r="K490">
        <v>77</v>
      </c>
      <c r="L490">
        <v>79</v>
      </c>
      <c r="M490">
        <v>66.09086292651952</v>
      </c>
      <c r="N490">
        <v>6584202</v>
      </c>
    </row>
    <row r="491" spans="1:14" x14ac:dyDescent="0.35">
      <c r="A491" t="s">
        <v>28</v>
      </c>
      <c r="B491">
        <v>202606</v>
      </c>
      <c r="C491" t="str">
        <f>MID(analisis_productividad__4[[#This Row],[Periodo]],1,4)</f>
        <v>2026</v>
      </c>
      <c r="D491" t="str">
        <f>MID(analisis_productividad__4[[#This Row],[Periodo]],5,2)</f>
        <v>06</v>
      </c>
      <c r="E491" t="s">
        <v>16</v>
      </c>
      <c r="F491" t="s">
        <v>17</v>
      </c>
      <c r="G491">
        <v>103380</v>
      </c>
      <c r="H491">
        <v>6223966</v>
      </c>
      <c r="I491">
        <v>60.20490972222288</v>
      </c>
      <c r="J491">
        <v>109670.88494854062</v>
      </c>
      <c r="K491">
        <v>64</v>
      </c>
      <c r="L491">
        <v>67</v>
      </c>
      <c r="M491">
        <v>56.429371630436094</v>
      </c>
      <c r="N491">
        <v>6188659</v>
      </c>
    </row>
    <row r="492" spans="1:14" x14ac:dyDescent="0.35">
      <c r="A492" t="s">
        <v>23</v>
      </c>
      <c r="B492">
        <v>202507</v>
      </c>
      <c r="C492" t="str">
        <f>MID(analisis_productividad__4[[#This Row],[Periodo]],1,4)</f>
        <v>2025</v>
      </c>
      <c r="D492" t="str">
        <f>MID(analisis_productividad__4[[#This Row],[Periodo]],5,2)</f>
        <v>07</v>
      </c>
      <c r="E492" t="s">
        <v>11</v>
      </c>
      <c r="F492" t="s">
        <v>12</v>
      </c>
      <c r="G492">
        <v>103374</v>
      </c>
      <c r="H492">
        <v>6525847</v>
      </c>
      <c r="I492">
        <v>63.128474462365617</v>
      </c>
      <c r="J492">
        <v>109463.83199022974</v>
      </c>
      <c r="K492">
        <v>68.5</v>
      </c>
      <c r="L492">
        <v>66</v>
      </c>
      <c r="M492">
        <v>59.6164704025935</v>
      </c>
      <c r="N492">
        <v>6680725</v>
      </c>
    </row>
    <row r="493" spans="1:14" x14ac:dyDescent="0.35">
      <c r="A493" t="s">
        <v>61</v>
      </c>
      <c r="B493">
        <v>202506</v>
      </c>
      <c r="C493" t="str">
        <f>MID(analisis_productividad__4[[#This Row],[Periodo]],1,4)</f>
        <v>2025</v>
      </c>
      <c r="D493" t="str">
        <f>MID(analisis_productividad__4[[#This Row],[Periodo]],5,2)</f>
        <v>06</v>
      </c>
      <c r="E493" t="s">
        <v>11</v>
      </c>
      <c r="F493" t="s">
        <v>52</v>
      </c>
      <c r="G493">
        <v>103371</v>
      </c>
      <c r="H493">
        <v>8327283</v>
      </c>
      <c r="I493">
        <v>80.556972222222228</v>
      </c>
      <c r="J493">
        <v>98573.297412310814</v>
      </c>
      <c r="K493">
        <v>104.5</v>
      </c>
      <c r="L493">
        <v>99</v>
      </c>
      <c r="M493">
        <v>84.478082286004636</v>
      </c>
      <c r="N493">
        <v>9067215</v>
      </c>
    </row>
    <row r="494" spans="1:14" x14ac:dyDescent="0.35">
      <c r="A494" t="s">
        <v>43</v>
      </c>
      <c r="B494">
        <v>202601</v>
      </c>
      <c r="C494" t="str">
        <f>MID(analisis_productividad__4[[#This Row],[Periodo]],1,4)</f>
        <v>2026</v>
      </c>
      <c r="D494" t="str">
        <f>MID(analisis_productividad__4[[#This Row],[Periodo]],5,2)</f>
        <v>01</v>
      </c>
      <c r="E494" t="s">
        <v>11</v>
      </c>
      <c r="F494" t="s">
        <v>12</v>
      </c>
      <c r="G494">
        <v>103325</v>
      </c>
      <c r="H494">
        <v>7085026</v>
      </c>
      <c r="I494">
        <v>68.570080645161312</v>
      </c>
      <c r="J494">
        <v>92918.437401106465</v>
      </c>
      <c r="K494">
        <v>84.5</v>
      </c>
      <c r="L494">
        <v>86.5</v>
      </c>
      <c r="M494">
        <v>71.456708642637324</v>
      </c>
      <c r="N494">
        <v>6639646</v>
      </c>
    </row>
    <row r="495" spans="1:14" x14ac:dyDescent="0.35">
      <c r="A495" t="s">
        <v>88</v>
      </c>
      <c r="B495">
        <v>202412</v>
      </c>
      <c r="C495" t="str">
        <f>MID(analisis_productividad__4[[#This Row],[Periodo]],1,4)</f>
        <v>2024</v>
      </c>
      <c r="D495" t="str">
        <f>MID(analisis_productividad__4[[#This Row],[Periodo]],5,2)</f>
        <v>12</v>
      </c>
      <c r="E495" t="s">
        <v>34</v>
      </c>
      <c r="F495" t="s">
        <v>35</v>
      </c>
      <c r="G495">
        <v>103296</v>
      </c>
      <c r="H495">
        <v>1294230</v>
      </c>
      <c r="I495">
        <v>12.52929435483871</v>
      </c>
      <c r="J495">
        <v>0</v>
      </c>
      <c r="K495">
        <v>15.5</v>
      </c>
      <c r="L495">
        <v>14.5</v>
      </c>
      <c r="N495">
        <v>0</v>
      </c>
    </row>
    <row r="496" spans="1:14" x14ac:dyDescent="0.35">
      <c r="A496" t="s">
        <v>31</v>
      </c>
      <c r="B496">
        <v>202410</v>
      </c>
      <c r="C496" t="str">
        <f>MID(analisis_productividad__4[[#This Row],[Periodo]],1,4)</f>
        <v>2024</v>
      </c>
      <c r="D496" t="str">
        <f>MID(analisis_productividad__4[[#This Row],[Periodo]],5,2)</f>
        <v>10</v>
      </c>
      <c r="E496" t="s">
        <v>11</v>
      </c>
      <c r="F496" t="s">
        <v>14</v>
      </c>
      <c r="G496">
        <v>103295</v>
      </c>
      <c r="H496">
        <v>9116318</v>
      </c>
      <c r="I496">
        <v>88.255181451612856</v>
      </c>
      <c r="J496">
        <v>0</v>
      </c>
      <c r="K496">
        <v>101.5</v>
      </c>
      <c r="L496">
        <v>97.5</v>
      </c>
      <c r="N496">
        <v>0</v>
      </c>
    </row>
    <row r="497" spans="1:14" x14ac:dyDescent="0.35">
      <c r="A497" t="s">
        <v>61</v>
      </c>
      <c r="B497">
        <v>202603</v>
      </c>
      <c r="C497" t="str">
        <f>MID(analisis_productividad__4[[#This Row],[Periodo]],1,4)</f>
        <v>2026</v>
      </c>
      <c r="D497" t="str">
        <f>MID(analisis_productividad__4[[#This Row],[Periodo]],5,2)</f>
        <v>03</v>
      </c>
      <c r="E497" t="s">
        <v>11</v>
      </c>
      <c r="F497" t="s">
        <v>52</v>
      </c>
      <c r="G497">
        <v>103281</v>
      </c>
      <c r="H497">
        <v>10031409</v>
      </c>
      <c r="I497">
        <v>97.127399193548442</v>
      </c>
      <c r="J497">
        <v>107255.99946334741</v>
      </c>
      <c r="K497">
        <v>104.5</v>
      </c>
      <c r="L497">
        <v>99</v>
      </c>
      <c r="M497">
        <v>90.280982690474389</v>
      </c>
      <c r="N497">
        <v>9683177</v>
      </c>
    </row>
    <row r="498" spans="1:14" x14ac:dyDescent="0.35">
      <c r="A498" t="s">
        <v>39</v>
      </c>
      <c r="B498">
        <v>202604</v>
      </c>
      <c r="C498" t="str">
        <f>MID(analisis_productividad__4[[#This Row],[Periodo]],1,4)</f>
        <v>2026</v>
      </c>
      <c r="D498" t="str">
        <f>MID(analisis_productividad__4[[#This Row],[Periodo]],5,2)</f>
        <v>04</v>
      </c>
      <c r="E498" t="s">
        <v>16</v>
      </c>
      <c r="F498" t="s">
        <v>17</v>
      </c>
      <c r="G498">
        <v>103261</v>
      </c>
      <c r="H498">
        <v>8897255</v>
      </c>
      <c r="I498">
        <v>86.162708333334223</v>
      </c>
      <c r="J498">
        <v>100543.54936594672</v>
      </c>
      <c r="K498">
        <v>93.5</v>
      </c>
      <c r="L498">
        <v>94</v>
      </c>
      <c r="M498">
        <v>84.619508156945685</v>
      </c>
      <c r="N498">
        <v>8507946</v>
      </c>
    </row>
    <row r="499" spans="1:14" x14ac:dyDescent="0.35">
      <c r="A499" t="s">
        <v>53</v>
      </c>
      <c r="B499">
        <v>202403</v>
      </c>
      <c r="C499" t="str">
        <f>MID(analisis_productividad__4[[#This Row],[Periodo]],1,4)</f>
        <v>2024</v>
      </c>
      <c r="D499" t="str">
        <f>MID(analisis_productividad__4[[#This Row],[Periodo]],5,2)</f>
        <v>03</v>
      </c>
      <c r="E499" t="s">
        <v>11</v>
      </c>
      <c r="F499" t="s">
        <v>12</v>
      </c>
      <c r="G499">
        <v>103251</v>
      </c>
      <c r="H499">
        <v>7831187</v>
      </c>
      <c r="I499">
        <v>75.845987903225847</v>
      </c>
      <c r="J499">
        <v>0</v>
      </c>
      <c r="K499">
        <v>81</v>
      </c>
      <c r="L499">
        <v>77</v>
      </c>
      <c r="N499">
        <v>0</v>
      </c>
    </row>
    <row r="500" spans="1:14" x14ac:dyDescent="0.35">
      <c r="A500" t="s">
        <v>30</v>
      </c>
      <c r="B500">
        <v>202501</v>
      </c>
      <c r="C500" t="str">
        <f>MID(analisis_productividad__4[[#This Row],[Periodo]],1,4)</f>
        <v>2025</v>
      </c>
      <c r="D500" t="str">
        <f>MID(analisis_productividad__4[[#This Row],[Periodo]],5,2)</f>
        <v>01</v>
      </c>
      <c r="E500" t="s">
        <v>16</v>
      </c>
      <c r="F500" t="s">
        <v>19</v>
      </c>
      <c r="G500">
        <v>103200</v>
      </c>
      <c r="H500">
        <v>9282853</v>
      </c>
      <c r="I500">
        <v>89.950188172042985</v>
      </c>
      <c r="J500">
        <v>114272.86362883345</v>
      </c>
      <c r="K500">
        <v>101</v>
      </c>
      <c r="L500">
        <v>105</v>
      </c>
      <c r="M500">
        <v>81.234101388684763</v>
      </c>
      <c r="N500">
        <v>8992925</v>
      </c>
    </row>
    <row r="501" spans="1:14" x14ac:dyDescent="0.35">
      <c r="A501" t="s">
        <v>28</v>
      </c>
      <c r="B501">
        <v>202605</v>
      </c>
      <c r="C501" t="str">
        <f>MID(analisis_productividad__4[[#This Row],[Periodo]],1,4)</f>
        <v>2026</v>
      </c>
      <c r="D501" t="str">
        <f>MID(analisis_productividad__4[[#This Row],[Periodo]],5,2)</f>
        <v>05</v>
      </c>
      <c r="E501" t="s">
        <v>16</v>
      </c>
      <c r="F501" t="s">
        <v>17</v>
      </c>
      <c r="G501">
        <v>103191</v>
      </c>
      <c r="H501">
        <v>6681528</v>
      </c>
      <c r="I501">
        <v>64.748965053763357</v>
      </c>
      <c r="J501">
        <v>129036.53785101924</v>
      </c>
      <c r="K501">
        <v>64</v>
      </c>
      <c r="L501">
        <v>67</v>
      </c>
      <c r="M501">
        <v>56.429371630436094</v>
      </c>
      <c r="N501">
        <v>7281451</v>
      </c>
    </row>
    <row r="502" spans="1:14" x14ac:dyDescent="0.35">
      <c r="A502" t="s">
        <v>68</v>
      </c>
      <c r="B502">
        <v>202412</v>
      </c>
      <c r="C502" t="str">
        <f>MID(analisis_productividad__4[[#This Row],[Periodo]],1,4)</f>
        <v>2024</v>
      </c>
      <c r="D502" t="str">
        <f>MID(analisis_productividad__4[[#This Row],[Periodo]],5,2)</f>
        <v>12</v>
      </c>
      <c r="E502" t="s">
        <v>11</v>
      </c>
      <c r="F502" t="s">
        <v>52</v>
      </c>
      <c r="G502">
        <v>103187</v>
      </c>
      <c r="H502">
        <v>10313874</v>
      </c>
      <c r="I502">
        <v>99.953319892473104</v>
      </c>
      <c r="J502">
        <v>0</v>
      </c>
      <c r="K502">
        <v>103</v>
      </c>
      <c r="L502">
        <v>91</v>
      </c>
      <c r="N502">
        <v>0</v>
      </c>
    </row>
    <row r="503" spans="1:14" x14ac:dyDescent="0.35">
      <c r="A503" t="s">
        <v>13</v>
      </c>
      <c r="B503">
        <v>202506</v>
      </c>
      <c r="C503" t="str">
        <f>MID(analisis_productividad__4[[#This Row],[Periodo]],1,4)</f>
        <v>2025</v>
      </c>
      <c r="D503" t="str">
        <f>MID(analisis_productividad__4[[#This Row],[Periodo]],5,2)</f>
        <v>06</v>
      </c>
      <c r="E503" t="s">
        <v>11</v>
      </c>
      <c r="F503" t="s">
        <v>14</v>
      </c>
      <c r="G503">
        <v>103181</v>
      </c>
      <c r="H503">
        <v>9081086</v>
      </c>
      <c r="I503">
        <v>88.01104861111105</v>
      </c>
      <c r="J503">
        <v>110184.71545965473</v>
      </c>
      <c r="K503">
        <v>100</v>
      </c>
      <c r="L503">
        <v>98</v>
      </c>
      <c r="M503">
        <v>82.416928991617993</v>
      </c>
      <c r="N503">
        <v>9641725</v>
      </c>
    </row>
    <row r="504" spans="1:14" x14ac:dyDescent="0.35">
      <c r="A504" t="s">
        <v>63</v>
      </c>
      <c r="B504">
        <v>202405</v>
      </c>
      <c r="C504" t="str">
        <f>MID(analisis_productividad__4[[#This Row],[Periodo]],1,4)</f>
        <v>2024</v>
      </c>
      <c r="D504" t="str">
        <f>MID(analisis_productividad__4[[#This Row],[Periodo]],5,2)</f>
        <v>05</v>
      </c>
      <c r="E504" t="s">
        <v>16</v>
      </c>
      <c r="F504" t="s">
        <v>17</v>
      </c>
      <c r="G504">
        <v>103105</v>
      </c>
      <c r="H504">
        <v>9379226</v>
      </c>
      <c r="I504">
        <v>90.967869623655801</v>
      </c>
      <c r="J504">
        <v>0</v>
      </c>
      <c r="K504">
        <v>86.5</v>
      </c>
      <c r="L504">
        <v>81.5</v>
      </c>
      <c r="N504">
        <v>0</v>
      </c>
    </row>
    <row r="505" spans="1:14" x14ac:dyDescent="0.35">
      <c r="A505" t="s">
        <v>41</v>
      </c>
      <c r="B505">
        <v>202604</v>
      </c>
      <c r="C505" t="str">
        <f>MID(analisis_productividad__4[[#This Row],[Periodo]],1,4)</f>
        <v>2026</v>
      </c>
      <c r="D505" t="str">
        <f>MID(analisis_productividad__4[[#This Row],[Periodo]],5,2)</f>
        <v>04</v>
      </c>
      <c r="E505" t="s">
        <v>16</v>
      </c>
      <c r="F505" t="s">
        <v>19</v>
      </c>
      <c r="G505">
        <v>102922</v>
      </c>
      <c r="H505">
        <v>5286315</v>
      </c>
      <c r="I505">
        <v>51.362402777778726</v>
      </c>
      <c r="J505">
        <v>96590.511425131146</v>
      </c>
      <c r="K505">
        <v>57.5</v>
      </c>
      <c r="L505">
        <v>56.5</v>
      </c>
      <c r="M505">
        <v>50.698263574219922</v>
      </c>
      <c r="N505">
        <v>4896971</v>
      </c>
    </row>
    <row r="506" spans="1:14" x14ac:dyDescent="0.35">
      <c r="A506" t="s">
        <v>50</v>
      </c>
      <c r="B506">
        <v>202604</v>
      </c>
      <c r="C506" t="str">
        <f>MID(analisis_productividad__4[[#This Row],[Periodo]],1,4)</f>
        <v>2026</v>
      </c>
      <c r="D506" t="str">
        <f>MID(analisis_productividad__4[[#This Row],[Periodo]],5,2)</f>
        <v>04</v>
      </c>
      <c r="E506" t="s">
        <v>34</v>
      </c>
      <c r="F506" t="s">
        <v>35</v>
      </c>
      <c r="G506">
        <v>102894</v>
      </c>
      <c r="H506">
        <v>6576733</v>
      </c>
      <c r="I506">
        <v>63.917583333335443</v>
      </c>
      <c r="J506">
        <v>99294.107247990207</v>
      </c>
      <c r="K506">
        <v>79.5</v>
      </c>
      <c r="L506">
        <v>72.5</v>
      </c>
      <c r="M506">
        <v>64.209802769832038</v>
      </c>
      <c r="N506">
        <v>6375655</v>
      </c>
    </row>
    <row r="507" spans="1:14" x14ac:dyDescent="0.35">
      <c r="A507" t="s">
        <v>83</v>
      </c>
      <c r="B507">
        <v>202512</v>
      </c>
      <c r="C507" t="str">
        <f>MID(analisis_productividad__4[[#This Row],[Periodo]],1,4)</f>
        <v>2025</v>
      </c>
      <c r="D507" t="str">
        <f>MID(analisis_productividad__4[[#This Row],[Periodo]],5,2)</f>
        <v>12</v>
      </c>
      <c r="E507" t="s">
        <v>16</v>
      </c>
      <c r="F507" t="s">
        <v>17</v>
      </c>
      <c r="G507">
        <v>102854</v>
      </c>
      <c r="H507">
        <v>5290162</v>
      </c>
      <c r="I507">
        <v>51.433864247311824</v>
      </c>
      <c r="J507">
        <v>105900.35026991833</v>
      </c>
      <c r="K507">
        <v>52</v>
      </c>
      <c r="L507">
        <v>52</v>
      </c>
      <c r="M507">
        <v>49.954152998705467</v>
      </c>
      <c r="N507">
        <v>5300068</v>
      </c>
    </row>
    <row r="508" spans="1:14" x14ac:dyDescent="0.35">
      <c r="A508" t="s">
        <v>75</v>
      </c>
      <c r="B508">
        <v>202512</v>
      </c>
      <c r="C508" t="str">
        <f>MID(analisis_productividad__4[[#This Row],[Periodo]],1,4)</f>
        <v>2025</v>
      </c>
      <c r="D508" t="str">
        <f>MID(analisis_productividad__4[[#This Row],[Periodo]],5,2)</f>
        <v>12</v>
      </c>
      <c r="E508" t="s">
        <v>11</v>
      </c>
      <c r="F508" t="s">
        <v>52</v>
      </c>
      <c r="G508">
        <v>102850</v>
      </c>
      <c r="H508">
        <v>11841962</v>
      </c>
      <c r="I508">
        <v>115.13772177419348</v>
      </c>
      <c r="J508">
        <v>112729.34108921043</v>
      </c>
      <c r="K508">
        <v>118</v>
      </c>
      <c r="L508">
        <v>106</v>
      </c>
      <c r="M508">
        <v>105.04773633537563</v>
      </c>
      <c r="N508">
        <v>14076508</v>
      </c>
    </row>
    <row r="509" spans="1:14" x14ac:dyDescent="0.35">
      <c r="A509" t="s">
        <v>22</v>
      </c>
      <c r="B509">
        <v>202602</v>
      </c>
      <c r="C509" t="str">
        <f>MID(analisis_productividad__4[[#This Row],[Periodo]],1,4)</f>
        <v>2026</v>
      </c>
      <c r="D509" t="str">
        <f>MID(analisis_productividad__4[[#This Row],[Periodo]],5,2)</f>
        <v>02</v>
      </c>
      <c r="E509" t="s">
        <v>16</v>
      </c>
      <c r="F509" t="s">
        <v>21</v>
      </c>
      <c r="G509">
        <v>102838</v>
      </c>
      <c r="H509">
        <v>5666972</v>
      </c>
      <c r="I509">
        <v>55.10598958333334</v>
      </c>
      <c r="J509">
        <v>95553.787873147012</v>
      </c>
      <c r="K509">
        <v>59.5</v>
      </c>
      <c r="L509">
        <v>55.5</v>
      </c>
      <c r="M509">
        <v>53.278949580299148</v>
      </c>
      <c r="N509">
        <v>5091005</v>
      </c>
    </row>
    <row r="510" spans="1:14" x14ac:dyDescent="0.35">
      <c r="A510" t="s">
        <v>28</v>
      </c>
      <c r="B510">
        <v>202401</v>
      </c>
      <c r="C510" t="str">
        <f>MID(analisis_productividad__4[[#This Row],[Periodo]],1,4)</f>
        <v>2024</v>
      </c>
      <c r="D510" t="str">
        <f>MID(analisis_productividad__4[[#This Row],[Periodo]],5,2)</f>
        <v>01</v>
      </c>
      <c r="E510" t="s">
        <v>16</v>
      </c>
      <c r="F510" t="s">
        <v>17</v>
      </c>
      <c r="G510">
        <v>102815</v>
      </c>
      <c r="H510">
        <v>5046496</v>
      </c>
      <c r="I510">
        <v>49.083266129032268</v>
      </c>
      <c r="J510">
        <v>0</v>
      </c>
      <c r="K510">
        <v>64</v>
      </c>
      <c r="L510">
        <v>67</v>
      </c>
      <c r="N510">
        <v>0</v>
      </c>
    </row>
    <row r="511" spans="1:14" x14ac:dyDescent="0.35">
      <c r="A511" t="s">
        <v>72</v>
      </c>
      <c r="B511">
        <v>202503</v>
      </c>
      <c r="C511" t="str">
        <f>MID(analisis_productividad__4[[#This Row],[Periodo]],1,4)</f>
        <v>2025</v>
      </c>
      <c r="D511" t="str">
        <f>MID(analisis_productividad__4[[#This Row],[Periodo]],5,2)</f>
        <v>03</v>
      </c>
      <c r="E511" t="s">
        <v>11</v>
      </c>
      <c r="F511" t="s">
        <v>14</v>
      </c>
      <c r="G511">
        <v>102802</v>
      </c>
      <c r="H511">
        <v>6281500</v>
      </c>
      <c r="I511">
        <v>61.102661290322565</v>
      </c>
      <c r="J511">
        <v>106528.23926598164</v>
      </c>
      <c r="K511">
        <v>66</v>
      </c>
      <c r="L511">
        <v>64.5</v>
      </c>
      <c r="M511">
        <v>58.965590094061696</v>
      </c>
      <c r="N511">
        <v>6643393</v>
      </c>
    </row>
    <row r="512" spans="1:14" x14ac:dyDescent="0.35">
      <c r="A512" t="s">
        <v>66</v>
      </c>
      <c r="B512">
        <v>202603</v>
      </c>
      <c r="C512" t="str">
        <f>MID(analisis_productividad__4[[#This Row],[Periodo]],1,4)</f>
        <v>2026</v>
      </c>
      <c r="D512" t="str">
        <f>MID(analisis_productividad__4[[#This Row],[Periodo]],5,2)</f>
        <v>03</v>
      </c>
      <c r="E512" t="s">
        <v>11</v>
      </c>
      <c r="F512" t="s">
        <v>12</v>
      </c>
      <c r="G512">
        <v>102717</v>
      </c>
      <c r="H512">
        <v>7622920</v>
      </c>
      <c r="I512">
        <v>74.212560483870988</v>
      </c>
      <c r="J512">
        <v>98419.858386307518</v>
      </c>
      <c r="K512">
        <v>80</v>
      </c>
      <c r="L512">
        <v>80.5</v>
      </c>
      <c r="M512">
        <v>67.651321791845987</v>
      </c>
      <c r="N512">
        <v>6658234</v>
      </c>
    </row>
    <row r="513" spans="1:14" x14ac:dyDescent="0.35">
      <c r="A513" t="s">
        <v>29</v>
      </c>
      <c r="B513">
        <v>202504</v>
      </c>
      <c r="C513" t="str">
        <f>MID(analisis_productividad__4[[#This Row],[Periodo]],1,4)</f>
        <v>2025</v>
      </c>
      <c r="D513" t="str">
        <f>MID(analisis_productividad__4[[#This Row],[Periodo]],5,2)</f>
        <v>04</v>
      </c>
      <c r="E513" t="s">
        <v>16</v>
      </c>
      <c r="F513" t="s">
        <v>19</v>
      </c>
      <c r="G513">
        <v>102713</v>
      </c>
      <c r="H513">
        <v>9131449</v>
      </c>
      <c r="I513">
        <v>88.9023819444445</v>
      </c>
      <c r="J513">
        <v>105764.91457405484</v>
      </c>
      <c r="K513">
        <v>96.5</v>
      </c>
      <c r="L513">
        <v>96</v>
      </c>
      <c r="M513">
        <v>86.337227489616254</v>
      </c>
      <c r="N513">
        <v>8686929</v>
      </c>
    </row>
    <row r="514" spans="1:14" x14ac:dyDescent="0.35">
      <c r="A514" t="s">
        <v>30</v>
      </c>
      <c r="B514">
        <v>202405</v>
      </c>
      <c r="C514" t="str">
        <f>MID(analisis_productividad__4[[#This Row],[Periodo]],1,4)</f>
        <v>2024</v>
      </c>
      <c r="D514" t="str">
        <f>MID(analisis_productividad__4[[#This Row],[Periodo]],5,2)</f>
        <v>05</v>
      </c>
      <c r="E514" t="s">
        <v>16</v>
      </c>
      <c r="F514" t="s">
        <v>19</v>
      </c>
      <c r="G514">
        <v>102704</v>
      </c>
      <c r="H514">
        <v>8456427</v>
      </c>
      <c r="I514">
        <v>82.338064516129066</v>
      </c>
      <c r="J514">
        <v>0</v>
      </c>
      <c r="K514">
        <v>101</v>
      </c>
      <c r="L514">
        <v>105</v>
      </c>
      <c r="N514">
        <v>0</v>
      </c>
    </row>
    <row r="515" spans="1:14" x14ac:dyDescent="0.35">
      <c r="A515" t="s">
        <v>51</v>
      </c>
      <c r="B515">
        <v>202603</v>
      </c>
      <c r="C515" t="str">
        <f>MID(analisis_productividad__4[[#This Row],[Periodo]],1,4)</f>
        <v>2026</v>
      </c>
      <c r="D515" t="str">
        <f>MID(analisis_productividad__4[[#This Row],[Periodo]],5,2)</f>
        <v>03</v>
      </c>
      <c r="E515" t="s">
        <v>11</v>
      </c>
      <c r="F515" t="s">
        <v>52</v>
      </c>
      <c r="G515">
        <v>102699</v>
      </c>
      <c r="H515">
        <v>9593285</v>
      </c>
      <c r="I515">
        <v>93.411989247311851</v>
      </c>
      <c r="J515">
        <v>112846.3307230982</v>
      </c>
      <c r="K515">
        <v>117.5</v>
      </c>
      <c r="L515">
        <v>99</v>
      </c>
      <c r="M515">
        <v>98.005014700369543</v>
      </c>
      <c r="N515">
        <v>11059506</v>
      </c>
    </row>
    <row r="516" spans="1:14" x14ac:dyDescent="0.35">
      <c r="A516" t="s">
        <v>28</v>
      </c>
      <c r="B516">
        <v>202411</v>
      </c>
      <c r="C516" t="str">
        <f>MID(analisis_productividad__4[[#This Row],[Periodo]],1,4)</f>
        <v>2024</v>
      </c>
      <c r="D516" t="str">
        <f>MID(analisis_productividad__4[[#This Row],[Periodo]],5,2)</f>
        <v>11</v>
      </c>
      <c r="E516" t="s">
        <v>16</v>
      </c>
      <c r="F516" t="s">
        <v>17</v>
      </c>
      <c r="G516">
        <v>102697</v>
      </c>
      <c r="H516">
        <v>5538678</v>
      </c>
      <c r="I516">
        <v>53.932229166666644</v>
      </c>
      <c r="J516">
        <v>0</v>
      </c>
      <c r="K516">
        <v>64</v>
      </c>
      <c r="L516">
        <v>67</v>
      </c>
      <c r="N516">
        <v>0</v>
      </c>
    </row>
    <row r="517" spans="1:14" x14ac:dyDescent="0.35">
      <c r="A517" t="s">
        <v>39</v>
      </c>
      <c r="B517">
        <v>202508</v>
      </c>
      <c r="C517" t="str">
        <f>MID(analisis_productividad__4[[#This Row],[Periodo]],1,4)</f>
        <v>2025</v>
      </c>
      <c r="D517" t="str">
        <f>MID(analisis_productividad__4[[#This Row],[Periodo]],5,2)</f>
        <v>08</v>
      </c>
      <c r="E517" t="s">
        <v>16</v>
      </c>
      <c r="F517" t="s">
        <v>17</v>
      </c>
      <c r="G517">
        <v>102648</v>
      </c>
      <c r="H517">
        <v>8634732</v>
      </c>
      <c r="I517">
        <v>84.120194892473123</v>
      </c>
      <c r="J517">
        <v>98718.627781204632</v>
      </c>
      <c r="K517">
        <v>93.5</v>
      </c>
      <c r="L517">
        <v>94</v>
      </c>
      <c r="M517">
        <v>87.468114114568294</v>
      </c>
      <c r="N517">
        <v>9003515</v>
      </c>
    </row>
    <row r="518" spans="1:14" x14ac:dyDescent="0.35">
      <c r="A518" t="s">
        <v>67</v>
      </c>
      <c r="B518">
        <v>202603</v>
      </c>
      <c r="C518" t="str">
        <f>MID(analisis_productividad__4[[#This Row],[Periodo]],1,4)</f>
        <v>2026</v>
      </c>
      <c r="D518" t="str">
        <f>MID(analisis_productividad__4[[#This Row],[Periodo]],5,2)</f>
        <v>03</v>
      </c>
      <c r="E518" t="s">
        <v>16</v>
      </c>
      <c r="F518" t="s">
        <v>19</v>
      </c>
      <c r="G518">
        <v>102580</v>
      </c>
      <c r="H518">
        <v>7675902</v>
      </c>
      <c r="I518">
        <v>74.828212365591412</v>
      </c>
      <c r="J518">
        <v>102875.14360808075</v>
      </c>
      <c r="K518">
        <v>79.5</v>
      </c>
      <c r="L518">
        <v>81.5</v>
      </c>
      <c r="M518">
        <v>68.773296674593993</v>
      </c>
      <c r="N518">
        <v>7075063</v>
      </c>
    </row>
    <row r="519" spans="1:14" x14ac:dyDescent="0.35">
      <c r="A519" t="s">
        <v>39</v>
      </c>
      <c r="B519">
        <v>202606</v>
      </c>
      <c r="C519" t="str">
        <f>MID(analisis_productividad__4[[#This Row],[Periodo]],1,4)</f>
        <v>2026</v>
      </c>
      <c r="D519" t="str">
        <f>MID(analisis_productividad__4[[#This Row],[Periodo]],5,2)</f>
        <v>06</v>
      </c>
      <c r="E519" t="s">
        <v>16</v>
      </c>
      <c r="F519" t="s">
        <v>17</v>
      </c>
      <c r="G519">
        <v>102565</v>
      </c>
      <c r="H519">
        <v>8822885</v>
      </c>
      <c r="I519">
        <v>86.022659722223622</v>
      </c>
      <c r="J519">
        <v>101835.5022014233</v>
      </c>
      <c r="K519">
        <v>93.5</v>
      </c>
      <c r="L519">
        <v>94</v>
      </c>
      <c r="M519">
        <v>84.619508156945685</v>
      </c>
      <c r="N519">
        <v>8617270</v>
      </c>
    </row>
    <row r="520" spans="1:14" x14ac:dyDescent="0.35">
      <c r="A520" t="s">
        <v>93</v>
      </c>
      <c r="B520">
        <v>202512</v>
      </c>
      <c r="C520" t="str">
        <f>MID(analisis_productividad__4[[#This Row],[Periodo]],1,4)</f>
        <v>2025</v>
      </c>
      <c r="D520" t="str">
        <f>MID(analisis_productividad__4[[#This Row],[Periodo]],5,2)</f>
        <v>12</v>
      </c>
      <c r="E520" t="s">
        <v>16</v>
      </c>
      <c r="F520" t="s">
        <v>17</v>
      </c>
      <c r="G520">
        <v>102528</v>
      </c>
      <c r="H520">
        <v>8877834</v>
      </c>
      <c r="I520">
        <v>86.588965053763474</v>
      </c>
      <c r="J520">
        <v>0</v>
      </c>
      <c r="K520">
        <v>84</v>
      </c>
      <c r="L520">
        <v>76</v>
      </c>
    </row>
    <row r="521" spans="1:14" x14ac:dyDescent="0.35">
      <c r="A521" t="s">
        <v>68</v>
      </c>
      <c r="B521">
        <v>202605</v>
      </c>
      <c r="C521" t="str">
        <f>MID(analisis_productividad__4[[#This Row],[Periodo]],1,4)</f>
        <v>2026</v>
      </c>
      <c r="D521" t="str">
        <f>MID(analisis_productividad__4[[#This Row],[Periodo]],5,2)</f>
        <v>05</v>
      </c>
      <c r="E521" t="s">
        <v>11</v>
      </c>
      <c r="F521" t="s">
        <v>52</v>
      </c>
      <c r="G521">
        <v>102522</v>
      </c>
      <c r="H521">
        <v>8338573</v>
      </c>
      <c r="I521">
        <v>81.334731182795252</v>
      </c>
      <c r="J521">
        <v>98333.609148937743</v>
      </c>
      <c r="K521">
        <v>103</v>
      </c>
      <c r="L521">
        <v>91</v>
      </c>
      <c r="M521">
        <v>85.91077884372821</v>
      </c>
      <c r="N521">
        <v>8447917</v>
      </c>
    </row>
    <row r="522" spans="1:14" x14ac:dyDescent="0.35">
      <c r="A522" t="s">
        <v>79</v>
      </c>
      <c r="B522">
        <v>202503</v>
      </c>
      <c r="C522" t="str">
        <f>MID(analisis_productividad__4[[#This Row],[Periodo]],1,4)</f>
        <v>2025</v>
      </c>
      <c r="D522" t="str">
        <f>MID(analisis_productividad__4[[#This Row],[Periodo]],5,2)</f>
        <v>03</v>
      </c>
      <c r="E522" t="s">
        <v>11</v>
      </c>
      <c r="F522" t="s">
        <v>12</v>
      </c>
      <c r="G522">
        <v>102480</v>
      </c>
      <c r="H522">
        <v>6496963</v>
      </c>
      <c r="I522">
        <v>63.397654569892481</v>
      </c>
      <c r="J522">
        <v>89252.101154537813</v>
      </c>
      <c r="K522">
        <v>64.5</v>
      </c>
      <c r="L522">
        <v>64</v>
      </c>
      <c r="M522">
        <v>72.793394619927994</v>
      </c>
      <c r="N522">
        <v>6453247</v>
      </c>
    </row>
    <row r="523" spans="1:14" x14ac:dyDescent="0.35">
      <c r="A523" t="s">
        <v>72</v>
      </c>
      <c r="B523">
        <v>202512</v>
      </c>
      <c r="C523" t="str">
        <f>MID(analisis_productividad__4[[#This Row],[Periodo]],1,4)</f>
        <v>2025</v>
      </c>
      <c r="D523" t="str">
        <f>MID(analisis_productividad__4[[#This Row],[Periodo]],5,2)</f>
        <v>12</v>
      </c>
      <c r="E523" t="s">
        <v>11</v>
      </c>
      <c r="F523" t="s">
        <v>14</v>
      </c>
      <c r="G523">
        <v>102458</v>
      </c>
      <c r="H523">
        <v>6578609</v>
      </c>
      <c r="I523">
        <v>64.20792338709677</v>
      </c>
      <c r="J523">
        <v>119088.21621592755</v>
      </c>
      <c r="K523">
        <v>66</v>
      </c>
      <c r="L523">
        <v>64.5</v>
      </c>
      <c r="M523">
        <v>55.241474337577159</v>
      </c>
      <c r="N523">
        <v>7971250</v>
      </c>
    </row>
    <row r="524" spans="1:14" x14ac:dyDescent="0.35">
      <c r="A524" t="s">
        <v>46</v>
      </c>
      <c r="B524">
        <v>202601</v>
      </c>
      <c r="C524" t="str">
        <f>MID(analisis_productividad__4[[#This Row],[Periodo]],1,4)</f>
        <v>2026</v>
      </c>
      <c r="D524" t="str">
        <f>MID(analisis_productividad__4[[#This Row],[Periodo]],5,2)</f>
        <v>01</v>
      </c>
      <c r="E524" t="s">
        <v>11</v>
      </c>
      <c r="F524" t="s">
        <v>14</v>
      </c>
      <c r="G524">
        <v>102430</v>
      </c>
      <c r="H524">
        <v>6901710</v>
      </c>
      <c r="I524">
        <v>67.379798387096798</v>
      </c>
      <c r="J524">
        <v>91958.510286923571</v>
      </c>
      <c r="K524">
        <v>77</v>
      </c>
      <c r="L524">
        <v>79</v>
      </c>
      <c r="M524">
        <v>66.09086292651952</v>
      </c>
      <c r="N524">
        <v>6077617</v>
      </c>
    </row>
    <row r="525" spans="1:14" x14ac:dyDescent="0.35">
      <c r="A525" t="s">
        <v>18</v>
      </c>
      <c r="B525">
        <v>202511</v>
      </c>
      <c r="C525" t="str">
        <f>MID(analisis_productividad__4[[#This Row],[Periodo]],1,4)</f>
        <v>2025</v>
      </c>
      <c r="D525" t="str">
        <f>MID(analisis_productividad__4[[#This Row],[Periodo]],5,2)</f>
        <v>11</v>
      </c>
      <c r="E525" t="s">
        <v>16</v>
      </c>
      <c r="F525" t="s">
        <v>19</v>
      </c>
      <c r="G525">
        <v>102422</v>
      </c>
      <c r="H525">
        <v>6037489</v>
      </c>
      <c r="I525">
        <v>58.947145833333373</v>
      </c>
      <c r="J525">
        <v>98639.327361210162</v>
      </c>
      <c r="K525">
        <v>70.5</v>
      </c>
      <c r="L525">
        <v>69.5</v>
      </c>
      <c r="M525">
        <v>61.207730440934021</v>
      </c>
      <c r="N525">
        <v>5336325</v>
      </c>
    </row>
    <row r="526" spans="1:14" x14ac:dyDescent="0.35">
      <c r="A526" t="s">
        <v>77</v>
      </c>
      <c r="B526">
        <v>202412</v>
      </c>
      <c r="C526" t="str">
        <f>MID(analisis_productividad__4[[#This Row],[Periodo]],1,4)</f>
        <v>2024</v>
      </c>
      <c r="D526" t="str">
        <f>MID(analisis_productividad__4[[#This Row],[Periodo]],5,2)</f>
        <v>12</v>
      </c>
      <c r="E526" t="s">
        <v>16</v>
      </c>
      <c r="F526" t="s">
        <v>21</v>
      </c>
      <c r="G526">
        <v>102412</v>
      </c>
      <c r="H526">
        <v>6928570</v>
      </c>
      <c r="I526">
        <v>67.654106182795701</v>
      </c>
      <c r="J526">
        <v>0</v>
      </c>
      <c r="K526">
        <v>60.5</v>
      </c>
      <c r="L526">
        <v>60.5</v>
      </c>
      <c r="N526">
        <v>0</v>
      </c>
    </row>
    <row r="527" spans="1:14" x14ac:dyDescent="0.35">
      <c r="A527" t="s">
        <v>44</v>
      </c>
      <c r="B527">
        <v>202403</v>
      </c>
      <c r="C527" t="str">
        <f>MID(analisis_productividad__4[[#This Row],[Periodo]],1,4)</f>
        <v>2024</v>
      </c>
      <c r="D527" t="str">
        <f>MID(analisis_productividad__4[[#This Row],[Periodo]],5,2)</f>
        <v>03</v>
      </c>
      <c r="E527" t="s">
        <v>11</v>
      </c>
      <c r="F527" t="s">
        <v>12</v>
      </c>
      <c r="G527">
        <v>102381</v>
      </c>
      <c r="H527">
        <v>7586531</v>
      </c>
      <c r="I527">
        <v>74.101256720430086</v>
      </c>
      <c r="J527">
        <v>0</v>
      </c>
      <c r="K527">
        <v>78</v>
      </c>
      <c r="L527">
        <v>74.5</v>
      </c>
      <c r="N527">
        <v>0</v>
      </c>
    </row>
    <row r="528" spans="1:14" x14ac:dyDescent="0.35">
      <c r="A528" t="s">
        <v>46</v>
      </c>
      <c r="B528">
        <v>202406</v>
      </c>
      <c r="C528" t="str">
        <f>MID(analisis_productividad__4[[#This Row],[Periodo]],1,4)</f>
        <v>2024</v>
      </c>
      <c r="D528" t="str">
        <f>MID(analisis_productividad__4[[#This Row],[Periodo]],5,2)</f>
        <v>06</v>
      </c>
      <c r="E528" t="s">
        <v>11</v>
      </c>
      <c r="F528" t="s">
        <v>14</v>
      </c>
      <c r="G528">
        <v>102380</v>
      </c>
      <c r="H528">
        <v>7020747</v>
      </c>
      <c r="I528">
        <v>68.575694444444437</v>
      </c>
      <c r="J528">
        <v>0</v>
      </c>
      <c r="K528">
        <v>77</v>
      </c>
      <c r="L528">
        <v>79</v>
      </c>
      <c r="N528">
        <v>0</v>
      </c>
    </row>
    <row r="529" spans="1:14" x14ac:dyDescent="0.35">
      <c r="A529" t="s">
        <v>69</v>
      </c>
      <c r="B529">
        <v>202605</v>
      </c>
      <c r="C529" t="str">
        <f>MID(analisis_productividad__4[[#This Row],[Periodo]],1,4)</f>
        <v>2026</v>
      </c>
      <c r="D529" t="str">
        <f>MID(analisis_productividad__4[[#This Row],[Periodo]],5,2)</f>
        <v>05</v>
      </c>
      <c r="E529" t="s">
        <v>11</v>
      </c>
      <c r="F529" t="s">
        <v>52</v>
      </c>
      <c r="G529">
        <v>102379</v>
      </c>
      <c r="H529">
        <v>5433265</v>
      </c>
      <c r="I529">
        <v>53.070020161290991</v>
      </c>
      <c r="J529">
        <v>101996.01040504016</v>
      </c>
      <c r="K529">
        <v>68</v>
      </c>
      <c r="L529">
        <v>60.5</v>
      </c>
      <c r="M529">
        <v>56.717795741490448</v>
      </c>
      <c r="N529">
        <v>5784989</v>
      </c>
    </row>
    <row r="530" spans="1:14" x14ac:dyDescent="0.35">
      <c r="A530" t="s">
        <v>61</v>
      </c>
      <c r="B530">
        <v>202504</v>
      </c>
      <c r="C530" t="str">
        <f>MID(analisis_productividad__4[[#This Row],[Periodo]],1,4)</f>
        <v>2025</v>
      </c>
      <c r="D530" t="str">
        <f>MID(analisis_productividad__4[[#This Row],[Periodo]],5,2)</f>
        <v>04</v>
      </c>
      <c r="E530" t="s">
        <v>11</v>
      </c>
      <c r="F530" t="s">
        <v>52</v>
      </c>
      <c r="G530">
        <v>102328</v>
      </c>
      <c r="H530">
        <v>8555235</v>
      </c>
      <c r="I530">
        <v>83.606104166666697</v>
      </c>
      <c r="J530">
        <v>91661.899699526664</v>
      </c>
      <c r="K530">
        <v>104.5</v>
      </c>
      <c r="L530">
        <v>99</v>
      </c>
      <c r="M530">
        <v>93.334694328227826</v>
      </c>
      <c r="N530">
        <v>9247994</v>
      </c>
    </row>
    <row r="531" spans="1:14" x14ac:dyDescent="0.35">
      <c r="A531" t="s">
        <v>31</v>
      </c>
      <c r="B531">
        <v>202404</v>
      </c>
      <c r="C531" t="str">
        <f>MID(analisis_productividad__4[[#This Row],[Periodo]],1,4)</f>
        <v>2024</v>
      </c>
      <c r="D531" t="str">
        <f>MID(analisis_productividad__4[[#This Row],[Periodo]],5,2)</f>
        <v>04</v>
      </c>
      <c r="E531" t="s">
        <v>11</v>
      </c>
      <c r="F531" t="s">
        <v>14</v>
      </c>
      <c r="G531">
        <v>102323</v>
      </c>
      <c r="H531">
        <v>9036091</v>
      </c>
      <c r="I531">
        <v>88.30932638888892</v>
      </c>
      <c r="J531">
        <v>0</v>
      </c>
      <c r="K531">
        <v>101.5</v>
      </c>
      <c r="L531">
        <v>97.5</v>
      </c>
      <c r="N531">
        <v>0</v>
      </c>
    </row>
    <row r="532" spans="1:14" x14ac:dyDescent="0.35">
      <c r="A532" t="s">
        <v>26</v>
      </c>
      <c r="B532">
        <v>202507</v>
      </c>
      <c r="C532" t="str">
        <f>MID(analisis_productividad__4[[#This Row],[Periodo]],1,4)</f>
        <v>2025</v>
      </c>
      <c r="D532" t="str">
        <f>MID(analisis_productividad__4[[#This Row],[Periodo]],5,2)</f>
        <v>07</v>
      </c>
      <c r="E532" t="s">
        <v>11</v>
      </c>
      <c r="F532" t="s">
        <v>12</v>
      </c>
      <c r="G532">
        <v>102293</v>
      </c>
      <c r="H532">
        <v>6066310</v>
      </c>
      <c r="I532">
        <v>59.303407258064524</v>
      </c>
      <c r="J532">
        <v>92686.131058668427</v>
      </c>
      <c r="K532">
        <v>65.5</v>
      </c>
      <c r="L532">
        <v>63</v>
      </c>
      <c r="M532">
        <v>65.450026241360192</v>
      </c>
      <c r="N532">
        <v>6093701</v>
      </c>
    </row>
    <row r="533" spans="1:14" x14ac:dyDescent="0.35">
      <c r="A533" t="s">
        <v>65</v>
      </c>
      <c r="B533">
        <v>202412</v>
      </c>
      <c r="C533" t="str">
        <f>MID(analisis_productividad__4[[#This Row],[Periodo]],1,4)</f>
        <v>2024</v>
      </c>
      <c r="D533" t="str">
        <f>MID(analisis_productividad__4[[#This Row],[Periodo]],5,2)</f>
        <v>12</v>
      </c>
      <c r="E533" t="s">
        <v>16</v>
      </c>
      <c r="F533" t="s">
        <v>19</v>
      </c>
      <c r="G533">
        <v>102210</v>
      </c>
      <c r="H533">
        <v>7504821</v>
      </c>
      <c r="I533">
        <v>73.425813172042993</v>
      </c>
      <c r="J533">
        <v>0</v>
      </c>
      <c r="K533">
        <v>68</v>
      </c>
      <c r="L533">
        <v>68.5</v>
      </c>
      <c r="N533">
        <v>0</v>
      </c>
    </row>
    <row r="534" spans="1:14" x14ac:dyDescent="0.35">
      <c r="A534" t="s">
        <v>29</v>
      </c>
      <c r="B534">
        <v>202409</v>
      </c>
      <c r="C534" t="str">
        <f>MID(analisis_productividad__4[[#This Row],[Periodo]],1,4)</f>
        <v>2024</v>
      </c>
      <c r="D534" t="str">
        <f>MID(analisis_productividad__4[[#This Row],[Periodo]],5,2)</f>
        <v>09</v>
      </c>
      <c r="E534" t="s">
        <v>16</v>
      </c>
      <c r="F534" t="s">
        <v>19</v>
      </c>
      <c r="G534">
        <v>102177</v>
      </c>
      <c r="H534">
        <v>8979192</v>
      </c>
      <c r="I534">
        <v>87.878923611111134</v>
      </c>
      <c r="J534">
        <v>0</v>
      </c>
      <c r="K534">
        <v>96.5</v>
      </c>
      <c r="L534">
        <v>96</v>
      </c>
      <c r="N534">
        <v>0</v>
      </c>
    </row>
    <row r="535" spans="1:14" x14ac:dyDescent="0.35">
      <c r="A535" t="s">
        <v>79</v>
      </c>
      <c r="B535">
        <v>202412</v>
      </c>
      <c r="C535" t="str">
        <f>MID(analisis_productividad__4[[#This Row],[Periodo]],1,4)</f>
        <v>2024</v>
      </c>
      <c r="D535" t="str">
        <f>MID(analisis_productividad__4[[#This Row],[Periodo]],5,2)</f>
        <v>12</v>
      </c>
      <c r="E535" t="s">
        <v>11</v>
      </c>
      <c r="F535" t="s">
        <v>12</v>
      </c>
      <c r="G535">
        <v>102168</v>
      </c>
      <c r="H535">
        <v>7437277</v>
      </c>
      <c r="I535">
        <v>72.794401881720447</v>
      </c>
      <c r="J535">
        <v>0</v>
      </c>
      <c r="K535">
        <v>64.5</v>
      </c>
      <c r="L535">
        <v>64</v>
      </c>
      <c r="N535">
        <v>0</v>
      </c>
    </row>
    <row r="536" spans="1:14" x14ac:dyDescent="0.35">
      <c r="A536" t="s">
        <v>58</v>
      </c>
      <c r="B536">
        <v>202512</v>
      </c>
      <c r="C536" t="str">
        <f>MID(analisis_productividad__4[[#This Row],[Periodo]],1,4)</f>
        <v>2025</v>
      </c>
      <c r="D536" t="str">
        <f>MID(analisis_productividad__4[[#This Row],[Periodo]],5,2)</f>
        <v>12</v>
      </c>
      <c r="E536" t="s">
        <v>34</v>
      </c>
      <c r="F536" t="s">
        <v>35</v>
      </c>
      <c r="G536">
        <v>102163</v>
      </c>
      <c r="H536">
        <v>4434770</v>
      </c>
      <c r="I536">
        <v>43.408655913978464</v>
      </c>
      <c r="J536">
        <v>92957.429362222232</v>
      </c>
      <c r="K536">
        <v>53.5</v>
      </c>
      <c r="L536">
        <v>52</v>
      </c>
      <c r="M536">
        <v>47.70753387251353</v>
      </c>
      <c r="N536">
        <v>4821563</v>
      </c>
    </row>
    <row r="537" spans="1:14" x14ac:dyDescent="0.35">
      <c r="A537" t="s">
        <v>27</v>
      </c>
      <c r="B537">
        <v>202406</v>
      </c>
      <c r="C537" t="str">
        <f>MID(analisis_productividad__4[[#This Row],[Periodo]],1,4)</f>
        <v>2024</v>
      </c>
      <c r="D537" t="str">
        <f>MID(analisis_productividad__4[[#This Row],[Periodo]],5,2)</f>
        <v>06</v>
      </c>
      <c r="E537" t="s">
        <v>11</v>
      </c>
      <c r="F537" t="s">
        <v>14</v>
      </c>
      <c r="G537">
        <v>102147</v>
      </c>
      <c r="H537">
        <v>8107532</v>
      </c>
      <c r="I537">
        <v>79.370909722222223</v>
      </c>
      <c r="J537">
        <v>0</v>
      </c>
      <c r="K537">
        <v>88</v>
      </c>
      <c r="L537">
        <v>84</v>
      </c>
      <c r="N537">
        <v>0</v>
      </c>
    </row>
    <row r="538" spans="1:14" x14ac:dyDescent="0.35">
      <c r="A538" t="s">
        <v>85</v>
      </c>
      <c r="B538">
        <v>202512</v>
      </c>
      <c r="C538" t="str">
        <f>MID(analisis_productividad__4[[#This Row],[Periodo]],1,4)</f>
        <v>2025</v>
      </c>
      <c r="D538" t="str">
        <f>MID(analisis_productividad__4[[#This Row],[Periodo]],5,2)</f>
        <v>12</v>
      </c>
      <c r="E538" t="s">
        <v>11</v>
      </c>
      <c r="F538" t="s">
        <v>14</v>
      </c>
      <c r="G538">
        <v>102130</v>
      </c>
      <c r="H538">
        <v>5573949</v>
      </c>
      <c r="I538">
        <v>54.577137096774194</v>
      </c>
      <c r="J538">
        <v>106224.3500749313</v>
      </c>
      <c r="K538">
        <v>60.5</v>
      </c>
      <c r="L538">
        <v>57.5</v>
      </c>
      <c r="M538">
        <v>52.473366003822129</v>
      </c>
      <c r="N538">
        <v>5963632</v>
      </c>
    </row>
    <row r="539" spans="1:14" x14ac:dyDescent="0.35">
      <c r="A539" t="s">
        <v>60</v>
      </c>
      <c r="B539">
        <v>202503</v>
      </c>
      <c r="C539" t="str">
        <f>MID(analisis_productividad__4[[#This Row],[Periodo]],1,4)</f>
        <v>2025</v>
      </c>
      <c r="D539" t="str">
        <f>MID(analisis_productividad__4[[#This Row],[Periodo]],5,2)</f>
        <v>03</v>
      </c>
      <c r="E539" t="s">
        <v>11</v>
      </c>
      <c r="F539" t="s">
        <v>14</v>
      </c>
      <c r="G539">
        <v>102072</v>
      </c>
      <c r="H539">
        <v>7340456</v>
      </c>
      <c r="I539">
        <v>71.914650537634429</v>
      </c>
      <c r="J539">
        <v>105753.88720346721</v>
      </c>
      <c r="K539">
        <v>75.5</v>
      </c>
      <c r="L539">
        <v>74</v>
      </c>
      <c r="M539">
        <v>69.410747860995301</v>
      </c>
      <c r="N539">
        <v>7876611</v>
      </c>
    </row>
    <row r="540" spans="1:14" x14ac:dyDescent="0.35">
      <c r="A540" t="s">
        <v>43</v>
      </c>
      <c r="B540">
        <v>202403</v>
      </c>
      <c r="C540" t="str">
        <f>MID(analisis_productividad__4[[#This Row],[Periodo]],1,4)</f>
        <v>2024</v>
      </c>
      <c r="D540" t="str">
        <f>MID(analisis_productividad__4[[#This Row],[Periodo]],5,2)</f>
        <v>03</v>
      </c>
      <c r="E540" t="s">
        <v>11</v>
      </c>
      <c r="F540" t="s">
        <v>12</v>
      </c>
      <c r="G540">
        <v>102029</v>
      </c>
      <c r="H540">
        <v>8159013</v>
      </c>
      <c r="I540">
        <v>79.967237903225808</v>
      </c>
      <c r="J540">
        <v>0</v>
      </c>
      <c r="K540">
        <v>84.5</v>
      </c>
      <c r="L540">
        <v>86.5</v>
      </c>
      <c r="N540">
        <v>0</v>
      </c>
    </row>
    <row r="541" spans="1:14" x14ac:dyDescent="0.35">
      <c r="A541" t="s">
        <v>69</v>
      </c>
      <c r="B541">
        <v>202412</v>
      </c>
      <c r="C541" t="str">
        <f>MID(analisis_productividad__4[[#This Row],[Periodo]],1,4)</f>
        <v>2024</v>
      </c>
      <c r="D541" t="str">
        <f>MID(analisis_productividad__4[[#This Row],[Periodo]],5,2)</f>
        <v>12</v>
      </c>
      <c r="E541" t="s">
        <v>11</v>
      </c>
      <c r="F541" t="s">
        <v>52</v>
      </c>
      <c r="G541">
        <v>101988</v>
      </c>
      <c r="H541">
        <v>6589805</v>
      </c>
      <c r="I541">
        <v>64.613481182795695</v>
      </c>
      <c r="J541">
        <v>0</v>
      </c>
      <c r="K541">
        <v>68</v>
      </c>
      <c r="L541">
        <v>60.5</v>
      </c>
      <c r="N541">
        <v>0</v>
      </c>
    </row>
    <row r="542" spans="1:14" x14ac:dyDescent="0.35">
      <c r="A542" t="s">
        <v>43</v>
      </c>
      <c r="B542">
        <v>202606</v>
      </c>
      <c r="C542" t="str">
        <f>MID(analisis_productividad__4[[#This Row],[Periodo]],1,4)</f>
        <v>2026</v>
      </c>
      <c r="D542" t="str">
        <f>MID(analisis_productividad__4[[#This Row],[Periodo]],5,2)</f>
        <v>06</v>
      </c>
      <c r="E542" t="s">
        <v>11</v>
      </c>
      <c r="F542" t="s">
        <v>12</v>
      </c>
      <c r="G542">
        <v>101949</v>
      </c>
      <c r="H542">
        <v>7280441</v>
      </c>
      <c r="I542">
        <v>71.412736111113404</v>
      </c>
      <c r="J542">
        <v>97544.191137583024</v>
      </c>
      <c r="K542">
        <v>84.5</v>
      </c>
      <c r="L542">
        <v>86.5</v>
      </c>
      <c r="M542">
        <v>71.456708642637324</v>
      </c>
      <c r="N542">
        <v>6970187</v>
      </c>
    </row>
    <row r="543" spans="1:14" x14ac:dyDescent="0.35">
      <c r="A543" t="s">
        <v>39</v>
      </c>
      <c r="B543">
        <v>202503</v>
      </c>
      <c r="C543" t="str">
        <f>MID(analisis_productividad__4[[#This Row],[Periodo]],1,4)</f>
        <v>2025</v>
      </c>
      <c r="D543" t="str">
        <f>MID(analisis_productividad__4[[#This Row],[Periodo]],5,2)</f>
        <v>03</v>
      </c>
      <c r="E543" t="s">
        <v>16</v>
      </c>
      <c r="F543" t="s">
        <v>17</v>
      </c>
      <c r="G543">
        <v>101909</v>
      </c>
      <c r="H543">
        <v>9051269</v>
      </c>
      <c r="I543">
        <v>88.817063172042879</v>
      </c>
      <c r="J543">
        <v>106696.73930929552</v>
      </c>
      <c r="K543">
        <v>93.5</v>
      </c>
      <c r="L543">
        <v>94</v>
      </c>
      <c r="M543">
        <v>84.831725867103813</v>
      </c>
      <c r="N543">
        <v>9225635</v>
      </c>
    </row>
    <row r="544" spans="1:14" x14ac:dyDescent="0.35">
      <c r="A544" t="s">
        <v>56</v>
      </c>
      <c r="B544">
        <v>202507</v>
      </c>
      <c r="C544" t="str">
        <f>MID(analisis_productividad__4[[#This Row],[Periodo]],1,4)</f>
        <v>2025</v>
      </c>
      <c r="D544" t="str">
        <f>MID(analisis_productividad__4[[#This Row],[Periodo]],5,2)</f>
        <v>07</v>
      </c>
      <c r="E544" t="s">
        <v>16</v>
      </c>
      <c r="F544" t="s">
        <v>21</v>
      </c>
      <c r="G544">
        <v>101845</v>
      </c>
      <c r="H544">
        <v>6168740</v>
      </c>
      <c r="I544">
        <v>60.570134408602129</v>
      </c>
      <c r="J544">
        <v>116844.36090225566</v>
      </c>
      <c r="K544">
        <v>72.5</v>
      </c>
      <c r="L544">
        <v>68.5</v>
      </c>
      <c r="M544">
        <v>52.79450529204712</v>
      </c>
      <c r="N544">
        <v>7185540</v>
      </c>
    </row>
    <row r="545" spans="1:14" x14ac:dyDescent="0.35">
      <c r="A545" t="s">
        <v>53</v>
      </c>
      <c r="B545">
        <v>202407</v>
      </c>
      <c r="C545" t="str">
        <f>MID(analisis_productividad__4[[#This Row],[Periodo]],1,4)</f>
        <v>2024</v>
      </c>
      <c r="D545" t="str">
        <f>MID(analisis_productividad__4[[#This Row],[Periodo]],5,2)</f>
        <v>07</v>
      </c>
      <c r="E545" t="s">
        <v>11</v>
      </c>
      <c r="F545" t="s">
        <v>12</v>
      </c>
      <c r="G545">
        <v>101825</v>
      </c>
      <c r="H545">
        <v>7042900</v>
      </c>
      <c r="I545">
        <v>69.16682123655913</v>
      </c>
      <c r="J545">
        <v>0</v>
      </c>
      <c r="K545">
        <v>81</v>
      </c>
      <c r="L545">
        <v>77</v>
      </c>
      <c r="N545">
        <v>0</v>
      </c>
    </row>
    <row r="546" spans="1:14" x14ac:dyDescent="0.35">
      <c r="A546" t="s">
        <v>61</v>
      </c>
      <c r="B546">
        <v>202408</v>
      </c>
      <c r="C546" t="str">
        <f>MID(analisis_productividad__4[[#This Row],[Periodo]],1,4)</f>
        <v>2024</v>
      </c>
      <c r="D546" t="str">
        <f>MID(analisis_productividad__4[[#This Row],[Periodo]],5,2)</f>
        <v>08</v>
      </c>
      <c r="E546" t="s">
        <v>11</v>
      </c>
      <c r="F546" t="s">
        <v>52</v>
      </c>
      <c r="G546">
        <v>101810</v>
      </c>
      <c r="H546">
        <v>8822377</v>
      </c>
      <c r="I546">
        <v>86.655625000000043</v>
      </c>
      <c r="J546">
        <v>0</v>
      </c>
      <c r="K546">
        <v>104.5</v>
      </c>
      <c r="L546">
        <v>99</v>
      </c>
      <c r="N546">
        <v>0</v>
      </c>
    </row>
    <row r="547" spans="1:14" x14ac:dyDescent="0.35">
      <c r="A547" t="s">
        <v>54</v>
      </c>
      <c r="B547">
        <v>202606</v>
      </c>
      <c r="C547" t="str">
        <f>MID(analisis_productividad__4[[#This Row],[Periodo]],1,4)</f>
        <v>2026</v>
      </c>
      <c r="D547" t="str">
        <f>MID(analisis_productividad__4[[#This Row],[Periodo]],5,2)</f>
        <v>06</v>
      </c>
      <c r="E547" t="s">
        <v>11</v>
      </c>
      <c r="F547" t="s">
        <v>52</v>
      </c>
      <c r="G547">
        <v>101784</v>
      </c>
      <c r="H547">
        <v>9047987</v>
      </c>
      <c r="I547">
        <v>88.894312500002343</v>
      </c>
      <c r="J547">
        <v>93926.935431288468</v>
      </c>
      <c r="K547">
        <v>106</v>
      </c>
      <c r="L547">
        <v>102.5</v>
      </c>
      <c r="M547">
        <v>90.060822135394957</v>
      </c>
      <c r="N547">
        <v>8459137</v>
      </c>
    </row>
    <row r="548" spans="1:14" x14ac:dyDescent="0.35">
      <c r="A548" t="s">
        <v>40</v>
      </c>
      <c r="B548">
        <v>202602</v>
      </c>
      <c r="C548" t="str">
        <f>MID(analisis_productividad__4[[#This Row],[Periodo]],1,4)</f>
        <v>2026</v>
      </c>
      <c r="D548" t="str">
        <f>MID(analisis_productividad__4[[#This Row],[Periodo]],5,2)</f>
        <v>02</v>
      </c>
      <c r="E548" t="s">
        <v>11</v>
      </c>
      <c r="F548" t="s">
        <v>14</v>
      </c>
      <c r="G548">
        <v>101711</v>
      </c>
      <c r="H548">
        <v>6710236</v>
      </c>
      <c r="I548">
        <v>65.973854166666669</v>
      </c>
      <c r="J548">
        <v>92254.833011497321</v>
      </c>
      <c r="K548">
        <v>76.5</v>
      </c>
      <c r="L548">
        <v>75.5</v>
      </c>
      <c r="M548">
        <v>67.697971575339096</v>
      </c>
      <c r="N548">
        <v>6245465</v>
      </c>
    </row>
    <row r="549" spans="1:14" x14ac:dyDescent="0.35">
      <c r="A549" t="s">
        <v>50</v>
      </c>
      <c r="B549">
        <v>202508</v>
      </c>
      <c r="C549" t="str">
        <f>MID(analisis_productividad__4[[#This Row],[Periodo]],1,4)</f>
        <v>2025</v>
      </c>
      <c r="D549" t="str">
        <f>MID(analisis_productividad__4[[#This Row],[Periodo]],5,2)</f>
        <v>08</v>
      </c>
      <c r="E549" t="s">
        <v>34</v>
      </c>
      <c r="F549" t="s">
        <v>35</v>
      </c>
      <c r="G549">
        <v>101703</v>
      </c>
      <c r="H549">
        <v>6007036</v>
      </c>
      <c r="I549">
        <v>59.064569892473145</v>
      </c>
      <c r="J549">
        <v>99478.104094011505</v>
      </c>
      <c r="K549">
        <v>79.5</v>
      </c>
      <c r="L549">
        <v>72.5</v>
      </c>
      <c r="M549">
        <v>60.385510708196321</v>
      </c>
      <c r="N549">
        <v>6001323</v>
      </c>
    </row>
    <row r="550" spans="1:14" x14ac:dyDescent="0.35">
      <c r="A550" t="s">
        <v>51</v>
      </c>
      <c r="B550">
        <v>202504</v>
      </c>
      <c r="C550" t="str">
        <f>MID(analisis_productividad__4[[#This Row],[Periodo]],1,4)</f>
        <v>2025</v>
      </c>
      <c r="D550" t="str">
        <f>MID(analisis_productividad__4[[#This Row],[Periodo]],5,2)</f>
        <v>04</v>
      </c>
      <c r="E550" t="s">
        <v>11</v>
      </c>
      <c r="F550" t="s">
        <v>52</v>
      </c>
      <c r="G550">
        <v>101661</v>
      </c>
      <c r="H550">
        <v>9576095</v>
      </c>
      <c r="I550">
        <v>94.196472222222212</v>
      </c>
      <c r="J550">
        <v>103826.72737841868</v>
      </c>
      <c r="K550">
        <v>117.5</v>
      </c>
      <c r="L550">
        <v>99</v>
      </c>
      <c r="M550">
        <v>92.23150360020378</v>
      </c>
      <c r="N550">
        <v>9879676</v>
      </c>
    </row>
    <row r="551" spans="1:14" x14ac:dyDescent="0.35">
      <c r="A551" t="s">
        <v>61</v>
      </c>
      <c r="B551">
        <v>202604</v>
      </c>
      <c r="C551" t="str">
        <f>MID(analisis_productividad__4[[#This Row],[Periodo]],1,4)</f>
        <v>2026</v>
      </c>
      <c r="D551" t="str">
        <f>MID(analisis_productividad__4[[#This Row],[Periodo]],5,2)</f>
        <v>04</v>
      </c>
      <c r="E551" t="s">
        <v>11</v>
      </c>
      <c r="F551" t="s">
        <v>52</v>
      </c>
      <c r="G551">
        <v>101623</v>
      </c>
      <c r="H551">
        <v>9111030</v>
      </c>
      <c r="I551">
        <v>89.655222222224282</v>
      </c>
      <c r="J551">
        <v>98771.109411515688</v>
      </c>
      <c r="K551">
        <v>104.5</v>
      </c>
      <c r="L551">
        <v>99</v>
      </c>
      <c r="M551">
        <v>90.280982690474389</v>
      </c>
      <c r="N551">
        <v>8917153</v>
      </c>
    </row>
    <row r="552" spans="1:14" x14ac:dyDescent="0.35">
      <c r="A552" t="s">
        <v>39</v>
      </c>
      <c r="B552">
        <v>202403</v>
      </c>
      <c r="C552" t="str">
        <f>MID(analisis_productividad__4[[#This Row],[Periodo]],1,4)</f>
        <v>2024</v>
      </c>
      <c r="D552" t="str">
        <f>MID(analisis_productividad__4[[#This Row],[Periodo]],5,2)</f>
        <v>03</v>
      </c>
      <c r="E552" t="s">
        <v>16</v>
      </c>
      <c r="F552" t="s">
        <v>17</v>
      </c>
      <c r="G552">
        <v>101616</v>
      </c>
      <c r="H552">
        <v>8997767</v>
      </c>
      <c r="I552">
        <v>88.546801075268789</v>
      </c>
      <c r="J552">
        <v>0</v>
      </c>
      <c r="K552">
        <v>93.5</v>
      </c>
      <c r="L552">
        <v>94</v>
      </c>
      <c r="N552">
        <v>0</v>
      </c>
    </row>
    <row r="553" spans="1:14" x14ac:dyDescent="0.35">
      <c r="A553" t="s">
        <v>25</v>
      </c>
      <c r="B553">
        <v>202510</v>
      </c>
      <c r="C553" t="str">
        <f>MID(analisis_productividad__4[[#This Row],[Periodo]],1,4)</f>
        <v>2025</v>
      </c>
      <c r="D553" t="str">
        <f>MID(analisis_productividad__4[[#This Row],[Periodo]],5,2)</f>
        <v>10</v>
      </c>
      <c r="E553" t="s">
        <v>16</v>
      </c>
      <c r="F553" t="s">
        <v>19</v>
      </c>
      <c r="G553">
        <v>101606</v>
      </c>
      <c r="H553">
        <v>8475539</v>
      </c>
      <c r="I553">
        <v>83.415678763440823</v>
      </c>
      <c r="J553">
        <v>100628.78106173531</v>
      </c>
      <c r="K553">
        <v>94</v>
      </c>
      <c r="L553">
        <v>92</v>
      </c>
      <c r="M553">
        <v>84.225791175988647</v>
      </c>
      <c r="N553">
        <v>8006547</v>
      </c>
    </row>
    <row r="554" spans="1:14" x14ac:dyDescent="0.35">
      <c r="A554" t="s">
        <v>28</v>
      </c>
      <c r="B554">
        <v>202407</v>
      </c>
      <c r="C554" t="str">
        <f>MID(analisis_productividad__4[[#This Row],[Periodo]],1,4)</f>
        <v>2024</v>
      </c>
      <c r="D554" t="str">
        <f>MID(analisis_productividad__4[[#This Row],[Periodo]],5,2)</f>
        <v>07</v>
      </c>
      <c r="E554" t="s">
        <v>16</v>
      </c>
      <c r="F554" t="s">
        <v>17</v>
      </c>
      <c r="G554">
        <v>101599</v>
      </c>
      <c r="H554">
        <v>6141428</v>
      </c>
      <c r="I554">
        <v>60.447446236559145</v>
      </c>
      <c r="J554">
        <v>0</v>
      </c>
      <c r="K554">
        <v>64</v>
      </c>
      <c r="L554">
        <v>67</v>
      </c>
      <c r="N554">
        <v>0</v>
      </c>
    </row>
    <row r="555" spans="1:14" x14ac:dyDescent="0.35">
      <c r="A555" t="s">
        <v>36</v>
      </c>
      <c r="B555">
        <v>202405</v>
      </c>
      <c r="C555" t="str">
        <f>MID(analisis_productividad__4[[#This Row],[Periodo]],1,4)</f>
        <v>2024</v>
      </c>
      <c r="D555" t="str">
        <f>MID(analisis_productividad__4[[#This Row],[Periodo]],5,2)</f>
        <v>05</v>
      </c>
      <c r="E555" t="s">
        <v>16</v>
      </c>
      <c r="F555" t="s">
        <v>17</v>
      </c>
      <c r="G555">
        <v>101585</v>
      </c>
      <c r="H555">
        <v>7281319</v>
      </c>
      <c r="I555">
        <v>71.677271505376297</v>
      </c>
      <c r="J555">
        <v>0</v>
      </c>
      <c r="K555">
        <v>76.5</v>
      </c>
      <c r="L555">
        <v>80</v>
      </c>
      <c r="N555">
        <v>0</v>
      </c>
    </row>
    <row r="556" spans="1:14" x14ac:dyDescent="0.35">
      <c r="A556" t="s">
        <v>29</v>
      </c>
      <c r="B556">
        <v>202502</v>
      </c>
      <c r="C556" t="str">
        <f>MID(analisis_productividad__4[[#This Row],[Periodo]],1,4)</f>
        <v>2025</v>
      </c>
      <c r="D556" t="str">
        <f>MID(analisis_productividad__4[[#This Row],[Periodo]],5,2)</f>
        <v>02</v>
      </c>
      <c r="E556" t="s">
        <v>16</v>
      </c>
      <c r="F556" t="s">
        <v>19</v>
      </c>
      <c r="G556">
        <v>101574</v>
      </c>
      <c r="H556">
        <v>9381120</v>
      </c>
      <c r="I556">
        <v>92.357135416666679</v>
      </c>
      <c r="J556">
        <v>99220.845089908093</v>
      </c>
      <c r="K556">
        <v>96.5</v>
      </c>
      <c r="L556">
        <v>96</v>
      </c>
      <c r="M556">
        <v>94.547874708176295</v>
      </c>
      <c r="N556">
        <v>8613283</v>
      </c>
    </row>
    <row r="557" spans="1:14" x14ac:dyDescent="0.35">
      <c r="A557" t="s">
        <v>37</v>
      </c>
      <c r="B557">
        <v>202407</v>
      </c>
      <c r="C557" t="str">
        <f>MID(analisis_productividad__4[[#This Row],[Periodo]],1,4)</f>
        <v>2024</v>
      </c>
      <c r="D557" t="str">
        <f>MID(analisis_productividad__4[[#This Row],[Periodo]],5,2)</f>
        <v>07</v>
      </c>
      <c r="E557" t="s">
        <v>16</v>
      </c>
      <c r="F557" t="s">
        <v>17</v>
      </c>
      <c r="G557">
        <v>101554</v>
      </c>
      <c r="H557">
        <v>11001575</v>
      </c>
      <c r="I557">
        <v>108.33215053763442</v>
      </c>
      <c r="J557">
        <v>0</v>
      </c>
      <c r="K557">
        <v>107.5</v>
      </c>
      <c r="L557">
        <v>102.5</v>
      </c>
      <c r="N557">
        <v>0</v>
      </c>
    </row>
    <row r="558" spans="1:14" x14ac:dyDescent="0.35">
      <c r="A558" t="s">
        <v>67</v>
      </c>
      <c r="B558">
        <v>202605</v>
      </c>
      <c r="C558" t="str">
        <f>MID(analisis_productividad__4[[#This Row],[Periodo]],1,4)</f>
        <v>2026</v>
      </c>
      <c r="D558" t="str">
        <f>MID(analisis_productividad__4[[#This Row],[Periodo]],5,2)</f>
        <v>05</v>
      </c>
      <c r="E558" t="s">
        <v>16</v>
      </c>
      <c r="F558" t="s">
        <v>19</v>
      </c>
      <c r="G558">
        <v>101518</v>
      </c>
      <c r="H558">
        <v>6988920</v>
      </c>
      <c r="I558">
        <v>68.843823924730657</v>
      </c>
      <c r="J558">
        <v>99753.260557805013</v>
      </c>
      <c r="K558">
        <v>79.5</v>
      </c>
      <c r="L558">
        <v>81.5</v>
      </c>
      <c r="M558">
        <v>68.773296674593993</v>
      </c>
      <c r="N558">
        <v>6860361</v>
      </c>
    </row>
    <row r="559" spans="1:14" x14ac:dyDescent="0.35">
      <c r="A559" t="s">
        <v>54</v>
      </c>
      <c r="B559">
        <v>202504</v>
      </c>
      <c r="C559" t="str">
        <f>MID(analisis_productividad__4[[#This Row],[Periodo]],1,4)</f>
        <v>2025</v>
      </c>
      <c r="D559" t="str">
        <f>MID(analisis_productividad__4[[#This Row],[Periodo]],5,2)</f>
        <v>04</v>
      </c>
      <c r="E559" t="s">
        <v>11</v>
      </c>
      <c r="F559" t="s">
        <v>52</v>
      </c>
      <c r="G559">
        <v>101484</v>
      </c>
      <c r="H559">
        <v>8798544</v>
      </c>
      <c r="I559">
        <v>86.698548611111121</v>
      </c>
      <c r="J559">
        <v>84897.29014856524</v>
      </c>
      <c r="K559">
        <v>106</v>
      </c>
      <c r="L559">
        <v>102.5</v>
      </c>
      <c r="M559">
        <v>103.63751062728936</v>
      </c>
      <c r="N559">
        <v>9604933</v>
      </c>
    </row>
    <row r="560" spans="1:14" x14ac:dyDescent="0.35">
      <c r="A560" t="s">
        <v>61</v>
      </c>
      <c r="B560">
        <v>202508</v>
      </c>
      <c r="C560" t="str">
        <f>MID(analisis_productividad__4[[#This Row],[Periodo]],1,4)</f>
        <v>2025</v>
      </c>
      <c r="D560" t="str">
        <f>MID(analisis_productividad__4[[#This Row],[Periodo]],5,2)</f>
        <v>08</v>
      </c>
      <c r="E560" t="s">
        <v>11</v>
      </c>
      <c r="F560" t="s">
        <v>52</v>
      </c>
      <c r="G560">
        <v>101457</v>
      </c>
      <c r="H560">
        <v>8808163</v>
      </c>
      <c r="I560">
        <v>86.816841397849473</v>
      </c>
      <c r="J560">
        <v>106900.10800222137</v>
      </c>
      <c r="K560">
        <v>104.5</v>
      </c>
      <c r="L560">
        <v>99</v>
      </c>
      <c r="M560">
        <v>82.396207119051425</v>
      </c>
      <c r="N560">
        <v>9124119</v>
      </c>
    </row>
    <row r="561" spans="1:14" x14ac:dyDescent="0.35">
      <c r="A561" t="s">
        <v>72</v>
      </c>
      <c r="B561">
        <v>202403</v>
      </c>
      <c r="C561" t="str">
        <f>MID(analisis_productividad__4[[#This Row],[Periodo]],1,4)</f>
        <v>2024</v>
      </c>
      <c r="D561" t="str">
        <f>MID(analisis_productividad__4[[#This Row],[Periodo]],5,2)</f>
        <v>03</v>
      </c>
      <c r="E561" t="s">
        <v>11</v>
      </c>
      <c r="F561" t="s">
        <v>14</v>
      </c>
      <c r="G561">
        <v>101455</v>
      </c>
      <c r="H561">
        <v>6684313</v>
      </c>
      <c r="I561">
        <v>65.884206989247346</v>
      </c>
      <c r="J561">
        <v>0</v>
      </c>
      <c r="K561">
        <v>66</v>
      </c>
      <c r="L561">
        <v>64.5</v>
      </c>
      <c r="N561">
        <v>0</v>
      </c>
    </row>
    <row r="562" spans="1:14" x14ac:dyDescent="0.35">
      <c r="A562" t="s">
        <v>70</v>
      </c>
      <c r="B562">
        <v>202603</v>
      </c>
      <c r="C562" t="str">
        <f>MID(analisis_productividad__4[[#This Row],[Periodo]],1,4)</f>
        <v>2026</v>
      </c>
      <c r="D562" t="str">
        <f>MID(analisis_productividad__4[[#This Row],[Periodo]],5,2)</f>
        <v>03</v>
      </c>
      <c r="E562" t="s">
        <v>11</v>
      </c>
      <c r="F562" t="s">
        <v>14</v>
      </c>
      <c r="G562">
        <v>101328</v>
      </c>
      <c r="H562">
        <v>6302852</v>
      </c>
      <c r="I562">
        <v>62.202479838709699</v>
      </c>
      <c r="J562">
        <v>107300.29933535568</v>
      </c>
      <c r="K562">
        <v>65</v>
      </c>
      <c r="L562">
        <v>67.5</v>
      </c>
      <c r="M562">
        <v>56.772923994003762</v>
      </c>
      <c r="N562">
        <v>6091752</v>
      </c>
    </row>
    <row r="563" spans="1:14" x14ac:dyDescent="0.35">
      <c r="A563" t="s">
        <v>58</v>
      </c>
      <c r="B563">
        <v>202503</v>
      </c>
      <c r="C563" t="str">
        <f>MID(analisis_productividad__4[[#This Row],[Periodo]],1,4)</f>
        <v>2025</v>
      </c>
      <c r="D563" t="str">
        <f>MID(analisis_productividad__4[[#This Row],[Periodo]],5,2)</f>
        <v>03</v>
      </c>
      <c r="E563" t="s">
        <v>34</v>
      </c>
      <c r="F563" t="s">
        <v>35</v>
      </c>
      <c r="G563">
        <v>101315</v>
      </c>
      <c r="H563">
        <v>4555194</v>
      </c>
      <c r="I563">
        <v>44.960557795698925</v>
      </c>
      <c r="J563">
        <v>94115.956414838292</v>
      </c>
      <c r="K563">
        <v>53.5</v>
      </c>
      <c r="L563">
        <v>52</v>
      </c>
      <c r="M563">
        <v>48.39980215386548</v>
      </c>
      <c r="N563">
        <v>4583728</v>
      </c>
    </row>
    <row r="564" spans="1:14" x14ac:dyDescent="0.35">
      <c r="A564" t="s">
        <v>13</v>
      </c>
      <c r="B564">
        <v>202509</v>
      </c>
      <c r="C564" t="str">
        <f>MID(analisis_productividad__4[[#This Row],[Periodo]],1,4)</f>
        <v>2025</v>
      </c>
      <c r="D564" t="str">
        <f>MID(analisis_productividad__4[[#This Row],[Periodo]],5,2)</f>
        <v>09</v>
      </c>
      <c r="E564" t="s">
        <v>11</v>
      </c>
      <c r="F564" t="s">
        <v>14</v>
      </c>
      <c r="G564">
        <v>101268</v>
      </c>
      <c r="H564">
        <v>8605098</v>
      </c>
      <c r="I564">
        <v>84.973437500000045</v>
      </c>
      <c r="J564">
        <v>99976.059882908899</v>
      </c>
      <c r="K564">
        <v>100</v>
      </c>
      <c r="L564">
        <v>98</v>
      </c>
      <c r="M564">
        <v>86.071583637905064</v>
      </c>
      <c r="N564">
        <v>9193875</v>
      </c>
    </row>
    <row r="565" spans="1:14" x14ac:dyDescent="0.35">
      <c r="A565" t="s">
        <v>56</v>
      </c>
      <c r="B565">
        <v>202505</v>
      </c>
      <c r="C565" t="str">
        <f>MID(analisis_productividad__4[[#This Row],[Periodo]],1,4)</f>
        <v>2025</v>
      </c>
      <c r="D565" t="str">
        <f>MID(analisis_productividad__4[[#This Row],[Periodo]],5,2)</f>
        <v>05</v>
      </c>
      <c r="E565" t="s">
        <v>16</v>
      </c>
      <c r="F565" t="s">
        <v>21</v>
      </c>
      <c r="G565">
        <v>101268</v>
      </c>
      <c r="H565">
        <v>6101716</v>
      </c>
      <c r="I565">
        <v>60.25329973118275</v>
      </c>
      <c r="J565">
        <v>88919.115560465478</v>
      </c>
      <c r="K565">
        <v>72.5</v>
      </c>
      <c r="L565">
        <v>68.5</v>
      </c>
      <c r="M565">
        <v>68.6209696479808</v>
      </c>
      <c r="N565">
        <v>6011564</v>
      </c>
    </row>
    <row r="566" spans="1:14" x14ac:dyDescent="0.35">
      <c r="A566" t="s">
        <v>23</v>
      </c>
      <c r="B566">
        <v>202408</v>
      </c>
      <c r="C566" t="str">
        <f>MID(analisis_productividad__4[[#This Row],[Periodo]],1,4)</f>
        <v>2024</v>
      </c>
      <c r="D566" t="str">
        <f>MID(analisis_productividad__4[[#This Row],[Periodo]],5,2)</f>
        <v>08</v>
      </c>
      <c r="E566" t="s">
        <v>11</v>
      </c>
      <c r="F566" t="s">
        <v>12</v>
      </c>
      <c r="G566">
        <v>101264</v>
      </c>
      <c r="H566">
        <v>5843283</v>
      </c>
      <c r="I566">
        <v>57.703192204301068</v>
      </c>
      <c r="J566">
        <v>0</v>
      </c>
      <c r="K566">
        <v>68.5</v>
      </c>
      <c r="L566">
        <v>66</v>
      </c>
      <c r="N566">
        <v>0</v>
      </c>
    </row>
    <row r="567" spans="1:14" x14ac:dyDescent="0.35">
      <c r="A567" t="s">
        <v>51</v>
      </c>
      <c r="B567">
        <v>202503</v>
      </c>
      <c r="C567" t="str">
        <f>MID(analisis_productividad__4[[#This Row],[Periodo]],1,4)</f>
        <v>2025</v>
      </c>
      <c r="D567" t="str">
        <f>MID(analisis_productividad__4[[#This Row],[Periodo]],5,2)</f>
        <v>03</v>
      </c>
      <c r="E567" t="s">
        <v>11</v>
      </c>
      <c r="F567" t="s">
        <v>52</v>
      </c>
      <c r="G567">
        <v>101253</v>
      </c>
      <c r="H567">
        <v>10716261</v>
      </c>
      <c r="I567">
        <v>105.83665994623654</v>
      </c>
      <c r="J567">
        <v>110263.92556683689</v>
      </c>
      <c r="K567">
        <v>117.5</v>
      </c>
      <c r="L567">
        <v>99</v>
      </c>
      <c r="M567">
        <v>97.187372433101899</v>
      </c>
      <c r="N567">
        <v>10006218</v>
      </c>
    </row>
    <row r="568" spans="1:14" x14ac:dyDescent="0.35">
      <c r="A568" t="s">
        <v>40</v>
      </c>
      <c r="B568">
        <v>202604</v>
      </c>
      <c r="C568" t="str">
        <f>MID(analisis_productividad__4[[#This Row],[Periodo]],1,4)</f>
        <v>2026</v>
      </c>
      <c r="D568" t="str">
        <f>MID(analisis_productividad__4[[#This Row],[Periodo]],5,2)</f>
        <v>04</v>
      </c>
      <c r="E568" t="s">
        <v>11</v>
      </c>
      <c r="F568" t="s">
        <v>14</v>
      </c>
      <c r="G568">
        <v>101240</v>
      </c>
      <c r="H568">
        <v>6235449</v>
      </c>
      <c r="I568">
        <v>61.590763888889761</v>
      </c>
      <c r="J568">
        <v>90383.249564436497</v>
      </c>
      <c r="K568">
        <v>76.5</v>
      </c>
      <c r="L568">
        <v>75.5</v>
      </c>
      <c r="M568">
        <v>67.697971575339096</v>
      </c>
      <c r="N568">
        <v>6118763</v>
      </c>
    </row>
    <row r="569" spans="1:14" x14ac:dyDescent="0.35">
      <c r="A569" t="s">
        <v>31</v>
      </c>
      <c r="B569">
        <v>202502</v>
      </c>
      <c r="C569" t="str">
        <f>MID(analisis_productividad__4[[#This Row],[Periodo]],1,4)</f>
        <v>2025</v>
      </c>
      <c r="D569" t="str">
        <f>MID(analisis_productividad__4[[#This Row],[Periodo]],5,2)</f>
        <v>02</v>
      </c>
      <c r="E569" t="s">
        <v>11</v>
      </c>
      <c r="F569" t="s">
        <v>14</v>
      </c>
      <c r="G569">
        <v>101225</v>
      </c>
      <c r="H569">
        <v>8598782</v>
      </c>
      <c r="I569">
        <v>84.946979166666679</v>
      </c>
      <c r="J569">
        <v>97945.278835583798</v>
      </c>
      <c r="K569">
        <v>101.5</v>
      </c>
      <c r="L569">
        <v>97.5</v>
      </c>
      <c r="M569">
        <v>87.791694221774335</v>
      </c>
      <c r="N569">
        <v>8660241</v>
      </c>
    </row>
    <row r="570" spans="1:14" x14ac:dyDescent="0.35">
      <c r="A570" t="s">
        <v>65</v>
      </c>
      <c r="B570">
        <v>202603</v>
      </c>
      <c r="C570" t="str">
        <f>MID(analisis_productividad__4[[#This Row],[Periodo]],1,4)</f>
        <v>2026</v>
      </c>
      <c r="D570" t="str">
        <f>MID(analisis_productividad__4[[#This Row],[Periodo]],5,2)</f>
        <v>03</v>
      </c>
      <c r="E570" t="s">
        <v>16</v>
      </c>
      <c r="F570" t="s">
        <v>19</v>
      </c>
      <c r="G570">
        <v>101192</v>
      </c>
      <c r="H570">
        <v>6761612</v>
      </c>
      <c r="I570">
        <v>66.819845430107534</v>
      </c>
      <c r="J570">
        <v>106946.64545616548</v>
      </c>
      <c r="K570">
        <v>68</v>
      </c>
      <c r="L570">
        <v>68.5</v>
      </c>
      <c r="M570">
        <v>60.397061823201135</v>
      </c>
      <c r="N570">
        <v>6459263</v>
      </c>
    </row>
    <row r="571" spans="1:14" x14ac:dyDescent="0.35">
      <c r="A571" t="s">
        <v>85</v>
      </c>
      <c r="B571">
        <v>202412</v>
      </c>
      <c r="C571" t="str">
        <f>MID(analisis_productividad__4[[#This Row],[Periodo]],1,4)</f>
        <v>2024</v>
      </c>
      <c r="D571" t="str">
        <f>MID(analisis_productividad__4[[#This Row],[Periodo]],5,2)</f>
        <v>12</v>
      </c>
      <c r="E571" t="s">
        <v>11</v>
      </c>
      <c r="F571" t="s">
        <v>14</v>
      </c>
      <c r="G571">
        <v>101166</v>
      </c>
      <c r="H571">
        <v>5620953</v>
      </c>
      <c r="I571">
        <v>55.561653225806445</v>
      </c>
      <c r="J571">
        <v>0</v>
      </c>
      <c r="K571">
        <v>60.5</v>
      </c>
      <c r="L571">
        <v>57.5</v>
      </c>
      <c r="N571">
        <v>0</v>
      </c>
    </row>
    <row r="572" spans="1:14" x14ac:dyDescent="0.35">
      <c r="A572" t="s">
        <v>46</v>
      </c>
      <c r="B572">
        <v>202602</v>
      </c>
      <c r="C572" t="str">
        <f>MID(analisis_productividad__4[[#This Row],[Periodo]],1,4)</f>
        <v>2026</v>
      </c>
      <c r="D572" t="str">
        <f>MID(analisis_productividad__4[[#This Row],[Periodo]],5,2)</f>
        <v>02</v>
      </c>
      <c r="E572" t="s">
        <v>11</v>
      </c>
      <c r="F572" t="s">
        <v>14</v>
      </c>
      <c r="G572">
        <v>101126</v>
      </c>
      <c r="H572">
        <v>6795456</v>
      </c>
      <c r="I572">
        <v>67.197708333333338</v>
      </c>
      <c r="J572">
        <v>89023.403267430214</v>
      </c>
      <c r="K572">
        <v>77</v>
      </c>
      <c r="L572">
        <v>79</v>
      </c>
      <c r="M572">
        <v>66.09086292651952</v>
      </c>
      <c r="N572">
        <v>5883634</v>
      </c>
    </row>
    <row r="573" spans="1:14" x14ac:dyDescent="0.35">
      <c r="A573" t="s">
        <v>37</v>
      </c>
      <c r="B573">
        <v>202509</v>
      </c>
      <c r="C573" t="str">
        <f>MID(analisis_productividad__4[[#This Row],[Periodo]],1,4)</f>
        <v>2025</v>
      </c>
      <c r="D573" t="str">
        <f>MID(analisis_productividad__4[[#This Row],[Periodo]],5,2)</f>
        <v>09</v>
      </c>
      <c r="E573" t="s">
        <v>16</v>
      </c>
      <c r="F573" t="s">
        <v>17</v>
      </c>
      <c r="G573">
        <v>101125</v>
      </c>
      <c r="H573">
        <v>9042962</v>
      </c>
      <c r="I573">
        <v>89.423444444444513</v>
      </c>
      <c r="J573">
        <v>101303.30576405319</v>
      </c>
      <c r="K573">
        <v>107.5</v>
      </c>
      <c r="L573">
        <v>102.5</v>
      </c>
      <c r="M573">
        <v>89.266209150786054</v>
      </c>
      <c r="N573">
        <v>9808966</v>
      </c>
    </row>
    <row r="574" spans="1:14" x14ac:dyDescent="0.35">
      <c r="A574" t="s">
        <v>55</v>
      </c>
      <c r="B574">
        <v>202508</v>
      </c>
      <c r="C574" t="str">
        <f>MID(analisis_productividad__4[[#This Row],[Periodo]],1,4)</f>
        <v>2025</v>
      </c>
      <c r="D574" t="str">
        <f>MID(analisis_productividad__4[[#This Row],[Periodo]],5,2)</f>
        <v>08</v>
      </c>
      <c r="E574" t="s">
        <v>16</v>
      </c>
      <c r="F574" t="s">
        <v>21</v>
      </c>
      <c r="G574">
        <v>101084</v>
      </c>
      <c r="H574">
        <v>4491491</v>
      </c>
      <c r="I574">
        <v>44.433393817204319</v>
      </c>
      <c r="J574">
        <v>97053.936340991437</v>
      </c>
      <c r="K574">
        <v>55</v>
      </c>
      <c r="L574">
        <v>50.5</v>
      </c>
      <c r="M574">
        <v>46.278301832287326</v>
      </c>
      <c r="N574">
        <v>4802678</v>
      </c>
    </row>
    <row r="575" spans="1:14" x14ac:dyDescent="0.35">
      <c r="A575" t="s">
        <v>62</v>
      </c>
      <c r="B575">
        <v>202503</v>
      </c>
      <c r="C575" t="str">
        <f>MID(analisis_productividad__4[[#This Row],[Periodo]],1,4)</f>
        <v>2025</v>
      </c>
      <c r="D575" t="str">
        <f>MID(analisis_productividad__4[[#This Row],[Periodo]],5,2)</f>
        <v>03</v>
      </c>
      <c r="E575" t="s">
        <v>16</v>
      </c>
      <c r="F575" t="s">
        <v>17</v>
      </c>
      <c r="G575">
        <v>101057</v>
      </c>
      <c r="H575">
        <v>3275379</v>
      </c>
      <c r="I575">
        <v>32.411270161290339</v>
      </c>
      <c r="J575">
        <v>94599.712925979577</v>
      </c>
      <c r="K575">
        <v>32.5</v>
      </c>
      <c r="L575">
        <v>32</v>
      </c>
      <c r="M575">
        <v>34.623557605960713</v>
      </c>
      <c r="N575">
        <v>3042437</v>
      </c>
    </row>
    <row r="576" spans="1:14" x14ac:dyDescent="0.35">
      <c r="A576" t="s">
        <v>31</v>
      </c>
      <c r="B576">
        <v>202401</v>
      </c>
      <c r="C576" t="str">
        <f>MID(analisis_productividad__4[[#This Row],[Periodo]],1,4)</f>
        <v>2024</v>
      </c>
      <c r="D576" t="str">
        <f>MID(analisis_productividad__4[[#This Row],[Periodo]],5,2)</f>
        <v>01</v>
      </c>
      <c r="E576" t="s">
        <v>11</v>
      </c>
      <c r="F576" t="s">
        <v>14</v>
      </c>
      <c r="G576">
        <v>101011</v>
      </c>
      <c r="H576">
        <v>9161303</v>
      </c>
      <c r="I576">
        <v>90.696525537634429</v>
      </c>
      <c r="J576">
        <v>0</v>
      </c>
      <c r="K576">
        <v>101.5</v>
      </c>
      <c r="L576">
        <v>97.5</v>
      </c>
      <c r="N576">
        <v>0</v>
      </c>
    </row>
    <row r="577" spans="1:14" x14ac:dyDescent="0.35">
      <c r="A577" t="s">
        <v>67</v>
      </c>
      <c r="B577">
        <v>202511</v>
      </c>
      <c r="C577" t="str">
        <f>MID(analisis_productividad__4[[#This Row],[Periodo]],1,4)</f>
        <v>2025</v>
      </c>
      <c r="D577" t="str">
        <f>MID(analisis_productividad__4[[#This Row],[Periodo]],5,2)</f>
        <v>11</v>
      </c>
      <c r="E577" t="s">
        <v>16</v>
      </c>
      <c r="F577" t="s">
        <v>19</v>
      </c>
      <c r="G577">
        <v>101003</v>
      </c>
      <c r="H577">
        <v>6850586</v>
      </c>
      <c r="I577">
        <v>67.825576388888919</v>
      </c>
      <c r="J577">
        <v>88695.028050270004</v>
      </c>
      <c r="K577">
        <v>79.5</v>
      </c>
      <c r="L577">
        <v>81.5</v>
      </c>
      <c r="M577">
        <v>77.237547138688171</v>
      </c>
      <c r="N577">
        <v>6438372</v>
      </c>
    </row>
    <row r="578" spans="1:14" x14ac:dyDescent="0.35">
      <c r="A578" t="s">
        <v>97</v>
      </c>
      <c r="B578">
        <v>202412</v>
      </c>
      <c r="C578" t="str">
        <f>MID(analisis_productividad__4[[#This Row],[Periodo]],1,4)</f>
        <v>2024</v>
      </c>
      <c r="D578" t="str">
        <f>MID(analisis_productividad__4[[#This Row],[Periodo]],5,2)</f>
        <v>12</v>
      </c>
      <c r="E578" t="s">
        <v>11</v>
      </c>
      <c r="F578" t="s">
        <v>12</v>
      </c>
      <c r="G578">
        <v>100994</v>
      </c>
      <c r="H578">
        <v>6900795</v>
      </c>
      <c r="I578">
        <v>68.32893817204301</v>
      </c>
      <c r="J578">
        <v>0</v>
      </c>
      <c r="K578">
        <v>66.5</v>
      </c>
      <c r="L578">
        <v>63.5</v>
      </c>
      <c r="N578">
        <v>0</v>
      </c>
    </row>
    <row r="579" spans="1:14" x14ac:dyDescent="0.35">
      <c r="A579" t="s">
        <v>68</v>
      </c>
      <c r="B579">
        <v>202603</v>
      </c>
      <c r="C579" t="str">
        <f>MID(analisis_productividad__4[[#This Row],[Periodo]],1,4)</f>
        <v>2026</v>
      </c>
      <c r="D579" t="str">
        <f>MID(analisis_productividad__4[[#This Row],[Periodo]],5,2)</f>
        <v>03</v>
      </c>
      <c r="E579" t="s">
        <v>11</v>
      </c>
      <c r="F579" t="s">
        <v>52</v>
      </c>
      <c r="G579">
        <v>100936</v>
      </c>
      <c r="H579">
        <v>8864263</v>
      </c>
      <c r="I579">
        <v>87.820551075268838</v>
      </c>
      <c r="J579">
        <v>103722.45893508771</v>
      </c>
      <c r="K579">
        <v>103</v>
      </c>
      <c r="L579">
        <v>91</v>
      </c>
      <c r="M579">
        <v>85.91077884372821</v>
      </c>
      <c r="N579">
        <v>8910877</v>
      </c>
    </row>
    <row r="580" spans="1:14" x14ac:dyDescent="0.35">
      <c r="A580" t="s">
        <v>57</v>
      </c>
      <c r="B580">
        <v>202407</v>
      </c>
      <c r="C580" t="str">
        <f>MID(analisis_productividad__4[[#This Row],[Periodo]],1,4)</f>
        <v>2024</v>
      </c>
      <c r="D580" t="str">
        <f>MID(analisis_productividad__4[[#This Row],[Periodo]],5,2)</f>
        <v>07</v>
      </c>
      <c r="E580" t="s">
        <v>16</v>
      </c>
      <c r="F580" t="s">
        <v>19</v>
      </c>
      <c r="G580">
        <v>100935</v>
      </c>
      <c r="H580">
        <v>6716721</v>
      </c>
      <c r="I580">
        <v>66.544737903225808</v>
      </c>
      <c r="J580">
        <v>0</v>
      </c>
      <c r="K580">
        <v>71</v>
      </c>
      <c r="L580">
        <v>74.5</v>
      </c>
      <c r="N580">
        <v>0</v>
      </c>
    </row>
    <row r="581" spans="1:14" x14ac:dyDescent="0.35">
      <c r="A581" t="s">
        <v>45</v>
      </c>
      <c r="B581">
        <v>202501</v>
      </c>
      <c r="C581" t="str">
        <f>MID(analisis_productividad__4[[#This Row],[Periodo]],1,4)</f>
        <v>2025</v>
      </c>
      <c r="D581" t="str">
        <f>MID(analisis_productividad__4[[#This Row],[Periodo]],5,2)</f>
        <v>01</v>
      </c>
      <c r="E581" t="s">
        <v>34</v>
      </c>
      <c r="F581" t="s">
        <v>35</v>
      </c>
      <c r="G581">
        <v>100931</v>
      </c>
      <c r="H581">
        <v>2501860</v>
      </c>
      <c r="I581">
        <v>24.78780913978494</v>
      </c>
      <c r="J581">
        <v>92844.012874231805</v>
      </c>
      <c r="K581">
        <v>22.5</v>
      </c>
      <c r="L581">
        <v>21</v>
      </c>
      <c r="M581">
        <v>26.94691582740036</v>
      </c>
      <c r="N581">
        <v>2267428</v>
      </c>
    </row>
    <row r="582" spans="1:14" x14ac:dyDescent="0.35">
      <c r="A582" t="s">
        <v>40</v>
      </c>
      <c r="B582">
        <v>202511</v>
      </c>
      <c r="C582" t="str">
        <f>MID(analisis_productividad__4[[#This Row],[Periodo]],1,4)</f>
        <v>2025</v>
      </c>
      <c r="D582" t="str">
        <f>MID(analisis_productividad__4[[#This Row],[Periodo]],5,2)</f>
        <v>11</v>
      </c>
      <c r="E582" t="s">
        <v>11</v>
      </c>
      <c r="F582" t="s">
        <v>14</v>
      </c>
      <c r="G582">
        <v>100929</v>
      </c>
      <c r="H582">
        <v>6568111</v>
      </c>
      <c r="I582">
        <v>65.076326388888887</v>
      </c>
      <c r="J582">
        <v>89625.940130928662</v>
      </c>
      <c r="K582">
        <v>76.5</v>
      </c>
      <c r="L582">
        <v>75.5</v>
      </c>
      <c r="M582">
        <v>73.28359357129284</v>
      </c>
      <c r="N582">
        <v>6757558</v>
      </c>
    </row>
    <row r="583" spans="1:14" x14ac:dyDescent="0.35">
      <c r="A583" t="s">
        <v>29</v>
      </c>
      <c r="B583">
        <v>202506</v>
      </c>
      <c r="C583" t="str">
        <f>MID(analisis_productividad__4[[#This Row],[Periodo]],1,4)</f>
        <v>2025</v>
      </c>
      <c r="D583" t="str">
        <f>MID(analisis_productividad__4[[#This Row],[Periodo]],5,2)</f>
        <v>06</v>
      </c>
      <c r="E583" t="s">
        <v>16</v>
      </c>
      <c r="F583" t="s">
        <v>19</v>
      </c>
      <c r="G583">
        <v>100889</v>
      </c>
      <c r="H583">
        <v>8877064</v>
      </c>
      <c r="I583">
        <v>87.988201388888811</v>
      </c>
      <c r="J583">
        <v>110144.94260892339</v>
      </c>
      <c r="K583">
        <v>96.5</v>
      </c>
      <c r="L583">
        <v>96</v>
      </c>
      <c r="M583">
        <v>80.594383815865044</v>
      </c>
      <c r="N583">
        <v>8791220</v>
      </c>
    </row>
    <row r="584" spans="1:14" x14ac:dyDescent="0.35">
      <c r="A584" t="s">
        <v>83</v>
      </c>
      <c r="B584">
        <v>202412</v>
      </c>
      <c r="C584" t="str">
        <f>MID(analisis_productividad__4[[#This Row],[Periodo]],1,4)</f>
        <v>2024</v>
      </c>
      <c r="D584" t="str">
        <f>MID(analisis_productividad__4[[#This Row],[Periodo]],5,2)</f>
        <v>12</v>
      </c>
      <c r="E584" t="s">
        <v>16</v>
      </c>
      <c r="F584" t="s">
        <v>17</v>
      </c>
      <c r="G584">
        <v>100857</v>
      </c>
      <c r="H584">
        <v>5421951</v>
      </c>
      <c r="I584">
        <v>53.758541666666673</v>
      </c>
      <c r="J584">
        <v>0</v>
      </c>
      <c r="K584">
        <v>52</v>
      </c>
      <c r="L584">
        <v>52</v>
      </c>
      <c r="N584">
        <v>0</v>
      </c>
    </row>
    <row r="585" spans="1:14" x14ac:dyDescent="0.35">
      <c r="A585" t="s">
        <v>23</v>
      </c>
      <c r="B585">
        <v>202504</v>
      </c>
      <c r="C585" t="str">
        <f>MID(analisis_productividad__4[[#This Row],[Periodo]],1,4)</f>
        <v>2025</v>
      </c>
      <c r="D585" t="str">
        <f>MID(analisis_productividad__4[[#This Row],[Periodo]],5,2)</f>
        <v>04</v>
      </c>
      <c r="E585" t="s">
        <v>11</v>
      </c>
      <c r="F585" t="s">
        <v>12</v>
      </c>
      <c r="G585">
        <v>100827</v>
      </c>
      <c r="H585">
        <v>5870635</v>
      </c>
      <c r="I585">
        <v>58.224881944444462</v>
      </c>
      <c r="J585">
        <v>90979.356378692435</v>
      </c>
      <c r="K585">
        <v>68.5</v>
      </c>
      <c r="L585">
        <v>66</v>
      </c>
      <c r="M585">
        <v>64.527112013895447</v>
      </c>
      <c r="N585">
        <v>6058277</v>
      </c>
    </row>
    <row r="586" spans="1:14" x14ac:dyDescent="0.35">
      <c r="A586" t="s">
        <v>39</v>
      </c>
      <c r="B586">
        <v>202406</v>
      </c>
      <c r="C586" t="str">
        <f>MID(analisis_productividad__4[[#This Row],[Periodo]],1,4)</f>
        <v>2024</v>
      </c>
      <c r="D586" t="str">
        <f>MID(analisis_productividad__4[[#This Row],[Periodo]],5,2)</f>
        <v>06</v>
      </c>
      <c r="E586" t="s">
        <v>16</v>
      </c>
      <c r="F586" t="s">
        <v>17</v>
      </c>
      <c r="G586">
        <v>100826</v>
      </c>
      <c r="H586">
        <v>8299368</v>
      </c>
      <c r="I586">
        <v>82.313826388888884</v>
      </c>
      <c r="J586">
        <v>0</v>
      </c>
      <c r="K586">
        <v>93.5</v>
      </c>
      <c r="L586">
        <v>94</v>
      </c>
      <c r="N586">
        <v>0</v>
      </c>
    </row>
    <row r="587" spans="1:14" x14ac:dyDescent="0.35">
      <c r="A587" t="s">
        <v>54</v>
      </c>
      <c r="B587">
        <v>202510</v>
      </c>
      <c r="C587" t="str">
        <f>MID(analisis_productividad__4[[#This Row],[Periodo]],1,4)</f>
        <v>2025</v>
      </c>
      <c r="D587" t="str">
        <f>MID(analisis_productividad__4[[#This Row],[Periodo]],5,2)</f>
        <v>10</v>
      </c>
      <c r="E587" t="s">
        <v>11</v>
      </c>
      <c r="F587" t="s">
        <v>52</v>
      </c>
      <c r="G587">
        <v>100812</v>
      </c>
      <c r="H587">
        <v>8246654</v>
      </c>
      <c r="I587">
        <v>81.802009408602217</v>
      </c>
      <c r="J587">
        <v>91319.416104008938</v>
      </c>
      <c r="K587">
        <v>106</v>
      </c>
      <c r="L587">
        <v>102.5</v>
      </c>
      <c r="M587">
        <v>90.305595368759413</v>
      </c>
      <c r="N587">
        <v>9757027</v>
      </c>
    </row>
    <row r="588" spans="1:14" x14ac:dyDescent="0.35">
      <c r="A588" t="s">
        <v>55</v>
      </c>
      <c r="B588">
        <v>202604</v>
      </c>
      <c r="C588" t="str">
        <f>MID(analisis_productividad__4[[#This Row],[Periodo]],1,4)</f>
        <v>2026</v>
      </c>
      <c r="D588" t="str">
        <f>MID(analisis_productividad__4[[#This Row],[Periodo]],5,2)</f>
        <v>04</v>
      </c>
      <c r="E588" t="s">
        <v>16</v>
      </c>
      <c r="F588" t="s">
        <v>21</v>
      </c>
      <c r="G588">
        <v>100810</v>
      </c>
      <c r="H588">
        <v>4707771</v>
      </c>
      <c r="I588">
        <v>46.699333333332852</v>
      </c>
      <c r="J588">
        <v>95837.611885332153</v>
      </c>
      <c r="K588">
        <v>55</v>
      </c>
      <c r="L588">
        <v>50.5</v>
      </c>
      <c r="M588">
        <v>48.493991244906027</v>
      </c>
      <c r="N588">
        <v>4647548</v>
      </c>
    </row>
    <row r="589" spans="1:14" x14ac:dyDescent="0.35">
      <c r="A589" t="s">
        <v>20</v>
      </c>
      <c r="B589">
        <v>202601</v>
      </c>
      <c r="C589" t="str">
        <f>MID(analisis_productividad__4[[#This Row],[Periodo]],1,4)</f>
        <v>2026</v>
      </c>
      <c r="D589" t="str">
        <f>MID(analisis_productividad__4[[#This Row],[Periodo]],5,2)</f>
        <v>01</v>
      </c>
      <c r="E589" t="s">
        <v>16</v>
      </c>
      <c r="F589" t="s">
        <v>21</v>
      </c>
      <c r="G589">
        <v>100807</v>
      </c>
      <c r="H589">
        <v>8644499</v>
      </c>
      <c r="I589">
        <v>85.753245967741918</v>
      </c>
      <c r="J589">
        <v>100600.83617720856</v>
      </c>
      <c r="K589">
        <v>96.5</v>
      </c>
      <c r="L589">
        <v>94</v>
      </c>
      <c r="M589">
        <v>87.753564014610347</v>
      </c>
      <c r="N589">
        <v>8828082</v>
      </c>
    </row>
    <row r="590" spans="1:14" x14ac:dyDescent="0.35">
      <c r="A590" t="s">
        <v>55</v>
      </c>
      <c r="B590">
        <v>202602</v>
      </c>
      <c r="C590" t="str">
        <f>MID(analisis_productividad__4[[#This Row],[Periodo]],1,4)</f>
        <v>2026</v>
      </c>
      <c r="D590" t="str">
        <f>MID(analisis_productividad__4[[#This Row],[Periodo]],5,2)</f>
        <v>02</v>
      </c>
      <c r="E590" t="s">
        <v>16</v>
      </c>
      <c r="F590" t="s">
        <v>21</v>
      </c>
      <c r="G590">
        <v>100803</v>
      </c>
      <c r="H590">
        <v>4490117</v>
      </c>
      <c r="I590">
        <v>44.54328125</v>
      </c>
      <c r="J590">
        <v>91071.573983177062</v>
      </c>
      <c r="K590">
        <v>55</v>
      </c>
      <c r="L590">
        <v>50.5</v>
      </c>
      <c r="M590">
        <v>48.493991244906027</v>
      </c>
      <c r="N590">
        <v>4416424</v>
      </c>
    </row>
    <row r="591" spans="1:14" x14ac:dyDescent="0.35">
      <c r="A591" t="s">
        <v>59</v>
      </c>
      <c r="B591">
        <v>202511</v>
      </c>
      <c r="C591" t="str">
        <f>MID(analisis_productividad__4[[#This Row],[Periodo]],1,4)</f>
        <v>2025</v>
      </c>
      <c r="D591" t="str">
        <f>MID(analisis_productividad__4[[#This Row],[Periodo]],5,2)</f>
        <v>11</v>
      </c>
      <c r="E591" t="s">
        <v>11</v>
      </c>
      <c r="F591" t="s">
        <v>12</v>
      </c>
      <c r="G591">
        <v>100758</v>
      </c>
      <c r="H591">
        <v>8791064</v>
      </c>
      <c r="I591">
        <v>87.249263888888976</v>
      </c>
      <c r="J591">
        <v>89139.71033804366</v>
      </c>
      <c r="K591">
        <v>94.5</v>
      </c>
      <c r="L591">
        <v>97</v>
      </c>
      <c r="M591">
        <v>98.621190114503747</v>
      </c>
      <c r="N591">
        <v>7559131</v>
      </c>
    </row>
    <row r="592" spans="1:14" x14ac:dyDescent="0.35">
      <c r="A592" t="s">
        <v>23</v>
      </c>
      <c r="B592">
        <v>202406</v>
      </c>
      <c r="C592" t="str">
        <f>MID(analisis_productividad__4[[#This Row],[Periodo]],1,4)</f>
        <v>2024</v>
      </c>
      <c r="D592" t="str">
        <f>MID(analisis_productividad__4[[#This Row],[Periodo]],5,2)</f>
        <v>06</v>
      </c>
      <c r="E592" t="s">
        <v>11</v>
      </c>
      <c r="F592" t="s">
        <v>12</v>
      </c>
      <c r="G592">
        <v>100730</v>
      </c>
      <c r="H592">
        <v>6143671</v>
      </c>
      <c r="I592">
        <v>60.991486111111108</v>
      </c>
      <c r="J592">
        <v>0</v>
      </c>
      <c r="K592">
        <v>68.5</v>
      </c>
      <c r="L592">
        <v>66</v>
      </c>
      <c r="N592">
        <v>0</v>
      </c>
    </row>
    <row r="593" spans="1:14" x14ac:dyDescent="0.35">
      <c r="A593" t="s">
        <v>29</v>
      </c>
      <c r="B593">
        <v>202404</v>
      </c>
      <c r="C593" t="str">
        <f>MID(analisis_productividad__4[[#This Row],[Periodo]],1,4)</f>
        <v>2024</v>
      </c>
      <c r="D593" t="str">
        <f>MID(analisis_productividad__4[[#This Row],[Periodo]],5,2)</f>
        <v>04</v>
      </c>
      <c r="E593" t="s">
        <v>16</v>
      </c>
      <c r="F593" t="s">
        <v>19</v>
      </c>
      <c r="G593">
        <v>100728</v>
      </c>
      <c r="H593">
        <v>8349190</v>
      </c>
      <c r="I593">
        <v>82.888069444444525</v>
      </c>
      <c r="J593">
        <v>0</v>
      </c>
      <c r="K593">
        <v>96.5</v>
      </c>
      <c r="L593">
        <v>96</v>
      </c>
      <c r="N593">
        <v>0</v>
      </c>
    </row>
    <row r="594" spans="1:14" x14ac:dyDescent="0.35">
      <c r="A594" t="s">
        <v>73</v>
      </c>
      <c r="B594">
        <v>202503</v>
      </c>
      <c r="C594" t="str">
        <f>MID(analisis_productividad__4[[#This Row],[Periodo]],1,4)</f>
        <v>2025</v>
      </c>
      <c r="D594" t="str">
        <f>MID(analisis_productividad__4[[#This Row],[Periodo]],5,2)</f>
        <v>03</v>
      </c>
      <c r="E594" t="s">
        <v>16</v>
      </c>
      <c r="F594" t="s">
        <v>21</v>
      </c>
      <c r="G594">
        <v>100721</v>
      </c>
      <c r="H594">
        <v>3996313</v>
      </c>
      <c r="I594">
        <v>39.67701612903226</v>
      </c>
      <c r="J594">
        <v>88847.525807322512</v>
      </c>
      <c r="K594">
        <v>43.5</v>
      </c>
      <c r="L594">
        <v>41</v>
      </c>
      <c r="M594">
        <v>44.979449609733955</v>
      </c>
      <c r="N594">
        <v>3739257</v>
      </c>
    </row>
    <row r="595" spans="1:14" x14ac:dyDescent="0.35">
      <c r="A595" t="s">
        <v>71</v>
      </c>
      <c r="B595">
        <v>202605</v>
      </c>
      <c r="C595" t="str">
        <f>MID(analisis_productividad__4[[#This Row],[Periodo]],1,4)</f>
        <v>2026</v>
      </c>
      <c r="D595" t="str">
        <f>MID(analisis_productividad__4[[#This Row],[Periodo]],5,2)</f>
        <v>05</v>
      </c>
      <c r="E595" t="s">
        <v>16</v>
      </c>
      <c r="F595" t="s">
        <v>19</v>
      </c>
      <c r="G595">
        <v>100718</v>
      </c>
      <c r="H595">
        <v>3248906</v>
      </c>
      <c r="I595">
        <v>32.25743951612916</v>
      </c>
      <c r="J595">
        <v>74685.882300600308</v>
      </c>
      <c r="K595">
        <v>41.5</v>
      </c>
      <c r="L595">
        <v>35.5</v>
      </c>
      <c r="M595">
        <v>37.124878906032741</v>
      </c>
      <c r="N595">
        <v>2772704</v>
      </c>
    </row>
    <row r="596" spans="1:14" x14ac:dyDescent="0.35">
      <c r="A596" t="s">
        <v>60</v>
      </c>
      <c r="B596">
        <v>202403</v>
      </c>
      <c r="C596" t="str">
        <f>MID(analisis_productividad__4[[#This Row],[Periodo]],1,4)</f>
        <v>2024</v>
      </c>
      <c r="D596" t="str">
        <f>MID(analisis_productividad__4[[#This Row],[Periodo]],5,2)</f>
        <v>03</v>
      </c>
      <c r="E596" t="s">
        <v>11</v>
      </c>
      <c r="F596" t="s">
        <v>14</v>
      </c>
      <c r="G596">
        <v>100718</v>
      </c>
      <c r="H596">
        <v>7976345</v>
      </c>
      <c r="I596">
        <v>79.194838709677413</v>
      </c>
      <c r="J596">
        <v>0</v>
      </c>
      <c r="K596">
        <v>75.5</v>
      </c>
      <c r="L596">
        <v>74</v>
      </c>
      <c r="N596">
        <v>0</v>
      </c>
    </row>
    <row r="597" spans="1:14" x14ac:dyDescent="0.35">
      <c r="A597" t="s">
        <v>39</v>
      </c>
      <c r="B597">
        <v>202511</v>
      </c>
      <c r="C597" t="str">
        <f>MID(analisis_productividad__4[[#This Row],[Periodo]],1,4)</f>
        <v>2025</v>
      </c>
      <c r="D597" t="str">
        <f>MID(analisis_productividad__4[[#This Row],[Periodo]],5,2)</f>
        <v>11</v>
      </c>
      <c r="E597" t="s">
        <v>16</v>
      </c>
      <c r="F597" t="s">
        <v>17</v>
      </c>
      <c r="G597">
        <v>100715</v>
      </c>
      <c r="H597">
        <v>9101433</v>
      </c>
      <c r="I597">
        <v>90.368250000000018</v>
      </c>
      <c r="J597">
        <v>101977.32716431707</v>
      </c>
      <c r="K597">
        <v>93.5</v>
      </c>
      <c r="L597">
        <v>94</v>
      </c>
      <c r="M597">
        <v>89.249572557778194</v>
      </c>
      <c r="N597">
        <v>8300260</v>
      </c>
    </row>
    <row r="598" spans="1:14" x14ac:dyDescent="0.35">
      <c r="A598" t="s">
        <v>28</v>
      </c>
      <c r="B598">
        <v>202408</v>
      </c>
      <c r="C598" t="str">
        <f>MID(analisis_productividad__4[[#This Row],[Periodo]],1,4)</f>
        <v>2024</v>
      </c>
      <c r="D598" t="str">
        <f>MID(analisis_productividad__4[[#This Row],[Periodo]],5,2)</f>
        <v>08</v>
      </c>
      <c r="E598" t="s">
        <v>16</v>
      </c>
      <c r="F598" t="s">
        <v>17</v>
      </c>
      <c r="G598">
        <v>100697</v>
      </c>
      <c r="H598">
        <v>5828210</v>
      </c>
      <c r="I598">
        <v>57.878662634408613</v>
      </c>
      <c r="J598">
        <v>0</v>
      </c>
      <c r="K598">
        <v>64</v>
      </c>
      <c r="L598">
        <v>67</v>
      </c>
      <c r="N598">
        <v>0</v>
      </c>
    </row>
    <row r="599" spans="1:14" x14ac:dyDescent="0.35">
      <c r="A599" t="s">
        <v>30</v>
      </c>
      <c r="B599">
        <v>202410</v>
      </c>
      <c r="C599" t="str">
        <f>MID(analisis_productividad__4[[#This Row],[Periodo]],1,4)</f>
        <v>2024</v>
      </c>
      <c r="D599" t="str">
        <f>MID(analisis_productividad__4[[#This Row],[Periodo]],5,2)</f>
        <v>10</v>
      </c>
      <c r="E599" t="s">
        <v>16</v>
      </c>
      <c r="F599" t="s">
        <v>19</v>
      </c>
      <c r="G599">
        <v>100654</v>
      </c>
      <c r="H599">
        <v>9182104</v>
      </c>
      <c r="I599">
        <v>91.224348118279579</v>
      </c>
      <c r="J599">
        <v>0</v>
      </c>
      <c r="K599">
        <v>101</v>
      </c>
      <c r="L599">
        <v>105</v>
      </c>
      <c r="N599">
        <v>0</v>
      </c>
    </row>
    <row r="600" spans="1:14" x14ac:dyDescent="0.35">
      <c r="A600" t="s">
        <v>41</v>
      </c>
      <c r="B600">
        <v>202403</v>
      </c>
      <c r="C600" t="str">
        <f>MID(analisis_productividad__4[[#This Row],[Periodo]],1,4)</f>
        <v>2024</v>
      </c>
      <c r="D600" t="str">
        <f>MID(analisis_productividad__4[[#This Row],[Periodo]],5,2)</f>
        <v>03</v>
      </c>
      <c r="E600" t="s">
        <v>16</v>
      </c>
      <c r="F600" t="s">
        <v>19</v>
      </c>
      <c r="G600">
        <v>100641</v>
      </c>
      <c r="H600">
        <v>5796795</v>
      </c>
      <c r="I600">
        <v>57.598756720430089</v>
      </c>
      <c r="J600">
        <v>0</v>
      </c>
      <c r="K600">
        <v>57.5</v>
      </c>
      <c r="L600">
        <v>56.5</v>
      </c>
      <c r="N600">
        <v>0</v>
      </c>
    </row>
    <row r="601" spans="1:14" x14ac:dyDescent="0.35">
      <c r="A601" t="s">
        <v>30</v>
      </c>
      <c r="B601">
        <v>202601</v>
      </c>
      <c r="C601" t="str">
        <f>MID(analisis_productividad__4[[#This Row],[Periodo]],1,4)</f>
        <v>2026</v>
      </c>
      <c r="D601" t="str">
        <f>MID(analisis_productividad__4[[#This Row],[Periodo]],5,2)</f>
        <v>01</v>
      </c>
      <c r="E601" t="s">
        <v>16</v>
      </c>
      <c r="F601" t="s">
        <v>19</v>
      </c>
      <c r="G601">
        <v>100627</v>
      </c>
      <c r="H601">
        <v>9710269</v>
      </c>
      <c r="I601">
        <v>96.497587365591372</v>
      </c>
      <c r="J601">
        <v>104104.19406846241</v>
      </c>
      <c r="K601">
        <v>101</v>
      </c>
      <c r="L601">
        <v>105</v>
      </c>
      <c r="M601">
        <v>90.439897606894348</v>
      </c>
      <c r="N601">
        <v>9415173</v>
      </c>
    </row>
    <row r="602" spans="1:14" x14ac:dyDescent="0.35">
      <c r="A602" t="s">
        <v>27</v>
      </c>
      <c r="B602">
        <v>202509</v>
      </c>
      <c r="C602" t="str">
        <f>MID(analisis_productividad__4[[#This Row],[Periodo]],1,4)</f>
        <v>2025</v>
      </c>
      <c r="D602" t="str">
        <f>MID(analisis_productividad__4[[#This Row],[Periodo]],5,2)</f>
        <v>09</v>
      </c>
      <c r="E602" t="s">
        <v>11</v>
      </c>
      <c r="F602" t="s">
        <v>14</v>
      </c>
      <c r="G602">
        <v>100544</v>
      </c>
      <c r="H602">
        <v>7263665</v>
      </c>
      <c r="I602">
        <v>72.243986111111155</v>
      </c>
      <c r="J602">
        <v>94427.476037354223</v>
      </c>
      <c r="K602">
        <v>88</v>
      </c>
      <c r="L602">
        <v>84</v>
      </c>
      <c r="M602">
        <v>76.923218694594681</v>
      </c>
      <c r="N602">
        <v>8207304</v>
      </c>
    </row>
    <row r="603" spans="1:14" x14ac:dyDescent="0.35">
      <c r="A603" t="s">
        <v>38</v>
      </c>
      <c r="B603">
        <v>202602</v>
      </c>
      <c r="C603" t="str">
        <f>MID(analisis_productividad__4[[#This Row],[Periodo]],1,4)</f>
        <v>2026</v>
      </c>
      <c r="D603" t="str">
        <f>MID(analisis_productividad__4[[#This Row],[Periodo]],5,2)</f>
        <v>02</v>
      </c>
      <c r="E603" t="s">
        <v>34</v>
      </c>
      <c r="F603" t="s">
        <v>35</v>
      </c>
      <c r="G603">
        <v>100519</v>
      </c>
      <c r="H603">
        <v>11084158</v>
      </c>
      <c r="I603">
        <v>110.26927083333334</v>
      </c>
      <c r="J603">
        <v>98099.930619558756</v>
      </c>
      <c r="K603">
        <v>140.5</v>
      </c>
      <c r="L603">
        <v>125.5</v>
      </c>
      <c r="M603">
        <v>117.18897502469719</v>
      </c>
      <c r="N603">
        <v>11496230</v>
      </c>
    </row>
    <row r="604" spans="1:14" x14ac:dyDescent="0.35">
      <c r="A604" t="s">
        <v>39</v>
      </c>
      <c r="B604">
        <v>202507</v>
      </c>
      <c r="C604" t="str">
        <f>MID(analisis_productividad__4[[#This Row],[Periodo]],1,4)</f>
        <v>2025</v>
      </c>
      <c r="D604" t="str">
        <f>MID(analisis_productividad__4[[#This Row],[Periodo]],5,2)</f>
        <v>07</v>
      </c>
      <c r="E604" t="s">
        <v>16</v>
      </c>
      <c r="F604" t="s">
        <v>17</v>
      </c>
      <c r="G604">
        <v>100490</v>
      </c>
      <c r="H604">
        <v>8705609</v>
      </c>
      <c r="I604">
        <v>86.631209677419349</v>
      </c>
      <c r="J604">
        <v>104890.0162002357</v>
      </c>
      <c r="K604">
        <v>93.5</v>
      </c>
      <c r="L604">
        <v>94</v>
      </c>
      <c r="M604">
        <v>82.997495809142961</v>
      </c>
      <c r="N604">
        <v>9372393</v>
      </c>
    </row>
    <row r="605" spans="1:14" x14ac:dyDescent="0.35">
      <c r="A605" t="s">
        <v>26</v>
      </c>
      <c r="B605">
        <v>202502</v>
      </c>
      <c r="C605" t="str">
        <f>MID(analisis_productividad__4[[#This Row],[Periodo]],1,4)</f>
        <v>2025</v>
      </c>
      <c r="D605" t="str">
        <f>MID(analisis_productividad__4[[#This Row],[Periodo]],5,2)</f>
        <v>02</v>
      </c>
      <c r="E605" t="s">
        <v>11</v>
      </c>
      <c r="F605" t="s">
        <v>12</v>
      </c>
      <c r="G605">
        <v>100473</v>
      </c>
      <c r="H605">
        <v>5664677</v>
      </c>
      <c r="I605">
        <v>56.380260416666651</v>
      </c>
      <c r="J605">
        <v>70286.04900450616</v>
      </c>
      <c r="K605">
        <v>65.5</v>
      </c>
      <c r="L605">
        <v>63</v>
      </c>
      <c r="M605">
        <v>80.594614724137173</v>
      </c>
      <c r="N605">
        <v>4642225</v>
      </c>
    </row>
    <row r="606" spans="1:14" x14ac:dyDescent="0.35">
      <c r="A606" t="s">
        <v>42</v>
      </c>
      <c r="B606">
        <v>202503</v>
      </c>
      <c r="C606" t="str">
        <f>MID(analisis_productividad__4[[#This Row],[Periodo]],1,4)</f>
        <v>2025</v>
      </c>
      <c r="D606" t="str">
        <f>MID(analisis_productividad__4[[#This Row],[Periodo]],5,2)</f>
        <v>03</v>
      </c>
      <c r="E606" t="s">
        <v>16</v>
      </c>
      <c r="F606" t="s">
        <v>19</v>
      </c>
      <c r="G606">
        <v>100423</v>
      </c>
      <c r="H606">
        <v>6030728</v>
      </c>
      <c r="I606">
        <v>60.053508064516123</v>
      </c>
      <c r="J606">
        <v>91358.192082219233</v>
      </c>
      <c r="K606">
        <v>62</v>
      </c>
      <c r="L606">
        <v>58</v>
      </c>
      <c r="M606">
        <v>66.011897811775356</v>
      </c>
      <c r="N606">
        <v>5739674</v>
      </c>
    </row>
    <row r="607" spans="1:14" x14ac:dyDescent="0.35">
      <c r="A607" t="s">
        <v>13</v>
      </c>
      <c r="B607">
        <v>202408</v>
      </c>
      <c r="C607" t="str">
        <f>MID(analisis_productividad__4[[#This Row],[Periodo]],1,4)</f>
        <v>2024</v>
      </c>
      <c r="D607" t="str">
        <f>MID(analisis_productividad__4[[#This Row],[Periodo]],5,2)</f>
        <v>08</v>
      </c>
      <c r="E607" t="s">
        <v>11</v>
      </c>
      <c r="F607" t="s">
        <v>14</v>
      </c>
      <c r="G607">
        <v>100383</v>
      </c>
      <c r="H607">
        <v>9039938</v>
      </c>
      <c r="I607">
        <v>90.054717741935491</v>
      </c>
      <c r="J607">
        <v>0</v>
      </c>
      <c r="K607">
        <v>100</v>
      </c>
      <c r="L607">
        <v>98</v>
      </c>
      <c r="N607">
        <v>0</v>
      </c>
    </row>
    <row r="608" spans="1:14" x14ac:dyDescent="0.35">
      <c r="A608" t="s">
        <v>59</v>
      </c>
      <c r="B608">
        <v>202605</v>
      </c>
      <c r="C608" t="str">
        <f>MID(analisis_productividad__4[[#This Row],[Periodo]],1,4)</f>
        <v>2026</v>
      </c>
      <c r="D608" t="str">
        <f>MID(analisis_productividad__4[[#This Row],[Periodo]],5,2)</f>
        <v>05</v>
      </c>
      <c r="E608" t="s">
        <v>11</v>
      </c>
      <c r="F608" t="s">
        <v>12</v>
      </c>
      <c r="G608">
        <v>100366</v>
      </c>
      <c r="H608">
        <v>8978069</v>
      </c>
      <c r="I608">
        <v>89.453225806452338</v>
      </c>
      <c r="J608">
        <v>100813.75406759506</v>
      </c>
      <c r="K608">
        <v>94.5</v>
      </c>
      <c r="L608">
        <v>97</v>
      </c>
      <c r="M608">
        <v>83.184435661200979</v>
      </c>
      <c r="N608">
        <v>8386135</v>
      </c>
    </row>
    <row r="609" spans="1:14" x14ac:dyDescent="0.35">
      <c r="A609" t="s">
        <v>54</v>
      </c>
      <c r="B609">
        <v>202503</v>
      </c>
      <c r="C609" t="str">
        <f>MID(analisis_productividad__4[[#This Row],[Periodo]],1,4)</f>
        <v>2025</v>
      </c>
      <c r="D609" t="str">
        <f>MID(analisis_productividad__4[[#This Row],[Periodo]],5,2)</f>
        <v>03</v>
      </c>
      <c r="E609" t="s">
        <v>11</v>
      </c>
      <c r="F609" t="s">
        <v>52</v>
      </c>
      <c r="G609">
        <v>100366</v>
      </c>
      <c r="H609">
        <v>10106526</v>
      </c>
      <c r="I609">
        <v>100.69716397849457</v>
      </c>
      <c r="J609">
        <v>96202.24476549626</v>
      </c>
      <c r="K609">
        <v>106</v>
      </c>
      <c r="L609">
        <v>102.5</v>
      </c>
      <c r="M609">
        <v>105.05499164427805</v>
      </c>
      <c r="N609">
        <v>10428529</v>
      </c>
    </row>
    <row r="610" spans="1:14" x14ac:dyDescent="0.35">
      <c r="A610" t="s">
        <v>61</v>
      </c>
      <c r="B610">
        <v>202511</v>
      </c>
      <c r="C610" t="str">
        <f>MID(analisis_productividad__4[[#This Row],[Periodo]],1,4)</f>
        <v>2025</v>
      </c>
      <c r="D610" t="str">
        <f>MID(analisis_productividad__4[[#This Row],[Periodo]],5,2)</f>
        <v>11</v>
      </c>
      <c r="E610" t="s">
        <v>11</v>
      </c>
      <c r="F610" t="s">
        <v>52</v>
      </c>
      <c r="G610">
        <v>100308</v>
      </c>
      <c r="H610">
        <v>9172131</v>
      </c>
      <c r="I610">
        <v>91.439444444444476</v>
      </c>
      <c r="J610">
        <v>104260.62487978055</v>
      </c>
      <c r="K610">
        <v>104.5</v>
      </c>
      <c r="L610">
        <v>99</v>
      </c>
      <c r="M610">
        <v>87.973106247694972</v>
      </c>
      <c r="N610">
        <v>8958209</v>
      </c>
    </row>
    <row r="611" spans="1:14" x14ac:dyDescent="0.35">
      <c r="A611" t="s">
        <v>56</v>
      </c>
      <c r="B611">
        <v>202508</v>
      </c>
      <c r="C611" t="str">
        <f>MID(analisis_productividad__4[[#This Row],[Periodo]],1,4)</f>
        <v>2025</v>
      </c>
      <c r="D611" t="str">
        <f>MID(analisis_productividad__4[[#This Row],[Periodo]],5,2)</f>
        <v>08</v>
      </c>
      <c r="E611" t="s">
        <v>16</v>
      </c>
      <c r="F611" t="s">
        <v>21</v>
      </c>
      <c r="G611">
        <v>100259</v>
      </c>
      <c r="H611">
        <v>6027621</v>
      </c>
      <c r="I611">
        <v>60.120732526881746</v>
      </c>
      <c r="J611">
        <v>109413.93095023186</v>
      </c>
      <c r="K611">
        <v>72.5</v>
      </c>
      <c r="L611">
        <v>68.5</v>
      </c>
      <c r="M611">
        <v>55.090066115454078</v>
      </c>
      <c r="N611">
        <v>6477228</v>
      </c>
    </row>
    <row r="612" spans="1:14" x14ac:dyDescent="0.35">
      <c r="A612" t="s">
        <v>37</v>
      </c>
      <c r="B612">
        <v>202501</v>
      </c>
      <c r="C612" t="str">
        <f>MID(analisis_productividad__4[[#This Row],[Periodo]],1,4)</f>
        <v>2025</v>
      </c>
      <c r="D612" t="str">
        <f>MID(analisis_productividad__4[[#This Row],[Periodo]],5,2)</f>
        <v>01</v>
      </c>
      <c r="E612" t="s">
        <v>16</v>
      </c>
      <c r="F612" t="s">
        <v>17</v>
      </c>
      <c r="G612">
        <v>100241</v>
      </c>
      <c r="H612">
        <v>9351475</v>
      </c>
      <c r="I612">
        <v>93.290053763440795</v>
      </c>
      <c r="J612">
        <v>102241.38502867678</v>
      </c>
      <c r="K612">
        <v>107.5</v>
      </c>
      <c r="L612">
        <v>102.5</v>
      </c>
      <c r="M612">
        <v>91.464674088453378</v>
      </c>
      <c r="N612">
        <v>9577571</v>
      </c>
    </row>
    <row r="613" spans="1:14" x14ac:dyDescent="0.35">
      <c r="A613" t="s">
        <v>46</v>
      </c>
      <c r="B613">
        <v>202511</v>
      </c>
      <c r="C613" t="str">
        <f>MID(analisis_productividad__4[[#This Row],[Periodo]],1,4)</f>
        <v>2025</v>
      </c>
      <c r="D613" t="str">
        <f>MID(analisis_productividad__4[[#This Row],[Periodo]],5,2)</f>
        <v>11</v>
      </c>
      <c r="E613" t="s">
        <v>11</v>
      </c>
      <c r="F613" t="s">
        <v>14</v>
      </c>
      <c r="G613">
        <v>100215</v>
      </c>
      <c r="H613">
        <v>6977822</v>
      </c>
      <c r="I613">
        <v>69.628513888888918</v>
      </c>
      <c r="J613">
        <v>95560.715902760581</v>
      </c>
      <c r="K613">
        <v>77</v>
      </c>
      <c r="L613">
        <v>79</v>
      </c>
      <c r="M613">
        <v>73.01977432965657</v>
      </c>
      <c r="N613">
        <v>6203329</v>
      </c>
    </row>
    <row r="614" spans="1:14" x14ac:dyDescent="0.35">
      <c r="A614" t="s">
        <v>70</v>
      </c>
      <c r="B614">
        <v>202512</v>
      </c>
      <c r="C614" t="str">
        <f>MID(analisis_productividad__4[[#This Row],[Periodo]],1,4)</f>
        <v>2025</v>
      </c>
      <c r="D614" t="str">
        <f>MID(analisis_productividad__4[[#This Row],[Periodo]],5,2)</f>
        <v>12</v>
      </c>
      <c r="E614" t="s">
        <v>11</v>
      </c>
      <c r="F614" t="s">
        <v>14</v>
      </c>
      <c r="G614">
        <v>100176</v>
      </c>
      <c r="H614">
        <v>6662375</v>
      </c>
      <c r="I614">
        <v>66.506868279569829</v>
      </c>
      <c r="J614">
        <v>103462.72008382442</v>
      </c>
      <c r="K614">
        <v>65</v>
      </c>
      <c r="L614">
        <v>67.5</v>
      </c>
      <c r="M614">
        <v>64.393965426408798</v>
      </c>
      <c r="N614">
        <v>6684388</v>
      </c>
    </row>
    <row r="615" spans="1:14" x14ac:dyDescent="0.35">
      <c r="A615" t="s">
        <v>24</v>
      </c>
      <c r="B615">
        <v>202407</v>
      </c>
      <c r="C615" t="str">
        <f>MID(analisis_productividad__4[[#This Row],[Periodo]],1,4)</f>
        <v>2024</v>
      </c>
      <c r="D615" t="str">
        <f>MID(analisis_productividad__4[[#This Row],[Periodo]],5,2)</f>
        <v>07</v>
      </c>
      <c r="E615" t="s">
        <v>16</v>
      </c>
      <c r="F615" t="s">
        <v>21</v>
      </c>
      <c r="G615">
        <v>100142</v>
      </c>
      <c r="H615">
        <v>10617912</v>
      </c>
      <c r="I615">
        <v>106.02826612903223</v>
      </c>
      <c r="J615">
        <v>0</v>
      </c>
      <c r="K615">
        <v>125</v>
      </c>
      <c r="L615">
        <v>118.5</v>
      </c>
      <c r="N615">
        <v>0</v>
      </c>
    </row>
    <row r="616" spans="1:14" x14ac:dyDescent="0.35">
      <c r="A616" t="s">
        <v>131</v>
      </c>
      <c r="B616">
        <v>202404</v>
      </c>
      <c r="C616" t="str">
        <f>MID(analisis_productividad__4[[#This Row],[Periodo]],1,4)</f>
        <v>2024</v>
      </c>
      <c r="D616" t="str">
        <f>MID(analisis_productividad__4[[#This Row],[Periodo]],5,2)</f>
        <v>04</v>
      </c>
      <c r="E616" t="s">
        <v>16</v>
      </c>
      <c r="F616" t="s">
        <v>21</v>
      </c>
      <c r="G616">
        <v>100070</v>
      </c>
      <c r="H616">
        <v>11537532</v>
      </c>
      <c r="I616">
        <v>115.29495833333344</v>
      </c>
      <c r="J616">
        <v>0</v>
      </c>
      <c r="K616">
        <v>99</v>
      </c>
      <c r="L616">
        <v>32.5</v>
      </c>
      <c r="N616">
        <v>0</v>
      </c>
    </row>
    <row r="617" spans="1:14" x14ac:dyDescent="0.35">
      <c r="A617" t="s">
        <v>72</v>
      </c>
      <c r="B617">
        <v>202603</v>
      </c>
      <c r="C617" t="str">
        <f>MID(analisis_productividad__4[[#This Row],[Periodo]],1,4)</f>
        <v>2026</v>
      </c>
      <c r="D617" t="str">
        <f>MID(analisis_productividad__4[[#This Row],[Periodo]],5,2)</f>
        <v>03</v>
      </c>
      <c r="E617" t="s">
        <v>11</v>
      </c>
      <c r="F617" t="s">
        <v>14</v>
      </c>
      <c r="G617">
        <v>100068</v>
      </c>
      <c r="H617">
        <v>6265943</v>
      </c>
      <c r="I617">
        <v>62.616740591397836</v>
      </c>
      <c r="J617">
        <v>104860.49734075293</v>
      </c>
      <c r="K617">
        <v>66</v>
      </c>
      <c r="L617">
        <v>64.5</v>
      </c>
      <c r="M617">
        <v>56.772923994003754</v>
      </c>
      <c r="N617">
        <v>5953237</v>
      </c>
    </row>
    <row r="618" spans="1:14" x14ac:dyDescent="0.35">
      <c r="A618" t="s">
        <v>38</v>
      </c>
      <c r="B618">
        <v>202601</v>
      </c>
      <c r="C618" t="str">
        <f>MID(analisis_productividad__4[[#This Row],[Periodo]],1,4)</f>
        <v>2026</v>
      </c>
      <c r="D618" t="str">
        <f>MID(analisis_productividad__4[[#This Row],[Periodo]],5,2)</f>
        <v>01</v>
      </c>
      <c r="E618" t="s">
        <v>34</v>
      </c>
      <c r="F618" t="s">
        <v>35</v>
      </c>
      <c r="G618">
        <v>100029</v>
      </c>
      <c r="H618">
        <v>11806878</v>
      </c>
      <c r="I618">
        <v>118.03467741935479</v>
      </c>
      <c r="J618">
        <v>107200.77565788459</v>
      </c>
      <c r="K618">
        <v>140.5</v>
      </c>
      <c r="L618">
        <v>125.5</v>
      </c>
      <c r="M618">
        <v>117.18897502469719</v>
      </c>
      <c r="N618">
        <v>12562749</v>
      </c>
    </row>
    <row r="619" spans="1:14" x14ac:dyDescent="0.35">
      <c r="A619" t="s">
        <v>38</v>
      </c>
      <c r="B619">
        <v>202403</v>
      </c>
      <c r="C619" t="str">
        <f>MID(analisis_productividad__4[[#This Row],[Periodo]],1,4)</f>
        <v>2024</v>
      </c>
      <c r="D619" t="str">
        <f>MID(analisis_productividad__4[[#This Row],[Periodo]],5,2)</f>
        <v>03</v>
      </c>
      <c r="E619" t="s">
        <v>34</v>
      </c>
      <c r="F619" t="s">
        <v>35</v>
      </c>
      <c r="G619">
        <v>100012</v>
      </c>
      <c r="H619">
        <v>12353707</v>
      </c>
      <c r="I619">
        <v>123.52205645161291</v>
      </c>
      <c r="J619">
        <v>0</v>
      </c>
      <c r="K619">
        <v>140.5</v>
      </c>
      <c r="L619">
        <v>125.5</v>
      </c>
      <c r="N619">
        <v>0</v>
      </c>
    </row>
    <row r="620" spans="1:14" x14ac:dyDescent="0.35">
      <c r="A620" t="s">
        <v>39</v>
      </c>
      <c r="B620">
        <v>202505</v>
      </c>
      <c r="C620" t="str">
        <f>MID(analisis_productividad__4[[#This Row],[Periodo]],1,4)</f>
        <v>2025</v>
      </c>
      <c r="D620" t="str">
        <f>MID(analisis_productividad__4[[#This Row],[Periodo]],5,2)</f>
        <v>05</v>
      </c>
      <c r="E620" t="s">
        <v>16</v>
      </c>
      <c r="F620" t="s">
        <v>17</v>
      </c>
      <c r="G620">
        <v>99913</v>
      </c>
      <c r="H620">
        <v>8513628</v>
      </c>
      <c r="I620">
        <v>85.210369623655865</v>
      </c>
      <c r="J620">
        <v>95366.595770689863</v>
      </c>
      <c r="K620">
        <v>93.5</v>
      </c>
      <c r="L620">
        <v>94</v>
      </c>
      <c r="M620">
        <v>89.272646792081417</v>
      </c>
      <c r="N620">
        <v>8406913</v>
      </c>
    </row>
    <row r="621" spans="1:14" x14ac:dyDescent="0.35">
      <c r="A621" t="s">
        <v>53</v>
      </c>
      <c r="B621">
        <v>202406</v>
      </c>
      <c r="C621" t="str">
        <f>MID(analisis_productividad__4[[#This Row],[Periodo]],1,4)</f>
        <v>2024</v>
      </c>
      <c r="D621" t="str">
        <f>MID(analisis_productividad__4[[#This Row],[Periodo]],5,2)</f>
        <v>06</v>
      </c>
      <c r="E621" t="s">
        <v>11</v>
      </c>
      <c r="F621" t="s">
        <v>12</v>
      </c>
      <c r="G621">
        <v>99912</v>
      </c>
      <c r="H621">
        <v>7042766</v>
      </c>
      <c r="I621">
        <v>70.489659722222271</v>
      </c>
      <c r="J621">
        <v>0</v>
      </c>
      <c r="K621">
        <v>81</v>
      </c>
      <c r="L621">
        <v>77</v>
      </c>
      <c r="N621">
        <v>0</v>
      </c>
    </row>
    <row r="622" spans="1:14" x14ac:dyDescent="0.35">
      <c r="A622" t="s">
        <v>68</v>
      </c>
      <c r="B622">
        <v>202604</v>
      </c>
      <c r="C622" t="str">
        <f>MID(analisis_productividad__4[[#This Row],[Periodo]],1,4)</f>
        <v>2026</v>
      </c>
      <c r="D622" t="str">
        <f>MID(analisis_productividad__4[[#This Row],[Periodo]],5,2)</f>
        <v>04</v>
      </c>
      <c r="E622" t="s">
        <v>11</v>
      </c>
      <c r="F622" t="s">
        <v>52</v>
      </c>
      <c r="G622">
        <v>99908</v>
      </c>
      <c r="H622">
        <v>7974107</v>
      </c>
      <c r="I622">
        <v>79.814388888890221</v>
      </c>
      <c r="J622">
        <v>95534.179825436062</v>
      </c>
      <c r="K622">
        <v>103</v>
      </c>
      <c r="L622">
        <v>91</v>
      </c>
      <c r="M622">
        <v>85.91077884372821</v>
      </c>
      <c r="N622">
        <v>8207416</v>
      </c>
    </row>
    <row r="623" spans="1:14" x14ac:dyDescent="0.35">
      <c r="A623" t="s">
        <v>50</v>
      </c>
      <c r="B623">
        <v>202511</v>
      </c>
      <c r="C623" t="str">
        <f>MID(analisis_productividad__4[[#This Row],[Periodo]],1,4)</f>
        <v>2025</v>
      </c>
      <c r="D623" t="str">
        <f>MID(analisis_productividad__4[[#This Row],[Periodo]],5,2)</f>
        <v>11</v>
      </c>
      <c r="E623" t="s">
        <v>34</v>
      </c>
      <c r="F623" t="s">
        <v>35</v>
      </c>
      <c r="G623">
        <v>99907</v>
      </c>
      <c r="H623">
        <v>6231915</v>
      </c>
      <c r="I623">
        <v>62.377048611111142</v>
      </c>
      <c r="J623">
        <v>95734.189536197271</v>
      </c>
      <c r="K623">
        <v>79.5</v>
      </c>
      <c r="L623">
        <v>72.5</v>
      </c>
      <c r="M623">
        <v>65.096027972782935</v>
      </c>
      <c r="N623">
        <v>5871502</v>
      </c>
    </row>
    <row r="624" spans="1:14" x14ac:dyDescent="0.35">
      <c r="A624" t="s">
        <v>38</v>
      </c>
      <c r="B624">
        <v>202410</v>
      </c>
      <c r="C624" t="str">
        <f>MID(analisis_productividad__4[[#This Row],[Periodo]],1,4)</f>
        <v>2024</v>
      </c>
      <c r="D624" t="str">
        <f>MID(analisis_productividad__4[[#This Row],[Periodo]],5,2)</f>
        <v>10</v>
      </c>
      <c r="E624" t="s">
        <v>34</v>
      </c>
      <c r="F624" t="s">
        <v>35</v>
      </c>
      <c r="G624">
        <v>99905</v>
      </c>
      <c r="H624">
        <v>11236486</v>
      </c>
      <c r="I624">
        <v>112.47132392473112</v>
      </c>
      <c r="J624">
        <v>0</v>
      </c>
      <c r="K624">
        <v>140.5</v>
      </c>
      <c r="L624">
        <v>125.5</v>
      </c>
      <c r="N624">
        <v>0</v>
      </c>
    </row>
    <row r="625" spans="1:14" x14ac:dyDescent="0.35">
      <c r="A625" t="s">
        <v>39</v>
      </c>
      <c r="B625">
        <v>202407</v>
      </c>
      <c r="C625" t="str">
        <f>MID(analisis_productividad__4[[#This Row],[Periodo]],1,4)</f>
        <v>2024</v>
      </c>
      <c r="D625" t="str">
        <f>MID(analisis_productividad__4[[#This Row],[Periodo]],5,2)</f>
        <v>07</v>
      </c>
      <c r="E625" t="s">
        <v>16</v>
      </c>
      <c r="F625" t="s">
        <v>17</v>
      </c>
      <c r="G625">
        <v>99895</v>
      </c>
      <c r="H625">
        <v>8879250</v>
      </c>
      <c r="I625">
        <v>88.885604838709611</v>
      </c>
      <c r="J625">
        <v>0</v>
      </c>
      <c r="K625">
        <v>93.5</v>
      </c>
      <c r="L625">
        <v>94</v>
      </c>
      <c r="N625">
        <v>0</v>
      </c>
    </row>
    <row r="626" spans="1:14" x14ac:dyDescent="0.35">
      <c r="A626" t="s">
        <v>26</v>
      </c>
      <c r="B626">
        <v>202501</v>
      </c>
      <c r="C626" t="str">
        <f>MID(analisis_productividad__4[[#This Row],[Periodo]],1,4)</f>
        <v>2025</v>
      </c>
      <c r="D626" t="str">
        <f>MID(analisis_productividad__4[[#This Row],[Periodo]],5,2)</f>
        <v>01</v>
      </c>
      <c r="E626" t="s">
        <v>11</v>
      </c>
      <c r="F626" t="s">
        <v>12</v>
      </c>
      <c r="G626">
        <v>99825</v>
      </c>
      <c r="H626">
        <v>5440157</v>
      </c>
      <c r="I626">
        <v>54.497022849462383</v>
      </c>
      <c r="J626">
        <v>66842.964879303152</v>
      </c>
      <c r="K626">
        <v>65.5</v>
      </c>
      <c r="L626">
        <v>63</v>
      </c>
      <c r="M626">
        <v>81.387132510102887</v>
      </c>
      <c r="N626">
        <v>4627072</v>
      </c>
    </row>
    <row r="627" spans="1:14" x14ac:dyDescent="0.35">
      <c r="A627" t="s">
        <v>62</v>
      </c>
      <c r="B627">
        <v>202511</v>
      </c>
      <c r="C627" t="str">
        <f>MID(analisis_productividad__4[[#This Row],[Periodo]],1,4)</f>
        <v>2025</v>
      </c>
      <c r="D627" t="str">
        <f>MID(analisis_productividad__4[[#This Row],[Periodo]],5,2)</f>
        <v>11</v>
      </c>
      <c r="E627" t="s">
        <v>16</v>
      </c>
      <c r="F627" t="s">
        <v>17</v>
      </c>
      <c r="G627">
        <v>99759</v>
      </c>
      <c r="H627">
        <v>2773323</v>
      </c>
      <c r="I627">
        <v>27.800354166666661</v>
      </c>
      <c r="J627">
        <v>91591.652372414945</v>
      </c>
      <c r="K627">
        <v>32.5</v>
      </c>
      <c r="L627">
        <v>32</v>
      </c>
      <c r="M627">
        <v>30.27920610847341</v>
      </c>
      <c r="N627">
        <v>2181863</v>
      </c>
    </row>
    <row r="628" spans="1:14" x14ac:dyDescent="0.35">
      <c r="A628" t="s">
        <v>56</v>
      </c>
      <c r="B628">
        <v>202601</v>
      </c>
      <c r="C628" t="str">
        <f>MID(analisis_productividad__4[[#This Row],[Periodo]],1,4)</f>
        <v>2026</v>
      </c>
      <c r="D628" t="str">
        <f>MID(analisis_productividad__4[[#This Row],[Periodo]],5,2)</f>
        <v>01</v>
      </c>
      <c r="E628" t="s">
        <v>16</v>
      </c>
      <c r="F628" t="s">
        <v>21</v>
      </c>
      <c r="G628">
        <v>99750</v>
      </c>
      <c r="H628">
        <v>6231313</v>
      </c>
      <c r="I628">
        <v>62.469307795698924</v>
      </c>
      <c r="J628">
        <v>107615.98490288221</v>
      </c>
      <c r="K628">
        <v>72.5</v>
      </c>
      <c r="L628">
        <v>68.5</v>
      </c>
      <c r="M628">
        <v>63.042188618377821</v>
      </c>
      <c r="N628">
        <v>6784347</v>
      </c>
    </row>
    <row r="629" spans="1:14" x14ac:dyDescent="0.35">
      <c r="A629" t="s">
        <v>37</v>
      </c>
      <c r="B629">
        <v>202408</v>
      </c>
      <c r="C629" t="str">
        <f>MID(analisis_productividad__4[[#This Row],[Periodo]],1,4)</f>
        <v>2024</v>
      </c>
      <c r="D629" t="str">
        <f>MID(analisis_productividad__4[[#This Row],[Periodo]],5,2)</f>
        <v>08</v>
      </c>
      <c r="E629" t="s">
        <v>16</v>
      </c>
      <c r="F629" t="s">
        <v>17</v>
      </c>
      <c r="G629">
        <v>99688</v>
      </c>
      <c r="H629">
        <v>10408328</v>
      </c>
      <c r="I629">
        <v>104.40862231182798</v>
      </c>
      <c r="J629">
        <v>0</v>
      </c>
      <c r="K629">
        <v>107.5</v>
      </c>
      <c r="L629">
        <v>102.5</v>
      </c>
      <c r="N629">
        <v>0</v>
      </c>
    </row>
    <row r="630" spans="1:14" x14ac:dyDescent="0.35">
      <c r="A630" t="s">
        <v>27</v>
      </c>
      <c r="B630">
        <v>202506</v>
      </c>
      <c r="C630" t="str">
        <f>MID(analisis_productividad__4[[#This Row],[Periodo]],1,4)</f>
        <v>2025</v>
      </c>
      <c r="D630" t="str">
        <f>MID(analisis_productividad__4[[#This Row],[Periodo]],5,2)</f>
        <v>06</v>
      </c>
      <c r="E630" t="s">
        <v>11</v>
      </c>
      <c r="F630" t="s">
        <v>14</v>
      </c>
      <c r="G630">
        <v>99642</v>
      </c>
      <c r="H630">
        <v>7766880</v>
      </c>
      <c r="I630">
        <v>77.948111111111075</v>
      </c>
      <c r="J630">
        <v>107254.7694211014</v>
      </c>
      <c r="K630">
        <v>88</v>
      </c>
      <c r="L630">
        <v>84</v>
      </c>
      <c r="M630">
        <v>72.415241037028764</v>
      </c>
      <c r="N630">
        <v>8085050</v>
      </c>
    </row>
    <row r="631" spans="1:14" x14ac:dyDescent="0.35">
      <c r="A631" t="s">
        <v>69</v>
      </c>
      <c r="B631">
        <v>202603</v>
      </c>
      <c r="C631" t="str">
        <f>MID(analisis_productividad__4[[#This Row],[Periodo]],1,4)</f>
        <v>2026</v>
      </c>
      <c r="D631" t="str">
        <f>MID(analisis_productividad__4[[#This Row],[Periodo]],5,2)</f>
        <v>03</v>
      </c>
      <c r="E631" t="s">
        <v>11</v>
      </c>
      <c r="F631" t="s">
        <v>52</v>
      </c>
      <c r="G631">
        <v>99615</v>
      </c>
      <c r="H631">
        <v>5607846</v>
      </c>
      <c r="I631">
        <v>56.295147849462353</v>
      </c>
      <c r="J631">
        <v>94428.803697004492</v>
      </c>
      <c r="K631">
        <v>68</v>
      </c>
      <c r="L631">
        <v>60.5</v>
      </c>
      <c r="M631">
        <v>56.717795741490448</v>
      </c>
      <c r="N631">
        <v>5355794</v>
      </c>
    </row>
    <row r="632" spans="1:14" x14ac:dyDescent="0.35">
      <c r="A632" t="s">
        <v>41</v>
      </c>
      <c r="B632">
        <v>202511</v>
      </c>
      <c r="C632" t="str">
        <f>MID(analisis_productividad__4[[#This Row],[Periodo]],1,4)</f>
        <v>2025</v>
      </c>
      <c r="D632" t="str">
        <f>MID(analisis_productividad__4[[#This Row],[Periodo]],5,2)</f>
        <v>11</v>
      </c>
      <c r="E632" t="s">
        <v>16</v>
      </c>
      <c r="F632" t="s">
        <v>19</v>
      </c>
      <c r="G632">
        <v>99597</v>
      </c>
      <c r="H632">
        <v>4734514</v>
      </c>
      <c r="I632">
        <v>47.53680555555556</v>
      </c>
      <c r="J632">
        <v>91102.317449322989</v>
      </c>
      <c r="K632">
        <v>57.5</v>
      </c>
      <c r="L632">
        <v>56.5</v>
      </c>
      <c r="M632">
        <v>51.969192799443789</v>
      </c>
      <c r="N632">
        <v>3999718</v>
      </c>
    </row>
    <row r="633" spans="1:14" x14ac:dyDescent="0.35">
      <c r="A633" t="s">
        <v>50</v>
      </c>
      <c r="B633">
        <v>202504</v>
      </c>
      <c r="C633" t="str">
        <f>MID(analisis_productividad__4[[#This Row],[Periodo]],1,4)</f>
        <v>2025</v>
      </c>
      <c r="D633" t="str">
        <f>MID(analisis_productividad__4[[#This Row],[Periodo]],5,2)</f>
        <v>04</v>
      </c>
      <c r="E633" t="s">
        <v>34</v>
      </c>
      <c r="F633" t="s">
        <v>35</v>
      </c>
      <c r="G633">
        <v>99593</v>
      </c>
      <c r="H633">
        <v>6066983</v>
      </c>
      <c r="I633">
        <v>60.917694444444457</v>
      </c>
      <c r="J633">
        <v>97419.84421189384</v>
      </c>
      <c r="K633">
        <v>79.5</v>
      </c>
      <c r="L633">
        <v>72.5</v>
      </c>
      <c r="M633">
        <v>62.27666117802405</v>
      </c>
      <c r="N633">
        <v>6065240</v>
      </c>
    </row>
    <row r="634" spans="1:14" x14ac:dyDescent="0.35">
      <c r="A634" t="s">
        <v>13</v>
      </c>
      <c r="B634">
        <v>202410</v>
      </c>
      <c r="C634" t="str">
        <f>MID(analisis_productividad__4[[#This Row],[Periodo]],1,4)</f>
        <v>2024</v>
      </c>
      <c r="D634" t="str">
        <f>MID(analisis_productividad__4[[#This Row],[Periodo]],5,2)</f>
        <v>10</v>
      </c>
      <c r="E634" t="s">
        <v>11</v>
      </c>
      <c r="F634" t="s">
        <v>14</v>
      </c>
      <c r="G634">
        <v>99585</v>
      </c>
      <c r="H634">
        <v>8718465</v>
      </c>
      <c r="I634">
        <v>87.547607526881691</v>
      </c>
      <c r="J634">
        <v>0</v>
      </c>
      <c r="K634">
        <v>100</v>
      </c>
      <c r="L634">
        <v>98</v>
      </c>
      <c r="N634">
        <v>0</v>
      </c>
    </row>
    <row r="635" spans="1:14" x14ac:dyDescent="0.35">
      <c r="A635" t="s">
        <v>33</v>
      </c>
      <c r="B635">
        <v>202605</v>
      </c>
      <c r="C635" t="str">
        <f>MID(analisis_productividad__4[[#This Row],[Periodo]],1,4)</f>
        <v>2026</v>
      </c>
      <c r="D635" t="str">
        <f>MID(analisis_productividad__4[[#This Row],[Periodo]],5,2)</f>
        <v>05</v>
      </c>
      <c r="E635" t="s">
        <v>34</v>
      </c>
      <c r="F635" t="s">
        <v>35</v>
      </c>
      <c r="G635">
        <v>99585</v>
      </c>
      <c r="H635">
        <v>1253650</v>
      </c>
      <c r="I635">
        <v>12.588756720430125</v>
      </c>
      <c r="J635">
        <v>78881.522060076633</v>
      </c>
      <c r="K635">
        <v>15</v>
      </c>
      <c r="L635">
        <v>15</v>
      </c>
      <c r="M635">
        <v>13.971887755419019</v>
      </c>
      <c r="N635">
        <v>1102124</v>
      </c>
    </row>
    <row r="636" spans="1:14" x14ac:dyDescent="0.35">
      <c r="A636" t="s">
        <v>23</v>
      </c>
      <c r="B636">
        <v>202510</v>
      </c>
      <c r="C636" t="str">
        <f>MID(analisis_productividad__4[[#This Row],[Periodo]],1,4)</f>
        <v>2025</v>
      </c>
      <c r="D636" t="str">
        <f>MID(analisis_productividad__4[[#This Row],[Periodo]],5,2)</f>
        <v>10</v>
      </c>
      <c r="E636" t="s">
        <v>11</v>
      </c>
      <c r="F636" t="s">
        <v>12</v>
      </c>
      <c r="G636">
        <v>99560</v>
      </c>
      <c r="H636">
        <v>5757671</v>
      </c>
      <c r="I636">
        <v>57.831384408602162</v>
      </c>
      <c r="J636">
        <v>98283.962602842177</v>
      </c>
      <c r="K636">
        <v>68.5</v>
      </c>
      <c r="L636">
        <v>66</v>
      </c>
      <c r="M636">
        <v>58.58200074071393</v>
      </c>
      <c r="N636">
        <v>5825251</v>
      </c>
    </row>
    <row r="637" spans="1:14" x14ac:dyDescent="0.35">
      <c r="A637" t="s">
        <v>38</v>
      </c>
      <c r="B637">
        <v>202408</v>
      </c>
      <c r="C637" t="str">
        <f>MID(analisis_productividad__4[[#This Row],[Periodo]],1,4)</f>
        <v>2024</v>
      </c>
      <c r="D637" t="str">
        <f>MID(analisis_productividad__4[[#This Row],[Periodo]],5,2)</f>
        <v>08</v>
      </c>
      <c r="E637" t="s">
        <v>34</v>
      </c>
      <c r="F637" t="s">
        <v>35</v>
      </c>
      <c r="G637">
        <v>99555</v>
      </c>
      <c r="H637">
        <v>11546638</v>
      </c>
      <c r="I637">
        <v>115.9821438172042</v>
      </c>
      <c r="J637">
        <v>0</v>
      </c>
      <c r="K637">
        <v>140.5</v>
      </c>
      <c r="L637">
        <v>125.5</v>
      </c>
      <c r="N637">
        <v>0</v>
      </c>
    </row>
    <row r="638" spans="1:14" x14ac:dyDescent="0.35">
      <c r="A638" t="s">
        <v>131</v>
      </c>
      <c r="B638">
        <v>202501</v>
      </c>
      <c r="C638" t="str">
        <f>MID(analisis_productividad__4[[#This Row],[Periodo]],1,4)</f>
        <v>2025</v>
      </c>
      <c r="D638" t="str">
        <f>MID(analisis_productividad__4[[#This Row],[Periodo]],5,2)</f>
        <v>01</v>
      </c>
      <c r="E638" t="s">
        <v>16</v>
      </c>
      <c r="F638" t="s">
        <v>21</v>
      </c>
      <c r="G638">
        <v>99535</v>
      </c>
      <c r="H638">
        <v>10998136</v>
      </c>
      <c r="I638">
        <v>110.49481182795691</v>
      </c>
      <c r="J638">
        <v>103273.68121792859</v>
      </c>
      <c r="K638">
        <v>99</v>
      </c>
      <c r="L638">
        <v>32.5</v>
      </c>
      <c r="M638">
        <v>106.49505401857118</v>
      </c>
      <c r="N638">
        <v>10821355</v>
      </c>
    </row>
    <row r="639" spans="1:14" x14ac:dyDescent="0.35">
      <c r="A639" t="s">
        <v>37</v>
      </c>
      <c r="B639">
        <v>202602</v>
      </c>
      <c r="C639" t="str">
        <f>MID(analisis_productividad__4[[#This Row],[Periodo]],1,4)</f>
        <v>2026</v>
      </c>
      <c r="D639" t="str">
        <f>MID(analisis_productividad__4[[#This Row],[Periodo]],5,2)</f>
        <v>02</v>
      </c>
      <c r="E639" t="s">
        <v>16</v>
      </c>
      <c r="F639" t="s">
        <v>17</v>
      </c>
      <c r="G639">
        <v>99490</v>
      </c>
      <c r="H639">
        <v>9431544</v>
      </c>
      <c r="I639">
        <v>94.798906249999959</v>
      </c>
      <c r="J639">
        <v>94681.163770949817</v>
      </c>
      <c r="K639">
        <v>107.5</v>
      </c>
      <c r="L639">
        <v>102.5</v>
      </c>
      <c r="M639">
        <v>96.70800932222366</v>
      </c>
      <c r="N639">
        <v>9156427</v>
      </c>
    </row>
    <row r="640" spans="1:14" x14ac:dyDescent="0.35">
      <c r="A640" t="s">
        <v>37</v>
      </c>
      <c r="B640">
        <v>202505</v>
      </c>
      <c r="C640" t="str">
        <f>MID(analisis_productividad__4[[#This Row],[Periodo]],1,4)</f>
        <v>2025</v>
      </c>
      <c r="D640" t="str">
        <f>MID(analisis_productividad__4[[#This Row],[Periodo]],5,2)</f>
        <v>05</v>
      </c>
      <c r="E640" t="s">
        <v>16</v>
      </c>
      <c r="F640" t="s">
        <v>17</v>
      </c>
      <c r="G640">
        <v>99481</v>
      </c>
      <c r="H640">
        <v>9905507</v>
      </c>
      <c r="I640">
        <v>99.571801075268766</v>
      </c>
      <c r="J640">
        <v>96818.416451395198</v>
      </c>
      <c r="K640">
        <v>107.5</v>
      </c>
      <c r="L640">
        <v>102.5</v>
      </c>
      <c r="M640">
        <v>102.3101505174149</v>
      </c>
      <c r="N640">
        <v>9948725</v>
      </c>
    </row>
    <row r="641" spans="1:14" x14ac:dyDescent="0.35">
      <c r="A641" t="s">
        <v>69</v>
      </c>
      <c r="B641">
        <v>202602</v>
      </c>
      <c r="C641" t="str">
        <f>MID(analisis_productividad__4[[#This Row],[Periodo]],1,4)</f>
        <v>2026</v>
      </c>
      <c r="D641" t="str">
        <f>MID(analisis_productividad__4[[#This Row],[Periodo]],5,2)</f>
        <v>02</v>
      </c>
      <c r="E641" t="s">
        <v>11</v>
      </c>
      <c r="F641" t="s">
        <v>52</v>
      </c>
      <c r="G641">
        <v>99477</v>
      </c>
      <c r="H641">
        <v>5248583</v>
      </c>
      <c r="I641">
        <v>52.761874999999996</v>
      </c>
      <c r="J641">
        <v>83591.3782599939</v>
      </c>
      <c r="K641">
        <v>68</v>
      </c>
      <c r="L641">
        <v>60.5</v>
      </c>
      <c r="M641">
        <v>56.717795741490448</v>
      </c>
      <c r="N641">
        <v>4741119</v>
      </c>
    </row>
    <row r="642" spans="1:14" x14ac:dyDescent="0.35">
      <c r="A642" t="s">
        <v>70</v>
      </c>
      <c r="B642">
        <v>202605</v>
      </c>
      <c r="C642" t="str">
        <f>MID(analisis_productividad__4[[#This Row],[Periodo]],1,4)</f>
        <v>2026</v>
      </c>
      <c r="D642" t="str">
        <f>MID(analisis_productividad__4[[#This Row],[Periodo]],5,2)</f>
        <v>05</v>
      </c>
      <c r="E642" t="s">
        <v>11</v>
      </c>
      <c r="F642" t="s">
        <v>14</v>
      </c>
      <c r="G642">
        <v>99456</v>
      </c>
      <c r="H642">
        <v>5517917</v>
      </c>
      <c r="I642">
        <v>55.480927419354778</v>
      </c>
      <c r="J642">
        <v>91256.129549487247</v>
      </c>
      <c r="K642">
        <v>65</v>
      </c>
      <c r="L642">
        <v>67.5</v>
      </c>
      <c r="M642">
        <v>56.772923994003762</v>
      </c>
      <c r="N642">
        <v>5180877</v>
      </c>
    </row>
    <row r="643" spans="1:14" x14ac:dyDescent="0.35">
      <c r="A643" t="s">
        <v>65</v>
      </c>
      <c r="B643">
        <v>202606</v>
      </c>
      <c r="C643" t="str">
        <f>MID(analisis_productividad__4[[#This Row],[Periodo]],1,4)</f>
        <v>2026</v>
      </c>
      <c r="D643" t="str">
        <f>MID(analisis_productividad__4[[#This Row],[Periodo]],5,2)</f>
        <v>06</v>
      </c>
      <c r="E643" t="s">
        <v>16</v>
      </c>
      <c r="F643" t="s">
        <v>19</v>
      </c>
      <c r="G643">
        <v>99417</v>
      </c>
      <c r="H643">
        <v>6079662</v>
      </c>
      <c r="I643">
        <v>61.152875000000364</v>
      </c>
      <c r="J643">
        <v>90533.9378495977</v>
      </c>
      <c r="K643">
        <v>68</v>
      </c>
      <c r="L643">
        <v>68.5</v>
      </c>
      <c r="M643">
        <v>60.397061823201135</v>
      </c>
      <c r="N643">
        <v>5467984</v>
      </c>
    </row>
    <row r="644" spans="1:14" x14ac:dyDescent="0.35">
      <c r="A644" t="s">
        <v>41</v>
      </c>
      <c r="B644">
        <v>202605</v>
      </c>
      <c r="C644" t="str">
        <f>MID(analisis_productividad__4[[#This Row],[Periodo]],1,4)</f>
        <v>2026</v>
      </c>
      <c r="D644" t="str">
        <f>MID(analisis_productividad__4[[#This Row],[Periodo]],5,2)</f>
        <v>05</v>
      </c>
      <c r="E644" t="s">
        <v>16</v>
      </c>
      <c r="F644" t="s">
        <v>19</v>
      </c>
      <c r="G644">
        <v>99397</v>
      </c>
      <c r="H644">
        <v>5144020</v>
      </c>
      <c r="I644">
        <v>51.75243951612952</v>
      </c>
      <c r="J644">
        <v>100730.80856948419</v>
      </c>
      <c r="K644">
        <v>57.5</v>
      </c>
      <c r="L644">
        <v>56.5</v>
      </c>
      <c r="M644">
        <v>50.698263574219922</v>
      </c>
      <c r="N644">
        <v>5106877</v>
      </c>
    </row>
    <row r="645" spans="1:14" x14ac:dyDescent="0.35">
      <c r="A645" t="s">
        <v>73</v>
      </c>
      <c r="B645">
        <v>202603</v>
      </c>
      <c r="C645" t="str">
        <f>MID(analisis_productividad__4[[#This Row],[Periodo]],1,4)</f>
        <v>2026</v>
      </c>
      <c r="D645" t="str">
        <f>MID(analisis_productividad__4[[#This Row],[Periodo]],5,2)</f>
        <v>03</v>
      </c>
      <c r="E645" t="s">
        <v>16</v>
      </c>
      <c r="F645" t="s">
        <v>21</v>
      </c>
      <c r="G645">
        <v>99383</v>
      </c>
      <c r="H645">
        <v>3987061</v>
      </c>
      <c r="I645">
        <v>40.117950268817189</v>
      </c>
      <c r="J645">
        <v>101618.09054015479</v>
      </c>
      <c r="K645">
        <v>43.5</v>
      </c>
      <c r="L645">
        <v>41</v>
      </c>
      <c r="M645">
        <v>38.914029696684921</v>
      </c>
      <c r="N645">
        <v>3954369</v>
      </c>
    </row>
    <row r="646" spans="1:14" x14ac:dyDescent="0.35">
      <c r="A646" t="s">
        <v>44</v>
      </c>
      <c r="B646">
        <v>202601</v>
      </c>
      <c r="C646" t="str">
        <f>MID(analisis_productividad__4[[#This Row],[Periodo]],1,4)</f>
        <v>2026</v>
      </c>
      <c r="D646" t="str">
        <f>MID(analisis_productividad__4[[#This Row],[Periodo]],5,2)</f>
        <v>01</v>
      </c>
      <c r="E646" t="s">
        <v>11</v>
      </c>
      <c r="F646" t="s">
        <v>12</v>
      </c>
      <c r="G646">
        <v>99382</v>
      </c>
      <c r="H646">
        <v>6354838</v>
      </c>
      <c r="I646">
        <v>63.943494623655944</v>
      </c>
      <c r="J646">
        <v>94761.923130934927</v>
      </c>
      <c r="K646">
        <v>78</v>
      </c>
      <c r="L646">
        <v>74.5</v>
      </c>
      <c r="M646">
        <v>66.954795775232199</v>
      </c>
      <c r="N646">
        <v>6344765</v>
      </c>
    </row>
    <row r="647" spans="1:14" x14ac:dyDescent="0.35">
      <c r="A647" t="s">
        <v>55</v>
      </c>
      <c r="B647">
        <v>202504</v>
      </c>
      <c r="C647" t="str">
        <f>MID(analisis_productividad__4[[#This Row],[Periodo]],1,4)</f>
        <v>2025</v>
      </c>
      <c r="D647" t="str">
        <f>MID(analisis_productividad__4[[#This Row],[Periodo]],5,2)</f>
        <v>04</v>
      </c>
      <c r="E647" t="s">
        <v>16</v>
      </c>
      <c r="F647" t="s">
        <v>21</v>
      </c>
      <c r="G647">
        <v>99361</v>
      </c>
      <c r="H647">
        <v>4566694</v>
      </c>
      <c r="I647">
        <v>45.960444444444455</v>
      </c>
      <c r="J647">
        <v>86924.690281450603</v>
      </c>
      <c r="K647">
        <v>55</v>
      </c>
      <c r="L647">
        <v>50.5</v>
      </c>
      <c r="M647">
        <v>52.536213649006406</v>
      </c>
      <c r="N647">
        <v>4578461</v>
      </c>
    </row>
    <row r="648" spans="1:14" x14ac:dyDescent="0.35">
      <c r="A648" t="s">
        <v>86</v>
      </c>
      <c r="B648">
        <v>202403</v>
      </c>
      <c r="C648" t="str">
        <f>MID(analisis_productividad__4[[#This Row],[Periodo]],1,4)</f>
        <v>2024</v>
      </c>
      <c r="D648" t="str">
        <f>MID(analisis_productividad__4[[#This Row],[Periodo]],5,2)</f>
        <v>03</v>
      </c>
      <c r="E648" t="s">
        <v>11</v>
      </c>
      <c r="F648" t="s">
        <v>14</v>
      </c>
      <c r="G648">
        <v>99338</v>
      </c>
      <c r="H648">
        <v>6604014</v>
      </c>
      <c r="I648">
        <v>66.480288978494627</v>
      </c>
      <c r="J648">
        <v>0</v>
      </c>
      <c r="K648">
        <v>69.5</v>
      </c>
      <c r="L648">
        <v>59</v>
      </c>
      <c r="N648">
        <v>0</v>
      </c>
    </row>
    <row r="649" spans="1:14" x14ac:dyDescent="0.35">
      <c r="A649" t="s">
        <v>61</v>
      </c>
      <c r="B649">
        <v>202411</v>
      </c>
      <c r="C649" t="str">
        <f>MID(analisis_productividad__4[[#This Row],[Periodo]],1,4)</f>
        <v>2024</v>
      </c>
      <c r="D649" t="str">
        <f>MID(analisis_productividad__4[[#This Row],[Periodo]],5,2)</f>
        <v>11</v>
      </c>
      <c r="E649" t="s">
        <v>11</v>
      </c>
      <c r="F649" t="s">
        <v>52</v>
      </c>
      <c r="G649">
        <v>99296</v>
      </c>
      <c r="H649">
        <v>8767889</v>
      </c>
      <c r="I649">
        <v>88.300673611111193</v>
      </c>
      <c r="J649">
        <v>0</v>
      </c>
      <c r="K649">
        <v>104.5</v>
      </c>
      <c r="L649">
        <v>99</v>
      </c>
      <c r="N649">
        <v>0</v>
      </c>
    </row>
    <row r="650" spans="1:14" x14ac:dyDescent="0.35">
      <c r="A650" t="s">
        <v>74</v>
      </c>
      <c r="B650">
        <v>202603</v>
      </c>
      <c r="C650" t="str">
        <f>MID(analisis_productividad__4[[#This Row],[Periodo]],1,4)</f>
        <v>2026</v>
      </c>
      <c r="D650" t="str">
        <f>MID(analisis_productividad__4[[#This Row],[Periodo]],5,2)</f>
        <v>03</v>
      </c>
      <c r="E650" t="s">
        <v>16</v>
      </c>
      <c r="F650" t="s">
        <v>19</v>
      </c>
      <c r="G650">
        <v>99290</v>
      </c>
      <c r="H650">
        <v>4846245</v>
      </c>
      <c r="I650">
        <v>48.809005376344082</v>
      </c>
      <c r="J650">
        <v>102989.02564430168</v>
      </c>
      <c r="K650">
        <v>50.5</v>
      </c>
      <c r="L650">
        <v>51.5</v>
      </c>
      <c r="M650">
        <v>44.728769766304502</v>
      </c>
      <c r="N650">
        <v>4606572</v>
      </c>
    </row>
    <row r="651" spans="1:14" x14ac:dyDescent="0.35">
      <c r="A651" t="s">
        <v>54</v>
      </c>
      <c r="B651">
        <v>202511</v>
      </c>
      <c r="C651" t="str">
        <f>MID(analisis_productividad__4[[#This Row],[Periodo]],1,4)</f>
        <v>2025</v>
      </c>
      <c r="D651" t="str">
        <f>MID(analisis_productividad__4[[#This Row],[Periodo]],5,2)</f>
        <v>11</v>
      </c>
      <c r="E651" t="s">
        <v>11</v>
      </c>
      <c r="F651" t="s">
        <v>52</v>
      </c>
      <c r="G651">
        <v>99234</v>
      </c>
      <c r="H651">
        <v>8941114</v>
      </c>
      <c r="I651">
        <v>90.101326388888936</v>
      </c>
      <c r="J651">
        <v>90872.638750425758</v>
      </c>
      <c r="K651">
        <v>106</v>
      </c>
      <c r="L651">
        <v>102.5</v>
      </c>
      <c r="M651">
        <v>98.391702199338965</v>
      </c>
      <c r="N651">
        <v>9797451</v>
      </c>
    </row>
    <row r="652" spans="1:14" x14ac:dyDescent="0.35">
      <c r="A652" t="s">
        <v>39</v>
      </c>
      <c r="B652">
        <v>202410</v>
      </c>
      <c r="C652" t="str">
        <f>MID(analisis_productividad__4[[#This Row],[Periodo]],1,4)</f>
        <v>2024</v>
      </c>
      <c r="D652" t="str">
        <f>MID(analisis_productividad__4[[#This Row],[Periodo]],5,2)</f>
        <v>10</v>
      </c>
      <c r="E652" t="s">
        <v>16</v>
      </c>
      <c r="F652" t="s">
        <v>17</v>
      </c>
      <c r="G652">
        <v>99228</v>
      </c>
      <c r="H652">
        <v>8185039</v>
      </c>
      <c r="I652">
        <v>82.487002688171955</v>
      </c>
      <c r="J652">
        <v>0</v>
      </c>
      <c r="K652">
        <v>93.5</v>
      </c>
      <c r="L652">
        <v>94</v>
      </c>
      <c r="N652">
        <v>0</v>
      </c>
    </row>
    <row r="653" spans="1:14" x14ac:dyDescent="0.35">
      <c r="A653" t="s">
        <v>38</v>
      </c>
      <c r="B653">
        <v>202501</v>
      </c>
      <c r="C653" t="str">
        <f>MID(analisis_productividad__4[[#This Row],[Periodo]],1,4)</f>
        <v>2025</v>
      </c>
      <c r="D653" t="str">
        <f>MID(analisis_productividad__4[[#This Row],[Periodo]],5,2)</f>
        <v>01</v>
      </c>
      <c r="E653" t="s">
        <v>34</v>
      </c>
      <c r="F653" t="s">
        <v>35</v>
      </c>
      <c r="G653">
        <v>99216</v>
      </c>
      <c r="H653">
        <v>11721154</v>
      </c>
      <c r="I653">
        <v>118.13788978494617</v>
      </c>
      <c r="J653">
        <v>110698.81074940688</v>
      </c>
      <c r="K653">
        <v>140.5</v>
      </c>
      <c r="L653">
        <v>125.5</v>
      </c>
      <c r="M653">
        <v>105.88329107287001</v>
      </c>
      <c r="N653">
        <v>11611126</v>
      </c>
    </row>
    <row r="654" spans="1:14" x14ac:dyDescent="0.35">
      <c r="A654" t="s">
        <v>50</v>
      </c>
      <c r="B654">
        <v>202403</v>
      </c>
      <c r="C654" t="str">
        <f>MID(analisis_productividad__4[[#This Row],[Periodo]],1,4)</f>
        <v>2024</v>
      </c>
      <c r="D654" t="str">
        <f>MID(analisis_productividad__4[[#This Row],[Periodo]],5,2)</f>
        <v>03</v>
      </c>
      <c r="E654" t="s">
        <v>34</v>
      </c>
      <c r="F654" t="s">
        <v>35</v>
      </c>
      <c r="G654">
        <v>99209</v>
      </c>
      <c r="H654">
        <v>6794744</v>
      </c>
      <c r="I654">
        <v>68.48940188172044</v>
      </c>
      <c r="J654">
        <v>0</v>
      </c>
      <c r="K654">
        <v>79.5</v>
      </c>
      <c r="L654">
        <v>72.5</v>
      </c>
      <c r="N654">
        <v>0</v>
      </c>
    </row>
    <row r="655" spans="1:14" x14ac:dyDescent="0.35">
      <c r="A655" t="s">
        <v>59</v>
      </c>
      <c r="B655">
        <v>202606</v>
      </c>
      <c r="C655" t="str">
        <f>MID(analisis_productividad__4[[#This Row],[Periodo]],1,4)</f>
        <v>2026</v>
      </c>
      <c r="D655" t="str">
        <f>MID(analisis_productividad__4[[#This Row],[Periodo]],5,2)</f>
        <v>06</v>
      </c>
      <c r="E655" t="s">
        <v>11</v>
      </c>
      <c r="F655" t="s">
        <v>12</v>
      </c>
      <c r="G655">
        <v>99177</v>
      </c>
      <c r="H655">
        <v>8028846</v>
      </c>
      <c r="I655">
        <v>80.954416666668834</v>
      </c>
      <c r="J655">
        <v>93323.125799852554</v>
      </c>
      <c r="K655">
        <v>94.5</v>
      </c>
      <c r="L655">
        <v>97</v>
      </c>
      <c r="M655">
        <v>83.184435661200979</v>
      </c>
      <c r="N655">
        <v>7763032</v>
      </c>
    </row>
    <row r="656" spans="1:14" x14ac:dyDescent="0.35">
      <c r="A656" t="s">
        <v>38</v>
      </c>
      <c r="B656">
        <v>202411</v>
      </c>
      <c r="C656" t="str">
        <f>MID(analisis_productividad__4[[#This Row],[Periodo]],1,4)</f>
        <v>2024</v>
      </c>
      <c r="D656" t="str">
        <f>MID(analisis_productividad__4[[#This Row],[Periodo]],5,2)</f>
        <v>11</v>
      </c>
      <c r="E656" t="s">
        <v>34</v>
      </c>
      <c r="F656" t="s">
        <v>35</v>
      </c>
      <c r="G656">
        <v>99158</v>
      </c>
      <c r="H656">
        <v>11512476</v>
      </c>
      <c r="I656">
        <v>116.10175694444446</v>
      </c>
      <c r="J656">
        <v>0</v>
      </c>
      <c r="K656">
        <v>140.5</v>
      </c>
      <c r="L656">
        <v>125.5</v>
      </c>
      <c r="N656">
        <v>0</v>
      </c>
    </row>
    <row r="657" spans="1:14" x14ac:dyDescent="0.35">
      <c r="A657" t="s">
        <v>48</v>
      </c>
      <c r="B657">
        <v>202604</v>
      </c>
      <c r="C657" t="str">
        <f>MID(analisis_productividad__4[[#This Row],[Periodo]],1,4)</f>
        <v>2026</v>
      </c>
      <c r="D657" t="str">
        <f>MID(analisis_productividad__4[[#This Row],[Periodo]],5,2)</f>
        <v>04</v>
      </c>
      <c r="E657" t="s">
        <v>16</v>
      </c>
      <c r="F657" t="s">
        <v>21</v>
      </c>
      <c r="G657">
        <v>99157</v>
      </c>
      <c r="H657">
        <v>5347175</v>
      </c>
      <c r="I657">
        <v>53.926201388889773</v>
      </c>
      <c r="J657">
        <v>108064.0357056706</v>
      </c>
      <c r="K657">
        <v>56</v>
      </c>
      <c r="L657">
        <v>60</v>
      </c>
      <c r="M657">
        <v>48.493991244906013</v>
      </c>
      <c r="N657">
        <v>5240456</v>
      </c>
    </row>
    <row r="658" spans="1:14" x14ac:dyDescent="0.35">
      <c r="A658" t="s">
        <v>10</v>
      </c>
      <c r="B658">
        <v>202405</v>
      </c>
      <c r="C658" t="str">
        <f>MID(analisis_productividad__4[[#This Row],[Periodo]],1,4)</f>
        <v>2024</v>
      </c>
      <c r="D658" t="str">
        <f>MID(analisis_productividad__4[[#This Row],[Periodo]],5,2)</f>
        <v>05</v>
      </c>
      <c r="E658" t="s">
        <v>11</v>
      </c>
      <c r="F658" t="s">
        <v>12</v>
      </c>
      <c r="G658">
        <v>99151</v>
      </c>
      <c r="H658">
        <v>9629115</v>
      </c>
      <c r="I658">
        <v>97.115638440860195</v>
      </c>
      <c r="J658">
        <v>0</v>
      </c>
      <c r="K658">
        <v>98.5</v>
      </c>
      <c r="L658">
        <v>96.5</v>
      </c>
      <c r="N658">
        <v>0</v>
      </c>
    </row>
    <row r="659" spans="1:14" x14ac:dyDescent="0.35">
      <c r="A659" t="s">
        <v>36</v>
      </c>
      <c r="B659">
        <v>202504</v>
      </c>
      <c r="C659" t="str">
        <f>MID(analisis_productividad__4[[#This Row],[Periodo]],1,4)</f>
        <v>2025</v>
      </c>
      <c r="D659" t="str">
        <f>MID(analisis_productividad__4[[#This Row],[Periodo]],5,2)</f>
        <v>04</v>
      </c>
      <c r="E659" t="s">
        <v>16</v>
      </c>
      <c r="F659" t="s">
        <v>17</v>
      </c>
      <c r="G659">
        <v>99138</v>
      </c>
      <c r="H659">
        <v>7281149</v>
      </c>
      <c r="I659">
        <v>73.444583333333313</v>
      </c>
      <c r="J659">
        <v>102861.36322079279</v>
      </c>
      <c r="K659">
        <v>76.5</v>
      </c>
      <c r="L659">
        <v>80</v>
      </c>
      <c r="M659">
        <v>70.786043389012391</v>
      </c>
      <c r="N659">
        <v>7991012</v>
      </c>
    </row>
    <row r="660" spans="1:14" x14ac:dyDescent="0.35">
      <c r="A660" t="s">
        <v>44</v>
      </c>
      <c r="B660">
        <v>202401</v>
      </c>
      <c r="C660" t="str">
        <f>MID(analisis_productividad__4[[#This Row],[Periodo]],1,4)</f>
        <v>2024</v>
      </c>
      <c r="D660" t="str">
        <f>MID(analisis_productividad__4[[#This Row],[Periodo]],5,2)</f>
        <v>01</v>
      </c>
      <c r="E660" t="s">
        <v>11</v>
      </c>
      <c r="F660" t="s">
        <v>12</v>
      </c>
      <c r="G660">
        <v>99130</v>
      </c>
      <c r="H660">
        <v>6455615</v>
      </c>
      <c r="I660">
        <v>65.122674731182812</v>
      </c>
      <c r="J660">
        <v>0</v>
      </c>
      <c r="K660">
        <v>78</v>
      </c>
      <c r="L660">
        <v>74.5</v>
      </c>
      <c r="N660">
        <v>0</v>
      </c>
    </row>
    <row r="661" spans="1:14" x14ac:dyDescent="0.35">
      <c r="A661" t="s">
        <v>75</v>
      </c>
      <c r="B661">
        <v>202604</v>
      </c>
      <c r="C661" t="str">
        <f>MID(analisis_productividad__4[[#This Row],[Periodo]],1,4)</f>
        <v>2026</v>
      </c>
      <c r="D661" t="str">
        <f>MID(analisis_productividad__4[[#This Row],[Periodo]],5,2)</f>
        <v>04</v>
      </c>
      <c r="E661" t="s">
        <v>11</v>
      </c>
      <c r="F661" t="s">
        <v>52</v>
      </c>
      <c r="G661">
        <v>99114</v>
      </c>
      <c r="H661">
        <v>9181730</v>
      </c>
      <c r="I661">
        <v>92.638194444445958</v>
      </c>
      <c r="J661">
        <v>86134.378178466097</v>
      </c>
      <c r="K661">
        <v>118</v>
      </c>
      <c r="L661">
        <v>106</v>
      </c>
      <c r="M661">
        <v>102.17544085783207</v>
      </c>
      <c r="N661">
        <v>8800818</v>
      </c>
    </row>
    <row r="662" spans="1:14" x14ac:dyDescent="0.35">
      <c r="A662" t="s">
        <v>26</v>
      </c>
      <c r="B662">
        <v>202510</v>
      </c>
      <c r="C662" t="str">
        <f>MID(analisis_productividad__4[[#This Row],[Periodo]],1,4)</f>
        <v>2025</v>
      </c>
      <c r="D662" t="str">
        <f>MID(analisis_productividad__4[[#This Row],[Periodo]],5,2)</f>
        <v>10</v>
      </c>
      <c r="E662" t="s">
        <v>11</v>
      </c>
      <c r="F662" t="s">
        <v>12</v>
      </c>
      <c r="G662">
        <v>98988</v>
      </c>
      <c r="H662">
        <v>5661587</v>
      </c>
      <c r="I662">
        <v>57.194563172043033</v>
      </c>
      <c r="J662">
        <v>90349.729839861509</v>
      </c>
      <c r="K662">
        <v>65.5</v>
      </c>
      <c r="L662">
        <v>63</v>
      </c>
      <c r="M662">
        <v>62.663019579967333</v>
      </c>
      <c r="N662">
        <v>4815513</v>
      </c>
    </row>
    <row r="663" spans="1:14" x14ac:dyDescent="0.35">
      <c r="A663" t="s">
        <v>51</v>
      </c>
      <c r="B663">
        <v>202508</v>
      </c>
      <c r="C663" t="str">
        <f>MID(analisis_productividad__4[[#This Row],[Periodo]],1,4)</f>
        <v>2025</v>
      </c>
      <c r="D663" t="str">
        <f>MID(analisis_productividad__4[[#This Row],[Periodo]],5,2)</f>
        <v>08</v>
      </c>
      <c r="E663" t="s">
        <v>11</v>
      </c>
      <c r="F663" t="s">
        <v>52</v>
      </c>
      <c r="G663">
        <v>98979</v>
      </c>
      <c r="H663">
        <v>9380296</v>
      </c>
      <c r="I663">
        <v>94.770591397849515</v>
      </c>
      <c r="J663">
        <v>103803.55961170001</v>
      </c>
      <c r="K663">
        <v>117.5</v>
      </c>
      <c r="L663">
        <v>99</v>
      </c>
      <c r="M663">
        <v>90.365841548103518</v>
      </c>
      <c r="N663">
        <v>10012298</v>
      </c>
    </row>
    <row r="664" spans="1:14" x14ac:dyDescent="0.35">
      <c r="A664" t="s">
        <v>51</v>
      </c>
      <c r="B664">
        <v>202404</v>
      </c>
      <c r="C664" t="str">
        <f>MID(analisis_productividad__4[[#This Row],[Periodo]],1,4)</f>
        <v>2024</v>
      </c>
      <c r="D664" t="str">
        <f>MID(analisis_productividad__4[[#This Row],[Periodo]],5,2)</f>
        <v>04</v>
      </c>
      <c r="E664" t="s">
        <v>11</v>
      </c>
      <c r="F664" t="s">
        <v>52</v>
      </c>
      <c r="G664">
        <v>98883</v>
      </c>
      <c r="H664">
        <v>9104167</v>
      </c>
      <c r="I664">
        <v>92.070465277777814</v>
      </c>
      <c r="J664">
        <v>0</v>
      </c>
      <c r="K664">
        <v>117.5</v>
      </c>
      <c r="L664">
        <v>99</v>
      </c>
      <c r="N664">
        <v>0</v>
      </c>
    </row>
    <row r="665" spans="1:14" x14ac:dyDescent="0.35">
      <c r="A665" t="s">
        <v>51</v>
      </c>
      <c r="B665">
        <v>202408</v>
      </c>
      <c r="C665" t="str">
        <f>MID(analisis_productividad__4[[#This Row],[Periodo]],1,4)</f>
        <v>2024</v>
      </c>
      <c r="D665" t="str">
        <f>MID(analisis_productividad__4[[#This Row],[Periodo]],5,2)</f>
        <v>08</v>
      </c>
      <c r="E665" t="s">
        <v>11</v>
      </c>
      <c r="F665" t="s">
        <v>52</v>
      </c>
      <c r="G665">
        <v>98861</v>
      </c>
      <c r="H665">
        <v>9481051</v>
      </c>
      <c r="I665">
        <v>95.903293010752662</v>
      </c>
      <c r="J665">
        <v>0</v>
      </c>
      <c r="K665">
        <v>117.5</v>
      </c>
      <c r="L665">
        <v>99</v>
      </c>
      <c r="N665">
        <v>0</v>
      </c>
    </row>
    <row r="666" spans="1:14" x14ac:dyDescent="0.35">
      <c r="A666" t="s">
        <v>39</v>
      </c>
      <c r="B666">
        <v>202510</v>
      </c>
      <c r="C666" t="str">
        <f>MID(analisis_productividad__4[[#This Row],[Periodo]],1,4)</f>
        <v>2025</v>
      </c>
      <c r="D666" t="str">
        <f>MID(analisis_productividad__4[[#This Row],[Periodo]],5,2)</f>
        <v>10</v>
      </c>
      <c r="E666" t="s">
        <v>16</v>
      </c>
      <c r="F666" t="s">
        <v>17</v>
      </c>
      <c r="G666">
        <v>98847</v>
      </c>
      <c r="H666">
        <v>8512701</v>
      </c>
      <c r="I666">
        <v>86.119805107526858</v>
      </c>
      <c r="J666">
        <v>104189.63698425618</v>
      </c>
      <c r="K666">
        <v>93.5</v>
      </c>
      <c r="L666">
        <v>94</v>
      </c>
      <c r="M666">
        <v>81.703909298449076</v>
      </c>
      <c r="N666">
        <v>8710485</v>
      </c>
    </row>
    <row r="667" spans="1:14" x14ac:dyDescent="0.35">
      <c r="A667" t="s">
        <v>47</v>
      </c>
      <c r="B667">
        <v>202606</v>
      </c>
      <c r="C667" t="str">
        <f>MID(analisis_productividad__4[[#This Row],[Periodo]],1,4)</f>
        <v>2026</v>
      </c>
      <c r="D667" t="str">
        <f>MID(analisis_productividad__4[[#This Row],[Periodo]],5,2)</f>
        <v>06</v>
      </c>
      <c r="E667" t="s">
        <v>11</v>
      </c>
      <c r="F667" t="s">
        <v>14</v>
      </c>
      <c r="G667">
        <v>98828</v>
      </c>
      <c r="H667">
        <v>4167586</v>
      </c>
      <c r="I667">
        <v>42.169993055555572</v>
      </c>
      <c r="J667">
        <v>82375.966201769668</v>
      </c>
      <c r="K667">
        <v>61.5</v>
      </c>
      <c r="L667">
        <v>48.5</v>
      </c>
      <c r="M667">
        <v>53.715920394326645</v>
      </c>
      <c r="N667">
        <v>4424901</v>
      </c>
    </row>
    <row r="668" spans="1:14" x14ac:dyDescent="0.35">
      <c r="A668" t="s">
        <v>68</v>
      </c>
      <c r="B668">
        <v>202408</v>
      </c>
      <c r="C668" t="str">
        <f>MID(analisis_productividad__4[[#This Row],[Periodo]],1,4)</f>
        <v>2024</v>
      </c>
      <c r="D668" t="str">
        <f>MID(analisis_productividad__4[[#This Row],[Periodo]],5,2)</f>
        <v>08</v>
      </c>
      <c r="E668" t="s">
        <v>11</v>
      </c>
      <c r="F668" t="s">
        <v>52</v>
      </c>
      <c r="G668">
        <v>98816</v>
      </c>
      <c r="H668">
        <v>8036345</v>
      </c>
      <c r="I668">
        <v>81.32616935483864</v>
      </c>
      <c r="J668">
        <v>0</v>
      </c>
      <c r="K668">
        <v>103</v>
      </c>
      <c r="L668">
        <v>91</v>
      </c>
      <c r="N668">
        <v>0</v>
      </c>
    </row>
    <row r="669" spans="1:14" x14ac:dyDescent="0.35">
      <c r="A669" t="s">
        <v>76</v>
      </c>
      <c r="B669">
        <v>202605</v>
      </c>
      <c r="C669" t="str">
        <f>MID(analisis_productividad__4[[#This Row],[Periodo]],1,4)</f>
        <v>2026</v>
      </c>
      <c r="D669" t="str">
        <f>MID(analisis_productividad__4[[#This Row],[Periodo]],5,2)</f>
        <v>05</v>
      </c>
      <c r="E669" t="s">
        <v>11</v>
      </c>
      <c r="F669" t="s">
        <v>14</v>
      </c>
      <c r="G669">
        <v>98815</v>
      </c>
      <c r="H669">
        <v>6949009</v>
      </c>
      <c r="I669">
        <v>70.323420698924352</v>
      </c>
      <c r="J669">
        <v>95755.727606050496</v>
      </c>
      <c r="K669">
        <v>80</v>
      </c>
      <c r="L669">
        <v>78</v>
      </c>
      <c r="M669">
        <v>69.114627897013889</v>
      </c>
      <c r="N669">
        <v>6618121</v>
      </c>
    </row>
    <row r="670" spans="1:14" x14ac:dyDescent="0.35">
      <c r="A670" t="s">
        <v>53</v>
      </c>
      <c r="B670">
        <v>202604</v>
      </c>
      <c r="C670" t="str">
        <f>MID(analisis_productividad__4[[#This Row],[Periodo]],1,4)</f>
        <v>2026</v>
      </c>
      <c r="D670" t="str">
        <f>MID(analisis_productividad__4[[#This Row],[Periodo]],5,2)</f>
        <v>04</v>
      </c>
      <c r="E670" t="s">
        <v>11</v>
      </c>
      <c r="F670" t="s">
        <v>12</v>
      </c>
      <c r="G670">
        <v>98740</v>
      </c>
      <c r="H670">
        <v>6994807</v>
      </c>
      <c r="I670">
        <v>70.840388888890871</v>
      </c>
      <c r="J670">
        <v>86130.139712370001</v>
      </c>
      <c r="K670">
        <v>81</v>
      </c>
      <c r="L670">
        <v>77</v>
      </c>
      <c r="M670">
        <v>69.978560745726568</v>
      </c>
      <c r="N670">
        <v>6027263</v>
      </c>
    </row>
    <row r="671" spans="1:14" x14ac:dyDescent="0.35">
      <c r="A671" t="s">
        <v>13</v>
      </c>
      <c r="B671">
        <v>202411</v>
      </c>
      <c r="C671" t="str">
        <f>MID(analisis_productividad__4[[#This Row],[Periodo]],1,4)</f>
        <v>2024</v>
      </c>
      <c r="D671" t="str">
        <f>MID(analisis_productividad__4[[#This Row],[Periodo]],5,2)</f>
        <v>11</v>
      </c>
      <c r="E671" t="s">
        <v>11</v>
      </c>
      <c r="F671" t="s">
        <v>14</v>
      </c>
      <c r="G671">
        <v>98692</v>
      </c>
      <c r="H671">
        <v>9052888</v>
      </c>
      <c r="I671">
        <v>91.72858333333329</v>
      </c>
      <c r="J671">
        <v>0</v>
      </c>
      <c r="K671">
        <v>100</v>
      </c>
      <c r="L671">
        <v>98</v>
      </c>
      <c r="N671">
        <v>0</v>
      </c>
    </row>
    <row r="672" spans="1:14" x14ac:dyDescent="0.35">
      <c r="A672" t="s">
        <v>27</v>
      </c>
      <c r="B672">
        <v>202504</v>
      </c>
      <c r="C672" t="str">
        <f>MID(analisis_productividad__4[[#This Row],[Periodo]],1,4)</f>
        <v>2025</v>
      </c>
      <c r="D672" t="str">
        <f>MID(analisis_productividad__4[[#This Row],[Periodo]],5,2)</f>
        <v>04</v>
      </c>
      <c r="E672" t="s">
        <v>11</v>
      </c>
      <c r="F672" t="s">
        <v>14</v>
      </c>
      <c r="G672">
        <v>98611</v>
      </c>
      <c r="H672">
        <v>8068931</v>
      </c>
      <c r="I672">
        <v>81.826159722222229</v>
      </c>
      <c r="J672">
        <v>97515.201894115336</v>
      </c>
      <c r="K672">
        <v>88</v>
      </c>
      <c r="L672">
        <v>84</v>
      </c>
      <c r="M672">
        <v>82.745360654244095</v>
      </c>
      <c r="N672">
        <v>8363531</v>
      </c>
    </row>
    <row r="673" spans="1:14" x14ac:dyDescent="0.35">
      <c r="A673" t="s">
        <v>75</v>
      </c>
      <c r="B673">
        <v>202605</v>
      </c>
      <c r="C673" t="str">
        <f>MID(analisis_productividad__4[[#This Row],[Periodo]],1,4)</f>
        <v>2026</v>
      </c>
      <c r="D673" t="str">
        <f>MID(analisis_productividad__4[[#This Row],[Periodo]],5,2)</f>
        <v>05</v>
      </c>
      <c r="E673" t="s">
        <v>11</v>
      </c>
      <c r="F673" t="s">
        <v>52</v>
      </c>
      <c r="G673">
        <v>98608</v>
      </c>
      <c r="H673">
        <v>9552297</v>
      </c>
      <c r="I673">
        <v>96.871626344086479</v>
      </c>
      <c r="J673">
        <v>88605.444465826702</v>
      </c>
      <c r="K673">
        <v>118</v>
      </c>
      <c r="L673">
        <v>106</v>
      </c>
      <c r="M673">
        <v>102.17544085783207</v>
      </c>
      <c r="N673">
        <v>9053300</v>
      </c>
    </row>
    <row r="674" spans="1:14" x14ac:dyDescent="0.35">
      <c r="A674" t="s">
        <v>44</v>
      </c>
      <c r="B674">
        <v>202407</v>
      </c>
      <c r="C674" t="str">
        <f>MID(analisis_productividad__4[[#This Row],[Periodo]],1,4)</f>
        <v>2024</v>
      </c>
      <c r="D674" t="str">
        <f>MID(analisis_productividad__4[[#This Row],[Periodo]],5,2)</f>
        <v>07</v>
      </c>
      <c r="E674" t="s">
        <v>11</v>
      </c>
      <c r="F674" t="s">
        <v>12</v>
      </c>
      <c r="G674">
        <v>98546</v>
      </c>
      <c r="H674">
        <v>6529467</v>
      </c>
      <c r="I674">
        <v>66.257775537634402</v>
      </c>
      <c r="J674">
        <v>0</v>
      </c>
      <c r="K674">
        <v>78</v>
      </c>
      <c r="L674">
        <v>74.5</v>
      </c>
      <c r="N674">
        <v>0</v>
      </c>
    </row>
    <row r="675" spans="1:14" x14ac:dyDescent="0.35">
      <c r="A675" t="s">
        <v>70</v>
      </c>
      <c r="B675">
        <v>202412</v>
      </c>
      <c r="C675" t="str">
        <f>MID(analisis_productividad__4[[#This Row],[Periodo]],1,4)</f>
        <v>2024</v>
      </c>
      <c r="D675" t="str">
        <f>MID(analisis_productividad__4[[#This Row],[Periodo]],5,2)</f>
        <v>12</v>
      </c>
      <c r="E675" t="s">
        <v>11</v>
      </c>
      <c r="F675" t="s">
        <v>14</v>
      </c>
      <c r="G675">
        <v>98536</v>
      </c>
      <c r="H675">
        <v>6591669</v>
      </c>
      <c r="I675">
        <v>66.896102150537644</v>
      </c>
      <c r="J675">
        <v>0</v>
      </c>
      <c r="K675">
        <v>65</v>
      </c>
      <c r="L675">
        <v>67.5</v>
      </c>
      <c r="N675">
        <v>0</v>
      </c>
    </row>
    <row r="676" spans="1:14" x14ac:dyDescent="0.35">
      <c r="A676" t="s">
        <v>77</v>
      </c>
      <c r="B676">
        <v>202605</v>
      </c>
      <c r="C676" t="str">
        <f>MID(analisis_productividad__4[[#This Row],[Periodo]],1,4)</f>
        <v>2026</v>
      </c>
      <c r="D676" t="str">
        <f>MID(analisis_productividad__4[[#This Row],[Periodo]],5,2)</f>
        <v>05</v>
      </c>
      <c r="E676" t="s">
        <v>16</v>
      </c>
      <c r="F676" t="s">
        <v>21</v>
      </c>
      <c r="G676">
        <v>98500</v>
      </c>
      <c r="H676">
        <v>5256475</v>
      </c>
      <c r="I676">
        <v>53.365450268817781</v>
      </c>
      <c r="J676">
        <v>94001.815560954172</v>
      </c>
      <c r="K676">
        <v>60.5</v>
      </c>
      <c r="L676">
        <v>60.5</v>
      </c>
      <c r="M676">
        <v>53.343390369396616</v>
      </c>
      <c r="N676">
        <v>5014376</v>
      </c>
    </row>
    <row r="677" spans="1:14" x14ac:dyDescent="0.35">
      <c r="A677" t="s">
        <v>44</v>
      </c>
      <c r="B677">
        <v>202503</v>
      </c>
      <c r="C677" t="str">
        <f>MID(analisis_productividad__4[[#This Row],[Periodo]],1,4)</f>
        <v>2025</v>
      </c>
      <c r="D677" t="str">
        <f>MID(analisis_productividad__4[[#This Row],[Periodo]],5,2)</f>
        <v>03</v>
      </c>
      <c r="E677" t="s">
        <v>11</v>
      </c>
      <c r="F677" t="s">
        <v>12</v>
      </c>
      <c r="G677">
        <v>98496</v>
      </c>
      <c r="H677">
        <v>7092530</v>
      </c>
      <c r="I677">
        <v>72.008172043010731</v>
      </c>
      <c r="J677">
        <v>107499.6245617488</v>
      </c>
      <c r="K677">
        <v>78</v>
      </c>
      <c r="L677">
        <v>74.5</v>
      </c>
      <c r="M677">
        <v>65.977257398940822</v>
      </c>
      <c r="N677">
        <v>7353992</v>
      </c>
    </row>
    <row r="678" spans="1:14" x14ac:dyDescent="0.35">
      <c r="A678" t="s">
        <v>76</v>
      </c>
      <c r="B678">
        <v>202603</v>
      </c>
      <c r="C678" t="str">
        <f>MID(analisis_productividad__4[[#This Row],[Periodo]],1,4)</f>
        <v>2026</v>
      </c>
      <c r="D678" t="str">
        <f>MID(analisis_productividad__4[[#This Row],[Periodo]],5,2)</f>
        <v>03</v>
      </c>
      <c r="E678" t="s">
        <v>11</v>
      </c>
      <c r="F678" t="s">
        <v>14</v>
      </c>
      <c r="G678">
        <v>98481</v>
      </c>
      <c r="H678">
        <v>7064048</v>
      </c>
      <c r="I678">
        <v>71.729818548387087</v>
      </c>
      <c r="J678">
        <v>107476.08157955424</v>
      </c>
      <c r="K678">
        <v>80</v>
      </c>
      <c r="L678">
        <v>78</v>
      </c>
      <c r="M678">
        <v>69.114627897013889</v>
      </c>
      <c r="N678">
        <v>7428169</v>
      </c>
    </row>
    <row r="679" spans="1:14" x14ac:dyDescent="0.35">
      <c r="A679" t="s">
        <v>57</v>
      </c>
      <c r="B679">
        <v>202504</v>
      </c>
      <c r="C679" t="str">
        <f>MID(analisis_productividad__4[[#This Row],[Periodo]],1,4)</f>
        <v>2025</v>
      </c>
      <c r="D679" t="str">
        <f>MID(analisis_productividad__4[[#This Row],[Periodo]],5,2)</f>
        <v>04</v>
      </c>
      <c r="E679" t="s">
        <v>16</v>
      </c>
      <c r="F679" t="s">
        <v>19</v>
      </c>
      <c r="G679">
        <v>98471</v>
      </c>
      <c r="H679">
        <v>5857270</v>
      </c>
      <c r="I679">
        <v>59.482208333333368</v>
      </c>
      <c r="J679">
        <v>98023.632681075993</v>
      </c>
      <c r="K679">
        <v>71</v>
      </c>
      <c r="L679">
        <v>74.5</v>
      </c>
      <c r="M679">
        <v>59.753653785275183</v>
      </c>
      <c r="N679">
        <v>6120842</v>
      </c>
    </row>
    <row r="680" spans="1:14" x14ac:dyDescent="0.35">
      <c r="A680" t="s">
        <v>18</v>
      </c>
      <c r="B680">
        <v>202605</v>
      </c>
      <c r="C680" t="str">
        <f>MID(analisis_productividad__4[[#This Row],[Periodo]],1,4)</f>
        <v>2026</v>
      </c>
      <c r="D680" t="str">
        <f>MID(analisis_productividad__4[[#This Row],[Periodo]],5,2)</f>
        <v>05</v>
      </c>
      <c r="E680" t="s">
        <v>16</v>
      </c>
      <c r="F680" t="s">
        <v>19</v>
      </c>
      <c r="G680">
        <v>98423</v>
      </c>
      <c r="H680">
        <v>5861971</v>
      </c>
      <c r="I680">
        <v>59.558944892473214</v>
      </c>
      <c r="J680">
        <v>80627.785295687907</v>
      </c>
      <c r="K680">
        <v>70.5</v>
      </c>
      <c r="L680">
        <v>69.5</v>
      </c>
      <c r="M680">
        <v>63.576561684054447</v>
      </c>
      <c r="N680">
        <v>5126037</v>
      </c>
    </row>
    <row r="681" spans="1:14" x14ac:dyDescent="0.35">
      <c r="A681" t="s">
        <v>131</v>
      </c>
      <c r="B681">
        <v>202401</v>
      </c>
      <c r="C681" t="str">
        <f>MID(analisis_productividad__4[[#This Row],[Periodo]],1,4)</f>
        <v>2024</v>
      </c>
      <c r="D681" t="str">
        <f>MID(analisis_productividad__4[[#This Row],[Periodo]],5,2)</f>
        <v>01</v>
      </c>
      <c r="E681" t="s">
        <v>16</v>
      </c>
      <c r="F681" t="s">
        <v>21</v>
      </c>
      <c r="G681">
        <v>98356</v>
      </c>
      <c r="H681">
        <v>10442491</v>
      </c>
      <c r="I681">
        <v>106.17047715053768</v>
      </c>
      <c r="J681">
        <v>0</v>
      </c>
      <c r="K681">
        <v>99</v>
      </c>
      <c r="L681">
        <v>32.5</v>
      </c>
      <c r="N681">
        <v>0</v>
      </c>
    </row>
    <row r="682" spans="1:14" x14ac:dyDescent="0.35">
      <c r="A682" t="s">
        <v>26</v>
      </c>
      <c r="B682">
        <v>202508</v>
      </c>
      <c r="C682" t="str">
        <f>MID(analisis_productividad__4[[#This Row],[Periodo]],1,4)</f>
        <v>2025</v>
      </c>
      <c r="D682" t="str">
        <f>MID(analisis_productividad__4[[#This Row],[Periodo]],5,2)</f>
        <v>08</v>
      </c>
      <c r="E682" t="s">
        <v>11</v>
      </c>
      <c r="F682" t="s">
        <v>12</v>
      </c>
      <c r="G682">
        <v>98346</v>
      </c>
      <c r="H682">
        <v>5824160</v>
      </c>
      <c r="I682">
        <v>59.221223118279575</v>
      </c>
      <c r="J682">
        <v>91200.877709725522</v>
      </c>
      <c r="K682">
        <v>65.5</v>
      </c>
      <c r="L682">
        <v>63</v>
      </c>
      <c r="M682">
        <v>63.860791324148849</v>
      </c>
      <c r="N682">
        <v>5529618</v>
      </c>
    </row>
    <row r="683" spans="1:14" x14ac:dyDescent="0.35">
      <c r="A683" t="s">
        <v>13</v>
      </c>
      <c r="B683">
        <v>202404</v>
      </c>
      <c r="C683" t="str">
        <f>MID(analisis_productividad__4[[#This Row],[Periodo]],1,4)</f>
        <v>2024</v>
      </c>
      <c r="D683" t="str">
        <f>MID(analisis_productividad__4[[#This Row],[Periodo]],5,2)</f>
        <v>04</v>
      </c>
      <c r="E683" t="s">
        <v>11</v>
      </c>
      <c r="F683" t="s">
        <v>14</v>
      </c>
      <c r="G683">
        <v>98215</v>
      </c>
      <c r="H683">
        <v>8971889</v>
      </c>
      <c r="I683">
        <v>91.349368055555573</v>
      </c>
      <c r="J683">
        <v>0</v>
      </c>
      <c r="K683">
        <v>100</v>
      </c>
      <c r="L683">
        <v>98</v>
      </c>
      <c r="N683">
        <v>0</v>
      </c>
    </row>
    <row r="684" spans="1:14" x14ac:dyDescent="0.35">
      <c r="A684" t="s">
        <v>76</v>
      </c>
      <c r="B684">
        <v>202511</v>
      </c>
      <c r="C684" t="str">
        <f>MID(analisis_productividad__4[[#This Row],[Periodo]],1,4)</f>
        <v>2025</v>
      </c>
      <c r="D684" t="str">
        <f>MID(analisis_productividad__4[[#This Row],[Periodo]],5,2)</f>
        <v>11</v>
      </c>
      <c r="E684" t="s">
        <v>11</v>
      </c>
      <c r="F684" t="s">
        <v>14</v>
      </c>
      <c r="G684">
        <v>98185</v>
      </c>
      <c r="H684">
        <v>6336895</v>
      </c>
      <c r="I684">
        <v>64.540340277777801</v>
      </c>
      <c r="J684">
        <v>92052.531000109928</v>
      </c>
      <c r="K684">
        <v>80</v>
      </c>
      <c r="L684">
        <v>78</v>
      </c>
      <c r="M684">
        <v>68.839989961736421</v>
      </c>
      <c r="N684">
        <v>6578987</v>
      </c>
    </row>
    <row r="685" spans="1:14" x14ac:dyDescent="0.35">
      <c r="A685" t="s">
        <v>10</v>
      </c>
      <c r="B685">
        <v>202409</v>
      </c>
      <c r="C685" t="str">
        <f>MID(analisis_productividad__4[[#This Row],[Periodo]],1,4)</f>
        <v>2024</v>
      </c>
      <c r="D685" t="str">
        <f>MID(analisis_productividad__4[[#This Row],[Periodo]],5,2)</f>
        <v>09</v>
      </c>
      <c r="E685" t="s">
        <v>11</v>
      </c>
      <c r="F685" t="s">
        <v>12</v>
      </c>
      <c r="G685">
        <v>98141</v>
      </c>
      <c r="H685">
        <v>9127224</v>
      </c>
      <c r="I685">
        <v>93.000881944444458</v>
      </c>
      <c r="J685">
        <v>0</v>
      </c>
      <c r="K685">
        <v>98.5</v>
      </c>
      <c r="L685">
        <v>96.5</v>
      </c>
      <c r="N685">
        <v>0</v>
      </c>
    </row>
    <row r="686" spans="1:14" x14ac:dyDescent="0.35">
      <c r="A686" t="s">
        <v>59</v>
      </c>
      <c r="B686">
        <v>202403</v>
      </c>
      <c r="C686" t="str">
        <f>MID(analisis_productividad__4[[#This Row],[Periodo]],1,4)</f>
        <v>2024</v>
      </c>
      <c r="D686" t="str">
        <f>MID(analisis_productividad__4[[#This Row],[Periodo]],5,2)</f>
        <v>03</v>
      </c>
      <c r="E686" t="s">
        <v>11</v>
      </c>
      <c r="F686" t="s">
        <v>12</v>
      </c>
      <c r="G686">
        <v>98126</v>
      </c>
      <c r="H686">
        <v>9196247</v>
      </c>
      <c r="I686">
        <v>93.718521505376316</v>
      </c>
      <c r="J686">
        <v>0</v>
      </c>
      <c r="K686">
        <v>94.5</v>
      </c>
      <c r="L686">
        <v>97</v>
      </c>
      <c r="N686">
        <v>0</v>
      </c>
    </row>
    <row r="687" spans="1:14" x14ac:dyDescent="0.35">
      <c r="A687" t="s">
        <v>74</v>
      </c>
      <c r="B687">
        <v>202503</v>
      </c>
      <c r="C687" t="str">
        <f>MID(analisis_productividad__4[[#This Row],[Periodo]],1,4)</f>
        <v>2025</v>
      </c>
      <c r="D687" t="str">
        <f>MID(analisis_productividad__4[[#This Row],[Periodo]],5,2)</f>
        <v>03</v>
      </c>
      <c r="E687" t="s">
        <v>16</v>
      </c>
      <c r="F687" t="s">
        <v>19</v>
      </c>
      <c r="G687">
        <v>98104</v>
      </c>
      <c r="H687">
        <v>4819017</v>
      </c>
      <c r="I687">
        <v>49.121512096774183</v>
      </c>
      <c r="J687">
        <v>91944.026169990117</v>
      </c>
      <c r="K687">
        <v>50.5</v>
      </c>
      <c r="L687">
        <v>51.5</v>
      </c>
      <c r="M687">
        <v>52.412509335738577</v>
      </c>
      <c r="N687">
        <v>4560838</v>
      </c>
    </row>
    <row r="688" spans="1:14" x14ac:dyDescent="0.35">
      <c r="A688" t="s">
        <v>43</v>
      </c>
      <c r="B688">
        <v>202508</v>
      </c>
      <c r="C688" t="str">
        <f>MID(analisis_productividad__4[[#This Row],[Periodo]],1,4)</f>
        <v>2025</v>
      </c>
      <c r="D688" t="str">
        <f>MID(analisis_productividad__4[[#This Row],[Periodo]],5,2)</f>
        <v>08</v>
      </c>
      <c r="E688" t="s">
        <v>11</v>
      </c>
      <c r="F688" t="s">
        <v>12</v>
      </c>
      <c r="G688">
        <v>98097</v>
      </c>
      <c r="H688">
        <v>6674512</v>
      </c>
      <c r="I688">
        <v>68.039717741935505</v>
      </c>
      <c r="J688">
        <v>94684.411186543963</v>
      </c>
      <c r="K688">
        <v>84.5</v>
      </c>
      <c r="L688">
        <v>86.5</v>
      </c>
      <c r="M688">
        <v>70.492197357071831</v>
      </c>
      <c r="N688">
        <v>7194502</v>
      </c>
    </row>
    <row r="689" spans="1:14" x14ac:dyDescent="0.35">
      <c r="A689" t="s">
        <v>44</v>
      </c>
      <c r="B689">
        <v>202605</v>
      </c>
      <c r="C689" t="str">
        <f>MID(analisis_productividad__4[[#This Row],[Periodo]],1,4)</f>
        <v>2026</v>
      </c>
      <c r="D689" t="str">
        <f>MID(analisis_productividad__4[[#This Row],[Periodo]],5,2)</f>
        <v>05</v>
      </c>
      <c r="E689" t="s">
        <v>11</v>
      </c>
      <c r="F689" t="s">
        <v>12</v>
      </c>
      <c r="G689">
        <v>98067</v>
      </c>
      <c r="H689">
        <v>6203228</v>
      </c>
      <c r="I689">
        <v>63.255161290322796</v>
      </c>
      <c r="J689">
        <v>92209.991287641868</v>
      </c>
      <c r="K689">
        <v>78</v>
      </c>
      <c r="L689">
        <v>74.5</v>
      </c>
      <c r="M689">
        <v>66.954795775232199</v>
      </c>
      <c r="N689">
        <v>6173901</v>
      </c>
    </row>
    <row r="690" spans="1:14" x14ac:dyDescent="0.35">
      <c r="A690" t="s">
        <v>68</v>
      </c>
      <c r="B690">
        <v>202511</v>
      </c>
      <c r="C690" t="str">
        <f>MID(analisis_productividad__4[[#This Row],[Periodo]],1,4)</f>
        <v>2025</v>
      </c>
      <c r="D690" t="str">
        <f>MID(analisis_productividad__4[[#This Row],[Periodo]],5,2)</f>
        <v>11</v>
      </c>
      <c r="E690" t="s">
        <v>11</v>
      </c>
      <c r="F690" t="s">
        <v>52</v>
      </c>
      <c r="G690">
        <v>98027</v>
      </c>
      <c r="H690">
        <v>8054313</v>
      </c>
      <c r="I690">
        <v>82.163909722222272</v>
      </c>
      <c r="J690">
        <v>91115.942952302692</v>
      </c>
      <c r="K690">
        <v>103</v>
      </c>
      <c r="L690">
        <v>91</v>
      </c>
      <c r="M690">
        <v>88.396303314517255</v>
      </c>
      <c r="N690">
        <v>8683067</v>
      </c>
    </row>
    <row r="691" spans="1:14" x14ac:dyDescent="0.35">
      <c r="A691" t="s">
        <v>56</v>
      </c>
      <c r="B691">
        <v>202604</v>
      </c>
      <c r="C691" t="str">
        <f>MID(analisis_productividad__4[[#This Row],[Periodo]],1,4)</f>
        <v>2026</v>
      </c>
      <c r="D691" t="str">
        <f>MID(analisis_productividad__4[[#This Row],[Periodo]],5,2)</f>
        <v>04</v>
      </c>
      <c r="E691" t="s">
        <v>16</v>
      </c>
      <c r="F691" t="s">
        <v>21</v>
      </c>
      <c r="G691">
        <v>98019</v>
      </c>
      <c r="H691">
        <v>6117805</v>
      </c>
      <c r="I691">
        <v>62.41438194444617</v>
      </c>
      <c r="J691">
        <v>117010.55428062343</v>
      </c>
      <c r="K691">
        <v>72.5</v>
      </c>
      <c r="L691">
        <v>68.5</v>
      </c>
      <c r="M691">
        <v>63.042188618377821</v>
      </c>
      <c r="N691">
        <v>7376601</v>
      </c>
    </row>
    <row r="692" spans="1:14" x14ac:dyDescent="0.35">
      <c r="A692" t="s">
        <v>69</v>
      </c>
      <c r="B692">
        <v>202604</v>
      </c>
      <c r="C692" t="str">
        <f>MID(analisis_productividad__4[[#This Row],[Periodo]],1,4)</f>
        <v>2026</v>
      </c>
      <c r="D692" t="str">
        <f>MID(analisis_productividad__4[[#This Row],[Periodo]],5,2)</f>
        <v>04</v>
      </c>
      <c r="E692" t="s">
        <v>11</v>
      </c>
      <c r="F692" t="s">
        <v>52</v>
      </c>
      <c r="G692">
        <v>97996</v>
      </c>
      <c r="H692">
        <v>5092167</v>
      </c>
      <c r="I692">
        <v>51.962895833332993</v>
      </c>
      <c r="J692">
        <v>88169.728562666933</v>
      </c>
      <c r="K692">
        <v>68</v>
      </c>
      <c r="L692">
        <v>60.5</v>
      </c>
      <c r="M692">
        <v>56.717795741490448</v>
      </c>
      <c r="N692">
        <v>5000793</v>
      </c>
    </row>
    <row r="693" spans="1:14" x14ac:dyDescent="0.35">
      <c r="A693" t="s">
        <v>8</v>
      </c>
      <c r="B693">
        <v>202604</v>
      </c>
      <c r="C693" t="str">
        <f>MID(analisis_productividad__4[[#This Row],[Periodo]],1,4)</f>
        <v>2026</v>
      </c>
      <c r="D693" t="str">
        <f>MID(analisis_productividad__4[[#This Row],[Periodo]],5,2)</f>
        <v>04</v>
      </c>
      <c r="E693" t="s">
        <v>9</v>
      </c>
      <c r="F693" t="s">
        <v>9</v>
      </c>
      <c r="G693">
        <v>97980</v>
      </c>
      <c r="H693">
        <v>1141410</v>
      </c>
      <c r="I693">
        <v>11.649458333333332</v>
      </c>
      <c r="J693">
        <v>117521.43141039924</v>
      </c>
      <c r="K693">
        <v>13.5</v>
      </c>
      <c r="L693">
        <v>12.5</v>
      </c>
      <c r="M693">
        <v>11.712938172043014</v>
      </c>
      <c r="N693">
        <v>1376521</v>
      </c>
    </row>
    <row r="694" spans="1:14" x14ac:dyDescent="0.35">
      <c r="A694" t="s">
        <v>75</v>
      </c>
      <c r="B694">
        <v>202503</v>
      </c>
      <c r="C694" t="str">
        <f>MID(analisis_productividad__4[[#This Row],[Periodo]],1,4)</f>
        <v>2025</v>
      </c>
      <c r="D694" t="str">
        <f>MID(analisis_productividad__4[[#This Row],[Periodo]],5,2)</f>
        <v>03</v>
      </c>
      <c r="E694" t="s">
        <v>11</v>
      </c>
      <c r="F694" t="s">
        <v>52</v>
      </c>
      <c r="G694">
        <v>97972</v>
      </c>
      <c r="H694">
        <v>10358837</v>
      </c>
      <c r="I694">
        <v>105.73222446236558</v>
      </c>
      <c r="J694">
        <v>95673.359631614818</v>
      </c>
      <c r="K694">
        <v>118</v>
      </c>
      <c r="L694">
        <v>106</v>
      </c>
      <c r="M694">
        <v>108.2729520515027</v>
      </c>
      <c r="N694">
        <v>10723147</v>
      </c>
    </row>
    <row r="695" spans="1:14" x14ac:dyDescent="0.35">
      <c r="A695" t="s">
        <v>36</v>
      </c>
      <c r="B695">
        <v>202404</v>
      </c>
      <c r="C695" t="str">
        <f>MID(analisis_productividad__4[[#This Row],[Periodo]],1,4)</f>
        <v>2024</v>
      </c>
      <c r="D695" t="str">
        <f>MID(analisis_productividad__4[[#This Row],[Periodo]],5,2)</f>
        <v>04</v>
      </c>
      <c r="E695" t="s">
        <v>16</v>
      </c>
      <c r="F695" t="s">
        <v>17</v>
      </c>
      <c r="G695">
        <v>97963</v>
      </c>
      <c r="H695">
        <v>7000516</v>
      </c>
      <c r="I695">
        <v>71.460666666666683</v>
      </c>
      <c r="J695">
        <v>0</v>
      </c>
      <c r="K695">
        <v>76.5</v>
      </c>
      <c r="L695">
        <v>80</v>
      </c>
      <c r="N695">
        <v>0</v>
      </c>
    </row>
    <row r="696" spans="1:14" x14ac:dyDescent="0.35">
      <c r="A696" t="s">
        <v>68</v>
      </c>
      <c r="B696">
        <v>202508</v>
      </c>
      <c r="C696" t="str">
        <f>MID(analisis_productividad__4[[#This Row],[Periodo]],1,4)</f>
        <v>2025</v>
      </c>
      <c r="D696" t="str">
        <f>MID(analisis_productividad__4[[#This Row],[Periodo]],5,2)</f>
        <v>08</v>
      </c>
      <c r="E696" t="s">
        <v>11</v>
      </c>
      <c r="F696" t="s">
        <v>52</v>
      </c>
      <c r="G696">
        <v>97961</v>
      </c>
      <c r="H696">
        <v>7813015</v>
      </c>
      <c r="I696">
        <v>79.756720430107535</v>
      </c>
      <c r="J696">
        <v>103757.03225591504</v>
      </c>
      <c r="K696">
        <v>103</v>
      </c>
      <c r="L696">
        <v>91</v>
      </c>
      <c r="M696">
        <v>75.301068179449487</v>
      </c>
      <c r="N696">
        <v>8387807</v>
      </c>
    </row>
    <row r="697" spans="1:14" x14ac:dyDescent="0.35">
      <c r="A697" t="s">
        <v>50</v>
      </c>
      <c r="B697">
        <v>202505</v>
      </c>
      <c r="C697" t="str">
        <f>MID(analisis_productividad__4[[#This Row],[Periodo]],1,4)</f>
        <v>2025</v>
      </c>
      <c r="D697" t="str">
        <f>MID(analisis_productividad__4[[#This Row],[Periodo]],5,2)</f>
        <v>05</v>
      </c>
      <c r="E697" t="s">
        <v>34</v>
      </c>
      <c r="F697" t="s">
        <v>35</v>
      </c>
      <c r="G697">
        <v>97919</v>
      </c>
      <c r="H697">
        <v>6136818</v>
      </c>
      <c r="I697">
        <v>62.672345430107519</v>
      </c>
      <c r="J697">
        <v>95051.658065703203</v>
      </c>
      <c r="K697">
        <v>79.5</v>
      </c>
      <c r="L697">
        <v>72.5</v>
      </c>
      <c r="M697">
        <v>64.562973386092921</v>
      </c>
      <c r="N697">
        <v>6270064</v>
      </c>
    </row>
    <row r="698" spans="1:14" x14ac:dyDescent="0.35">
      <c r="A698" t="s">
        <v>61</v>
      </c>
      <c r="B698">
        <v>202606</v>
      </c>
      <c r="C698" t="str">
        <f>MID(analisis_productividad__4[[#This Row],[Periodo]],1,4)</f>
        <v>2026</v>
      </c>
      <c r="D698" t="str">
        <f>MID(analisis_productividad__4[[#This Row],[Periodo]],5,2)</f>
        <v>06</v>
      </c>
      <c r="E698" t="s">
        <v>11</v>
      </c>
      <c r="F698" t="s">
        <v>52</v>
      </c>
      <c r="G698">
        <v>97911</v>
      </c>
      <c r="H698">
        <v>8653464</v>
      </c>
      <c r="I698">
        <v>88.380590277780044</v>
      </c>
      <c r="J698">
        <v>94721.103128868315</v>
      </c>
      <c r="K698">
        <v>104.5</v>
      </c>
      <c r="L698">
        <v>99</v>
      </c>
      <c r="M698">
        <v>90.280982690474389</v>
      </c>
      <c r="N698">
        <v>8551514</v>
      </c>
    </row>
    <row r="699" spans="1:14" x14ac:dyDescent="0.35">
      <c r="A699" t="s">
        <v>39</v>
      </c>
      <c r="B699">
        <v>202601</v>
      </c>
      <c r="C699" t="str">
        <f>MID(analisis_productividad__4[[#This Row],[Periodo]],1,4)</f>
        <v>2026</v>
      </c>
      <c r="D699" t="str">
        <f>MID(analisis_productividad__4[[#This Row],[Periodo]],5,2)</f>
        <v>01</v>
      </c>
      <c r="E699" t="s">
        <v>16</v>
      </c>
      <c r="F699" t="s">
        <v>17</v>
      </c>
      <c r="G699">
        <v>97845</v>
      </c>
      <c r="H699">
        <v>8456733</v>
      </c>
      <c r="I699">
        <v>86.429724462365542</v>
      </c>
      <c r="J699">
        <v>96511.239231655389</v>
      </c>
      <c r="K699">
        <v>93.5</v>
      </c>
      <c r="L699">
        <v>94</v>
      </c>
      <c r="M699">
        <v>84.619508156945685</v>
      </c>
      <c r="N699">
        <v>8166734</v>
      </c>
    </row>
    <row r="700" spans="1:14" x14ac:dyDescent="0.35">
      <c r="A700" t="s">
        <v>82</v>
      </c>
      <c r="B700">
        <v>202503</v>
      </c>
      <c r="C700" t="str">
        <f>MID(analisis_productividad__4[[#This Row],[Periodo]],1,4)</f>
        <v>2025</v>
      </c>
      <c r="D700" t="str">
        <f>MID(analisis_productividad__4[[#This Row],[Periodo]],5,2)</f>
        <v>03</v>
      </c>
      <c r="E700" t="s">
        <v>11</v>
      </c>
      <c r="F700" t="s">
        <v>12</v>
      </c>
      <c r="G700">
        <v>97830</v>
      </c>
      <c r="H700">
        <v>5410300</v>
      </c>
      <c r="I700">
        <v>55.303245967741944</v>
      </c>
      <c r="J700">
        <v>86154.596661681266</v>
      </c>
      <c r="K700">
        <v>53.5</v>
      </c>
      <c r="L700">
        <v>54</v>
      </c>
      <c r="M700">
        <v>62.797582829452494</v>
      </c>
      <c r="N700">
        <v>4874530</v>
      </c>
    </row>
    <row r="701" spans="1:14" x14ac:dyDescent="0.35">
      <c r="A701" t="s">
        <v>43</v>
      </c>
      <c r="B701">
        <v>202507</v>
      </c>
      <c r="C701" t="str">
        <f>MID(analisis_productividad__4[[#This Row],[Periodo]],1,4)</f>
        <v>2025</v>
      </c>
      <c r="D701" t="str">
        <f>MID(analisis_productividad__4[[#This Row],[Periodo]],5,2)</f>
        <v>07</v>
      </c>
      <c r="E701" t="s">
        <v>11</v>
      </c>
      <c r="F701" t="s">
        <v>12</v>
      </c>
      <c r="G701">
        <v>97795</v>
      </c>
      <c r="H701">
        <v>7087805</v>
      </c>
      <c r="I701">
        <v>72.475873655914</v>
      </c>
      <c r="J701">
        <v>98820.598766046547</v>
      </c>
      <c r="K701">
        <v>84.5</v>
      </c>
      <c r="L701">
        <v>86.5</v>
      </c>
      <c r="M701">
        <v>71.723967457230984</v>
      </c>
      <c r="N701">
        <v>7823333</v>
      </c>
    </row>
    <row r="702" spans="1:14" x14ac:dyDescent="0.35">
      <c r="A702" t="s">
        <v>44</v>
      </c>
      <c r="B702">
        <v>202511</v>
      </c>
      <c r="C702" t="str">
        <f>MID(analisis_productividad__4[[#This Row],[Periodo]],1,4)</f>
        <v>2025</v>
      </c>
      <c r="D702" t="str">
        <f>MID(analisis_productividad__4[[#This Row],[Periodo]],5,2)</f>
        <v>11</v>
      </c>
      <c r="E702" t="s">
        <v>11</v>
      </c>
      <c r="F702" t="s">
        <v>12</v>
      </c>
      <c r="G702">
        <v>97748</v>
      </c>
      <c r="H702">
        <v>6012269</v>
      </c>
      <c r="I702">
        <v>61.507930555555582</v>
      </c>
      <c r="J702">
        <v>93925.688623030306</v>
      </c>
      <c r="K702">
        <v>78</v>
      </c>
      <c r="L702">
        <v>74.5</v>
      </c>
      <c r="M702">
        <v>64.01091477891822</v>
      </c>
      <c r="N702">
        <v>5367086</v>
      </c>
    </row>
    <row r="703" spans="1:14" x14ac:dyDescent="0.35">
      <c r="A703" t="s">
        <v>56</v>
      </c>
      <c r="B703">
        <v>202403</v>
      </c>
      <c r="C703" t="str">
        <f>MID(analisis_productividad__4[[#This Row],[Periodo]],1,4)</f>
        <v>2024</v>
      </c>
      <c r="D703" t="str">
        <f>MID(analisis_productividad__4[[#This Row],[Periodo]],5,2)</f>
        <v>03</v>
      </c>
      <c r="E703" t="s">
        <v>16</v>
      </c>
      <c r="F703" t="s">
        <v>21</v>
      </c>
      <c r="G703">
        <v>97731</v>
      </c>
      <c r="H703">
        <v>6393376</v>
      </c>
      <c r="I703">
        <v>65.418198924731158</v>
      </c>
      <c r="J703">
        <v>0</v>
      </c>
      <c r="K703">
        <v>72.5</v>
      </c>
      <c r="L703">
        <v>68.5</v>
      </c>
      <c r="N703">
        <v>0</v>
      </c>
    </row>
    <row r="704" spans="1:14" x14ac:dyDescent="0.35">
      <c r="A704" t="s">
        <v>54</v>
      </c>
      <c r="B704">
        <v>202604</v>
      </c>
      <c r="C704" t="str">
        <f>MID(analisis_productividad__4[[#This Row],[Periodo]],1,4)</f>
        <v>2026</v>
      </c>
      <c r="D704" t="str">
        <f>MID(analisis_productividad__4[[#This Row],[Periodo]],5,2)</f>
        <v>04</v>
      </c>
      <c r="E704" t="s">
        <v>11</v>
      </c>
      <c r="F704" t="s">
        <v>52</v>
      </c>
      <c r="G704">
        <v>97714</v>
      </c>
      <c r="H704">
        <v>8756421</v>
      </c>
      <c r="I704">
        <v>89.612979166668921</v>
      </c>
      <c r="J704">
        <v>98193.367093686</v>
      </c>
      <c r="K704">
        <v>106</v>
      </c>
      <c r="L704">
        <v>102.5</v>
      </c>
      <c r="M704">
        <v>90.060822135394957</v>
      </c>
      <c r="N704">
        <v>8843375</v>
      </c>
    </row>
    <row r="705" spans="1:14" x14ac:dyDescent="0.35">
      <c r="A705" t="s">
        <v>10</v>
      </c>
      <c r="B705">
        <v>202404</v>
      </c>
      <c r="C705" t="str">
        <f>MID(analisis_productividad__4[[#This Row],[Periodo]],1,4)</f>
        <v>2024</v>
      </c>
      <c r="D705" t="str">
        <f>MID(analisis_productividad__4[[#This Row],[Periodo]],5,2)</f>
        <v>04</v>
      </c>
      <c r="E705" t="s">
        <v>11</v>
      </c>
      <c r="F705" t="s">
        <v>12</v>
      </c>
      <c r="G705">
        <v>97682</v>
      </c>
      <c r="H705">
        <v>9433471</v>
      </c>
      <c r="I705">
        <v>96.573555555555558</v>
      </c>
      <c r="J705">
        <v>0</v>
      </c>
      <c r="K705">
        <v>98.5</v>
      </c>
      <c r="L705">
        <v>96.5</v>
      </c>
      <c r="N705">
        <v>0</v>
      </c>
    </row>
    <row r="706" spans="1:14" x14ac:dyDescent="0.35">
      <c r="A706" t="s">
        <v>27</v>
      </c>
      <c r="B706">
        <v>202408</v>
      </c>
      <c r="C706" t="str">
        <f>MID(analisis_productividad__4[[#This Row],[Periodo]],1,4)</f>
        <v>2024</v>
      </c>
      <c r="D706" t="str">
        <f>MID(analisis_productividad__4[[#This Row],[Periodo]],5,2)</f>
        <v>08</v>
      </c>
      <c r="E706" t="s">
        <v>11</v>
      </c>
      <c r="F706" t="s">
        <v>14</v>
      </c>
      <c r="G706">
        <v>97594</v>
      </c>
      <c r="H706">
        <v>7795500</v>
      </c>
      <c r="I706">
        <v>79.876774193548371</v>
      </c>
      <c r="J706">
        <v>0</v>
      </c>
      <c r="K706">
        <v>88</v>
      </c>
      <c r="L706">
        <v>84</v>
      </c>
      <c r="N706">
        <v>0</v>
      </c>
    </row>
    <row r="707" spans="1:14" x14ac:dyDescent="0.35">
      <c r="A707" t="s">
        <v>49</v>
      </c>
      <c r="B707">
        <v>202511</v>
      </c>
      <c r="C707" t="str">
        <f>MID(analisis_productividad__4[[#This Row],[Periodo]],1,4)</f>
        <v>2025</v>
      </c>
      <c r="D707" t="str">
        <f>MID(analisis_productividad__4[[#This Row],[Periodo]],5,2)</f>
        <v>11</v>
      </c>
      <c r="E707" t="s">
        <v>16</v>
      </c>
      <c r="F707" t="s">
        <v>21</v>
      </c>
      <c r="G707">
        <v>97582</v>
      </c>
      <c r="H707">
        <v>5825328</v>
      </c>
      <c r="I707">
        <v>59.697020833333355</v>
      </c>
      <c r="J707">
        <v>87554.328270299666</v>
      </c>
      <c r="K707">
        <v>75.5</v>
      </c>
      <c r="L707">
        <v>68</v>
      </c>
      <c r="M707">
        <v>66.533862974951063</v>
      </c>
      <c r="N707">
        <v>5860097</v>
      </c>
    </row>
    <row r="708" spans="1:14" x14ac:dyDescent="0.35">
      <c r="A708" t="s">
        <v>53</v>
      </c>
      <c r="B708">
        <v>202508</v>
      </c>
      <c r="C708" t="str">
        <f>MID(analisis_productividad__4[[#This Row],[Periodo]],1,4)</f>
        <v>2025</v>
      </c>
      <c r="D708" t="str">
        <f>MID(analisis_productividad__4[[#This Row],[Periodo]],5,2)</f>
        <v>08</v>
      </c>
      <c r="E708" t="s">
        <v>11</v>
      </c>
      <c r="F708" t="s">
        <v>12</v>
      </c>
      <c r="G708">
        <v>97544</v>
      </c>
      <c r="H708">
        <v>6311970</v>
      </c>
      <c r="I708">
        <v>64.708837365591393</v>
      </c>
      <c r="J708">
        <v>96874.345093488795</v>
      </c>
      <c r="K708">
        <v>81</v>
      </c>
      <c r="L708">
        <v>77</v>
      </c>
      <c r="M708">
        <v>65.156264271088688</v>
      </c>
      <c r="N708">
        <v>6747268</v>
      </c>
    </row>
    <row r="709" spans="1:14" x14ac:dyDescent="0.35">
      <c r="A709" t="s">
        <v>30</v>
      </c>
      <c r="B709">
        <v>202409</v>
      </c>
      <c r="C709" t="str">
        <f>MID(analisis_productividad__4[[#This Row],[Periodo]],1,4)</f>
        <v>2024</v>
      </c>
      <c r="D709" t="str">
        <f>MID(analisis_productividad__4[[#This Row],[Periodo]],5,2)</f>
        <v>09</v>
      </c>
      <c r="E709" t="s">
        <v>16</v>
      </c>
      <c r="F709" t="s">
        <v>19</v>
      </c>
      <c r="G709">
        <v>97489</v>
      </c>
      <c r="H709">
        <v>8986374</v>
      </c>
      <c r="I709">
        <v>92.178187500000021</v>
      </c>
      <c r="J709">
        <v>0</v>
      </c>
      <c r="K709">
        <v>101</v>
      </c>
      <c r="L709">
        <v>105</v>
      </c>
      <c r="N709">
        <v>0</v>
      </c>
    </row>
    <row r="710" spans="1:14" x14ac:dyDescent="0.35">
      <c r="A710" t="s">
        <v>31</v>
      </c>
      <c r="B710">
        <v>202405</v>
      </c>
      <c r="C710" t="str">
        <f>MID(analisis_productividad__4[[#This Row],[Periodo]],1,4)</f>
        <v>2024</v>
      </c>
      <c r="D710" t="str">
        <f>MID(analisis_productividad__4[[#This Row],[Periodo]],5,2)</f>
        <v>05</v>
      </c>
      <c r="E710" t="s">
        <v>11</v>
      </c>
      <c r="F710" t="s">
        <v>14</v>
      </c>
      <c r="G710">
        <v>97476</v>
      </c>
      <c r="H710">
        <v>8776776</v>
      </c>
      <c r="I710">
        <v>90.040510752688149</v>
      </c>
      <c r="J710">
        <v>0</v>
      </c>
      <c r="K710">
        <v>101.5</v>
      </c>
      <c r="L710">
        <v>97.5</v>
      </c>
      <c r="N710">
        <v>0</v>
      </c>
    </row>
    <row r="711" spans="1:14" x14ac:dyDescent="0.35">
      <c r="A711" t="s">
        <v>46</v>
      </c>
      <c r="B711">
        <v>202505</v>
      </c>
      <c r="C711" t="str">
        <f>MID(analisis_productividad__4[[#This Row],[Periodo]],1,4)</f>
        <v>2025</v>
      </c>
      <c r="D711" t="str">
        <f>MID(analisis_productividad__4[[#This Row],[Periodo]],5,2)</f>
        <v>05</v>
      </c>
      <c r="E711" t="s">
        <v>11</v>
      </c>
      <c r="F711" t="s">
        <v>14</v>
      </c>
      <c r="G711">
        <v>97465</v>
      </c>
      <c r="H711">
        <v>6914032</v>
      </c>
      <c r="I711">
        <v>70.938366935483899</v>
      </c>
      <c r="J711">
        <v>97297.730720451422</v>
      </c>
      <c r="K711">
        <v>77</v>
      </c>
      <c r="L711">
        <v>79</v>
      </c>
      <c r="M711">
        <v>71.060564607255642</v>
      </c>
      <c r="N711">
        <v>6659732</v>
      </c>
    </row>
    <row r="712" spans="1:14" x14ac:dyDescent="0.35">
      <c r="A712" t="s">
        <v>42</v>
      </c>
      <c r="B712">
        <v>202605</v>
      </c>
      <c r="C712" t="str">
        <f>MID(analisis_productividad__4[[#This Row],[Periodo]],1,4)</f>
        <v>2026</v>
      </c>
      <c r="D712" t="str">
        <f>MID(analisis_productividad__4[[#This Row],[Periodo]],5,2)</f>
        <v>05</v>
      </c>
      <c r="E712" t="s">
        <v>16</v>
      </c>
      <c r="F712" t="s">
        <v>19</v>
      </c>
      <c r="G712">
        <v>97463</v>
      </c>
      <c r="H712">
        <v>5415275</v>
      </c>
      <c r="I712">
        <v>55.562170698924923</v>
      </c>
      <c r="J712">
        <v>94583.050718172264</v>
      </c>
      <c r="K712">
        <v>62</v>
      </c>
      <c r="L712">
        <v>58</v>
      </c>
      <c r="M712">
        <v>54.66595376698497</v>
      </c>
      <c r="N712">
        <v>5170473</v>
      </c>
    </row>
    <row r="713" spans="1:14" x14ac:dyDescent="0.35">
      <c r="A713" t="s">
        <v>25</v>
      </c>
      <c r="B713">
        <v>202508</v>
      </c>
      <c r="C713" t="str">
        <f>MID(analisis_productividad__4[[#This Row],[Periodo]],1,4)</f>
        <v>2025</v>
      </c>
      <c r="D713" t="str">
        <f>MID(analisis_productividad__4[[#This Row],[Periodo]],5,2)</f>
        <v>08</v>
      </c>
      <c r="E713" t="s">
        <v>16</v>
      </c>
      <c r="F713" t="s">
        <v>19</v>
      </c>
      <c r="G713">
        <v>97431</v>
      </c>
      <c r="H713">
        <v>8385422</v>
      </c>
      <c r="I713">
        <v>86.065141129032298</v>
      </c>
      <c r="J713">
        <v>97909.928477327994</v>
      </c>
      <c r="K713">
        <v>94</v>
      </c>
      <c r="L713">
        <v>92</v>
      </c>
      <c r="M713">
        <v>85.644241400316474</v>
      </c>
      <c r="N713">
        <v>8230322</v>
      </c>
    </row>
    <row r="714" spans="1:14" x14ac:dyDescent="0.35">
      <c r="A714" t="s">
        <v>63</v>
      </c>
      <c r="B714">
        <v>202404</v>
      </c>
      <c r="C714" t="str">
        <f>MID(analisis_productividad__4[[#This Row],[Periodo]],1,4)</f>
        <v>2024</v>
      </c>
      <c r="D714" t="str">
        <f>MID(analisis_productividad__4[[#This Row],[Periodo]],5,2)</f>
        <v>04</v>
      </c>
      <c r="E714" t="s">
        <v>16</v>
      </c>
      <c r="F714" t="s">
        <v>17</v>
      </c>
      <c r="G714">
        <v>97427</v>
      </c>
      <c r="H714">
        <v>8902483</v>
      </c>
      <c r="I714">
        <v>91.375472222222228</v>
      </c>
      <c r="J714">
        <v>0</v>
      </c>
      <c r="K714">
        <v>86.5</v>
      </c>
      <c r="L714">
        <v>81.5</v>
      </c>
      <c r="N714">
        <v>0</v>
      </c>
    </row>
    <row r="715" spans="1:14" x14ac:dyDescent="0.35">
      <c r="A715" t="s">
        <v>55</v>
      </c>
      <c r="B715">
        <v>202606</v>
      </c>
      <c r="C715" t="str">
        <f>MID(analisis_productividad__4[[#This Row],[Periodo]],1,4)</f>
        <v>2026</v>
      </c>
      <c r="D715" t="str">
        <f>MID(analisis_productividad__4[[#This Row],[Periodo]],5,2)</f>
        <v>06</v>
      </c>
      <c r="E715" t="s">
        <v>16</v>
      </c>
      <c r="F715" t="s">
        <v>21</v>
      </c>
      <c r="G715">
        <v>97401</v>
      </c>
      <c r="H715">
        <v>4407221</v>
      </c>
      <c r="I715">
        <v>45.248194444444302</v>
      </c>
      <c r="J715">
        <v>92868.585420323987</v>
      </c>
      <c r="K715">
        <v>55</v>
      </c>
      <c r="L715">
        <v>50.5</v>
      </c>
      <c r="M715">
        <v>48.493991244906027</v>
      </c>
      <c r="N715">
        <v>4503568</v>
      </c>
    </row>
    <row r="716" spans="1:14" x14ac:dyDescent="0.35">
      <c r="A716" t="s">
        <v>78</v>
      </c>
      <c r="B716">
        <v>202604</v>
      </c>
      <c r="C716" t="str">
        <f>MID(analisis_productividad__4[[#This Row],[Periodo]],1,4)</f>
        <v>2026</v>
      </c>
      <c r="D716" t="str">
        <f>MID(analisis_productividad__4[[#This Row],[Periodo]],5,2)</f>
        <v>04</v>
      </c>
      <c r="E716" t="s">
        <v>11</v>
      </c>
      <c r="F716" t="s">
        <v>14</v>
      </c>
      <c r="G716">
        <v>97399</v>
      </c>
      <c r="H716">
        <v>6423046</v>
      </c>
      <c r="I716">
        <v>65.945395833334999</v>
      </c>
      <c r="J716">
        <v>83220.743782263875</v>
      </c>
      <c r="K716">
        <v>79.5</v>
      </c>
      <c r="L716">
        <v>67</v>
      </c>
      <c r="M716">
        <v>68.682661472657543</v>
      </c>
      <c r="N716">
        <v>5715822</v>
      </c>
    </row>
    <row r="717" spans="1:14" x14ac:dyDescent="0.35">
      <c r="A717" t="s">
        <v>41</v>
      </c>
      <c r="B717">
        <v>202601</v>
      </c>
      <c r="C717" t="str">
        <f>MID(analisis_productividad__4[[#This Row],[Periodo]],1,4)</f>
        <v>2026</v>
      </c>
      <c r="D717" t="str">
        <f>MID(analisis_productividad__4[[#This Row],[Periodo]],5,2)</f>
        <v>01</v>
      </c>
      <c r="E717" t="s">
        <v>16</v>
      </c>
      <c r="F717" t="s">
        <v>19</v>
      </c>
      <c r="G717">
        <v>97397</v>
      </c>
      <c r="H717">
        <v>5370817</v>
      </c>
      <c r="I717">
        <v>55.143440860215065</v>
      </c>
      <c r="J717">
        <v>96903.494335813491</v>
      </c>
      <c r="K717">
        <v>57.5</v>
      </c>
      <c r="L717">
        <v>56.5</v>
      </c>
      <c r="M717">
        <v>50.698263574219922</v>
      </c>
      <c r="N717">
        <v>4912839</v>
      </c>
    </row>
    <row r="718" spans="1:14" x14ac:dyDescent="0.35">
      <c r="A718" t="s">
        <v>29</v>
      </c>
      <c r="B718">
        <v>202408</v>
      </c>
      <c r="C718" t="str">
        <f>MID(analisis_productividad__4[[#This Row],[Periodo]],1,4)</f>
        <v>2024</v>
      </c>
      <c r="D718" t="str">
        <f>MID(analisis_productividad__4[[#This Row],[Periodo]],5,2)</f>
        <v>08</v>
      </c>
      <c r="E718" t="s">
        <v>16</v>
      </c>
      <c r="F718" t="s">
        <v>19</v>
      </c>
      <c r="G718">
        <v>97395</v>
      </c>
      <c r="H718">
        <v>8709220</v>
      </c>
      <c r="I718">
        <v>89.421330645161291</v>
      </c>
      <c r="J718">
        <v>0</v>
      </c>
      <c r="K718">
        <v>96.5</v>
      </c>
      <c r="L718">
        <v>96</v>
      </c>
      <c r="N718">
        <v>0</v>
      </c>
    </row>
    <row r="719" spans="1:14" x14ac:dyDescent="0.35">
      <c r="A719" t="s">
        <v>37</v>
      </c>
      <c r="B719">
        <v>202401</v>
      </c>
      <c r="C719" t="str">
        <f>MID(analisis_productividad__4[[#This Row],[Periodo]],1,4)</f>
        <v>2024</v>
      </c>
      <c r="D719" t="str">
        <f>MID(analisis_productividad__4[[#This Row],[Periodo]],5,2)</f>
        <v>01</v>
      </c>
      <c r="E719" t="s">
        <v>16</v>
      </c>
      <c r="F719" t="s">
        <v>17</v>
      </c>
      <c r="G719">
        <v>97373</v>
      </c>
      <c r="H719">
        <v>9437993</v>
      </c>
      <c r="I719">
        <v>96.926431451612899</v>
      </c>
      <c r="J719">
        <v>0</v>
      </c>
      <c r="K719">
        <v>107.5</v>
      </c>
      <c r="L719">
        <v>102.5</v>
      </c>
      <c r="N719">
        <v>0</v>
      </c>
    </row>
    <row r="720" spans="1:14" x14ac:dyDescent="0.35">
      <c r="A720" t="s">
        <v>59</v>
      </c>
      <c r="B720">
        <v>202602</v>
      </c>
      <c r="C720" t="str">
        <f>MID(analisis_productividad__4[[#This Row],[Periodo]],1,4)</f>
        <v>2026</v>
      </c>
      <c r="D720" t="str">
        <f>MID(analisis_productividad__4[[#This Row],[Periodo]],5,2)</f>
        <v>02</v>
      </c>
      <c r="E720" t="s">
        <v>11</v>
      </c>
      <c r="F720" t="s">
        <v>12</v>
      </c>
      <c r="G720">
        <v>97344</v>
      </c>
      <c r="H720">
        <v>8633392</v>
      </c>
      <c r="I720">
        <v>88.689479166666672</v>
      </c>
      <c r="J720">
        <v>83857.241146778353</v>
      </c>
      <c r="K720">
        <v>94.5</v>
      </c>
      <c r="L720">
        <v>97</v>
      </c>
      <c r="M720">
        <v>83.184435661200979</v>
      </c>
      <c r="N720">
        <v>6975617</v>
      </c>
    </row>
    <row r="721" spans="1:14" x14ac:dyDescent="0.35">
      <c r="A721" t="s">
        <v>44</v>
      </c>
      <c r="B721">
        <v>202406</v>
      </c>
      <c r="C721" t="str">
        <f>MID(analisis_productividad__4[[#This Row],[Periodo]],1,4)</f>
        <v>2024</v>
      </c>
      <c r="D721" t="str">
        <f>MID(analisis_productividad__4[[#This Row],[Periodo]],5,2)</f>
        <v>06</v>
      </c>
      <c r="E721" t="s">
        <v>11</v>
      </c>
      <c r="F721" t="s">
        <v>12</v>
      </c>
      <c r="G721">
        <v>97307</v>
      </c>
      <c r="H721">
        <v>6423241</v>
      </c>
      <c r="I721">
        <v>66.010388888888883</v>
      </c>
      <c r="J721">
        <v>0</v>
      </c>
      <c r="K721">
        <v>78</v>
      </c>
      <c r="L721">
        <v>74.5</v>
      </c>
      <c r="N721">
        <v>0</v>
      </c>
    </row>
    <row r="722" spans="1:14" x14ac:dyDescent="0.35">
      <c r="A722" t="s">
        <v>32</v>
      </c>
      <c r="B722">
        <v>202602</v>
      </c>
      <c r="C722" t="str">
        <f>MID(analisis_productividad__4[[#This Row],[Periodo]],1,4)</f>
        <v>2026</v>
      </c>
      <c r="D722" t="str">
        <f>MID(analisis_productividad__4[[#This Row],[Periodo]],5,2)</f>
        <v>02</v>
      </c>
      <c r="E722" t="s">
        <v>11</v>
      </c>
      <c r="F722" t="s">
        <v>12</v>
      </c>
      <c r="G722">
        <v>97283</v>
      </c>
      <c r="H722">
        <v>5719413</v>
      </c>
      <c r="I722">
        <v>58.791249999999991</v>
      </c>
      <c r="J722">
        <v>98291.871308202783</v>
      </c>
      <c r="K722">
        <v>65.5</v>
      </c>
      <c r="L722">
        <v>66</v>
      </c>
      <c r="M722">
        <v>55.812340478272937</v>
      </c>
      <c r="N722">
        <v>5485899</v>
      </c>
    </row>
    <row r="723" spans="1:14" x14ac:dyDescent="0.35">
      <c r="A723" t="s">
        <v>65</v>
      </c>
      <c r="B723">
        <v>202511</v>
      </c>
      <c r="C723" t="str">
        <f>MID(analisis_productividad__4[[#This Row],[Periodo]],1,4)</f>
        <v>2025</v>
      </c>
      <c r="D723" t="str">
        <f>MID(analisis_productividad__4[[#This Row],[Periodo]],5,2)</f>
        <v>11</v>
      </c>
      <c r="E723" t="s">
        <v>16</v>
      </c>
      <c r="F723" t="s">
        <v>19</v>
      </c>
      <c r="G723">
        <v>97270</v>
      </c>
      <c r="H723">
        <v>5852510</v>
      </c>
      <c r="I723">
        <v>60.167576388888918</v>
      </c>
      <c r="J723">
        <v>85995.093922390311</v>
      </c>
      <c r="K723">
        <v>68</v>
      </c>
      <c r="L723">
        <v>68.5</v>
      </c>
      <c r="M723">
        <v>68.05632534434848</v>
      </c>
      <c r="N723">
        <v>5159856</v>
      </c>
    </row>
    <row r="724" spans="1:14" x14ac:dyDescent="0.35">
      <c r="A724" t="s">
        <v>56</v>
      </c>
      <c r="B724">
        <v>202511</v>
      </c>
      <c r="C724" t="str">
        <f>MID(analisis_productividad__4[[#This Row],[Periodo]],1,4)</f>
        <v>2025</v>
      </c>
      <c r="D724" t="str">
        <f>MID(analisis_productividad__4[[#This Row],[Periodo]],5,2)</f>
        <v>11</v>
      </c>
      <c r="E724" t="s">
        <v>16</v>
      </c>
      <c r="F724" t="s">
        <v>21</v>
      </c>
      <c r="G724">
        <v>97252</v>
      </c>
      <c r="H724">
        <v>6310556</v>
      </c>
      <c r="I724">
        <v>64.888833333333366</v>
      </c>
      <c r="J724">
        <v>96057.745203846222</v>
      </c>
      <c r="K724">
        <v>72.5</v>
      </c>
      <c r="L724">
        <v>68.5</v>
      </c>
      <c r="M724">
        <v>65.695442950573451</v>
      </c>
      <c r="N724">
        <v>5590889</v>
      </c>
    </row>
    <row r="725" spans="1:14" x14ac:dyDescent="0.35">
      <c r="A725" t="s">
        <v>67</v>
      </c>
      <c r="B725">
        <v>202503</v>
      </c>
      <c r="C725" t="str">
        <f>MID(analisis_productividad__4[[#This Row],[Periodo]],1,4)</f>
        <v>2025</v>
      </c>
      <c r="D725" t="str">
        <f>MID(analisis_productividad__4[[#This Row],[Periodo]],5,2)</f>
        <v>03</v>
      </c>
      <c r="E725" t="s">
        <v>16</v>
      </c>
      <c r="F725" t="s">
        <v>19</v>
      </c>
      <c r="G725">
        <v>97229</v>
      </c>
      <c r="H725">
        <v>6617838</v>
      </c>
      <c r="I725">
        <v>68.064791666666707</v>
      </c>
      <c r="J725">
        <v>95369.108909370843</v>
      </c>
      <c r="K725">
        <v>79.5</v>
      </c>
      <c r="L725">
        <v>81.5</v>
      </c>
      <c r="M725">
        <v>69.391841401065449</v>
      </c>
      <c r="N725">
        <v>6620537</v>
      </c>
    </row>
    <row r="726" spans="1:14" x14ac:dyDescent="0.35">
      <c r="A726" t="s">
        <v>38</v>
      </c>
      <c r="B726">
        <v>202406</v>
      </c>
      <c r="C726" t="str">
        <f>MID(analisis_productividad__4[[#This Row],[Periodo]],1,4)</f>
        <v>2024</v>
      </c>
      <c r="D726" t="str">
        <f>MID(analisis_productividad__4[[#This Row],[Periodo]],5,2)</f>
        <v>06</v>
      </c>
      <c r="E726" t="s">
        <v>34</v>
      </c>
      <c r="F726" t="s">
        <v>35</v>
      </c>
      <c r="G726">
        <v>97205</v>
      </c>
      <c r="H726">
        <v>11281958</v>
      </c>
      <c r="I726">
        <v>116.06345138888892</v>
      </c>
      <c r="J726">
        <v>0</v>
      </c>
      <c r="K726">
        <v>140.5</v>
      </c>
      <c r="L726">
        <v>125.5</v>
      </c>
      <c r="N726">
        <v>0</v>
      </c>
    </row>
    <row r="727" spans="1:14" x14ac:dyDescent="0.35">
      <c r="A727" t="s">
        <v>32</v>
      </c>
      <c r="B727">
        <v>202507</v>
      </c>
      <c r="C727" t="str">
        <f>MID(analisis_productividad__4[[#This Row],[Periodo]],1,4)</f>
        <v>2025</v>
      </c>
      <c r="D727" t="str">
        <f>MID(analisis_productividad__4[[#This Row],[Periodo]],5,2)</f>
        <v>07</v>
      </c>
      <c r="E727" t="s">
        <v>11</v>
      </c>
      <c r="F727" t="s">
        <v>12</v>
      </c>
      <c r="G727">
        <v>97135</v>
      </c>
      <c r="H727">
        <v>5708286</v>
      </c>
      <c r="I727">
        <v>58.766223118279598</v>
      </c>
      <c r="J727">
        <v>99977.837013544733</v>
      </c>
      <c r="K727">
        <v>65.5</v>
      </c>
      <c r="L727">
        <v>66</v>
      </c>
      <c r="M727">
        <v>57.095517071715179</v>
      </c>
      <c r="N727">
        <v>6108501</v>
      </c>
    </row>
    <row r="728" spans="1:14" x14ac:dyDescent="0.35">
      <c r="A728" t="s">
        <v>23</v>
      </c>
      <c r="B728">
        <v>202411</v>
      </c>
      <c r="C728" t="str">
        <f>MID(analisis_productividad__4[[#This Row],[Periodo]],1,4)</f>
        <v>2024</v>
      </c>
      <c r="D728" t="str">
        <f>MID(analisis_productividad__4[[#This Row],[Periodo]],5,2)</f>
        <v>11</v>
      </c>
      <c r="E728" t="s">
        <v>11</v>
      </c>
      <c r="F728" t="s">
        <v>12</v>
      </c>
      <c r="G728">
        <v>97130</v>
      </c>
      <c r="H728">
        <v>5793000</v>
      </c>
      <c r="I728">
        <v>59.641847222222218</v>
      </c>
      <c r="J728">
        <v>0</v>
      </c>
      <c r="K728">
        <v>68.5</v>
      </c>
      <c r="L728">
        <v>66</v>
      </c>
      <c r="N728">
        <v>0</v>
      </c>
    </row>
    <row r="729" spans="1:14" x14ac:dyDescent="0.35">
      <c r="A729" t="s">
        <v>39</v>
      </c>
      <c r="B729">
        <v>202411</v>
      </c>
      <c r="C729" t="str">
        <f>MID(analisis_productividad__4[[#This Row],[Periodo]],1,4)</f>
        <v>2024</v>
      </c>
      <c r="D729" t="str">
        <f>MID(analisis_productividad__4[[#This Row],[Periodo]],5,2)</f>
        <v>11</v>
      </c>
      <c r="E729" t="s">
        <v>16</v>
      </c>
      <c r="F729" t="s">
        <v>17</v>
      </c>
      <c r="G729">
        <v>97121</v>
      </c>
      <c r="H729">
        <v>8461200</v>
      </c>
      <c r="I729">
        <v>87.119958333333315</v>
      </c>
      <c r="J729">
        <v>0</v>
      </c>
      <c r="K729">
        <v>93.5</v>
      </c>
      <c r="L729">
        <v>94</v>
      </c>
      <c r="N729">
        <v>0</v>
      </c>
    </row>
    <row r="730" spans="1:14" x14ac:dyDescent="0.35">
      <c r="A730" t="s">
        <v>54</v>
      </c>
      <c r="B730">
        <v>202605</v>
      </c>
      <c r="C730" t="str">
        <f>MID(analisis_productividad__4[[#This Row],[Periodo]],1,4)</f>
        <v>2026</v>
      </c>
      <c r="D730" t="str">
        <f>MID(analisis_productividad__4[[#This Row],[Periodo]],5,2)</f>
        <v>05</v>
      </c>
      <c r="E730" t="s">
        <v>11</v>
      </c>
      <c r="F730" t="s">
        <v>52</v>
      </c>
      <c r="G730">
        <v>97118</v>
      </c>
      <c r="H730">
        <v>9447544</v>
      </c>
      <c r="I730">
        <v>97.279206989247569</v>
      </c>
      <c r="J730">
        <v>100905.517266297</v>
      </c>
      <c r="K730">
        <v>106</v>
      </c>
      <c r="L730">
        <v>102.5</v>
      </c>
      <c r="M730">
        <v>90.060822135394957</v>
      </c>
      <c r="N730">
        <v>9087634</v>
      </c>
    </row>
    <row r="731" spans="1:14" x14ac:dyDescent="0.35">
      <c r="A731" t="s">
        <v>44</v>
      </c>
      <c r="B731">
        <v>202602</v>
      </c>
      <c r="C731" t="str">
        <f>MID(analisis_productividad__4[[#This Row],[Periodo]],1,4)</f>
        <v>2026</v>
      </c>
      <c r="D731" t="str">
        <f>MID(analisis_productividad__4[[#This Row],[Periodo]],5,2)</f>
        <v>02</v>
      </c>
      <c r="E731" t="s">
        <v>11</v>
      </c>
      <c r="F731" t="s">
        <v>12</v>
      </c>
      <c r="G731">
        <v>97062</v>
      </c>
      <c r="H731">
        <v>6747684</v>
      </c>
      <c r="I731">
        <v>69.519427083333341</v>
      </c>
      <c r="J731">
        <v>89613.959908746998</v>
      </c>
      <c r="K731">
        <v>78</v>
      </c>
      <c r="L731">
        <v>74.5</v>
      </c>
      <c r="M731">
        <v>66.954795775232199</v>
      </c>
      <c r="N731">
        <v>6000084</v>
      </c>
    </row>
    <row r="732" spans="1:14" x14ac:dyDescent="0.35">
      <c r="A732" t="s">
        <v>36</v>
      </c>
      <c r="B732">
        <v>202502</v>
      </c>
      <c r="C732" t="str">
        <f>MID(analisis_productividad__4[[#This Row],[Periodo]],1,4)</f>
        <v>2025</v>
      </c>
      <c r="D732" t="str">
        <f>MID(analisis_productividad__4[[#This Row],[Periodo]],5,2)</f>
        <v>02</v>
      </c>
      <c r="E732" t="s">
        <v>16</v>
      </c>
      <c r="F732" t="s">
        <v>17</v>
      </c>
      <c r="G732">
        <v>97060</v>
      </c>
      <c r="H732">
        <v>6425955</v>
      </c>
      <c r="I732">
        <v>66.206041666666692</v>
      </c>
      <c r="J732">
        <v>109970.25156611548</v>
      </c>
      <c r="K732">
        <v>76.5</v>
      </c>
      <c r="L732">
        <v>80</v>
      </c>
      <c r="M732">
        <v>58.433572702492519</v>
      </c>
      <c r="N732">
        <v>7451797</v>
      </c>
    </row>
    <row r="733" spans="1:14" x14ac:dyDescent="0.35">
      <c r="A733" t="s">
        <v>26</v>
      </c>
      <c r="B733">
        <v>202506</v>
      </c>
      <c r="C733" t="str">
        <f>MID(analisis_productividad__4[[#This Row],[Periodo]],1,4)</f>
        <v>2025</v>
      </c>
      <c r="D733" t="str">
        <f>MID(analisis_productividad__4[[#This Row],[Periodo]],5,2)</f>
        <v>06</v>
      </c>
      <c r="E733" t="s">
        <v>11</v>
      </c>
      <c r="F733" t="s">
        <v>12</v>
      </c>
      <c r="G733">
        <v>96980</v>
      </c>
      <c r="H733">
        <v>5596372</v>
      </c>
      <c r="I733">
        <v>57.706736111111113</v>
      </c>
      <c r="J733">
        <v>85039.642443843841</v>
      </c>
      <c r="K733">
        <v>65.5</v>
      </c>
      <c r="L733">
        <v>63</v>
      </c>
      <c r="M733">
        <v>65.808981307695163</v>
      </c>
      <c r="N733">
        <v>5469043</v>
      </c>
    </row>
    <row r="734" spans="1:14" x14ac:dyDescent="0.35">
      <c r="A734" t="s">
        <v>39</v>
      </c>
      <c r="B734">
        <v>202506</v>
      </c>
      <c r="C734" t="str">
        <f>MID(analisis_productividad__4[[#This Row],[Periodo]],1,4)</f>
        <v>2025</v>
      </c>
      <c r="D734" t="str">
        <f>MID(analisis_productividad__4[[#This Row],[Periodo]],5,2)</f>
        <v>06</v>
      </c>
      <c r="E734" t="s">
        <v>16</v>
      </c>
      <c r="F734" t="s">
        <v>17</v>
      </c>
      <c r="G734">
        <v>96967</v>
      </c>
      <c r="H734">
        <v>8091213</v>
      </c>
      <c r="I734">
        <v>83.442527777777812</v>
      </c>
      <c r="J734">
        <v>105867.2243631272</v>
      </c>
      <c r="K734">
        <v>93.5</v>
      </c>
      <c r="L734">
        <v>94</v>
      </c>
      <c r="M734">
        <v>76.427928555555027</v>
      </c>
      <c r="N734">
        <v>8569623</v>
      </c>
    </row>
    <row r="735" spans="1:14" x14ac:dyDescent="0.35">
      <c r="A735" t="s">
        <v>40</v>
      </c>
      <c r="B735">
        <v>202605</v>
      </c>
      <c r="C735" t="str">
        <f>MID(analisis_productividad__4[[#This Row],[Periodo]],1,4)</f>
        <v>2026</v>
      </c>
      <c r="D735" t="str">
        <f>MID(analisis_productividad__4[[#This Row],[Periodo]],5,2)</f>
        <v>05</v>
      </c>
      <c r="E735" t="s">
        <v>11</v>
      </c>
      <c r="F735" t="s">
        <v>14</v>
      </c>
      <c r="G735">
        <v>96954</v>
      </c>
      <c r="H735">
        <v>6248431</v>
      </c>
      <c r="I735">
        <v>64.44723118279569</v>
      </c>
      <c r="J735">
        <v>92752.465157868341</v>
      </c>
      <c r="K735">
        <v>76.5</v>
      </c>
      <c r="L735">
        <v>75.5</v>
      </c>
      <c r="M735">
        <v>67.697971575339096</v>
      </c>
      <c r="N735">
        <v>6279154</v>
      </c>
    </row>
    <row r="736" spans="1:14" x14ac:dyDescent="0.35">
      <c r="A736" t="s">
        <v>59</v>
      </c>
      <c r="B736">
        <v>202601</v>
      </c>
      <c r="C736" t="str">
        <f>MID(analisis_productividad__4[[#This Row],[Periodo]],1,4)</f>
        <v>2026</v>
      </c>
      <c r="D736" t="str">
        <f>MID(analisis_productividad__4[[#This Row],[Periodo]],5,2)</f>
        <v>01</v>
      </c>
      <c r="E736" t="s">
        <v>11</v>
      </c>
      <c r="F736" t="s">
        <v>12</v>
      </c>
      <c r="G736">
        <v>96919</v>
      </c>
      <c r="H736">
        <v>8110029</v>
      </c>
      <c r="I736">
        <v>83.678790322580667</v>
      </c>
      <c r="J736">
        <v>83434.19981193867</v>
      </c>
      <c r="K736">
        <v>94.5</v>
      </c>
      <c r="L736">
        <v>97</v>
      </c>
      <c r="M736">
        <v>83.184435661200979</v>
      </c>
      <c r="N736">
        <v>6940427</v>
      </c>
    </row>
    <row r="737" spans="1:14" x14ac:dyDescent="0.35">
      <c r="A737" t="s">
        <v>50</v>
      </c>
      <c r="B737">
        <v>202407</v>
      </c>
      <c r="C737" t="str">
        <f>MID(analisis_productividad__4[[#This Row],[Periodo]],1,4)</f>
        <v>2024</v>
      </c>
      <c r="D737" t="str">
        <f>MID(analisis_productividad__4[[#This Row],[Periodo]],5,2)</f>
        <v>07</v>
      </c>
      <c r="E737" t="s">
        <v>34</v>
      </c>
      <c r="F737" t="s">
        <v>35</v>
      </c>
      <c r="G737">
        <v>96903</v>
      </c>
      <c r="H737">
        <v>5762281</v>
      </c>
      <c r="I737">
        <v>59.464341397849459</v>
      </c>
      <c r="J737">
        <v>0</v>
      </c>
      <c r="K737">
        <v>79.5</v>
      </c>
      <c r="L737">
        <v>72.5</v>
      </c>
      <c r="N737">
        <v>0</v>
      </c>
    </row>
    <row r="738" spans="1:14" x14ac:dyDescent="0.35">
      <c r="A738" t="s">
        <v>29</v>
      </c>
      <c r="B738">
        <v>202405</v>
      </c>
      <c r="C738" t="str">
        <f>MID(analisis_productividad__4[[#This Row],[Periodo]],1,4)</f>
        <v>2024</v>
      </c>
      <c r="D738" t="str">
        <f>MID(analisis_productividad__4[[#This Row],[Periodo]],5,2)</f>
        <v>05</v>
      </c>
      <c r="E738" t="s">
        <v>16</v>
      </c>
      <c r="F738" t="s">
        <v>19</v>
      </c>
      <c r="G738">
        <v>96889</v>
      </c>
      <c r="H738">
        <v>8500725</v>
      </c>
      <c r="I738">
        <v>87.736579301075253</v>
      </c>
      <c r="J738">
        <v>0</v>
      </c>
      <c r="K738">
        <v>96.5</v>
      </c>
      <c r="L738">
        <v>96</v>
      </c>
      <c r="N738">
        <v>0</v>
      </c>
    </row>
    <row r="739" spans="1:14" x14ac:dyDescent="0.35">
      <c r="A739" t="s">
        <v>32</v>
      </c>
      <c r="B739">
        <v>202605</v>
      </c>
      <c r="C739" t="str">
        <f>MID(analisis_productividad__4[[#This Row],[Periodo]],1,4)</f>
        <v>2026</v>
      </c>
      <c r="D739" t="str">
        <f>MID(analisis_productividad__4[[#This Row],[Periodo]],5,2)</f>
        <v>05</v>
      </c>
      <c r="E739" t="s">
        <v>11</v>
      </c>
      <c r="F739" t="s">
        <v>12</v>
      </c>
      <c r="G739">
        <v>96883</v>
      </c>
      <c r="H739">
        <v>5909448</v>
      </c>
      <c r="I739">
        <v>60.995920698925524</v>
      </c>
      <c r="J739">
        <v>102308.20515263741</v>
      </c>
      <c r="K739">
        <v>65.5</v>
      </c>
      <c r="L739">
        <v>66</v>
      </c>
      <c r="M739">
        <v>55.812340478272937</v>
      </c>
      <c r="N739">
        <v>5710060</v>
      </c>
    </row>
    <row r="740" spans="1:14" x14ac:dyDescent="0.35">
      <c r="A740" t="s">
        <v>28</v>
      </c>
      <c r="B740">
        <v>202604</v>
      </c>
      <c r="C740" t="str">
        <f>MID(analisis_productividad__4[[#This Row],[Periodo]],1,4)</f>
        <v>2026</v>
      </c>
      <c r="D740" t="str">
        <f>MID(analisis_productividad__4[[#This Row],[Periodo]],5,2)</f>
        <v>04</v>
      </c>
      <c r="E740" t="s">
        <v>16</v>
      </c>
      <c r="F740" t="s">
        <v>17</v>
      </c>
      <c r="G740">
        <v>96862</v>
      </c>
      <c r="H740">
        <v>6471814</v>
      </c>
      <c r="I740">
        <v>66.815000000001859</v>
      </c>
      <c r="J740">
        <v>127633.79427771839</v>
      </c>
      <c r="K740">
        <v>64</v>
      </c>
      <c r="L740">
        <v>67</v>
      </c>
      <c r="M740">
        <v>56.429371630436094</v>
      </c>
      <c r="N740">
        <v>7202295</v>
      </c>
    </row>
    <row r="741" spans="1:14" x14ac:dyDescent="0.35">
      <c r="A741" t="s">
        <v>59</v>
      </c>
      <c r="B741">
        <v>202604</v>
      </c>
      <c r="C741" t="str">
        <f>MID(analisis_productividad__4[[#This Row],[Periodo]],1,4)</f>
        <v>2026</v>
      </c>
      <c r="D741" t="str">
        <f>MID(analisis_productividad__4[[#This Row],[Periodo]],5,2)</f>
        <v>04</v>
      </c>
      <c r="E741" t="s">
        <v>11</v>
      </c>
      <c r="F741" t="s">
        <v>12</v>
      </c>
      <c r="G741">
        <v>96857</v>
      </c>
      <c r="H741">
        <v>8567293</v>
      </c>
      <c r="I741">
        <v>88.453458333335561</v>
      </c>
      <c r="J741">
        <v>90405.468019633903</v>
      </c>
      <c r="K741">
        <v>94.5</v>
      </c>
      <c r="L741">
        <v>97</v>
      </c>
      <c r="M741">
        <v>83.184435661200979</v>
      </c>
      <c r="N741">
        <v>7520328</v>
      </c>
    </row>
    <row r="742" spans="1:14" x14ac:dyDescent="0.35">
      <c r="A742" t="s">
        <v>46</v>
      </c>
      <c r="B742">
        <v>202408</v>
      </c>
      <c r="C742" t="str">
        <f>MID(analisis_productividad__4[[#This Row],[Periodo]],1,4)</f>
        <v>2024</v>
      </c>
      <c r="D742" t="str">
        <f>MID(analisis_productividad__4[[#This Row],[Periodo]],5,2)</f>
        <v>08</v>
      </c>
      <c r="E742" t="s">
        <v>11</v>
      </c>
      <c r="F742" t="s">
        <v>14</v>
      </c>
      <c r="G742">
        <v>96854</v>
      </c>
      <c r="H742">
        <v>6532263</v>
      </c>
      <c r="I742">
        <v>67.444482526881714</v>
      </c>
      <c r="J742">
        <v>0</v>
      </c>
      <c r="K742">
        <v>77</v>
      </c>
      <c r="L742">
        <v>79</v>
      </c>
      <c r="N742">
        <v>0</v>
      </c>
    </row>
    <row r="743" spans="1:14" x14ac:dyDescent="0.35">
      <c r="A743" t="s">
        <v>28</v>
      </c>
      <c r="B743">
        <v>202406</v>
      </c>
      <c r="C743" t="str">
        <f>MID(analisis_productividad__4[[#This Row],[Periodo]],1,4)</f>
        <v>2024</v>
      </c>
      <c r="D743" t="str">
        <f>MID(analisis_productividad__4[[#This Row],[Periodo]],5,2)</f>
        <v>06</v>
      </c>
      <c r="E743" t="s">
        <v>16</v>
      </c>
      <c r="F743" t="s">
        <v>17</v>
      </c>
      <c r="G743">
        <v>96778</v>
      </c>
      <c r="H743">
        <v>5537688</v>
      </c>
      <c r="I743">
        <v>57.220381944444441</v>
      </c>
      <c r="J743">
        <v>0</v>
      </c>
      <c r="K743">
        <v>64</v>
      </c>
      <c r="L743">
        <v>67</v>
      </c>
      <c r="N743">
        <v>0</v>
      </c>
    </row>
    <row r="744" spans="1:14" x14ac:dyDescent="0.35">
      <c r="A744" t="s">
        <v>41</v>
      </c>
      <c r="B744">
        <v>202602</v>
      </c>
      <c r="C744" t="str">
        <f>MID(analisis_productividad__4[[#This Row],[Periodo]],1,4)</f>
        <v>2026</v>
      </c>
      <c r="D744" t="str">
        <f>MID(analisis_productividad__4[[#This Row],[Periodo]],5,2)</f>
        <v>02</v>
      </c>
      <c r="E744" t="s">
        <v>16</v>
      </c>
      <c r="F744" t="s">
        <v>19</v>
      </c>
      <c r="G744">
        <v>96774</v>
      </c>
      <c r="H744">
        <v>5312500</v>
      </c>
      <c r="I744">
        <v>54.895833333333329</v>
      </c>
      <c r="J744">
        <v>93771.729107452978</v>
      </c>
      <c r="K744">
        <v>57.5</v>
      </c>
      <c r="L744">
        <v>56.5</v>
      </c>
      <c r="M744">
        <v>50.698263574219922</v>
      </c>
      <c r="N744">
        <v>4754064</v>
      </c>
    </row>
    <row r="745" spans="1:14" x14ac:dyDescent="0.35">
      <c r="A745" t="s">
        <v>68</v>
      </c>
      <c r="B745">
        <v>202401</v>
      </c>
      <c r="C745" t="str">
        <f>MID(analisis_productividad__4[[#This Row],[Periodo]],1,4)</f>
        <v>2024</v>
      </c>
      <c r="D745" t="str">
        <f>MID(analisis_productividad__4[[#This Row],[Periodo]],5,2)</f>
        <v>01</v>
      </c>
      <c r="E745" t="s">
        <v>11</v>
      </c>
      <c r="F745" t="s">
        <v>52</v>
      </c>
      <c r="G745">
        <v>96768</v>
      </c>
      <c r="H745">
        <v>7905160</v>
      </c>
      <c r="I745">
        <v>81.692116935483853</v>
      </c>
      <c r="J745">
        <v>0</v>
      </c>
      <c r="K745">
        <v>103</v>
      </c>
      <c r="L745">
        <v>91</v>
      </c>
      <c r="N745">
        <v>0</v>
      </c>
    </row>
    <row r="746" spans="1:14" x14ac:dyDescent="0.35">
      <c r="A746" t="s">
        <v>48</v>
      </c>
      <c r="B746">
        <v>202605</v>
      </c>
      <c r="C746" t="str">
        <f>MID(analisis_productividad__4[[#This Row],[Periodo]],1,4)</f>
        <v>2026</v>
      </c>
      <c r="D746" t="str">
        <f>MID(analisis_productividad__4[[#This Row],[Periodo]],5,2)</f>
        <v>05</v>
      </c>
      <c r="E746" t="s">
        <v>16</v>
      </c>
      <c r="F746" t="s">
        <v>21</v>
      </c>
      <c r="G746">
        <v>96745</v>
      </c>
      <c r="H746">
        <v>5521085</v>
      </c>
      <c r="I746">
        <v>57.068346774193373</v>
      </c>
      <c r="J746">
        <v>112002.37378626858</v>
      </c>
      <c r="K746">
        <v>56</v>
      </c>
      <c r="L746">
        <v>60</v>
      </c>
      <c r="M746">
        <v>48.493991244906013</v>
      </c>
      <c r="N746">
        <v>5431442</v>
      </c>
    </row>
    <row r="747" spans="1:14" x14ac:dyDescent="0.35">
      <c r="A747" t="s">
        <v>87</v>
      </c>
      <c r="B747">
        <v>202512</v>
      </c>
      <c r="C747" t="str">
        <f>MID(analisis_productividad__4[[#This Row],[Periodo]],1,4)</f>
        <v>2025</v>
      </c>
      <c r="D747" t="str">
        <f>MID(analisis_productividad__4[[#This Row],[Periodo]],5,2)</f>
        <v>12</v>
      </c>
      <c r="E747" t="s">
        <v>9</v>
      </c>
      <c r="F747" t="s">
        <v>9</v>
      </c>
      <c r="G747">
        <v>96606</v>
      </c>
      <c r="H747">
        <v>1168928</v>
      </c>
      <c r="I747">
        <v>12.09997983870967</v>
      </c>
      <c r="J747">
        <v>92539.289013412461</v>
      </c>
      <c r="K747">
        <v>13.5</v>
      </c>
      <c r="L747">
        <v>12</v>
      </c>
      <c r="M747">
        <v>12.631693008043081</v>
      </c>
      <c r="N747">
        <v>1330952</v>
      </c>
    </row>
    <row r="748" spans="1:14" x14ac:dyDescent="0.35">
      <c r="A748" t="s">
        <v>40</v>
      </c>
      <c r="B748">
        <v>202406</v>
      </c>
      <c r="C748" t="str">
        <f>MID(analisis_productividad__4[[#This Row],[Periodo]],1,4)</f>
        <v>2024</v>
      </c>
      <c r="D748" t="str">
        <f>MID(analisis_productividad__4[[#This Row],[Periodo]],5,2)</f>
        <v>06</v>
      </c>
      <c r="E748" t="s">
        <v>11</v>
      </c>
      <c r="F748" t="s">
        <v>14</v>
      </c>
      <c r="G748">
        <v>96598</v>
      </c>
      <c r="H748">
        <v>6377903</v>
      </c>
      <c r="I748">
        <v>66.024972222222189</v>
      </c>
      <c r="J748">
        <v>0</v>
      </c>
      <c r="K748">
        <v>76.5</v>
      </c>
      <c r="L748">
        <v>75.5</v>
      </c>
      <c r="N748">
        <v>0</v>
      </c>
    </row>
    <row r="749" spans="1:14" x14ac:dyDescent="0.35">
      <c r="A749" t="s">
        <v>31</v>
      </c>
      <c r="B749">
        <v>202510</v>
      </c>
      <c r="C749" t="str">
        <f>MID(analisis_productividad__4[[#This Row],[Periodo]],1,4)</f>
        <v>2025</v>
      </c>
      <c r="D749" t="str">
        <f>MID(analisis_productividad__4[[#This Row],[Periodo]],5,2)</f>
        <v>10</v>
      </c>
      <c r="E749" t="s">
        <v>11</v>
      </c>
      <c r="F749" t="s">
        <v>14</v>
      </c>
      <c r="G749">
        <v>96596</v>
      </c>
      <c r="H749">
        <v>7123901</v>
      </c>
      <c r="I749">
        <v>73.749186827957018</v>
      </c>
      <c r="J749">
        <v>108459.73895876079</v>
      </c>
      <c r="K749">
        <v>101.5</v>
      </c>
      <c r="L749">
        <v>97.5</v>
      </c>
      <c r="M749">
        <v>65.682445010389443</v>
      </c>
      <c r="N749">
        <v>9857315</v>
      </c>
    </row>
    <row r="750" spans="1:14" x14ac:dyDescent="0.35">
      <c r="A750" t="s">
        <v>43</v>
      </c>
      <c r="B750">
        <v>202505</v>
      </c>
      <c r="C750" t="str">
        <f>MID(analisis_productividad__4[[#This Row],[Periodo]],1,4)</f>
        <v>2025</v>
      </c>
      <c r="D750" t="str">
        <f>MID(analisis_productividad__4[[#This Row],[Periodo]],5,2)</f>
        <v>05</v>
      </c>
      <c r="E750" t="s">
        <v>11</v>
      </c>
      <c r="F750" t="s">
        <v>12</v>
      </c>
      <c r="G750">
        <v>96590</v>
      </c>
      <c r="H750">
        <v>7244880</v>
      </c>
      <c r="I750">
        <v>75.006834677419349</v>
      </c>
      <c r="J750">
        <v>91509.77274090772</v>
      </c>
      <c r="K750">
        <v>84.5</v>
      </c>
      <c r="L750">
        <v>86.5</v>
      </c>
      <c r="M750">
        <v>79.170565317788373</v>
      </c>
      <c r="N750">
        <v>7046078</v>
      </c>
    </row>
    <row r="751" spans="1:14" x14ac:dyDescent="0.35">
      <c r="A751" t="s">
        <v>38</v>
      </c>
      <c r="B751">
        <v>202502</v>
      </c>
      <c r="C751" t="str">
        <f>MID(analisis_productividad__4[[#This Row],[Periodo]],1,4)</f>
        <v>2025</v>
      </c>
      <c r="D751" t="str">
        <f>MID(analisis_productividad__4[[#This Row],[Periodo]],5,2)</f>
        <v>02</v>
      </c>
      <c r="E751" t="s">
        <v>34</v>
      </c>
      <c r="F751" t="s">
        <v>35</v>
      </c>
      <c r="G751">
        <v>96588</v>
      </c>
      <c r="H751">
        <v>10847518</v>
      </c>
      <c r="I751">
        <v>112.30656249999994</v>
      </c>
      <c r="J751">
        <v>95476.869675014008</v>
      </c>
      <c r="K751">
        <v>140.5</v>
      </c>
      <c r="L751">
        <v>125.5</v>
      </c>
      <c r="M751">
        <v>113.61409131785514</v>
      </c>
      <c r="N751">
        <v>10738156</v>
      </c>
    </row>
    <row r="752" spans="1:14" x14ac:dyDescent="0.35">
      <c r="A752" t="s">
        <v>49</v>
      </c>
      <c r="B752">
        <v>202602</v>
      </c>
      <c r="C752" t="str">
        <f>MID(analisis_productividad__4[[#This Row],[Periodo]],1,4)</f>
        <v>2026</v>
      </c>
      <c r="D752" t="str">
        <f>MID(analisis_productividad__4[[#This Row],[Periodo]],5,2)</f>
        <v>02</v>
      </c>
      <c r="E752" t="s">
        <v>16</v>
      </c>
      <c r="F752" t="s">
        <v>21</v>
      </c>
      <c r="G752">
        <v>96583</v>
      </c>
      <c r="H752">
        <v>6051370</v>
      </c>
      <c r="I752">
        <v>62.654791666666654</v>
      </c>
      <c r="J752">
        <v>84219.142615352263</v>
      </c>
      <c r="K752">
        <v>75.5</v>
      </c>
      <c r="L752">
        <v>68</v>
      </c>
      <c r="M752">
        <v>66.56902434528007</v>
      </c>
      <c r="N752">
        <v>5606386</v>
      </c>
    </row>
    <row r="753" spans="1:14" x14ac:dyDescent="0.35">
      <c r="A753" t="s">
        <v>48</v>
      </c>
      <c r="B753">
        <v>202602</v>
      </c>
      <c r="C753" t="str">
        <f>MID(analisis_productividad__4[[#This Row],[Periodo]],1,4)</f>
        <v>2026</v>
      </c>
      <c r="D753" t="str">
        <f>MID(analisis_productividad__4[[#This Row],[Periodo]],5,2)</f>
        <v>02</v>
      </c>
      <c r="E753" t="s">
        <v>16</v>
      </c>
      <c r="F753" t="s">
        <v>21</v>
      </c>
      <c r="G753">
        <v>96582</v>
      </c>
      <c r="H753">
        <v>5040093</v>
      </c>
      <c r="I753">
        <v>52.184583333333329</v>
      </c>
      <c r="J753">
        <v>101922.53906960468</v>
      </c>
      <c r="K753">
        <v>56</v>
      </c>
      <c r="L753">
        <v>60</v>
      </c>
      <c r="M753">
        <v>48.493991244906013</v>
      </c>
      <c r="N753">
        <v>4942631</v>
      </c>
    </row>
    <row r="754" spans="1:14" x14ac:dyDescent="0.35">
      <c r="A754" t="s">
        <v>79</v>
      </c>
      <c r="B754">
        <v>202603</v>
      </c>
      <c r="C754" t="str">
        <f>MID(analisis_productividad__4[[#This Row],[Periodo]],1,4)</f>
        <v>2026</v>
      </c>
      <c r="D754" t="str">
        <f>MID(analisis_productividad__4[[#This Row],[Periodo]],5,2)</f>
        <v>03</v>
      </c>
      <c r="E754" t="s">
        <v>11</v>
      </c>
      <c r="F754" t="s">
        <v>12</v>
      </c>
      <c r="G754">
        <v>96560</v>
      </c>
      <c r="H754">
        <v>6011558</v>
      </c>
      <c r="I754">
        <v>62.257096774193592</v>
      </c>
      <c r="J754">
        <v>115277.34525383502</v>
      </c>
      <c r="K754">
        <v>64.5</v>
      </c>
      <c r="L754">
        <v>64</v>
      </c>
      <c r="M754">
        <v>54.966698955874868</v>
      </c>
      <c r="N754">
        <v>6336415</v>
      </c>
    </row>
    <row r="755" spans="1:14" x14ac:dyDescent="0.35">
      <c r="A755" t="s">
        <v>66</v>
      </c>
      <c r="B755">
        <v>202412</v>
      </c>
      <c r="C755" t="str">
        <f>MID(analisis_productividad__4[[#This Row],[Periodo]],1,4)</f>
        <v>2024</v>
      </c>
      <c r="D755" t="str">
        <f>MID(analisis_productividad__4[[#This Row],[Periodo]],5,2)</f>
        <v>12</v>
      </c>
      <c r="E755" t="s">
        <v>11</v>
      </c>
      <c r="F755" t="s">
        <v>12</v>
      </c>
      <c r="G755">
        <v>96545</v>
      </c>
      <c r="H755">
        <v>8544279</v>
      </c>
      <c r="I755">
        <v>88.500557795698938</v>
      </c>
      <c r="J755">
        <v>0</v>
      </c>
      <c r="K755">
        <v>80</v>
      </c>
      <c r="L755">
        <v>80.5</v>
      </c>
      <c r="N755">
        <v>0</v>
      </c>
    </row>
    <row r="756" spans="1:14" x14ac:dyDescent="0.35">
      <c r="A756" t="s">
        <v>53</v>
      </c>
      <c r="B756">
        <v>202507</v>
      </c>
      <c r="C756" t="str">
        <f>MID(analisis_productividad__4[[#This Row],[Periodo]],1,4)</f>
        <v>2025</v>
      </c>
      <c r="D756" t="str">
        <f>MID(analisis_productividad__4[[#This Row],[Periodo]],5,2)</f>
        <v>07</v>
      </c>
      <c r="E756" t="s">
        <v>11</v>
      </c>
      <c r="F756" t="s">
        <v>12</v>
      </c>
      <c r="G756">
        <v>96533</v>
      </c>
      <c r="H756">
        <v>6374185</v>
      </c>
      <c r="I756">
        <v>66.030981182795728</v>
      </c>
      <c r="J756">
        <v>106916.0679469139</v>
      </c>
      <c r="K756">
        <v>81</v>
      </c>
      <c r="L756">
        <v>77</v>
      </c>
      <c r="M756">
        <v>59.618589351461353</v>
      </c>
      <c r="N756">
        <v>7282512</v>
      </c>
    </row>
    <row r="757" spans="1:14" x14ac:dyDescent="0.35">
      <c r="A757" t="s">
        <v>37</v>
      </c>
      <c r="B757">
        <v>202409</v>
      </c>
      <c r="C757" t="str">
        <f>MID(analisis_productividad__4[[#This Row],[Periodo]],1,4)</f>
        <v>2024</v>
      </c>
      <c r="D757" t="str">
        <f>MID(analisis_productividad__4[[#This Row],[Periodo]],5,2)</f>
        <v>09</v>
      </c>
      <c r="E757" t="s">
        <v>16</v>
      </c>
      <c r="F757" t="s">
        <v>17</v>
      </c>
      <c r="G757">
        <v>96479</v>
      </c>
      <c r="H757">
        <v>9690585</v>
      </c>
      <c r="I757">
        <v>100.44207638888889</v>
      </c>
      <c r="J757">
        <v>0</v>
      </c>
      <c r="K757">
        <v>107.5</v>
      </c>
      <c r="L757">
        <v>102.5</v>
      </c>
      <c r="N757">
        <v>0</v>
      </c>
    </row>
    <row r="758" spans="1:14" x14ac:dyDescent="0.35">
      <c r="A758" t="s">
        <v>57</v>
      </c>
      <c r="B758">
        <v>202501</v>
      </c>
      <c r="C758" t="str">
        <f>MID(analisis_productividad__4[[#This Row],[Periodo]],1,4)</f>
        <v>2025</v>
      </c>
      <c r="D758" t="str">
        <f>MID(analisis_productividad__4[[#This Row],[Periodo]],5,2)</f>
        <v>01</v>
      </c>
      <c r="E758" t="s">
        <v>16</v>
      </c>
      <c r="F758" t="s">
        <v>19</v>
      </c>
      <c r="G758">
        <v>96474</v>
      </c>
      <c r="H758">
        <v>6030239</v>
      </c>
      <c r="I758">
        <v>62.506424731182811</v>
      </c>
      <c r="J758">
        <v>111123.79721613509</v>
      </c>
      <c r="K758">
        <v>71</v>
      </c>
      <c r="L758">
        <v>74.5</v>
      </c>
      <c r="M758">
        <v>54.265951947909265</v>
      </c>
      <c r="N758">
        <v>6155100</v>
      </c>
    </row>
    <row r="759" spans="1:14" x14ac:dyDescent="0.35">
      <c r="A759" t="s">
        <v>39</v>
      </c>
      <c r="B759">
        <v>202409</v>
      </c>
      <c r="C759" t="str">
        <f>MID(analisis_productividad__4[[#This Row],[Periodo]],1,4)</f>
        <v>2024</v>
      </c>
      <c r="D759" t="str">
        <f>MID(analisis_productividad__4[[#This Row],[Periodo]],5,2)</f>
        <v>09</v>
      </c>
      <c r="E759" t="s">
        <v>16</v>
      </c>
      <c r="F759" t="s">
        <v>17</v>
      </c>
      <c r="G759">
        <v>96472</v>
      </c>
      <c r="H759">
        <v>8222124</v>
      </c>
      <c r="I759">
        <v>85.228256944444411</v>
      </c>
      <c r="J759">
        <v>0</v>
      </c>
      <c r="K759">
        <v>93.5</v>
      </c>
      <c r="L759">
        <v>94</v>
      </c>
      <c r="N759">
        <v>0</v>
      </c>
    </row>
    <row r="760" spans="1:14" x14ac:dyDescent="0.35">
      <c r="A760" t="s">
        <v>131</v>
      </c>
      <c r="B760">
        <v>202402</v>
      </c>
      <c r="C760" t="str">
        <f>MID(analisis_productividad__4[[#This Row],[Periodo]],1,4)</f>
        <v>2024</v>
      </c>
      <c r="D760" t="str">
        <f>MID(analisis_productividad__4[[#This Row],[Periodo]],5,2)</f>
        <v>02</v>
      </c>
      <c r="E760" t="s">
        <v>16</v>
      </c>
      <c r="F760" t="s">
        <v>21</v>
      </c>
      <c r="G760">
        <v>96442</v>
      </c>
      <c r="H760">
        <v>11810683</v>
      </c>
      <c r="I760">
        <v>122.46404454022989</v>
      </c>
      <c r="J760">
        <v>0</v>
      </c>
      <c r="K760">
        <v>99</v>
      </c>
      <c r="L760">
        <v>32.5</v>
      </c>
      <c r="N760">
        <v>0</v>
      </c>
    </row>
    <row r="761" spans="1:14" x14ac:dyDescent="0.35">
      <c r="A761" t="s">
        <v>99</v>
      </c>
      <c r="B761">
        <v>202512</v>
      </c>
      <c r="C761" t="str">
        <f>MID(analisis_productividad__4[[#This Row],[Periodo]],1,4)</f>
        <v>2025</v>
      </c>
      <c r="D761" t="str">
        <f>MID(analisis_productividad__4[[#This Row],[Periodo]],5,2)</f>
        <v>12</v>
      </c>
      <c r="E761" t="s">
        <v>11</v>
      </c>
      <c r="F761" t="s">
        <v>12</v>
      </c>
      <c r="G761">
        <v>96434</v>
      </c>
      <c r="H761">
        <v>2185488</v>
      </c>
      <c r="I761">
        <v>22.663111559139768</v>
      </c>
      <c r="J761">
        <v>76052.274710285768</v>
      </c>
      <c r="K761">
        <v>27</v>
      </c>
      <c r="L761">
        <v>27</v>
      </c>
      <c r="M761">
        <v>28.736650393764243</v>
      </c>
      <c r="N761">
        <v>2195731</v>
      </c>
    </row>
    <row r="762" spans="1:14" x14ac:dyDescent="0.35">
      <c r="A762" t="s">
        <v>50</v>
      </c>
      <c r="B762">
        <v>202510</v>
      </c>
      <c r="C762" t="str">
        <f>MID(analisis_productividad__4[[#This Row],[Periodo]],1,4)</f>
        <v>2025</v>
      </c>
      <c r="D762" t="str">
        <f>MID(analisis_productividad__4[[#This Row],[Periodo]],5,2)</f>
        <v>10</v>
      </c>
      <c r="E762" t="s">
        <v>34</v>
      </c>
      <c r="F762" t="s">
        <v>35</v>
      </c>
      <c r="G762">
        <v>96418</v>
      </c>
      <c r="H762">
        <v>5788509</v>
      </c>
      <c r="I762">
        <v>60.035302419354835</v>
      </c>
      <c r="J762">
        <v>94929.816770805483</v>
      </c>
      <c r="K762">
        <v>79.5</v>
      </c>
      <c r="L762">
        <v>72.5</v>
      </c>
      <c r="M762">
        <v>60.976718136679104</v>
      </c>
      <c r="N762">
        <v>6091984</v>
      </c>
    </row>
    <row r="763" spans="1:14" x14ac:dyDescent="0.35">
      <c r="A763" t="s">
        <v>94</v>
      </c>
      <c r="B763">
        <v>202412</v>
      </c>
      <c r="C763" t="str">
        <f>MID(analisis_productividad__4[[#This Row],[Periodo]],1,4)</f>
        <v>2024</v>
      </c>
      <c r="D763" t="str">
        <f>MID(analisis_productividad__4[[#This Row],[Periodo]],5,2)</f>
        <v>12</v>
      </c>
      <c r="E763" t="s">
        <v>11</v>
      </c>
      <c r="F763" t="s">
        <v>52</v>
      </c>
      <c r="G763">
        <v>96410</v>
      </c>
      <c r="H763">
        <v>7581528</v>
      </c>
      <c r="I763">
        <v>78.638508064516103</v>
      </c>
      <c r="J763">
        <v>0</v>
      </c>
      <c r="K763">
        <v>75.5</v>
      </c>
      <c r="L763">
        <v>70.5</v>
      </c>
      <c r="N763">
        <v>0</v>
      </c>
    </row>
    <row r="764" spans="1:14" x14ac:dyDescent="0.35">
      <c r="A764" t="s">
        <v>37</v>
      </c>
      <c r="B764">
        <v>202406</v>
      </c>
      <c r="C764" t="str">
        <f>MID(analisis_productividad__4[[#This Row],[Periodo]],1,4)</f>
        <v>2024</v>
      </c>
      <c r="D764" t="str">
        <f>MID(analisis_productividad__4[[#This Row],[Periodo]],5,2)</f>
        <v>06</v>
      </c>
      <c r="E764" t="s">
        <v>16</v>
      </c>
      <c r="F764" t="s">
        <v>17</v>
      </c>
      <c r="G764">
        <v>96399</v>
      </c>
      <c r="H764">
        <v>10211778</v>
      </c>
      <c r="I764">
        <v>105.93294444444449</v>
      </c>
      <c r="J764">
        <v>0</v>
      </c>
      <c r="K764">
        <v>107.5</v>
      </c>
      <c r="L764">
        <v>102.5</v>
      </c>
      <c r="N764">
        <v>0</v>
      </c>
    </row>
    <row r="765" spans="1:14" x14ac:dyDescent="0.35">
      <c r="A765" t="s">
        <v>28</v>
      </c>
      <c r="B765">
        <v>202510</v>
      </c>
      <c r="C765" t="str">
        <f>MID(analisis_productividad__4[[#This Row],[Periodo]],1,4)</f>
        <v>2025</v>
      </c>
      <c r="D765" t="str">
        <f>MID(analisis_productividad__4[[#This Row],[Periodo]],5,2)</f>
        <v>10</v>
      </c>
      <c r="E765" t="s">
        <v>16</v>
      </c>
      <c r="F765" t="s">
        <v>17</v>
      </c>
      <c r="G765">
        <v>96393</v>
      </c>
      <c r="H765">
        <v>5462797</v>
      </c>
      <c r="I765">
        <v>56.671868279569914</v>
      </c>
      <c r="J765">
        <v>98755.781973844947</v>
      </c>
      <c r="K765">
        <v>64</v>
      </c>
      <c r="L765">
        <v>67</v>
      </c>
      <c r="M765">
        <v>55.316219575343951</v>
      </c>
      <c r="N765">
        <v>5011775</v>
      </c>
    </row>
    <row r="766" spans="1:14" x14ac:dyDescent="0.35">
      <c r="A766" t="s">
        <v>42</v>
      </c>
      <c r="B766">
        <v>202501</v>
      </c>
      <c r="C766" t="str">
        <f>MID(analisis_productividad__4[[#This Row],[Periodo]],1,4)</f>
        <v>2025</v>
      </c>
      <c r="D766" t="str">
        <f>MID(analisis_productividad__4[[#This Row],[Periodo]],5,2)</f>
        <v>01</v>
      </c>
      <c r="E766" t="s">
        <v>16</v>
      </c>
      <c r="F766" t="s">
        <v>19</v>
      </c>
      <c r="G766">
        <v>96389</v>
      </c>
      <c r="H766">
        <v>5715029</v>
      </c>
      <c r="I766">
        <v>59.291364247311833</v>
      </c>
      <c r="J766">
        <v>93207.709728894057</v>
      </c>
      <c r="K766">
        <v>62</v>
      </c>
      <c r="L766">
        <v>58</v>
      </c>
      <c r="M766">
        <v>61.314979057235242</v>
      </c>
      <c r="N766">
        <v>5445161</v>
      </c>
    </row>
    <row r="767" spans="1:14" x14ac:dyDescent="0.35">
      <c r="A767" t="s">
        <v>42</v>
      </c>
      <c r="B767">
        <v>202606</v>
      </c>
      <c r="C767" t="str">
        <f>MID(analisis_productividad__4[[#This Row],[Periodo]],1,4)</f>
        <v>2026</v>
      </c>
      <c r="D767" t="str">
        <f>MID(analisis_productividad__4[[#This Row],[Periodo]],5,2)</f>
        <v>06</v>
      </c>
      <c r="E767" t="s">
        <v>16</v>
      </c>
      <c r="F767" t="s">
        <v>19</v>
      </c>
      <c r="G767">
        <v>96366</v>
      </c>
      <c r="H767">
        <v>5096594</v>
      </c>
      <c r="I767">
        <v>52.887673611110984</v>
      </c>
      <c r="J767">
        <v>87676.616865224176</v>
      </c>
      <c r="K767">
        <v>62</v>
      </c>
      <c r="L767">
        <v>58</v>
      </c>
      <c r="M767">
        <v>54.66595376698497</v>
      </c>
      <c r="N767">
        <v>4792926</v>
      </c>
    </row>
    <row r="768" spans="1:14" x14ac:dyDescent="0.35">
      <c r="A768" t="s">
        <v>80</v>
      </c>
      <c r="B768">
        <v>202603</v>
      </c>
      <c r="C768" t="str">
        <f>MID(analisis_productividad__4[[#This Row],[Periodo]],1,4)</f>
        <v>2026</v>
      </c>
      <c r="D768" t="str">
        <f>MID(analisis_productividad__4[[#This Row],[Periodo]],5,2)</f>
        <v>03</v>
      </c>
      <c r="E768" t="s">
        <v>16</v>
      </c>
      <c r="F768" t="s">
        <v>17</v>
      </c>
      <c r="G768">
        <v>96360</v>
      </c>
      <c r="H768">
        <v>5282065</v>
      </c>
      <c r="I768">
        <v>54.816115591397867</v>
      </c>
      <c r="J768">
        <v>101268.08453248843</v>
      </c>
      <c r="K768">
        <v>58</v>
      </c>
      <c r="L768">
        <v>58.5</v>
      </c>
      <c r="M768">
        <v>51.139118040082707</v>
      </c>
      <c r="N768">
        <v>5178761</v>
      </c>
    </row>
    <row r="769" spans="1:14" x14ac:dyDescent="0.35">
      <c r="A769" t="s">
        <v>82</v>
      </c>
      <c r="B769">
        <v>202512</v>
      </c>
      <c r="C769" t="str">
        <f>MID(analisis_productividad__4[[#This Row],[Periodo]],1,4)</f>
        <v>2025</v>
      </c>
      <c r="D769" t="str">
        <f>MID(analisis_productividad__4[[#This Row],[Periodo]],5,2)</f>
        <v>12</v>
      </c>
      <c r="E769" t="s">
        <v>11</v>
      </c>
      <c r="F769" t="s">
        <v>12</v>
      </c>
      <c r="G769">
        <v>96352</v>
      </c>
      <c r="H769">
        <v>5578714</v>
      </c>
      <c r="I769">
        <v>57.899267473118286</v>
      </c>
      <c r="J769">
        <v>98125.267905618603</v>
      </c>
      <c r="K769">
        <v>53.5</v>
      </c>
      <c r="L769">
        <v>54</v>
      </c>
      <c r="M769">
        <v>56.85298138870678</v>
      </c>
      <c r="N769">
        <v>5725519</v>
      </c>
    </row>
    <row r="770" spans="1:14" x14ac:dyDescent="0.35">
      <c r="A770" t="s">
        <v>91</v>
      </c>
      <c r="B770">
        <v>202412</v>
      </c>
      <c r="C770" t="str">
        <f>MID(analisis_productividad__4[[#This Row],[Periodo]],1,4)</f>
        <v>2024</v>
      </c>
      <c r="D770" t="str">
        <f>MID(analisis_productividad__4[[#This Row],[Periodo]],5,2)</f>
        <v>12</v>
      </c>
      <c r="E770" t="s">
        <v>11</v>
      </c>
      <c r="F770" t="s">
        <v>12</v>
      </c>
      <c r="G770">
        <v>96349</v>
      </c>
      <c r="H770">
        <v>5775348</v>
      </c>
      <c r="I770">
        <v>59.941922043010763</v>
      </c>
      <c r="J770">
        <v>0</v>
      </c>
      <c r="K770">
        <v>55</v>
      </c>
      <c r="L770">
        <v>55.5</v>
      </c>
      <c r="N770">
        <v>0</v>
      </c>
    </row>
    <row r="771" spans="1:14" x14ac:dyDescent="0.35">
      <c r="A771" t="s">
        <v>22</v>
      </c>
      <c r="B771">
        <v>202410</v>
      </c>
      <c r="C771" t="str">
        <f>MID(analisis_productividad__4[[#This Row],[Periodo]],1,4)</f>
        <v>2024</v>
      </c>
      <c r="D771" t="str">
        <f>MID(analisis_productividad__4[[#This Row],[Periodo]],5,2)</f>
        <v>10</v>
      </c>
      <c r="E771" t="s">
        <v>16</v>
      </c>
      <c r="F771" t="s">
        <v>21</v>
      </c>
      <c r="G771">
        <v>96346</v>
      </c>
      <c r="H771">
        <v>4576912</v>
      </c>
      <c r="I771">
        <v>47.504831989247307</v>
      </c>
      <c r="J771">
        <v>0</v>
      </c>
      <c r="K771">
        <v>59.5</v>
      </c>
      <c r="L771">
        <v>55.5</v>
      </c>
      <c r="N771">
        <v>0</v>
      </c>
    </row>
    <row r="772" spans="1:14" x14ac:dyDescent="0.35">
      <c r="A772" t="s">
        <v>61</v>
      </c>
      <c r="B772">
        <v>202403</v>
      </c>
      <c r="C772" t="str">
        <f>MID(analisis_productividad__4[[#This Row],[Periodo]],1,4)</f>
        <v>2024</v>
      </c>
      <c r="D772" t="str">
        <f>MID(analisis_productividad__4[[#This Row],[Periodo]],5,2)</f>
        <v>03</v>
      </c>
      <c r="E772" t="s">
        <v>11</v>
      </c>
      <c r="F772" t="s">
        <v>52</v>
      </c>
      <c r="G772">
        <v>96290</v>
      </c>
      <c r="H772">
        <v>9806206</v>
      </c>
      <c r="I772">
        <v>101.83988575268816</v>
      </c>
      <c r="J772">
        <v>0</v>
      </c>
      <c r="K772">
        <v>104.5</v>
      </c>
      <c r="L772">
        <v>99</v>
      </c>
      <c r="N772">
        <v>0</v>
      </c>
    </row>
    <row r="773" spans="1:14" x14ac:dyDescent="0.35">
      <c r="A773" t="s">
        <v>70</v>
      </c>
      <c r="B773">
        <v>202403</v>
      </c>
      <c r="C773" t="str">
        <f>MID(analisis_productividad__4[[#This Row],[Periodo]],1,4)</f>
        <v>2024</v>
      </c>
      <c r="D773" t="str">
        <f>MID(analisis_productividad__4[[#This Row],[Periodo]],5,2)</f>
        <v>03</v>
      </c>
      <c r="E773" t="s">
        <v>11</v>
      </c>
      <c r="F773" t="s">
        <v>14</v>
      </c>
      <c r="G773">
        <v>96191</v>
      </c>
      <c r="H773">
        <v>5896293</v>
      </c>
      <c r="I773">
        <v>61.297983870967755</v>
      </c>
      <c r="J773">
        <v>0</v>
      </c>
      <c r="K773">
        <v>65</v>
      </c>
      <c r="L773">
        <v>67.5</v>
      </c>
      <c r="N773">
        <v>0</v>
      </c>
    </row>
    <row r="774" spans="1:14" x14ac:dyDescent="0.35">
      <c r="A774" t="s">
        <v>46</v>
      </c>
      <c r="B774">
        <v>202606</v>
      </c>
      <c r="C774" t="str">
        <f>MID(analisis_productividad__4[[#This Row],[Periodo]],1,4)</f>
        <v>2026</v>
      </c>
      <c r="D774" t="str">
        <f>MID(analisis_productividad__4[[#This Row],[Periodo]],5,2)</f>
        <v>06</v>
      </c>
      <c r="E774" t="s">
        <v>11</v>
      </c>
      <c r="F774" t="s">
        <v>14</v>
      </c>
      <c r="G774">
        <v>96179</v>
      </c>
      <c r="H774">
        <v>6861655</v>
      </c>
      <c r="I774">
        <v>71.34234722222395</v>
      </c>
      <c r="J774">
        <v>100280.22901090939</v>
      </c>
      <c r="K774">
        <v>77</v>
      </c>
      <c r="L774">
        <v>79</v>
      </c>
      <c r="M774">
        <v>66.09086292651952</v>
      </c>
      <c r="N774">
        <v>6627607</v>
      </c>
    </row>
    <row r="775" spans="1:14" x14ac:dyDescent="0.35">
      <c r="A775" t="s">
        <v>63</v>
      </c>
      <c r="B775">
        <v>202603</v>
      </c>
      <c r="C775" t="str">
        <f>MID(analisis_productividad__4[[#This Row],[Periodo]],1,4)</f>
        <v>2026</v>
      </c>
      <c r="D775" t="str">
        <f>MID(analisis_productividad__4[[#This Row],[Periodo]],5,2)</f>
        <v>03</v>
      </c>
      <c r="E775" t="s">
        <v>16</v>
      </c>
      <c r="F775" t="s">
        <v>17</v>
      </c>
      <c r="G775">
        <v>96124</v>
      </c>
      <c r="H775">
        <v>8043442</v>
      </c>
      <c r="I775">
        <v>83.678178763440826</v>
      </c>
      <c r="J775">
        <v>110956.3198390922</v>
      </c>
      <c r="K775">
        <v>86.5</v>
      </c>
      <c r="L775">
        <v>81.5</v>
      </c>
      <c r="M775">
        <v>76.26782259426129</v>
      </c>
      <c r="N775">
        <v>8462397</v>
      </c>
    </row>
    <row r="776" spans="1:14" x14ac:dyDescent="0.35">
      <c r="A776" t="s">
        <v>46</v>
      </c>
      <c r="B776">
        <v>202507</v>
      </c>
      <c r="C776" t="str">
        <f>MID(analisis_productividad__4[[#This Row],[Periodo]],1,4)</f>
        <v>2025</v>
      </c>
      <c r="D776" t="str">
        <f>MID(analisis_productividad__4[[#This Row],[Periodo]],5,2)</f>
        <v>07</v>
      </c>
      <c r="E776" t="s">
        <v>11</v>
      </c>
      <c r="F776" t="s">
        <v>14</v>
      </c>
      <c r="G776">
        <v>96117</v>
      </c>
      <c r="H776">
        <v>6799851</v>
      </c>
      <c r="I776">
        <v>70.745631720430168</v>
      </c>
      <c r="J776">
        <v>116308.20726301074</v>
      </c>
      <c r="K776">
        <v>77</v>
      </c>
      <c r="L776">
        <v>79</v>
      </c>
      <c r="M776">
        <v>58.46406534857271</v>
      </c>
      <c r="N776">
        <v>7647594</v>
      </c>
    </row>
    <row r="777" spans="1:14" x14ac:dyDescent="0.35">
      <c r="A777" t="s">
        <v>23</v>
      </c>
      <c r="B777">
        <v>202506</v>
      </c>
      <c r="C777" t="str">
        <f>MID(analisis_productividad__4[[#This Row],[Periodo]],1,4)</f>
        <v>2025</v>
      </c>
      <c r="D777" t="str">
        <f>MID(analisis_productividad__4[[#This Row],[Periodo]],5,2)</f>
        <v>06</v>
      </c>
      <c r="E777" t="s">
        <v>11</v>
      </c>
      <c r="F777" t="s">
        <v>12</v>
      </c>
      <c r="G777">
        <v>96113</v>
      </c>
      <c r="H777">
        <v>5862529</v>
      </c>
      <c r="I777">
        <v>60.99595833333332</v>
      </c>
      <c r="J777">
        <v>105766.4818208917</v>
      </c>
      <c r="K777">
        <v>68.5</v>
      </c>
      <c r="L777">
        <v>66</v>
      </c>
      <c r="M777">
        <v>55.428989497143249</v>
      </c>
      <c r="N777">
        <v>6243907</v>
      </c>
    </row>
    <row r="778" spans="1:14" x14ac:dyDescent="0.35">
      <c r="A778" t="s">
        <v>44</v>
      </c>
      <c r="B778">
        <v>202408</v>
      </c>
      <c r="C778" t="str">
        <f>MID(analisis_productividad__4[[#This Row],[Periodo]],1,4)</f>
        <v>2024</v>
      </c>
      <c r="D778" t="str">
        <f>MID(analisis_productividad__4[[#This Row],[Periodo]],5,2)</f>
        <v>08</v>
      </c>
      <c r="E778" t="s">
        <v>11</v>
      </c>
      <c r="F778" t="s">
        <v>12</v>
      </c>
      <c r="G778">
        <v>96104</v>
      </c>
      <c r="H778">
        <v>6119968</v>
      </c>
      <c r="I778">
        <v>63.680571236559132</v>
      </c>
      <c r="J778">
        <v>0</v>
      </c>
      <c r="K778">
        <v>78</v>
      </c>
      <c r="L778">
        <v>74.5</v>
      </c>
      <c r="N778">
        <v>0</v>
      </c>
    </row>
    <row r="779" spans="1:14" x14ac:dyDescent="0.35">
      <c r="A779" t="s">
        <v>51</v>
      </c>
      <c r="B779">
        <v>202411</v>
      </c>
      <c r="C779" t="str">
        <f>MID(analisis_productividad__4[[#This Row],[Periodo]],1,4)</f>
        <v>2024</v>
      </c>
      <c r="D779" t="str">
        <f>MID(analisis_productividad__4[[#This Row],[Periodo]],5,2)</f>
        <v>11</v>
      </c>
      <c r="E779" t="s">
        <v>11</v>
      </c>
      <c r="F779" t="s">
        <v>52</v>
      </c>
      <c r="G779">
        <v>96100</v>
      </c>
      <c r="H779">
        <v>9506773</v>
      </c>
      <c r="I779">
        <v>98.925895833333328</v>
      </c>
      <c r="J779">
        <v>0</v>
      </c>
      <c r="K779">
        <v>117.5</v>
      </c>
      <c r="L779">
        <v>99</v>
      </c>
      <c r="N779">
        <v>0</v>
      </c>
    </row>
    <row r="780" spans="1:14" x14ac:dyDescent="0.35">
      <c r="A780" t="s">
        <v>80</v>
      </c>
      <c r="B780">
        <v>202601</v>
      </c>
      <c r="C780" t="str">
        <f>MID(analisis_productividad__4[[#This Row],[Periodo]],1,4)</f>
        <v>2026</v>
      </c>
      <c r="D780" t="str">
        <f>MID(analisis_productividad__4[[#This Row],[Periodo]],5,2)</f>
        <v>01</v>
      </c>
      <c r="E780" t="s">
        <v>16</v>
      </c>
      <c r="F780" t="s">
        <v>17</v>
      </c>
      <c r="G780">
        <v>96082</v>
      </c>
      <c r="H780">
        <v>4801563</v>
      </c>
      <c r="I780">
        <v>49.973696236559164</v>
      </c>
      <c r="J780">
        <v>86889.636636228824</v>
      </c>
      <c r="K780">
        <v>58</v>
      </c>
      <c r="L780">
        <v>58.5</v>
      </c>
      <c r="M780">
        <v>51.139118040082707</v>
      </c>
      <c r="N780">
        <v>4443459</v>
      </c>
    </row>
    <row r="781" spans="1:14" x14ac:dyDescent="0.35">
      <c r="A781" t="s">
        <v>69</v>
      </c>
      <c r="B781">
        <v>202606</v>
      </c>
      <c r="C781" t="str">
        <f>MID(analisis_productividad__4[[#This Row],[Periodo]],1,4)</f>
        <v>2026</v>
      </c>
      <c r="D781" t="str">
        <f>MID(analisis_productividad__4[[#This Row],[Periodo]],5,2)</f>
        <v>06</v>
      </c>
      <c r="E781" t="s">
        <v>11</v>
      </c>
      <c r="F781" t="s">
        <v>52</v>
      </c>
      <c r="G781">
        <v>96082</v>
      </c>
      <c r="H781">
        <v>5011815</v>
      </c>
      <c r="I781">
        <v>52.16210416666631</v>
      </c>
      <c r="J781">
        <v>94844.148300792935</v>
      </c>
      <c r="K781">
        <v>68</v>
      </c>
      <c r="L781">
        <v>60.5</v>
      </c>
      <c r="M781">
        <v>56.717795741490448</v>
      </c>
      <c r="N781">
        <v>5379351</v>
      </c>
    </row>
    <row r="782" spans="1:14" x14ac:dyDescent="0.35">
      <c r="A782" t="s">
        <v>38</v>
      </c>
      <c r="B782">
        <v>202510</v>
      </c>
      <c r="C782" t="str">
        <f>MID(analisis_productividad__4[[#This Row],[Periodo]],1,4)</f>
        <v>2025</v>
      </c>
      <c r="D782" t="str">
        <f>MID(analisis_productividad__4[[#This Row],[Periodo]],5,2)</f>
        <v>10</v>
      </c>
      <c r="E782" t="s">
        <v>34</v>
      </c>
      <c r="F782" t="s">
        <v>35</v>
      </c>
      <c r="G782">
        <v>95966</v>
      </c>
      <c r="H782">
        <v>11379513</v>
      </c>
      <c r="I782">
        <v>118.57905913978493</v>
      </c>
      <c r="J782">
        <v>104900.61038932689</v>
      </c>
      <c r="K782">
        <v>140.5</v>
      </c>
      <c r="L782">
        <v>125.5</v>
      </c>
      <c r="M782">
        <v>108.47899881388874</v>
      </c>
      <c r="N782">
        <v>12006571</v>
      </c>
    </row>
    <row r="783" spans="1:14" x14ac:dyDescent="0.35">
      <c r="A783" t="s">
        <v>75</v>
      </c>
      <c r="B783">
        <v>202508</v>
      </c>
      <c r="C783" t="str">
        <f>MID(analisis_productividad__4[[#This Row],[Periodo]],1,4)</f>
        <v>2025</v>
      </c>
      <c r="D783" t="str">
        <f>MID(analisis_productividad__4[[#This Row],[Periodo]],5,2)</f>
        <v>08</v>
      </c>
      <c r="E783" t="s">
        <v>11</v>
      </c>
      <c r="F783" t="s">
        <v>52</v>
      </c>
      <c r="G783">
        <v>95940</v>
      </c>
      <c r="H783">
        <v>9126843</v>
      </c>
      <c r="I783">
        <v>95.130611559139822</v>
      </c>
      <c r="J783">
        <v>99342.401583532672</v>
      </c>
      <c r="K783">
        <v>118</v>
      </c>
      <c r="L783">
        <v>106</v>
      </c>
      <c r="M783">
        <v>91.872581038074017</v>
      </c>
      <c r="N783">
        <v>9933414</v>
      </c>
    </row>
    <row r="784" spans="1:14" x14ac:dyDescent="0.35">
      <c r="A784" t="s">
        <v>55</v>
      </c>
      <c r="B784">
        <v>202403</v>
      </c>
      <c r="C784" t="str">
        <f>MID(analisis_productividad__4[[#This Row],[Periodo]],1,4)</f>
        <v>2024</v>
      </c>
      <c r="D784" t="str">
        <f>MID(analisis_productividad__4[[#This Row],[Periodo]],5,2)</f>
        <v>03</v>
      </c>
      <c r="E784" t="s">
        <v>16</v>
      </c>
      <c r="F784" t="s">
        <v>21</v>
      </c>
      <c r="G784">
        <v>95926</v>
      </c>
      <c r="H784">
        <v>5207754</v>
      </c>
      <c r="I784">
        <v>54.289375</v>
      </c>
      <c r="J784">
        <v>0</v>
      </c>
      <c r="K784">
        <v>55</v>
      </c>
      <c r="L784">
        <v>50.5</v>
      </c>
      <c r="N784">
        <v>0</v>
      </c>
    </row>
    <row r="785" spans="1:14" x14ac:dyDescent="0.35">
      <c r="A785" t="s">
        <v>56</v>
      </c>
      <c r="B785">
        <v>202501</v>
      </c>
      <c r="C785" t="str">
        <f>MID(analisis_productividad__4[[#This Row],[Periodo]],1,4)</f>
        <v>2025</v>
      </c>
      <c r="D785" t="str">
        <f>MID(analisis_productividad__4[[#This Row],[Periodo]],5,2)</f>
        <v>01</v>
      </c>
      <c r="E785" t="s">
        <v>16</v>
      </c>
      <c r="F785" t="s">
        <v>21</v>
      </c>
      <c r="G785">
        <v>95903</v>
      </c>
      <c r="H785">
        <v>6163135</v>
      </c>
      <c r="I785">
        <v>64.26432795698922</v>
      </c>
      <c r="J785">
        <v>92433.89129843688</v>
      </c>
      <c r="K785">
        <v>72.5</v>
      </c>
      <c r="L785">
        <v>68.5</v>
      </c>
      <c r="M785">
        <v>66.676142521160131</v>
      </c>
      <c r="N785">
        <v>5866863</v>
      </c>
    </row>
    <row r="786" spans="1:14" x14ac:dyDescent="0.35">
      <c r="A786" t="s">
        <v>67</v>
      </c>
      <c r="B786">
        <v>202604</v>
      </c>
      <c r="C786" t="str">
        <f>MID(analisis_productividad__4[[#This Row],[Periodo]],1,4)</f>
        <v>2026</v>
      </c>
      <c r="D786" t="str">
        <f>MID(analisis_productividad__4[[#This Row],[Periodo]],5,2)</f>
        <v>04</v>
      </c>
      <c r="E786" t="s">
        <v>16</v>
      </c>
      <c r="F786" t="s">
        <v>19</v>
      </c>
      <c r="G786">
        <v>95870</v>
      </c>
      <c r="H786">
        <v>6799272</v>
      </c>
      <c r="I786">
        <v>70.921618055558156</v>
      </c>
      <c r="J786">
        <v>98210.448319182236</v>
      </c>
      <c r="K786">
        <v>79.5</v>
      </c>
      <c r="L786">
        <v>81.5</v>
      </c>
      <c r="M786">
        <v>68.773296674593993</v>
      </c>
      <c r="N786">
        <v>6754256</v>
      </c>
    </row>
    <row r="787" spans="1:14" x14ac:dyDescent="0.35">
      <c r="A787" t="s">
        <v>25</v>
      </c>
      <c r="B787">
        <v>202410</v>
      </c>
      <c r="C787" t="str">
        <f>MID(analisis_productividad__4[[#This Row],[Periodo]],1,4)</f>
        <v>2024</v>
      </c>
      <c r="D787" t="str">
        <f>MID(analisis_productividad__4[[#This Row],[Periodo]],5,2)</f>
        <v>10</v>
      </c>
      <c r="E787" t="s">
        <v>16</v>
      </c>
      <c r="F787" t="s">
        <v>19</v>
      </c>
      <c r="G787">
        <v>95837</v>
      </c>
      <c r="H787">
        <v>8196909</v>
      </c>
      <c r="I787">
        <v>85.529744623655873</v>
      </c>
      <c r="J787">
        <v>0</v>
      </c>
      <c r="K787">
        <v>94</v>
      </c>
      <c r="L787">
        <v>92</v>
      </c>
      <c r="N787">
        <v>0</v>
      </c>
    </row>
    <row r="788" spans="1:14" x14ac:dyDescent="0.35">
      <c r="A788" t="s">
        <v>62</v>
      </c>
      <c r="B788">
        <v>202605</v>
      </c>
      <c r="C788" t="str">
        <f>MID(analisis_productividad__4[[#This Row],[Periodo]],1,4)</f>
        <v>2026</v>
      </c>
      <c r="D788" t="str">
        <f>MID(analisis_productividad__4[[#This Row],[Periodo]],5,2)</f>
        <v>05</v>
      </c>
      <c r="E788" t="s">
        <v>16</v>
      </c>
      <c r="F788" t="s">
        <v>17</v>
      </c>
      <c r="G788">
        <v>95801</v>
      </c>
      <c r="H788">
        <v>2764626</v>
      </c>
      <c r="I788">
        <v>28.858017473118352</v>
      </c>
      <c r="J788">
        <v>93672.444112473371</v>
      </c>
      <c r="K788">
        <v>32.5</v>
      </c>
      <c r="L788">
        <v>32</v>
      </c>
      <c r="M788">
        <v>29.073700348097926</v>
      </c>
      <c r="N788">
        <v>2723405</v>
      </c>
    </row>
    <row r="789" spans="1:14" x14ac:dyDescent="0.35">
      <c r="A789" t="s">
        <v>37</v>
      </c>
      <c r="B789">
        <v>202411</v>
      </c>
      <c r="C789" t="str">
        <f>MID(analisis_productividad__4[[#This Row],[Periodo]],1,4)</f>
        <v>2024</v>
      </c>
      <c r="D789" t="str">
        <f>MID(analisis_productividad__4[[#This Row],[Periodo]],5,2)</f>
        <v>11</v>
      </c>
      <c r="E789" t="s">
        <v>16</v>
      </c>
      <c r="F789" t="s">
        <v>17</v>
      </c>
      <c r="G789">
        <v>95776</v>
      </c>
      <c r="H789">
        <v>9977247</v>
      </c>
      <c r="I789">
        <v>104.17302777777778</v>
      </c>
      <c r="J789">
        <v>0</v>
      </c>
      <c r="K789">
        <v>107.5</v>
      </c>
      <c r="L789">
        <v>102.5</v>
      </c>
      <c r="N789">
        <v>0</v>
      </c>
    </row>
    <row r="790" spans="1:14" x14ac:dyDescent="0.35">
      <c r="A790" t="s">
        <v>67</v>
      </c>
      <c r="B790">
        <v>202510</v>
      </c>
      <c r="C790" t="str">
        <f>MID(analisis_productividad__4[[#This Row],[Periodo]],1,4)</f>
        <v>2025</v>
      </c>
      <c r="D790" t="str">
        <f>MID(analisis_productividad__4[[#This Row],[Periodo]],5,2)</f>
        <v>10</v>
      </c>
      <c r="E790" t="s">
        <v>16</v>
      </c>
      <c r="F790" t="s">
        <v>19</v>
      </c>
      <c r="G790">
        <v>95765</v>
      </c>
      <c r="H790">
        <v>6278383</v>
      </c>
      <c r="I790">
        <v>65.560174731182812</v>
      </c>
      <c r="J790">
        <v>85317.059531493855</v>
      </c>
      <c r="K790">
        <v>79.5</v>
      </c>
      <c r="L790">
        <v>81.5</v>
      </c>
      <c r="M790">
        <v>73.588833516729508</v>
      </c>
      <c r="N790">
        <v>6312164</v>
      </c>
    </row>
    <row r="791" spans="1:14" x14ac:dyDescent="0.35">
      <c r="A791" t="s">
        <v>68</v>
      </c>
      <c r="B791">
        <v>202606</v>
      </c>
      <c r="C791" t="str">
        <f>MID(analisis_productividad__4[[#This Row],[Periodo]],1,4)</f>
        <v>2026</v>
      </c>
      <c r="D791" t="str">
        <f>MID(analisis_productividad__4[[#This Row],[Periodo]],5,2)</f>
        <v>06</v>
      </c>
      <c r="E791" t="s">
        <v>11</v>
      </c>
      <c r="F791" t="s">
        <v>52</v>
      </c>
      <c r="G791">
        <v>95735</v>
      </c>
      <c r="H791">
        <v>7705173</v>
      </c>
      <c r="I791">
        <v>80.484638888890004</v>
      </c>
      <c r="J791">
        <v>97035.378589267493</v>
      </c>
      <c r="K791">
        <v>103</v>
      </c>
      <c r="L791">
        <v>91</v>
      </c>
      <c r="M791">
        <v>85.91077884372821</v>
      </c>
      <c r="N791">
        <v>8336385</v>
      </c>
    </row>
    <row r="792" spans="1:14" x14ac:dyDescent="0.35">
      <c r="A792" t="s">
        <v>51</v>
      </c>
      <c r="B792">
        <v>202510</v>
      </c>
      <c r="C792" t="str">
        <f>MID(analisis_productividad__4[[#This Row],[Periodo]],1,4)</f>
        <v>2025</v>
      </c>
      <c r="D792" t="str">
        <f>MID(analisis_productividad__4[[#This Row],[Periodo]],5,2)</f>
        <v>10</v>
      </c>
      <c r="E792" t="s">
        <v>11</v>
      </c>
      <c r="F792" t="s">
        <v>52</v>
      </c>
      <c r="G792">
        <v>95704</v>
      </c>
      <c r="H792">
        <v>8935897</v>
      </c>
      <c r="I792">
        <v>93.370591397849481</v>
      </c>
      <c r="J792">
        <v>98038.424808736265</v>
      </c>
      <c r="K792">
        <v>117.5</v>
      </c>
      <c r="L792">
        <v>99</v>
      </c>
      <c r="M792">
        <v>91.14688947148116</v>
      </c>
      <c r="N792">
        <v>9744799</v>
      </c>
    </row>
    <row r="793" spans="1:14" x14ac:dyDescent="0.35">
      <c r="A793" t="s">
        <v>55</v>
      </c>
      <c r="B793">
        <v>202407</v>
      </c>
      <c r="C793" t="str">
        <f>MID(analisis_productividad__4[[#This Row],[Periodo]],1,4)</f>
        <v>2024</v>
      </c>
      <c r="D793" t="str">
        <f>MID(analisis_productividad__4[[#This Row],[Periodo]],5,2)</f>
        <v>07</v>
      </c>
      <c r="E793" t="s">
        <v>16</v>
      </c>
      <c r="F793" t="s">
        <v>21</v>
      </c>
      <c r="G793">
        <v>95698</v>
      </c>
      <c r="H793">
        <v>5155335</v>
      </c>
      <c r="I793">
        <v>53.871115591397846</v>
      </c>
      <c r="J793">
        <v>0</v>
      </c>
      <c r="K793">
        <v>55</v>
      </c>
      <c r="L793">
        <v>50.5</v>
      </c>
      <c r="N793">
        <v>0</v>
      </c>
    </row>
    <row r="794" spans="1:14" x14ac:dyDescent="0.35">
      <c r="A794" t="s">
        <v>39</v>
      </c>
      <c r="B794">
        <v>202602</v>
      </c>
      <c r="C794" t="str">
        <f>MID(analisis_productividad__4[[#This Row],[Periodo]],1,4)</f>
        <v>2026</v>
      </c>
      <c r="D794" t="str">
        <f>MID(analisis_productividad__4[[#This Row],[Periodo]],5,2)</f>
        <v>02</v>
      </c>
      <c r="E794" t="s">
        <v>16</v>
      </c>
      <c r="F794" t="s">
        <v>17</v>
      </c>
      <c r="G794">
        <v>95683</v>
      </c>
      <c r="H794">
        <v>8174587</v>
      </c>
      <c r="I794">
        <v>85.434479166666634</v>
      </c>
      <c r="J794">
        <v>90428.152350019474</v>
      </c>
      <c r="K794">
        <v>93.5</v>
      </c>
      <c r="L794">
        <v>94</v>
      </c>
      <c r="M794">
        <v>84.619508156945685</v>
      </c>
      <c r="N794">
        <v>7651986</v>
      </c>
    </row>
    <row r="795" spans="1:14" x14ac:dyDescent="0.35">
      <c r="A795" t="s">
        <v>44</v>
      </c>
      <c r="B795">
        <v>202604</v>
      </c>
      <c r="C795" t="str">
        <f>MID(analisis_productividad__4[[#This Row],[Periodo]],1,4)</f>
        <v>2026</v>
      </c>
      <c r="D795" t="str">
        <f>MID(analisis_productividad__4[[#This Row],[Periodo]],5,2)</f>
        <v>04</v>
      </c>
      <c r="E795" t="s">
        <v>11</v>
      </c>
      <c r="F795" t="s">
        <v>12</v>
      </c>
      <c r="G795">
        <v>95662</v>
      </c>
      <c r="H795">
        <v>6058057</v>
      </c>
      <c r="I795">
        <v>63.327736111113005</v>
      </c>
      <c r="J795">
        <v>86155.719504619701</v>
      </c>
      <c r="K795">
        <v>78</v>
      </c>
      <c r="L795">
        <v>74.5</v>
      </c>
      <c r="M795">
        <v>66.954795775232199</v>
      </c>
      <c r="N795">
        <v>5768539</v>
      </c>
    </row>
    <row r="796" spans="1:14" x14ac:dyDescent="0.35">
      <c r="A796" t="s">
        <v>51</v>
      </c>
      <c r="B796">
        <v>202405</v>
      </c>
      <c r="C796" t="str">
        <f>MID(analisis_productividad__4[[#This Row],[Periodo]],1,4)</f>
        <v>2024</v>
      </c>
      <c r="D796" t="str">
        <f>MID(analisis_productividad__4[[#This Row],[Periodo]],5,2)</f>
        <v>05</v>
      </c>
      <c r="E796" t="s">
        <v>11</v>
      </c>
      <c r="F796" t="s">
        <v>52</v>
      </c>
      <c r="G796">
        <v>95652</v>
      </c>
      <c r="H796">
        <v>9230904</v>
      </c>
      <c r="I796">
        <v>96.504643817204325</v>
      </c>
      <c r="J796">
        <v>0</v>
      </c>
      <c r="K796">
        <v>117.5</v>
      </c>
      <c r="L796">
        <v>99</v>
      </c>
      <c r="N796">
        <v>0</v>
      </c>
    </row>
    <row r="797" spans="1:14" x14ac:dyDescent="0.35">
      <c r="A797" t="s">
        <v>62</v>
      </c>
      <c r="B797">
        <v>202601</v>
      </c>
      <c r="C797" t="str">
        <f>MID(analisis_productividad__4[[#This Row],[Periodo]],1,4)</f>
        <v>2026</v>
      </c>
      <c r="D797" t="str">
        <f>MID(analisis_productividad__4[[#This Row],[Periodo]],5,2)</f>
        <v>01</v>
      </c>
      <c r="E797" t="s">
        <v>16</v>
      </c>
      <c r="F797" t="s">
        <v>17</v>
      </c>
      <c r="G797">
        <v>95641</v>
      </c>
      <c r="H797">
        <v>2713915</v>
      </c>
      <c r="I797">
        <v>28.376108870967734</v>
      </c>
      <c r="J797">
        <v>89194.566035680255</v>
      </c>
      <c r="K797">
        <v>32.5</v>
      </c>
      <c r="L797">
        <v>32</v>
      </c>
      <c r="M797">
        <v>29.073700348097926</v>
      </c>
      <c r="N797">
        <v>2593216</v>
      </c>
    </row>
    <row r="798" spans="1:14" x14ac:dyDescent="0.35">
      <c r="A798" t="s">
        <v>59</v>
      </c>
      <c r="B798">
        <v>202407</v>
      </c>
      <c r="C798" t="str">
        <f>MID(analisis_productividad__4[[#This Row],[Periodo]],1,4)</f>
        <v>2024</v>
      </c>
      <c r="D798" t="str">
        <f>MID(analisis_productividad__4[[#This Row],[Periodo]],5,2)</f>
        <v>07</v>
      </c>
      <c r="E798" t="s">
        <v>11</v>
      </c>
      <c r="F798" t="s">
        <v>12</v>
      </c>
      <c r="G798">
        <v>95634</v>
      </c>
      <c r="H798">
        <v>8607382</v>
      </c>
      <c r="I798">
        <v>90.00325268817204</v>
      </c>
      <c r="J798">
        <v>0</v>
      </c>
      <c r="K798">
        <v>94.5</v>
      </c>
      <c r="L798">
        <v>97</v>
      </c>
      <c r="N798">
        <v>0</v>
      </c>
    </row>
    <row r="799" spans="1:14" x14ac:dyDescent="0.35">
      <c r="A799" t="s">
        <v>38</v>
      </c>
      <c r="B799">
        <v>202505</v>
      </c>
      <c r="C799" t="str">
        <f>MID(analisis_productividad__4[[#This Row],[Periodo]],1,4)</f>
        <v>2025</v>
      </c>
      <c r="D799" t="str">
        <f>MID(analisis_productividad__4[[#This Row],[Periodo]],5,2)</f>
        <v>05</v>
      </c>
      <c r="E799" t="s">
        <v>34</v>
      </c>
      <c r="F799" t="s">
        <v>35</v>
      </c>
      <c r="G799">
        <v>95624</v>
      </c>
      <c r="H799">
        <v>11511534</v>
      </c>
      <c r="I799">
        <v>120.38315860215056</v>
      </c>
      <c r="J799">
        <v>96177.576235112545</v>
      </c>
      <c r="K799">
        <v>140.5</v>
      </c>
      <c r="L799">
        <v>125.5</v>
      </c>
      <c r="M799">
        <v>119.69041704543771</v>
      </c>
      <c r="N799">
        <v>12049182</v>
      </c>
    </row>
    <row r="800" spans="1:14" x14ac:dyDescent="0.35">
      <c r="A800" t="s">
        <v>38</v>
      </c>
      <c r="B800">
        <v>202509</v>
      </c>
      <c r="C800" t="str">
        <f>MID(analisis_productividad__4[[#This Row],[Periodo]],1,4)</f>
        <v>2025</v>
      </c>
      <c r="D800" t="str">
        <f>MID(analisis_productividad__4[[#This Row],[Periodo]],5,2)</f>
        <v>09</v>
      </c>
      <c r="E800" t="s">
        <v>34</v>
      </c>
      <c r="F800" t="s">
        <v>35</v>
      </c>
      <c r="G800">
        <v>95606</v>
      </c>
      <c r="H800">
        <v>11203001</v>
      </c>
      <c r="I800">
        <v>117.1794166666667</v>
      </c>
      <c r="J800">
        <v>97225.077572618524</v>
      </c>
      <c r="K800">
        <v>140.5</v>
      </c>
      <c r="L800">
        <v>125.5</v>
      </c>
      <c r="M800">
        <v>115.22748564157581</v>
      </c>
      <c r="N800">
        <v>11692699</v>
      </c>
    </row>
    <row r="801" spans="1:14" x14ac:dyDescent="0.35">
      <c r="A801" t="s">
        <v>20</v>
      </c>
      <c r="B801">
        <v>202501</v>
      </c>
      <c r="C801" t="str">
        <f>MID(analisis_productividad__4[[#This Row],[Periodo]],1,4)</f>
        <v>2025</v>
      </c>
      <c r="D801" t="str">
        <f>MID(analisis_productividad__4[[#This Row],[Periodo]],5,2)</f>
        <v>01</v>
      </c>
      <c r="E801" t="s">
        <v>16</v>
      </c>
      <c r="F801" t="s">
        <v>21</v>
      </c>
      <c r="G801">
        <v>95593</v>
      </c>
      <c r="H801">
        <v>8267945</v>
      </c>
      <c r="I801">
        <v>86.490739247311737</v>
      </c>
      <c r="J801">
        <v>96377.041159769797</v>
      </c>
      <c r="K801">
        <v>96.5</v>
      </c>
      <c r="L801">
        <v>94</v>
      </c>
      <c r="M801">
        <v>85.787493893838786</v>
      </c>
      <c r="N801">
        <v>8046504</v>
      </c>
    </row>
    <row r="802" spans="1:14" x14ac:dyDescent="0.35">
      <c r="A802" t="s">
        <v>38</v>
      </c>
      <c r="B802">
        <v>202506</v>
      </c>
      <c r="C802" t="str">
        <f>MID(analisis_productividad__4[[#This Row],[Periodo]],1,4)</f>
        <v>2025</v>
      </c>
      <c r="D802" t="str">
        <f>MID(analisis_productividad__4[[#This Row],[Periodo]],5,2)</f>
        <v>06</v>
      </c>
      <c r="E802" t="s">
        <v>34</v>
      </c>
      <c r="F802" t="s">
        <v>35</v>
      </c>
      <c r="G802">
        <v>95583</v>
      </c>
      <c r="H802">
        <v>11339493</v>
      </c>
      <c r="I802">
        <v>118.63527083333344</v>
      </c>
      <c r="J802">
        <v>102065.34316137059</v>
      </c>
      <c r="K802">
        <v>140.5</v>
      </c>
      <c r="L802">
        <v>125.5</v>
      </c>
      <c r="M802">
        <v>111.10032875774174</v>
      </c>
      <c r="N802">
        <v>11851253</v>
      </c>
    </row>
    <row r="803" spans="1:14" x14ac:dyDescent="0.35">
      <c r="A803" t="s">
        <v>51</v>
      </c>
      <c r="B803">
        <v>202406</v>
      </c>
      <c r="C803" t="str">
        <f>MID(analisis_productividad__4[[#This Row],[Periodo]],1,4)</f>
        <v>2024</v>
      </c>
      <c r="D803" t="str">
        <f>MID(analisis_productividad__4[[#This Row],[Periodo]],5,2)</f>
        <v>06</v>
      </c>
      <c r="E803" t="s">
        <v>11</v>
      </c>
      <c r="F803" t="s">
        <v>52</v>
      </c>
      <c r="G803">
        <v>95492</v>
      </c>
      <c r="H803">
        <v>9318815</v>
      </c>
      <c r="I803">
        <v>97.587486111111133</v>
      </c>
      <c r="J803">
        <v>0</v>
      </c>
      <c r="K803">
        <v>117.5</v>
      </c>
      <c r="L803">
        <v>99</v>
      </c>
      <c r="N803">
        <v>0</v>
      </c>
    </row>
    <row r="804" spans="1:14" x14ac:dyDescent="0.35">
      <c r="A804" t="s">
        <v>63</v>
      </c>
      <c r="B804">
        <v>202402</v>
      </c>
      <c r="C804" t="str">
        <f>MID(analisis_productividad__4[[#This Row],[Periodo]],1,4)</f>
        <v>2024</v>
      </c>
      <c r="D804" t="str">
        <f>MID(analisis_productividad__4[[#This Row],[Periodo]],5,2)</f>
        <v>02</v>
      </c>
      <c r="E804" t="s">
        <v>16</v>
      </c>
      <c r="F804" t="s">
        <v>17</v>
      </c>
      <c r="G804">
        <v>95448</v>
      </c>
      <c r="H804">
        <v>8804246</v>
      </c>
      <c r="I804">
        <v>92.241494252873622</v>
      </c>
      <c r="J804">
        <v>0</v>
      </c>
      <c r="K804">
        <v>86.5</v>
      </c>
      <c r="L804">
        <v>81.5</v>
      </c>
      <c r="N804">
        <v>0</v>
      </c>
    </row>
    <row r="805" spans="1:14" x14ac:dyDescent="0.35">
      <c r="A805" t="s">
        <v>75</v>
      </c>
      <c r="B805">
        <v>202606</v>
      </c>
      <c r="C805" t="str">
        <f>MID(analisis_productividad__4[[#This Row],[Periodo]],1,4)</f>
        <v>2026</v>
      </c>
      <c r="D805" t="str">
        <f>MID(analisis_productividad__4[[#This Row],[Periodo]],5,2)</f>
        <v>06</v>
      </c>
      <c r="E805" t="s">
        <v>11</v>
      </c>
      <c r="F805" t="s">
        <v>52</v>
      </c>
      <c r="G805">
        <v>95333</v>
      </c>
      <c r="H805">
        <v>8885351</v>
      </c>
      <c r="I805">
        <v>93.203250000002143</v>
      </c>
      <c r="J805">
        <v>86731.165506106219</v>
      </c>
      <c r="K805">
        <v>118</v>
      </c>
      <c r="L805">
        <v>106</v>
      </c>
      <c r="M805">
        <v>102.17544085783207</v>
      </c>
      <c r="N805">
        <v>8861795</v>
      </c>
    </row>
    <row r="806" spans="1:14" x14ac:dyDescent="0.35">
      <c r="A806" t="s">
        <v>20</v>
      </c>
      <c r="B806">
        <v>202402</v>
      </c>
      <c r="C806" t="str">
        <f>MID(analisis_productividad__4[[#This Row],[Periodo]],1,4)</f>
        <v>2024</v>
      </c>
      <c r="D806" t="str">
        <f>MID(analisis_productividad__4[[#This Row],[Periodo]],5,2)</f>
        <v>02</v>
      </c>
      <c r="E806" t="s">
        <v>16</v>
      </c>
      <c r="F806" t="s">
        <v>21</v>
      </c>
      <c r="G806">
        <v>95327</v>
      </c>
      <c r="H806">
        <v>9023638</v>
      </c>
      <c r="I806">
        <v>94.659461206896665</v>
      </c>
      <c r="J806">
        <v>0</v>
      </c>
      <c r="K806">
        <v>96.5</v>
      </c>
      <c r="L806">
        <v>94</v>
      </c>
      <c r="N806">
        <v>0</v>
      </c>
    </row>
    <row r="807" spans="1:14" x14ac:dyDescent="0.35">
      <c r="A807" t="s">
        <v>24</v>
      </c>
      <c r="B807">
        <v>202606</v>
      </c>
      <c r="C807" t="str">
        <f>MID(analisis_productividad__4[[#This Row],[Periodo]],1,4)</f>
        <v>2026</v>
      </c>
      <c r="D807" t="str">
        <f>MID(analisis_productividad__4[[#This Row],[Periodo]],5,2)</f>
        <v>06</v>
      </c>
      <c r="E807" t="s">
        <v>16</v>
      </c>
      <c r="F807" t="s">
        <v>21</v>
      </c>
      <c r="G807">
        <v>95288</v>
      </c>
      <c r="H807">
        <v>9609769</v>
      </c>
      <c r="I807">
        <v>100.84972916666906</v>
      </c>
      <c r="J807">
        <v>90076.662981094007</v>
      </c>
      <c r="K807">
        <v>125</v>
      </c>
      <c r="L807">
        <v>118.5</v>
      </c>
      <c r="M807">
        <v>102.97612103755296</v>
      </c>
      <c r="N807">
        <v>9275745</v>
      </c>
    </row>
    <row r="808" spans="1:14" x14ac:dyDescent="0.35">
      <c r="A808" t="s">
        <v>131</v>
      </c>
      <c r="B808">
        <v>202408</v>
      </c>
      <c r="C808" t="str">
        <f>MID(analisis_productividad__4[[#This Row],[Periodo]],1,4)</f>
        <v>2024</v>
      </c>
      <c r="D808" t="str">
        <f>MID(analisis_productividad__4[[#This Row],[Periodo]],5,2)</f>
        <v>08</v>
      </c>
      <c r="E808" t="s">
        <v>16</v>
      </c>
      <c r="F808" t="s">
        <v>21</v>
      </c>
      <c r="G808">
        <v>95287</v>
      </c>
      <c r="H808">
        <v>11311575</v>
      </c>
      <c r="I808">
        <v>118.71082661290319</v>
      </c>
      <c r="J808">
        <v>0</v>
      </c>
      <c r="K808">
        <v>99</v>
      </c>
      <c r="L808">
        <v>32.5</v>
      </c>
      <c r="N808">
        <v>0</v>
      </c>
    </row>
    <row r="809" spans="1:14" x14ac:dyDescent="0.35">
      <c r="A809" t="s">
        <v>28</v>
      </c>
      <c r="B809">
        <v>202404</v>
      </c>
      <c r="C809" t="str">
        <f>MID(analisis_productividad__4[[#This Row],[Periodo]],1,4)</f>
        <v>2024</v>
      </c>
      <c r="D809" t="str">
        <f>MID(analisis_productividad__4[[#This Row],[Periodo]],5,2)</f>
        <v>04</v>
      </c>
      <c r="E809" t="s">
        <v>16</v>
      </c>
      <c r="F809" t="s">
        <v>17</v>
      </c>
      <c r="G809">
        <v>95268</v>
      </c>
      <c r="H809">
        <v>5337720</v>
      </c>
      <c r="I809">
        <v>56.028486111111114</v>
      </c>
      <c r="J809">
        <v>0</v>
      </c>
      <c r="K809">
        <v>64</v>
      </c>
      <c r="L809">
        <v>67</v>
      </c>
      <c r="N809">
        <v>0</v>
      </c>
    </row>
    <row r="810" spans="1:14" x14ac:dyDescent="0.35">
      <c r="A810" t="s">
        <v>67</v>
      </c>
      <c r="B810">
        <v>202412</v>
      </c>
      <c r="C810" t="str">
        <f>MID(analisis_productividad__4[[#This Row],[Periodo]],1,4)</f>
        <v>2024</v>
      </c>
      <c r="D810" t="str">
        <f>MID(analisis_productividad__4[[#This Row],[Periodo]],5,2)</f>
        <v>12</v>
      </c>
      <c r="E810" t="s">
        <v>16</v>
      </c>
      <c r="F810" t="s">
        <v>19</v>
      </c>
      <c r="G810">
        <v>95259</v>
      </c>
      <c r="H810">
        <v>7980665</v>
      </c>
      <c r="I810">
        <v>83.778474462365594</v>
      </c>
      <c r="J810">
        <v>0</v>
      </c>
      <c r="K810">
        <v>79.5</v>
      </c>
      <c r="L810">
        <v>81.5</v>
      </c>
      <c r="N810">
        <v>0</v>
      </c>
    </row>
    <row r="811" spans="1:14" x14ac:dyDescent="0.35">
      <c r="A811" t="s">
        <v>112</v>
      </c>
      <c r="B811">
        <v>202512</v>
      </c>
      <c r="C811" t="str">
        <f>MID(analisis_productividad__4[[#This Row],[Periodo]],1,4)</f>
        <v>2025</v>
      </c>
      <c r="D811" t="str">
        <f>MID(analisis_productividad__4[[#This Row],[Periodo]],5,2)</f>
        <v>12</v>
      </c>
      <c r="E811" t="s">
        <v>34</v>
      </c>
      <c r="F811" t="s">
        <v>35</v>
      </c>
      <c r="G811">
        <v>95252</v>
      </c>
      <c r="H811">
        <v>2535489</v>
      </c>
      <c r="I811">
        <v>26.61881720430107</v>
      </c>
      <c r="J811">
        <v>97733.109394131039</v>
      </c>
      <c r="K811">
        <v>31</v>
      </c>
      <c r="L811">
        <v>27</v>
      </c>
      <c r="M811">
        <v>25.942989798626609</v>
      </c>
      <c r="N811">
        <v>2437851</v>
      </c>
    </row>
    <row r="812" spans="1:14" x14ac:dyDescent="0.35">
      <c r="A812" t="s">
        <v>68</v>
      </c>
      <c r="B812">
        <v>202506</v>
      </c>
      <c r="C812" t="str">
        <f>MID(analisis_productividad__4[[#This Row],[Periodo]],1,4)</f>
        <v>2025</v>
      </c>
      <c r="D812" t="str">
        <f>MID(analisis_productividad__4[[#This Row],[Periodo]],5,2)</f>
        <v>06</v>
      </c>
      <c r="E812" t="s">
        <v>11</v>
      </c>
      <c r="F812" t="s">
        <v>52</v>
      </c>
      <c r="G812">
        <v>95248</v>
      </c>
      <c r="H812">
        <v>8028120</v>
      </c>
      <c r="I812">
        <v>84.286708333333337</v>
      </c>
      <c r="J812">
        <v>90688.539114746687</v>
      </c>
      <c r="K812">
        <v>103</v>
      </c>
      <c r="L812">
        <v>91</v>
      </c>
      <c r="M812">
        <v>88.524085935954446</v>
      </c>
      <c r="N812">
        <v>8362455</v>
      </c>
    </row>
    <row r="813" spans="1:14" x14ac:dyDescent="0.35">
      <c r="A813" t="s">
        <v>20</v>
      </c>
      <c r="B813">
        <v>202411</v>
      </c>
      <c r="C813" t="str">
        <f>MID(analisis_productividad__4[[#This Row],[Periodo]],1,4)</f>
        <v>2024</v>
      </c>
      <c r="D813" t="str">
        <f>MID(analisis_productividad__4[[#This Row],[Periodo]],5,2)</f>
        <v>11</v>
      </c>
      <c r="E813" t="s">
        <v>16</v>
      </c>
      <c r="F813" t="s">
        <v>21</v>
      </c>
      <c r="G813">
        <v>95227</v>
      </c>
      <c r="H813">
        <v>8512622</v>
      </c>
      <c r="I813">
        <v>89.393208333333376</v>
      </c>
      <c r="J813">
        <v>0</v>
      </c>
      <c r="K813">
        <v>96.5</v>
      </c>
      <c r="L813">
        <v>94</v>
      </c>
      <c r="N813">
        <v>0</v>
      </c>
    </row>
    <row r="814" spans="1:14" x14ac:dyDescent="0.35">
      <c r="A814" t="s">
        <v>32</v>
      </c>
      <c r="B814">
        <v>202407</v>
      </c>
      <c r="C814" t="str">
        <f>MID(analisis_productividad__4[[#This Row],[Periodo]],1,4)</f>
        <v>2024</v>
      </c>
      <c r="D814" t="str">
        <f>MID(analisis_productividad__4[[#This Row],[Periodo]],5,2)</f>
        <v>07</v>
      </c>
      <c r="E814" t="s">
        <v>11</v>
      </c>
      <c r="F814" t="s">
        <v>12</v>
      </c>
      <c r="G814">
        <v>95217</v>
      </c>
      <c r="H814">
        <v>5903727</v>
      </c>
      <c r="I814">
        <v>62.002876344086026</v>
      </c>
      <c r="J814">
        <v>0</v>
      </c>
      <c r="K814">
        <v>65.5</v>
      </c>
      <c r="L814">
        <v>66</v>
      </c>
      <c r="N814">
        <v>0</v>
      </c>
    </row>
    <row r="815" spans="1:14" x14ac:dyDescent="0.35">
      <c r="A815" t="s">
        <v>13</v>
      </c>
      <c r="B815">
        <v>202409</v>
      </c>
      <c r="C815" t="str">
        <f>MID(analisis_productividad__4[[#This Row],[Periodo]],1,4)</f>
        <v>2024</v>
      </c>
      <c r="D815" t="str">
        <f>MID(analisis_productividad__4[[#This Row],[Periodo]],5,2)</f>
        <v>09</v>
      </c>
      <c r="E815" t="s">
        <v>11</v>
      </c>
      <c r="F815" t="s">
        <v>14</v>
      </c>
      <c r="G815">
        <v>95215</v>
      </c>
      <c r="H815">
        <v>8534368</v>
      </c>
      <c r="I815">
        <v>89.632326388888956</v>
      </c>
      <c r="J815">
        <v>0</v>
      </c>
      <c r="K815">
        <v>100</v>
      </c>
      <c r="L815">
        <v>98</v>
      </c>
      <c r="N815">
        <v>0</v>
      </c>
    </row>
    <row r="816" spans="1:14" x14ac:dyDescent="0.35">
      <c r="A816" t="s">
        <v>30</v>
      </c>
      <c r="B816">
        <v>202602</v>
      </c>
      <c r="C816" t="str">
        <f>MID(analisis_productividad__4[[#This Row],[Periodo]],1,4)</f>
        <v>2026</v>
      </c>
      <c r="D816" t="str">
        <f>MID(analisis_productividad__4[[#This Row],[Periodo]],5,2)</f>
        <v>02</v>
      </c>
      <c r="E816" t="s">
        <v>16</v>
      </c>
      <c r="F816" t="s">
        <v>19</v>
      </c>
      <c r="G816">
        <v>95202</v>
      </c>
      <c r="H816">
        <v>9353533</v>
      </c>
      <c r="I816">
        <v>98.249739583333351</v>
      </c>
      <c r="J816">
        <v>94958.948929032413</v>
      </c>
      <c r="K816">
        <v>101</v>
      </c>
      <c r="L816">
        <v>105</v>
      </c>
      <c r="M816">
        <v>90.439897606894348</v>
      </c>
      <c r="N816">
        <v>8588078</v>
      </c>
    </row>
    <row r="817" spans="1:14" x14ac:dyDescent="0.35">
      <c r="A817" t="s">
        <v>39</v>
      </c>
      <c r="B817">
        <v>202509</v>
      </c>
      <c r="C817" t="str">
        <f>MID(analisis_productividad__4[[#This Row],[Periodo]],1,4)</f>
        <v>2025</v>
      </c>
      <c r="D817" t="str">
        <f>MID(analisis_productividad__4[[#This Row],[Periodo]],5,2)</f>
        <v>09</v>
      </c>
      <c r="E817" t="s">
        <v>16</v>
      </c>
      <c r="F817" t="s">
        <v>17</v>
      </c>
      <c r="G817">
        <v>95171</v>
      </c>
      <c r="H817">
        <v>8096166</v>
      </c>
      <c r="I817">
        <v>85.069979166666684</v>
      </c>
      <c r="J817">
        <v>101295.39655055397</v>
      </c>
      <c r="K817">
        <v>93.5</v>
      </c>
      <c r="L817">
        <v>94</v>
      </c>
      <c r="M817">
        <v>79.926301645498839</v>
      </c>
      <c r="N817">
        <v>8265286</v>
      </c>
    </row>
    <row r="818" spans="1:14" x14ac:dyDescent="0.35">
      <c r="A818" t="s">
        <v>50</v>
      </c>
      <c r="B818">
        <v>202601</v>
      </c>
      <c r="C818" t="str">
        <f>MID(analisis_productividad__4[[#This Row],[Periodo]],1,4)</f>
        <v>2026</v>
      </c>
      <c r="D818" t="str">
        <f>MID(analisis_productividad__4[[#This Row],[Periodo]],5,2)</f>
        <v>01</v>
      </c>
      <c r="E818" t="s">
        <v>34</v>
      </c>
      <c r="F818" t="s">
        <v>35</v>
      </c>
      <c r="G818">
        <v>95165</v>
      </c>
      <c r="H818">
        <v>5950274</v>
      </c>
      <c r="I818">
        <v>62.52575940860217</v>
      </c>
      <c r="J818">
        <v>93101.052719767395</v>
      </c>
      <c r="K818">
        <v>79.5</v>
      </c>
      <c r="L818">
        <v>72.5</v>
      </c>
      <c r="M818">
        <v>64.209802769832038</v>
      </c>
      <c r="N818">
        <v>5978000</v>
      </c>
    </row>
    <row r="819" spans="1:14" x14ac:dyDescent="0.35">
      <c r="A819" t="s">
        <v>28</v>
      </c>
      <c r="B819">
        <v>202506</v>
      </c>
      <c r="C819" t="str">
        <f>MID(analisis_productividad__4[[#This Row],[Periodo]],1,4)</f>
        <v>2025</v>
      </c>
      <c r="D819" t="str">
        <f>MID(analisis_productividad__4[[#This Row],[Periodo]],5,2)</f>
        <v>06</v>
      </c>
      <c r="E819" t="s">
        <v>16</v>
      </c>
      <c r="F819" t="s">
        <v>17</v>
      </c>
      <c r="G819">
        <v>95136</v>
      </c>
      <c r="H819">
        <v>5372116</v>
      </c>
      <c r="I819">
        <v>56.467833333333331</v>
      </c>
      <c r="J819">
        <v>101617.16251991114</v>
      </c>
      <c r="K819">
        <v>64</v>
      </c>
      <c r="L819">
        <v>67</v>
      </c>
      <c r="M819">
        <v>52.866227680263897</v>
      </c>
      <c r="N819">
        <v>5393647</v>
      </c>
    </row>
    <row r="820" spans="1:14" x14ac:dyDescent="0.35">
      <c r="A820" t="s">
        <v>30</v>
      </c>
      <c r="B820">
        <v>202402</v>
      </c>
      <c r="C820" t="str">
        <f>MID(analisis_productividad__4[[#This Row],[Periodo]],1,4)</f>
        <v>2024</v>
      </c>
      <c r="D820" t="str">
        <f>MID(analisis_productividad__4[[#This Row],[Periodo]],5,2)</f>
        <v>02</v>
      </c>
      <c r="E820" t="s">
        <v>16</v>
      </c>
      <c r="F820" t="s">
        <v>19</v>
      </c>
      <c r="G820">
        <v>95087</v>
      </c>
      <c r="H820">
        <v>8247647</v>
      </c>
      <c r="I820">
        <v>86.737643678160936</v>
      </c>
      <c r="J820">
        <v>0</v>
      </c>
      <c r="K820">
        <v>101</v>
      </c>
      <c r="L820">
        <v>105</v>
      </c>
      <c r="N820">
        <v>0</v>
      </c>
    </row>
    <row r="821" spans="1:14" x14ac:dyDescent="0.35">
      <c r="A821" t="s">
        <v>131</v>
      </c>
      <c r="B821">
        <v>202411</v>
      </c>
      <c r="C821" t="str">
        <f>MID(analisis_productividad__4[[#This Row],[Periodo]],1,4)</f>
        <v>2024</v>
      </c>
      <c r="D821" t="str">
        <f>MID(analisis_productividad__4[[#This Row],[Periodo]],5,2)</f>
        <v>11</v>
      </c>
      <c r="E821" t="s">
        <v>16</v>
      </c>
      <c r="F821" t="s">
        <v>21</v>
      </c>
      <c r="G821">
        <v>95082</v>
      </c>
      <c r="H821">
        <v>11438677</v>
      </c>
      <c r="I821">
        <v>120.30292361111104</v>
      </c>
      <c r="J821">
        <v>0</v>
      </c>
      <c r="K821">
        <v>99</v>
      </c>
      <c r="L821">
        <v>32.5</v>
      </c>
      <c r="N821">
        <v>0</v>
      </c>
    </row>
    <row r="822" spans="1:14" x14ac:dyDescent="0.35">
      <c r="A822" t="s">
        <v>51</v>
      </c>
      <c r="B822">
        <v>202501</v>
      </c>
      <c r="C822" t="str">
        <f>MID(analisis_productividad__4[[#This Row],[Periodo]],1,4)</f>
        <v>2025</v>
      </c>
      <c r="D822" t="str">
        <f>MID(analisis_productividad__4[[#This Row],[Periodo]],5,2)</f>
        <v>01</v>
      </c>
      <c r="E822" t="s">
        <v>11</v>
      </c>
      <c r="F822" t="s">
        <v>52</v>
      </c>
      <c r="G822">
        <v>95075</v>
      </c>
      <c r="H822">
        <v>9785448</v>
      </c>
      <c r="I822">
        <v>102.92305107526877</v>
      </c>
      <c r="J822">
        <v>109746.07059748794</v>
      </c>
      <c r="K822">
        <v>117.5</v>
      </c>
      <c r="L822">
        <v>99</v>
      </c>
      <c r="M822">
        <v>89.164454059496734</v>
      </c>
      <c r="N822">
        <v>9492669</v>
      </c>
    </row>
    <row r="823" spans="1:14" x14ac:dyDescent="0.35">
      <c r="A823" t="s">
        <v>39</v>
      </c>
      <c r="B823">
        <v>202401</v>
      </c>
      <c r="C823" t="str">
        <f>MID(analisis_productividad__4[[#This Row],[Periodo]],1,4)</f>
        <v>2024</v>
      </c>
      <c r="D823" t="str">
        <f>MID(analisis_productividad__4[[#This Row],[Periodo]],5,2)</f>
        <v>01</v>
      </c>
      <c r="E823" t="s">
        <v>16</v>
      </c>
      <c r="F823" t="s">
        <v>17</v>
      </c>
      <c r="G823">
        <v>95060</v>
      </c>
      <c r="H823">
        <v>7367001</v>
      </c>
      <c r="I823">
        <v>77.498514784946167</v>
      </c>
      <c r="J823">
        <v>0</v>
      </c>
      <c r="K823">
        <v>93.5</v>
      </c>
      <c r="L823">
        <v>94</v>
      </c>
      <c r="N823">
        <v>0</v>
      </c>
    </row>
    <row r="824" spans="1:14" x14ac:dyDescent="0.35">
      <c r="A824" t="s">
        <v>20</v>
      </c>
      <c r="B824">
        <v>202507</v>
      </c>
      <c r="C824" t="str">
        <f>MID(analisis_productividad__4[[#This Row],[Periodo]],1,4)</f>
        <v>2025</v>
      </c>
      <c r="D824" t="str">
        <f>MID(analisis_productividad__4[[#This Row],[Periodo]],5,2)</f>
        <v>07</v>
      </c>
      <c r="E824" t="s">
        <v>16</v>
      </c>
      <c r="F824" t="s">
        <v>21</v>
      </c>
      <c r="G824">
        <v>95052</v>
      </c>
      <c r="H824">
        <v>8758051</v>
      </c>
      <c r="I824">
        <v>92.139569892473162</v>
      </c>
      <c r="J824">
        <v>109474.18320738868</v>
      </c>
      <c r="K824">
        <v>96.5</v>
      </c>
      <c r="L824">
        <v>94</v>
      </c>
      <c r="M824">
        <v>80.001061194571236</v>
      </c>
      <c r="N824">
        <v>9101028</v>
      </c>
    </row>
    <row r="825" spans="1:14" x14ac:dyDescent="0.35">
      <c r="A825" t="s">
        <v>27</v>
      </c>
      <c r="B825">
        <v>202401</v>
      </c>
      <c r="C825" t="str">
        <f>MID(analisis_productividad__4[[#This Row],[Periodo]],1,4)</f>
        <v>2024</v>
      </c>
      <c r="D825" t="str">
        <f>MID(analisis_productividad__4[[#This Row],[Periodo]],5,2)</f>
        <v>01</v>
      </c>
      <c r="E825" t="s">
        <v>11</v>
      </c>
      <c r="F825" t="s">
        <v>14</v>
      </c>
      <c r="G825">
        <v>95037</v>
      </c>
      <c r="H825">
        <v>7496254</v>
      </c>
      <c r="I825">
        <v>78.876922043010779</v>
      </c>
      <c r="J825">
        <v>0</v>
      </c>
      <c r="K825">
        <v>88</v>
      </c>
      <c r="L825">
        <v>84</v>
      </c>
      <c r="N825">
        <v>0</v>
      </c>
    </row>
    <row r="826" spans="1:14" x14ac:dyDescent="0.35">
      <c r="A826" t="s">
        <v>76</v>
      </c>
      <c r="B826">
        <v>202601</v>
      </c>
      <c r="C826" t="str">
        <f>MID(analisis_productividad__4[[#This Row],[Periodo]],1,4)</f>
        <v>2026</v>
      </c>
      <c r="D826" t="str">
        <f>MID(analisis_productividad__4[[#This Row],[Periodo]],5,2)</f>
        <v>01</v>
      </c>
      <c r="E826" t="s">
        <v>11</v>
      </c>
      <c r="F826" t="s">
        <v>14</v>
      </c>
      <c r="G826">
        <v>95035</v>
      </c>
      <c r="H826">
        <v>6335617</v>
      </c>
      <c r="I826">
        <v>66.665967741935489</v>
      </c>
      <c r="J826">
        <v>95204.829948658269</v>
      </c>
      <c r="K826">
        <v>80</v>
      </c>
      <c r="L826">
        <v>78</v>
      </c>
      <c r="M826">
        <v>69.114627897013889</v>
      </c>
      <c r="N826">
        <v>6580046</v>
      </c>
    </row>
    <row r="827" spans="1:14" x14ac:dyDescent="0.35">
      <c r="A827" t="s">
        <v>25</v>
      </c>
      <c r="B827">
        <v>202507</v>
      </c>
      <c r="C827" t="str">
        <f>MID(analisis_productividad__4[[#This Row],[Periodo]],1,4)</f>
        <v>2025</v>
      </c>
      <c r="D827" t="str">
        <f>MID(analisis_productividad__4[[#This Row],[Periodo]],5,2)</f>
        <v>07</v>
      </c>
      <c r="E827" t="s">
        <v>16</v>
      </c>
      <c r="F827" t="s">
        <v>19</v>
      </c>
      <c r="G827">
        <v>95016</v>
      </c>
      <c r="H827">
        <v>8411060</v>
      </c>
      <c r="I827">
        <v>88.522573924731262</v>
      </c>
      <c r="J827">
        <v>99139.539591084467</v>
      </c>
      <c r="K827">
        <v>94</v>
      </c>
      <c r="L827">
        <v>92</v>
      </c>
      <c r="M827">
        <v>84.840616011458664</v>
      </c>
      <c r="N827">
        <v>8761964</v>
      </c>
    </row>
    <row r="828" spans="1:14" x14ac:dyDescent="0.35">
      <c r="A828" t="s">
        <v>56</v>
      </c>
      <c r="B828">
        <v>202603</v>
      </c>
      <c r="C828" t="str">
        <f>MID(analisis_productividad__4[[#This Row],[Periodo]],1,4)</f>
        <v>2026</v>
      </c>
      <c r="D828" t="str">
        <f>MID(analisis_productividad__4[[#This Row],[Periodo]],5,2)</f>
        <v>03</v>
      </c>
      <c r="E828" t="s">
        <v>16</v>
      </c>
      <c r="F828" t="s">
        <v>21</v>
      </c>
      <c r="G828">
        <v>94998</v>
      </c>
      <c r="H828">
        <v>6413220</v>
      </c>
      <c r="I828">
        <v>67.508884408602185</v>
      </c>
      <c r="J828">
        <v>140497.11824119583</v>
      </c>
      <c r="K828">
        <v>72.5</v>
      </c>
      <c r="L828">
        <v>68.5</v>
      </c>
      <c r="M828">
        <v>63.042188618377821</v>
      </c>
      <c r="N828">
        <v>8857246</v>
      </c>
    </row>
    <row r="829" spans="1:14" x14ac:dyDescent="0.35">
      <c r="A829" t="s">
        <v>71</v>
      </c>
      <c r="B829">
        <v>202606</v>
      </c>
      <c r="C829" t="str">
        <f>MID(analisis_productividad__4[[#This Row],[Periodo]],1,4)</f>
        <v>2026</v>
      </c>
      <c r="D829" t="str">
        <f>MID(analisis_productividad__4[[#This Row],[Periodo]],5,2)</f>
        <v>06</v>
      </c>
      <c r="E829" t="s">
        <v>16</v>
      </c>
      <c r="F829" t="s">
        <v>19</v>
      </c>
      <c r="G829">
        <v>94974</v>
      </c>
      <c r="H829">
        <v>3014442</v>
      </c>
      <c r="I829">
        <v>31.73955555555542</v>
      </c>
      <c r="J829">
        <v>75032.560732402766</v>
      </c>
      <c r="K829">
        <v>41.5</v>
      </c>
      <c r="L829">
        <v>35.5</v>
      </c>
      <c r="M829">
        <v>37.124878906032741</v>
      </c>
      <c r="N829">
        <v>2785575</v>
      </c>
    </row>
    <row r="830" spans="1:14" x14ac:dyDescent="0.35">
      <c r="A830" t="s">
        <v>81</v>
      </c>
      <c r="B830">
        <v>202605</v>
      </c>
      <c r="C830" t="str">
        <f>MID(analisis_productividad__4[[#This Row],[Periodo]],1,4)</f>
        <v>2026</v>
      </c>
      <c r="D830" t="str">
        <f>MID(analisis_productividad__4[[#This Row],[Periodo]],5,2)</f>
        <v>05</v>
      </c>
      <c r="E830" t="s">
        <v>34</v>
      </c>
      <c r="F830" t="s">
        <v>35</v>
      </c>
      <c r="G830">
        <v>94971</v>
      </c>
      <c r="H830">
        <v>8044748</v>
      </c>
      <c r="I830">
        <v>84.707056451612914</v>
      </c>
      <c r="J830">
        <v>89135.317800844423</v>
      </c>
      <c r="K830">
        <v>106</v>
      </c>
      <c r="L830">
        <v>94.5</v>
      </c>
      <c r="M830">
        <v>88.413034538205707</v>
      </c>
      <c r="N830">
        <v>7880724</v>
      </c>
    </row>
    <row r="831" spans="1:14" x14ac:dyDescent="0.35">
      <c r="A831" t="s">
        <v>87</v>
      </c>
      <c r="B831">
        <v>202403</v>
      </c>
      <c r="C831" t="str">
        <f>MID(analisis_productividad__4[[#This Row],[Periodo]],1,4)</f>
        <v>2024</v>
      </c>
      <c r="D831" t="str">
        <f>MID(analisis_productividad__4[[#This Row],[Periodo]],5,2)</f>
        <v>03</v>
      </c>
      <c r="E831" t="s">
        <v>9</v>
      </c>
      <c r="F831" t="s">
        <v>9</v>
      </c>
      <c r="G831">
        <v>94963</v>
      </c>
      <c r="H831">
        <v>1116765</v>
      </c>
      <c r="I831">
        <v>11.760047043010754</v>
      </c>
      <c r="J831">
        <v>0</v>
      </c>
      <c r="K831">
        <v>13.5</v>
      </c>
      <c r="L831">
        <v>12</v>
      </c>
      <c r="N831">
        <v>0</v>
      </c>
    </row>
    <row r="832" spans="1:14" x14ac:dyDescent="0.35">
      <c r="A832" t="s">
        <v>78</v>
      </c>
      <c r="B832">
        <v>202512</v>
      </c>
      <c r="C832" t="str">
        <f>MID(analisis_productividad__4[[#This Row],[Periodo]],1,4)</f>
        <v>2025</v>
      </c>
      <c r="D832" t="str">
        <f>MID(analisis_productividad__4[[#This Row],[Periodo]],5,2)</f>
        <v>12</v>
      </c>
      <c r="E832" t="s">
        <v>11</v>
      </c>
      <c r="F832" t="s">
        <v>14</v>
      </c>
      <c r="G832">
        <v>94962</v>
      </c>
      <c r="H832">
        <v>7230944</v>
      </c>
      <c r="I832">
        <v>76.145604838709673</v>
      </c>
      <c r="J832">
        <v>89570.752755000329</v>
      </c>
      <c r="K832">
        <v>79.5</v>
      </c>
      <c r="L832">
        <v>67</v>
      </c>
      <c r="M832">
        <v>80.728849067267987</v>
      </c>
      <c r="N832">
        <v>7429222</v>
      </c>
    </row>
    <row r="833" spans="1:14" x14ac:dyDescent="0.35">
      <c r="A833" t="s">
        <v>23</v>
      </c>
      <c r="B833">
        <v>202405</v>
      </c>
      <c r="C833" t="str">
        <f>MID(analisis_productividad__4[[#This Row],[Periodo]],1,4)</f>
        <v>2024</v>
      </c>
      <c r="D833" t="str">
        <f>MID(analisis_productividad__4[[#This Row],[Periodo]],5,2)</f>
        <v>05</v>
      </c>
      <c r="E833" t="s">
        <v>11</v>
      </c>
      <c r="F833" t="s">
        <v>12</v>
      </c>
      <c r="G833">
        <v>94918</v>
      </c>
      <c r="H833">
        <v>5820637</v>
      </c>
      <c r="I833">
        <v>61.322869623655905</v>
      </c>
      <c r="J833">
        <v>0</v>
      </c>
      <c r="K833">
        <v>68.5</v>
      </c>
      <c r="L833">
        <v>66</v>
      </c>
      <c r="N833">
        <v>0</v>
      </c>
    </row>
    <row r="834" spans="1:14" x14ac:dyDescent="0.35">
      <c r="A834" t="s">
        <v>55</v>
      </c>
      <c r="B834">
        <v>202510</v>
      </c>
      <c r="C834" t="str">
        <f>MID(analisis_productividad__4[[#This Row],[Periodo]],1,4)</f>
        <v>2025</v>
      </c>
      <c r="D834" t="str">
        <f>MID(analisis_productividad__4[[#This Row],[Periodo]],5,2)</f>
        <v>10</v>
      </c>
      <c r="E834" t="s">
        <v>16</v>
      </c>
      <c r="F834" t="s">
        <v>21</v>
      </c>
      <c r="G834">
        <v>94877</v>
      </c>
      <c r="H834">
        <v>4298854</v>
      </c>
      <c r="I834">
        <v>45.3095698924731</v>
      </c>
      <c r="J834">
        <v>94192.325330250795</v>
      </c>
      <c r="K834">
        <v>55</v>
      </c>
      <c r="L834">
        <v>50.5</v>
      </c>
      <c r="M834">
        <v>45.639107909563201</v>
      </c>
      <c r="N834">
        <v>4818761</v>
      </c>
    </row>
    <row r="835" spans="1:14" x14ac:dyDescent="0.35">
      <c r="A835" t="s">
        <v>27</v>
      </c>
      <c r="B835">
        <v>202405</v>
      </c>
      <c r="C835" t="str">
        <f>MID(analisis_productividad__4[[#This Row],[Periodo]],1,4)</f>
        <v>2024</v>
      </c>
      <c r="D835" t="str">
        <f>MID(analisis_productividad__4[[#This Row],[Periodo]],5,2)</f>
        <v>05</v>
      </c>
      <c r="E835" t="s">
        <v>11</v>
      </c>
      <c r="F835" t="s">
        <v>14</v>
      </c>
      <c r="G835">
        <v>94877</v>
      </c>
      <c r="H835">
        <v>7814307</v>
      </c>
      <c r="I835">
        <v>82.362668010752728</v>
      </c>
      <c r="J835">
        <v>0</v>
      </c>
      <c r="K835">
        <v>88</v>
      </c>
      <c r="L835">
        <v>84</v>
      </c>
      <c r="N835">
        <v>0</v>
      </c>
    </row>
    <row r="836" spans="1:14" x14ac:dyDescent="0.35">
      <c r="A836" t="s">
        <v>57</v>
      </c>
      <c r="B836">
        <v>202406</v>
      </c>
      <c r="C836" t="str">
        <f>MID(analisis_productividad__4[[#This Row],[Periodo]],1,4)</f>
        <v>2024</v>
      </c>
      <c r="D836" t="str">
        <f>MID(analisis_productividad__4[[#This Row],[Periodo]],5,2)</f>
        <v>06</v>
      </c>
      <c r="E836" t="s">
        <v>16</v>
      </c>
      <c r="F836" t="s">
        <v>19</v>
      </c>
      <c r="G836">
        <v>94866</v>
      </c>
      <c r="H836">
        <v>5941879</v>
      </c>
      <c r="I836">
        <v>62.634347222222232</v>
      </c>
      <c r="J836">
        <v>0</v>
      </c>
      <c r="K836">
        <v>71</v>
      </c>
      <c r="L836">
        <v>74.5</v>
      </c>
      <c r="N836">
        <v>0</v>
      </c>
    </row>
    <row r="837" spans="1:14" x14ac:dyDescent="0.35">
      <c r="A837" t="s">
        <v>31</v>
      </c>
      <c r="B837">
        <v>202602</v>
      </c>
      <c r="C837" t="str">
        <f>MID(analisis_productividad__4[[#This Row],[Periodo]],1,4)</f>
        <v>2026</v>
      </c>
      <c r="D837" t="str">
        <f>MID(analisis_productividad__4[[#This Row],[Periodo]],5,2)</f>
        <v>02</v>
      </c>
      <c r="E837" t="s">
        <v>11</v>
      </c>
      <c r="F837" t="s">
        <v>14</v>
      </c>
      <c r="G837">
        <v>94843</v>
      </c>
      <c r="H837">
        <v>8633173</v>
      </c>
      <c r="I837">
        <v>91.0260416666667</v>
      </c>
      <c r="J837">
        <v>103083.7535131045</v>
      </c>
      <c r="K837">
        <v>101.5</v>
      </c>
      <c r="L837">
        <v>97.5</v>
      </c>
      <c r="M837">
        <v>87.689184144336366</v>
      </c>
      <c r="N837">
        <v>9039330</v>
      </c>
    </row>
    <row r="838" spans="1:14" x14ac:dyDescent="0.35">
      <c r="A838" t="s">
        <v>63</v>
      </c>
      <c r="B838">
        <v>202605</v>
      </c>
      <c r="C838" t="str">
        <f>MID(analisis_productividad__4[[#This Row],[Periodo]],1,4)</f>
        <v>2026</v>
      </c>
      <c r="D838" t="str">
        <f>MID(analisis_productividad__4[[#This Row],[Periodo]],5,2)</f>
        <v>05</v>
      </c>
      <c r="E838" t="s">
        <v>16</v>
      </c>
      <c r="F838" t="s">
        <v>17</v>
      </c>
      <c r="G838">
        <v>94838</v>
      </c>
      <c r="H838">
        <v>7382461</v>
      </c>
      <c r="I838">
        <v>77.843151881720672</v>
      </c>
      <c r="J838">
        <v>97191.731131940745</v>
      </c>
      <c r="K838">
        <v>86.5</v>
      </c>
      <c r="L838">
        <v>81.5</v>
      </c>
      <c r="M838">
        <v>76.26782259426129</v>
      </c>
      <c r="N838">
        <v>7412602</v>
      </c>
    </row>
    <row r="839" spans="1:14" x14ac:dyDescent="0.35">
      <c r="A839" t="s">
        <v>50</v>
      </c>
      <c r="B839">
        <v>202408</v>
      </c>
      <c r="C839" t="str">
        <f>MID(analisis_productividad__4[[#This Row],[Periodo]],1,4)</f>
        <v>2024</v>
      </c>
      <c r="D839" t="str">
        <f>MID(analisis_productividad__4[[#This Row],[Periodo]],5,2)</f>
        <v>08</v>
      </c>
      <c r="E839" t="s">
        <v>34</v>
      </c>
      <c r="F839" t="s">
        <v>35</v>
      </c>
      <c r="G839">
        <v>94741</v>
      </c>
      <c r="H839">
        <v>5737894</v>
      </c>
      <c r="I839">
        <v>60.56397177419354</v>
      </c>
      <c r="J839">
        <v>0</v>
      </c>
      <c r="K839">
        <v>79.5</v>
      </c>
      <c r="L839">
        <v>72.5</v>
      </c>
      <c r="N839">
        <v>0</v>
      </c>
    </row>
    <row r="840" spans="1:14" x14ac:dyDescent="0.35">
      <c r="A840" t="s">
        <v>61</v>
      </c>
      <c r="B840">
        <v>202602</v>
      </c>
      <c r="C840" t="str">
        <f>MID(analisis_productividad__4[[#This Row],[Periodo]],1,4)</f>
        <v>2026</v>
      </c>
      <c r="D840" t="str">
        <f>MID(analisis_productividad__4[[#This Row],[Periodo]],5,2)</f>
        <v>02</v>
      </c>
      <c r="E840" t="s">
        <v>11</v>
      </c>
      <c r="F840" t="s">
        <v>52</v>
      </c>
      <c r="G840">
        <v>94732</v>
      </c>
      <c r="H840">
        <v>8664829</v>
      </c>
      <c r="I840">
        <v>91.4668229166667</v>
      </c>
      <c r="J840">
        <v>90637.194840407654</v>
      </c>
      <c r="K840">
        <v>104.5</v>
      </c>
      <c r="L840">
        <v>99</v>
      </c>
      <c r="M840">
        <v>90.280982690474389</v>
      </c>
      <c r="N840">
        <v>8182815</v>
      </c>
    </row>
    <row r="841" spans="1:14" x14ac:dyDescent="0.35">
      <c r="A841" t="s">
        <v>49</v>
      </c>
      <c r="B841">
        <v>202408</v>
      </c>
      <c r="C841" t="str">
        <f>MID(analisis_productividad__4[[#This Row],[Periodo]],1,4)</f>
        <v>2024</v>
      </c>
      <c r="D841" t="str">
        <f>MID(analisis_productividad__4[[#This Row],[Periodo]],5,2)</f>
        <v>08</v>
      </c>
      <c r="E841" t="s">
        <v>16</v>
      </c>
      <c r="F841" t="s">
        <v>21</v>
      </c>
      <c r="G841">
        <v>94730</v>
      </c>
      <c r="H841">
        <v>5698041</v>
      </c>
      <c r="I841">
        <v>60.150510752688177</v>
      </c>
      <c r="J841">
        <v>0</v>
      </c>
      <c r="K841">
        <v>75.5</v>
      </c>
      <c r="L841">
        <v>68</v>
      </c>
      <c r="N841">
        <v>0</v>
      </c>
    </row>
    <row r="842" spans="1:14" x14ac:dyDescent="0.35">
      <c r="A842" t="s">
        <v>43</v>
      </c>
      <c r="B842">
        <v>202510</v>
      </c>
      <c r="C842" t="str">
        <f>MID(analisis_productividad__4[[#This Row],[Periodo]],1,4)</f>
        <v>2025</v>
      </c>
      <c r="D842" t="str">
        <f>MID(analisis_productividad__4[[#This Row],[Periodo]],5,2)</f>
        <v>10</v>
      </c>
      <c r="E842" t="s">
        <v>11</v>
      </c>
      <c r="F842" t="s">
        <v>12</v>
      </c>
      <c r="G842">
        <v>94702</v>
      </c>
      <c r="H842">
        <v>6308362</v>
      </c>
      <c r="I842">
        <v>66.612809139784972</v>
      </c>
      <c r="J842">
        <v>91350.324356848112</v>
      </c>
      <c r="K842">
        <v>84.5</v>
      </c>
      <c r="L842">
        <v>86.5</v>
      </c>
      <c r="M842">
        <v>69.056815117122127</v>
      </c>
      <c r="N842">
        <v>6756699</v>
      </c>
    </row>
    <row r="843" spans="1:14" x14ac:dyDescent="0.35">
      <c r="A843" t="s">
        <v>78</v>
      </c>
      <c r="B843">
        <v>202603</v>
      </c>
      <c r="C843" t="str">
        <f>MID(analisis_productividad__4[[#This Row],[Periodo]],1,4)</f>
        <v>2026</v>
      </c>
      <c r="D843" t="str">
        <f>MID(analisis_productividad__4[[#This Row],[Periodo]],5,2)</f>
        <v>03</v>
      </c>
      <c r="E843" t="s">
        <v>11</v>
      </c>
      <c r="F843" t="s">
        <v>14</v>
      </c>
      <c r="G843">
        <v>94682</v>
      </c>
      <c r="H843">
        <v>6937209</v>
      </c>
      <c r="I843">
        <v>73.268642473118263</v>
      </c>
      <c r="J843">
        <v>91302.87956293665</v>
      </c>
      <c r="K843">
        <v>79.5</v>
      </c>
      <c r="L843">
        <v>67</v>
      </c>
      <c r="M843">
        <v>68.682661472657543</v>
      </c>
      <c r="N843">
        <v>6270925</v>
      </c>
    </row>
    <row r="844" spans="1:14" x14ac:dyDescent="0.35">
      <c r="A844" t="s">
        <v>37</v>
      </c>
      <c r="B844">
        <v>202410</v>
      </c>
      <c r="C844" t="str">
        <f>MID(analisis_productividad__4[[#This Row],[Periodo]],1,4)</f>
        <v>2024</v>
      </c>
      <c r="D844" t="str">
        <f>MID(analisis_productividad__4[[#This Row],[Periodo]],5,2)</f>
        <v>10</v>
      </c>
      <c r="E844" t="s">
        <v>16</v>
      </c>
      <c r="F844" t="s">
        <v>17</v>
      </c>
      <c r="G844">
        <v>94652</v>
      </c>
      <c r="H844">
        <v>9300371</v>
      </c>
      <c r="I844">
        <v>98.258501344086028</v>
      </c>
      <c r="J844">
        <v>0</v>
      </c>
      <c r="K844">
        <v>107.5</v>
      </c>
      <c r="L844">
        <v>102.5</v>
      </c>
      <c r="N844">
        <v>0</v>
      </c>
    </row>
    <row r="845" spans="1:14" x14ac:dyDescent="0.35">
      <c r="A845" t="s">
        <v>51</v>
      </c>
      <c r="B845">
        <v>202505</v>
      </c>
      <c r="C845" t="str">
        <f>MID(analisis_productividad__4[[#This Row],[Periodo]],1,4)</f>
        <v>2025</v>
      </c>
      <c r="D845" t="str">
        <f>MID(analisis_productividad__4[[#This Row],[Periodo]],5,2)</f>
        <v>05</v>
      </c>
      <c r="E845" t="s">
        <v>11</v>
      </c>
      <c r="F845" t="s">
        <v>52</v>
      </c>
      <c r="G845">
        <v>94647</v>
      </c>
      <c r="H845">
        <v>8809963</v>
      </c>
      <c r="I845">
        <v>93.082641129032211</v>
      </c>
      <c r="J845">
        <v>100435.059470911</v>
      </c>
      <c r="K845">
        <v>117.5</v>
      </c>
      <c r="L845">
        <v>99</v>
      </c>
      <c r="M845">
        <v>87.718006206305162</v>
      </c>
      <c r="N845">
        <v>9916033</v>
      </c>
    </row>
    <row r="846" spans="1:14" x14ac:dyDescent="0.35">
      <c r="A846" t="s">
        <v>26</v>
      </c>
      <c r="B846">
        <v>202509</v>
      </c>
      <c r="C846" t="str">
        <f>MID(analisis_productividad__4[[#This Row],[Periodo]],1,4)</f>
        <v>2025</v>
      </c>
      <c r="D846" t="str">
        <f>MID(analisis_productividad__4[[#This Row],[Periodo]],5,2)</f>
        <v>09</v>
      </c>
      <c r="E846" t="s">
        <v>11</v>
      </c>
      <c r="F846" t="s">
        <v>12</v>
      </c>
      <c r="G846">
        <v>94642</v>
      </c>
      <c r="H846">
        <v>5367930</v>
      </c>
      <c r="I846">
        <v>56.717986111111109</v>
      </c>
      <c r="J846">
        <v>86760.245227821128</v>
      </c>
      <c r="K846">
        <v>65.5</v>
      </c>
      <c r="L846">
        <v>63</v>
      </c>
      <c r="M846">
        <v>61.870844254814109</v>
      </c>
      <c r="N846">
        <v>4491442</v>
      </c>
    </row>
    <row r="847" spans="1:14" x14ac:dyDescent="0.35">
      <c r="A847" t="s">
        <v>74</v>
      </c>
      <c r="B847">
        <v>202604</v>
      </c>
      <c r="C847" t="str">
        <f>MID(analisis_productividad__4[[#This Row],[Periodo]],1,4)</f>
        <v>2026</v>
      </c>
      <c r="D847" t="str">
        <f>MID(analisis_productividad__4[[#This Row],[Periodo]],5,2)</f>
        <v>04</v>
      </c>
      <c r="E847" t="s">
        <v>16</v>
      </c>
      <c r="F847" t="s">
        <v>19</v>
      </c>
      <c r="G847">
        <v>94619</v>
      </c>
      <c r="H847">
        <v>4247926</v>
      </c>
      <c r="I847">
        <v>44.895131944444266</v>
      </c>
      <c r="J847">
        <v>87397.564447321405</v>
      </c>
      <c r="K847">
        <v>50.5</v>
      </c>
      <c r="L847">
        <v>51.5</v>
      </c>
      <c r="M847">
        <v>44.728769766304502</v>
      </c>
      <c r="N847">
        <v>3909186</v>
      </c>
    </row>
    <row r="848" spans="1:14" x14ac:dyDescent="0.35">
      <c r="A848" t="s">
        <v>75</v>
      </c>
      <c r="B848">
        <v>202408</v>
      </c>
      <c r="C848" t="str">
        <f>MID(analisis_productividad__4[[#This Row],[Periodo]],1,4)</f>
        <v>2024</v>
      </c>
      <c r="D848" t="str">
        <f>MID(analisis_productividad__4[[#This Row],[Periodo]],5,2)</f>
        <v>08</v>
      </c>
      <c r="E848" t="s">
        <v>11</v>
      </c>
      <c r="F848" t="s">
        <v>52</v>
      </c>
      <c r="G848">
        <v>94612</v>
      </c>
      <c r="H848">
        <v>9531623</v>
      </c>
      <c r="I848">
        <v>100.74453629032256</v>
      </c>
      <c r="J848">
        <v>0</v>
      </c>
      <c r="K848">
        <v>118</v>
      </c>
      <c r="L848">
        <v>106</v>
      </c>
      <c r="N848">
        <v>0</v>
      </c>
    </row>
    <row r="849" spans="1:14" x14ac:dyDescent="0.35">
      <c r="A849" t="s">
        <v>68</v>
      </c>
      <c r="B849">
        <v>202403</v>
      </c>
      <c r="C849" t="str">
        <f>MID(analisis_productividad__4[[#This Row],[Periodo]],1,4)</f>
        <v>2024</v>
      </c>
      <c r="D849" t="str">
        <f>MID(analisis_productividad__4[[#This Row],[Periodo]],5,2)</f>
        <v>03</v>
      </c>
      <c r="E849" t="s">
        <v>11</v>
      </c>
      <c r="F849" t="s">
        <v>52</v>
      </c>
      <c r="G849">
        <v>94611</v>
      </c>
      <c r="H849">
        <v>8779397</v>
      </c>
      <c r="I849">
        <v>92.794220430107515</v>
      </c>
      <c r="J849">
        <v>0</v>
      </c>
      <c r="K849">
        <v>103</v>
      </c>
      <c r="L849">
        <v>91</v>
      </c>
      <c r="N849">
        <v>0</v>
      </c>
    </row>
    <row r="850" spans="1:14" x14ac:dyDescent="0.35">
      <c r="A850" t="s">
        <v>46</v>
      </c>
      <c r="B850">
        <v>202504</v>
      </c>
      <c r="C850" t="str">
        <f>MID(analisis_productividad__4[[#This Row],[Periodo]],1,4)</f>
        <v>2025</v>
      </c>
      <c r="D850" t="str">
        <f>MID(analisis_productividad__4[[#This Row],[Periodo]],5,2)</f>
        <v>04</v>
      </c>
      <c r="E850" t="s">
        <v>11</v>
      </c>
      <c r="F850" t="s">
        <v>14</v>
      </c>
      <c r="G850">
        <v>94601</v>
      </c>
      <c r="H850">
        <v>6302287</v>
      </c>
      <c r="I850">
        <v>66.619972222222231</v>
      </c>
      <c r="J850">
        <v>91189.171364977476</v>
      </c>
      <c r="K850">
        <v>77</v>
      </c>
      <c r="L850">
        <v>79</v>
      </c>
      <c r="M850">
        <v>69.112234442569829</v>
      </c>
      <c r="N850">
        <v>6444231</v>
      </c>
    </row>
    <row r="851" spans="1:14" x14ac:dyDescent="0.35">
      <c r="A851" t="s">
        <v>68</v>
      </c>
      <c r="B851">
        <v>202505</v>
      </c>
      <c r="C851" t="str">
        <f>MID(analisis_productividad__4[[#This Row],[Periodo]],1,4)</f>
        <v>2025</v>
      </c>
      <c r="D851" t="str">
        <f>MID(analisis_productividad__4[[#This Row],[Periodo]],5,2)</f>
        <v>05</v>
      </c>
      <c r="E851" t="s">
        <v>11</v>
      </c>
      <c r="F851" t="s">
        <v>52</v>
      </c>
      <c r="G851">
        <v>94583</v>
      </c>
      <c r="H851">
        <v>8045367</v>
      </c>
      <c r="I851">
        <v>85.061619623655901</v>
      </c>
      <c r="J851">
        <v>94092.308994474894</v>
      </c>
      <c r="K851">
        <v>103</v>
      </c>
      <c r="L851">
        <v>91</v>
      </c>
      <c r="M851">
        <v>85.505046331389565</v>
      </c>
      <c r="N851">
        <v>8409677</v>
      </c>
    </row>
    <row r="852" spans="1:14" x14ac:dyDescent="0.35">
      <c r="A852" t="s">
        <v>76</v>
      </c>
      <c r="B852">
        <v>202604</v>
      </c>
      <c r="C852" t="str">
        <f>MID(analisis_productividad__4[[#This Row],[Periodo]],1,4)</f>
        <v>2026</v>
      </c>
      <c r="D852" t="str">
        <f>MID(analisis_productividad__4[[#This Row],[Periodo]],5,2)</f>
        <v>04</v>
      </c>
      <c r="E852" t="s">
        <v>11</v>
      </c>
      <c r="F852" t="s">
        <v>14</v>
      </c>
      <c r="G852">
        <v>94569</v>
      </c>
      <c r="H852">
        <v>6479343</v>
      </c>
      <c r="I852">
        <v>68.514347222223876</v>
      </c>
      <c r="J852">
        <v>91487.173478267272</v>
      </c>
      <c r="K852">
        <v>80</v>
      </c>
      <c r="L852">
        <v>78</v>
      </c>
      <c r="M852">
        <v>69.114627897013889</v>
      </c>
      <c r="N852">
        <v>6323102</v>
      </c>
    </row>
    <row r="853" spans="1:14" x14ac:dyDescent="0.35">
      <c r="A853" t="s">
        <v>68</v>
      </c>
      <c r="B853">
        <v>202503</v>
      </c>
      <c r="C853" t="str">
        <f>MID(analisis_productividad__4[[#This Row],[Periodo]],1,4)</f>
        <v>2025</v>
      </c>
      <c r="D853" t="str">
        <f>MID(analisis_productividad__4[[#This Row],[Periodo]],5,2)</f>
        <v>03</v>
      </c>
      <c r="E853" t="s">
        <v>11</v>
      </c>
      <c r="F853" t="s">
        <v>52</v>
      </c>
      <c r="G853">
        <v>94564</v>
      </c>
      <c r="H853">
        <v>8817575</v>
      </c>
      <c r="I853">
        <v>93.244986559139733</v>
      </c>
      <c r="J853">
        <v>99342.034646901928</v>
      </c>
      <c r="K853">
        <v>103</v>
      </c>
      <c r="L853">
        <v>91</v>
      </c>
      <c r="M853">
        <v>88.759756344239378</v>
      </c>
      <c r="N853">
        <v>8971212</v>
      </c>
    </row>
    <row r="854" spans="1:14" x14ac:dyDescent="0.35">
      <c r="A854" t="s">
        <v>33</v>
      </c>
      <c r="B854">
        <v>202604</v>
      </c>
      <c r="C854" t="str">
        <f>MID(analisis_productividad__4[[#This Row],[Periodo]],1,4)</f>
        <v>2026</v>
      </c>
      <c r="D854" t="str">
        <f>MID(analisis_productividad__4[[#This Row],[Periodo]],5,2)</f>
        <v>04</v>
      </c>
      <c r="E854" t="s">
        <v>34</v>
      </c>
      <c r="F854" t="s">
        <v>35</v>
      </c>
      <c r="G854">
        <v>94552</v>
      </c>
      <c r="H854">
        <v>1180435</v>
      </c>
      <c r="I854">
        <v>12.48454861111111</v>
      </c>
      <c r="J854">
        <v>76504.644469779683</v>
      </c>
      <c r="K854">
        <v>15</v>
      </c>
      <c r="L854">
        <v>15</v>
      </c>
      <c r="M854">
        <v>13.971887755419019</v>
      </c>
      <c r="N854">
        <v>1068914</v>
      </c>
    </row>
    <row r="855" spans="1:14" x14ac:dyDescent="0.35">
      <c r="A855" t="s">
        <v>57</v>
      </c>
      <c r="B855">
        <v>202505</v>
      </c>
      <c r="C855" t="str">
        <f>MID(analisis_productividad__4[[#This Row],[Periodo]],1,4)</f>
        <v>2025</v>
      </c>
      <c r="D855" t="str">
        <f>MID(analisis_productividad__4[[#This Row],[Periodo]],5,2)</f>
        <v>05</v>
      </c>
      <c r="E855" t="s">
        <v>16</v>
      </c>
      <c r="F855" t="s">
        <v>19</v>
      </c>
      <c r="G855">
        <v>94546</v>
      </c>
      <c r="H855">
        <v>5803496</v>
      </c>
      <c r="I855">
        <v>61.382802419354839</v>
      </c>
      <c r="J855">
        <v>94200.808821464379</v>
      </c>
      <c r="K855">
        <v>71</v>
      </c>
      <c r="L855">
        <v>74.5</v>
      </c>
      <c r="M855">
        <v>61.607713591920131</v>
      </c>
      <c r="N855">
        <v>5765207</v>
      </c>
    </row>
    <row r="856" spans="1:14" x14ac:dyDescent="0.35">
      <c r="A856" t="s">
        <v>64</v>
      </c>
      <c r="B856">
        <v>202604</v>
      </c>
      <c r="C856" t="str">
        <f>MID(analisis_productividad__4[[#This Row],[Periodo]],1,4)</f>
        <v>2026</v>
      </c>
      <c r="D856" t="str">
        <f>MID(analisis_productividad__4[[#This Row],[Periodo]],5,2)</f>
        <v>04</v>
      </c>
      <c r="E856" t="s">
        <v>16</v>
      </c>
      <c r="F856" t="s">
        <v>21</v>
      </c>
      <c r="G856">
        <v>94534</v>
      </c>
      <c r="H856">
        <v>10181196</v>
      </c>
      <c r="I856">
        <v>107.69893750000358</v>
      </c>
      <c r="J856">
        <v>89866.168492841753</v>
      </c>
      <c r="K856">
        <v>88.5</v>
      </c>
      <c r="L856">
        <v>92.5</v>
      </c>
      <c r="M856">
        <v>102.97612103755296</v>
      </c>
      <c r="N856">
        <v>9254069</v>
      </c>
    </row>
    <row r="857" spans="1:14" x14ac:dyDescent="0.35">
      <c r="A857" t="s">
        <v>53</v>
      </c>
      <c r="B857">
        <v>202401</v>
      </c>
      <c r="C857" t="str">
        <f>MID(analisis_productividad__4[[#This Row],[Periodo]],1,4)</f>
        <v>2024</v>
      </c>
      <c r="D857" t="str">
        <f>MID(analisis_productividad__4[[#This Row],[Periodo]],5,2)</f>
        <v>01</v>
      </c>
      <c r="E857" t="s">
        <v>11</v>
      </c>
      <c r="F857" t="s">
        <v>12</v>
      </c>
      <c r="G857">
        <v>94529</v>
      </c>
      <c r="H857">
        <v>6425604</v>
      </c>
      <c r="I857">
        <v>67.975080645161285</v>
      </c>
      <c r="J857">
        <v>0</v>
      </c>
      <c r="K857">
        <v>81</v>
      </c>
      <c r="L857">
        <v>77</v>
      </c>
      <c r="N857">
        <v>0</v>
      </c>
    </row>
    <row r="858" spans="1:14" x14ac:dyDescent="0.35">
      <c r="A858" t="s">
        <v>25</v>
      </c>
      <c r="B858">
        <v>202501</v>
      </c>
      <c r="C858" t="str">
        <f>MID(analisis_productividad__4[[#This Row],[Periodo]],1,4)</f>
        <v>2025</v>
      </c>
      <c r="D858" t="str">
        <f>MID(analisis_productividad__4[[#This Row],[Periodo]],5,2)</f>
        <v>01</v>
      </c>
      <c r="E858" t="s">
        <v>16</v>
      </c>
      <c r="F858" t="s">
        <v>19</v>
      </c>
      <c r="G858">
        <v>94518</v>
      </c>
      <c r="H858">
        <v>8088638</v>
      </c>
      <c r="I858">
        <v>85.57796370967742</v>
      </c>
      <c r="J858">
        <v>93484.943561593973</v>
      </c>
      <c r="K858">
        <v>94</v>
      </c>
      <c r="L858">
        <v>92</v>
      </c>
      <c r="M858">
        <v>86.523433419742915</v>
      </c>
      <c r="N858">
        <v>7239192</v>
      </c>
    </row>
    <row r="859" spans="1:14" x14ac:dyDescent="0.35">
      <c r="A859" t="s">
        <v>29</v>
      </c>
      <c r="B859">
        <v>202402</v>
      </c>
      <c r="C859" t="str">
        <f>MID(analisis_productividad__4[[#This Row],[Periodo]],1,4)</f>
        <v>2024</v>
      </c>
      <c r="D859" t="str">
        <f>MID(analisis_productividad__4[[#This Row],[Periodo]],5,2)</f>
        <v>02</v>
      </c>
      <c r="E859" t="s">
        <v>16</v>
      </c>
      <c r="F859" t="s">
        <v>19</v>
      </c>
      <c r="G859">
        <v>94496</v>
      </c>
      <c r="H859">
        <v>8845296</v>
      </c>
      <c r="I859">
        <v>93.604935344827581</v>
      </c>
      <c r="J859">
        <v>0</v>
      </c>
      <c r="K859">
        <v>96.5</v>
      </c>
      <c r="L859">
        <v>96</v>
      </c>
      <c r="N859">
        <v>0</v>
      </c>
    </row>
    <row r="860" spans="1:14" x14ac:dyDescent="0.35">
      <c r="A860" t="s">
        <v>40</v>
      </c>
      <c r="B860">
        <v>202402</v>
      </c>
      <c r="C860" t="str">
        <f>MID(analisis_productividad__4[[#This Row],[Periodo]],1,4)</f>
        <v>2024</v>
      </c>
      <c r="D860" t="str">
        <f>MID(analisis_productividad__4[[#This Row],[Periodo]],5,2)</f>
        <v>02</v>
      </c>
      <c r="E860" t="s">
        <v>11</v>
      </c>
      <c r="F860" t="s">
        <v>14</v>
      </c>
      <c r="G860">
        <v>94480</v>
      </c>
      <c r="H860">
        <v>6895113</v>
      </c>
      <c r="I860">
        <v>72.979978448275872</v>
      </c>
      <c r="J860">
        <v>0</v>
      </c>
      <c r="K860">
        <v>76.5</v>
      </c>
      <c r="L860">
        <v>75.5</v>
      </c>
      <c r="N860">
        <v>0</v>
      </c>
    </row>
    <row r="861" spans="1:14" x14ac:dyDescent="0.35">
      <c r="A861" t="s">
        <v>112</v>
      </c>
      <c r="B861">
        <v>202503</v>
      </c>
      <c r="C861" t="str">
        <f>MID(analisis_productividad__4[[#This Row],[Periodo]],1,4)</f>
        <v>2025</v>
      </c>
      <c r="D861" t="str">
        <f>MID(analisis_productividad__4[[#This Row],[Periodo]],5,2)</f>
        <v>03</v>
      </c>
      <c r="E861" t="s">
        <v>34</v>
      </c>
      <c r="F861" t="s">
        <v>35</v>
      </c>
      <c r="G861">
        <v>94474</v>
      </c>
      <c r="H861">
        <v>2452740</v>
      </c>
      <c r="I861">
        <v>25.962049731182795</v>
      </c>
      <c r="J861">
        <v>66151.788381754683</v>
      </c>
      <c r="K861">
        <v>31</v>
      </c>
      <c r="L861">
        <v>27</v>
      </c>
      <c r="M861">
        <v>37.077460640149383</v>
      </c>
      <c r="N861">
        <v>1609718</v>
      </c>
    </row>
    <row r="862" spans="1:14" x14ac:dyDescent="0.35">
      <c r="A862" t="s">
        <v>32</v>
      </c>
      <c r="B862">
        <v>202505</v>
      </c>
      <c r="C862" t="str">
        <f>MID(analisis_productividad__4[[#This Row],[Periodo]],1,4)</f>
        <v>2025</v>
      </c>
      <c r="D862" t="str">
        <f>MID(analisis_productividad__4[[#This Row],[Periodo]],5,2)</f>
        <v>05</v>
      </c>
      <c r="E862" t="s">
        <v>11</v>
      </c>
      <c r="F862" t="s">
        <v>12</v>
      </c>
      <c r="G862">
        <v>94436</v>
      </c>
      <c r="H862">
        <v>5537331</v>
      </c>
      <c r="I862">
        <v>58.635819892473116</v>
      </c>
      <c r="J862">
        <v>84491.679197343852</v>
      </c>
      <c r="K862">
        <v>65.5</v>
      </c>
      <c r="L862">
        <v>66</v>
      </c>
      <c r="M862">
        <v>65.536997519799272</v>
      </c>
      <c r="N862">
        <v>5525438</v>
      </c>
    </row>
    <row r="863" spans="1:14" x14ac:dyDescent="0.35">
      <c r="A863" t="s">
        <v>49</v>
      </c>
      <c r="B863">
        <v>202601</v>
      </c>
      <c r="C863" t="str">
        <f>MID(analisis_productividad__4[[#This Row],[Periodo]],1,4)</f>
        <v>2026</v>
      </c>
      <c r="D863" t="str">
        <f>MID(analisis_productividad__4[[#This Row],[Periodo]],5,2)</f>
        <v>01</v>
      </c>
      <c r="E863" t="s">
        <v>16</v>
      </c>
      <c r="F863" t="s">
        <v>21</v>
      </c>
      <c r="G863">
        <v>94435</v>
      </c>
      <c r="H863">
        <v>5732262</v>
      </c>
      <c r="I863">
        <v>60.700913978494611</v>
      </c>
      <c r="J863">
        <v>90712.841362653344</v>
      </c>
      <c r="K863">
        <v>75.5</v>
      </c>
      <c r="L863">
        <v>68</v>
      </c>
      <c r="M863">
        <v>66.56902434528007</v>
      </c>
      <c r="N863">
        <v>6038665</v>
      </c>
    </row>
    <row r="864" spans="1:14" x14ac:dyDescent="0.35">
      <c r="A864" t="s">
        <v>25</v>
      </c>
      <c r="B864">
        <v>202407</v>
      </c>
      <c r="C864" t="str">
        <f>MID(analisis_productividad__4[[#This Row],[Periodo]],1,4)</f>
        <v>2024</v>
      </c>
      <c r="D864" t="str">
        <f>MID(analisis_productividad__4[[#This Row],[Periodo]],5,2)</f>
        <v>07</v>
      </c>
      <c r="E864" t="s">
        <v>16</v>
      </c>
      <c r="F864" t="s">
        <v>19</v>
      </c>
      <c r="G864">
        <v>94419</v>
      </c>
      <c r="H864">
        <v>8097795</v>
      </c>
      <c r="I864">
        <v>85.764818548387126</v>
      </c>
      <c r="J864">
        <v>0</v>
      </c>
      <c r="K864">
        <v>94</v>
      </c>
      <c r="L864">
        <v>92</v>
      </c>
      <c r="N864">
        <v>0</v>
      </c>
    </row>
    <row r="865" spans="1:14" x14ac:dyDescent="0.35">
      <c r="A865" t="s">
        <v>43</v>
      </c>
      <c r="B865">
        <v>202501</v>
      </c>
      <c r="C865" t="str">
        <f>MID(analisis_productividad__4[[#This Row],[Periodo]],1,4)</f>
        <v>2025</v>
      </c>
      <c r="D865" t="str">
        <f>MID(analisis_productividad__4[[#This Row],[Periodo]],5,2)</f>
        <v>01</v>
      </c>
      <c r="E865" t="s">
        <v>11</v>
      </c>
      <c r="F865" t="s">
        <v>12</v>
      </c>
      <c r="G865">
        <v>94405</v>
      </c>
      <c r="H865">
        <v>6778287</v>
      </c>
      <c r="I865">
        <v>71.799959677419338</v>
      </c>
      <c r="J865">
        <v>89102.895879688251</v>
      </c>
      <c r="K865">
        <v>84.5</v>
      </c>
      <c r="L865">
        <v>86.5</v>
      </c>
      <c r="M865">
        <v>76.072575454252643</v>
      </c>
      <c r="N865">
        <v>6456367</v>
      </c>
    </row>
    <row r="866" spans="1:14" x14ac:dyDescent="0.35">
      <c r="A866" t="s">
        <v>25</v>
      </c>
      <c r="B866">
        <v>202505</v>
      </c>
      <c r="C866" t="str">
        <f>MID(analisis_productividad__4[[#This Row],[Periodo]],1,4)</f>
        <v>2025</v>
      </c>
      <c r="D866" t="str">
        <f>MID(analisis_productividad__4[[#This Row],[Periodo]],5,2)</f>
        <v>05</v>
      </c>
      <c r="E866" t="s">
        <v>16</v>
      </c>
      <c r="F866" t="s">
        <v>19</v>
      </c>
      <c r="G866">
        <v>94403</v>
      </c>
      <c r="H866">
        <v>8347340</v>
      </c>
      <c r="I866">
        <v>88.422231182795755</v>
      </c>
      <c r="J866">
        <v>91152.400195018912</v>
      </c>
      <c r="K866">
        <v>94</v>
      </c>
      <c r="L866">
        <v>92</v>
      </c>
      <c r="M866">
        <v>91.575643780536936</v>
      </c>
      <c r="N866">
        <v>7748843</v>
      </c>
    </row>
    <row r="867" spans="1:14" x14ac:dyDescent="0.35">
      <c r="A867" t="s">
        <v>56</v>
      </c>
      <c r="B867">
        <v>202606</v>
      </c>
      <c r="C867" t="str">
        <f>MID(analisis_productividad__4[[#This Row],[Periodo]],1,4)</f>
        <v>2026</v>
      </c>
      <c r="D867" t="str">
        <f>MID(analisis_productividad__4[[#This Row],[Periodo]],5,2)</f>
        <v>06</v>
      </c>
      <c r="E867" t="s">
        <v>16</v>
      </c>
      <c r="F867" t="s">
        <v>21</v>
      </c>
      <c r="G867">
        <v>94382</v>
      </c>
      <c r="H867">
        <v>5474442</v>
      </c>
      <c r="I867">
        <v>58.003312500000682</v>
      </c>
      <c r="J867">
        <v>101599.7146969739</v>
      </c>
      <c r="K867">
        <v>72.5</v>
      </c>
      <c r="L867">
        <v>68.5</v>
      </c>
      <c r="M867">
        <v>63.042188618377821</v>
      </c>
      <c r="N867">
        <v>6405068</v>
      </c>
    </row>
    <row r="868" spans="1:14" x14ac:dyDescent="0.35">
      <c r="A868" t="s">
        <v>13</v>
      </c>
      <c r="B868">
        <v>202402</v>
      </c>
      <c r="C868" t="str">
        <f>MID(analisis_productividad__4[[#This Row],[Periodo]],1,4)</f>
        <v>2024</v>
      </c>
      <c r="D868" t="str">
        <f>MID(analisis_productividad__4[[#This Row],[Periodo]],5,2)</f>
        <v>02</v>
      </c>
      <c r="E868" t="s">
        <v>11</v>
      </c>
      <c r="F868" t="s">
        <v>14</v>
      </c>
      <c r="G868">
        <v>94377</v>
      </c>
      <c r="H868">
        <v>8524599</v>
      </c>
      <c r="I868">
        <v>90.325395114942538</v>
      </c>
      <c r="J868">
        <v>0</v>
      </c>
      <c r="K868">
        <v>100</v>
      </c>
      <c r="L868">
        <v>98</v>
      </c>
      <c r="N868">
        <v>0</v>
      </c>
    </row>
    <row r="869" spans="1:14" x14ac:dyDescent="0.35">
      <c r="A869" t="s">
        <v>25</v>
      </c>
      <c r="B869">
        <v>202504</v>
      </c>
      <c r="C869" t="str">
        <f>MID(analisis_productividad__4[[#This Row],[Periodo]],1,4)</f>
        <v>2025</v>
      </c>
      <c r="D869" t="str">
        <f>MID(analisis_productividad__4[[#This Row],[Periodo]],5,2)</f>
        <v>04</v>
      </c>
      <c r="E869" t="s">
        <v>16</v>
      </c>
      <c r="F869" t="s">
        <v>19</v>
      </c>
      <c r="G869">
        <v>94285</v>
      </c>
      <c r="H869">
        <v>8494729</v>
      </c>
      <c r="I869">
        <v>90.096416666666713</v>
      </c>
      <c r="J869">
        <v>96612.817347702905</v>
      </c>
      <c r="K869">
        <v>94</v>
      </c>
      <c r="L869">
        <v>92</v>
      </c>
      <c r="M869">
        <v>87.925490770319371</v>
      </c>
      <c r="N869">
        <v>7662704</v>
      </c>
    </row>
    <row r="870" spans="1:14" x14ac:dyDescent="0.35">
      <c r="A870" t="s">
        <v>24</v>
      </c>
      <c r="B870">
        <v>202406</v>
      </c>
      <c r="C870" t="str">
        <f>MID(analisis_productividad__4[[#This Row],[Periodo]],1,4)</f>
        <v>2024</v>
      </c>
      <c r="D870" t="str">
        <f>MID(analisis_productividad__4[[#This Row],[Periodo]],5,2)</f>
        <v>06</v>
      </c>
      <c r="E870" t="s">
        <v>16</v>
      </c>
      <c r="F870" t="s">
        <v>21</v>
      </c>
      <c r="G870">
        <v>94245</v>
      </c>
      <c r="H870">
        <v>9804161</v>
      </c>
      <c r="I870">
        <v>104.02855555555558</v>
      </c>
      <c r="J870">
        <v>0</v>
      </c>
      <c r="K870">
        <v>125</v>
      </c>
      <c r="L870">
        <v>118.5</v>
      </c>
      <c r="N870">
        <v>0</v>
      </c>
    </row>
    <row r="871" spans="1:14" x14ac:dyDescent="0.35">
      <c r="A871" t="s">
        <v>27</v>
      </c>
      <c r="B871">
        <v>202411</v>
      </c>
      <c r="C871" t="str">
        <f>MID(analisis_productividad__4[[#This Row],[Periodo]],1,4)</f>
        <v>2024</v>
      </c>
      <c r="D871" t="str">
        <f>MID(analisis_productividad__4[[#This Row],[Periodo]],5,2)</f>
        <v>11</v>
      </c>
      <c r="E871" t="s">
        <v>11</v>
      </c>
      <c r="F871" t="s">
        <v>14</v>
      </c>
      <c r="G871">
        <v>94232</v>
      </c>
      <c r="H871">
        <v>7611920</v>
      </c>
      <c r="I871">
        <v>80.778444444444446</v>
      </c>
      <c r="J871">
        <v>0</v>
      </c>
      <c r="K871">
        <v>88</v>
      </c>
      <c r="L871">
        <v>84</v>
      </c>
      <c r="N871">
        <v>0</v>
      </c>
    </row>
    <row r="872" spans="1:14" x14ac:dyDescent="0.35">
      <c r="A872" t="s">
        <v>55</v>
      </c>
      <c r="B872">
        <v>202501</v>
      </c>
      <c r="C872" t="str">
        <f>MID(analisis_productividad__4[[#This Row],[Periodo]],1,4)</f>
        <v>2025</v>
      </c>
      <c r="D872" t="str">
        <f>MID(analisis_productividad__4[[#This Row],[Periodo]],5,2)</f>
        <v>01</v>
      </c>
      <c r="E872" t="s">
        <v>16</v>
      </c>
      <c r="F872" t="s">
        <v>21</v>
      </c>
      <c r="G872">
        <v>94175</v>
      </c>
      <c r="H872">
        <v>4611334</v>
      </c>
      <c r="I872">
        <v>48.965564516129028</v>
      </c>
      <c r="J872">
        <v>109536.47790537088</v>
      </c>
      <c r="K872">
        <v>55</v>
      </c>
      <c r="L872">
        <v>50.5</v>
      </c>
      <c r="M872">
        <v>42.098611879631143</v>
      </c>
      <c r="N872">
        <v>4820393</v>
      </c>
    </row>
    <row r="873" spans="1:14" x14ac:dyDescent="0.35">
      <c r="A873" t="s">
        <v>57</v>
      </c>
      <c r="B873">
        <v>202508</v>
      </c>
      <c r="C873" t="str">
        <f>MID(analisis_productividad__4[[#This Row],[Periodo]],1,4)</f>
        <v>2025</v>
      </c>
      <c r="D873" t="str">
        <f>MID(analisis_productividad__4[[#This Row],[Periodo]],5,2)</f>
        <v>08</v>
      </c>
      <c r="E873" t="s">
        <v>16</v>
      </c>
      <c r="F873" t="s">
        <v>19</v>
      </c>
      <c r="G873">
        <v>94151</v>
      </c>
      <c r="H873">
        <v>5625500</v>
      </c>
      <c r="I873">
        <v>59.749798387096774</v>
      </c>
      <c r="J873">
        <v>95837.99994948681</v>
      </c>
      <c r="K873">
        <v>71</v>
      </c>
      <c r="L873">
        <v>74.5</v>
      </c>
      <c r="M873">
        <v>58.698009588733306</v>
      </c>
      <c r="N873">
        <v>5967955</v>
      </c>
    </row>
    <row r="874" spans="1:14" x14ac:dyDescent="0.35">
      <c r="A874" t="s">
        <v>55</v>
      </c>
      <c r="B874">
        <v>202505</v>
      </c>
      <c r="C874" t="str">
        <f>MID(analisis_productividad__4[[#This Row],[Periodo]],1,4)</f>
        <v>2025</v>
      </c>
      <c r="D874" t="str">
        <f>MID(analisis_productividad__4[[#This Row],[Periodo]],5,2)</f>
        <v>05</v>
      </c>
      <c r="E874" t="s">
        <v>16</v>
      </c>
      <c r="F874" t="s">
        <v>21</v>
      </c>
      <c r="G874">
        <v>94142</v>
      </c>
      <c r="H874">
        <v>4603620</v>
      </c>
      <c r="I874">
        <v>48.900739247311819</v>
      </c>
      <c r="J874">
        <v>96436.927844726175</v>
      </c>
      <c r="K874">
        <v>55</v>
      </c>
      <c r="L874">
        <v>50.5</v>
      </c>
      <c r="M874">
        <v>47.737109973187088</v>
      </c>
      <c r="N874">
        <v>4979171</v>
      </c>
    </row>
    <row r="875" spans="1:14" x14ac:dyDescent="0.35">
      <c r="A875" t="s">
        <v>61</v>
      </c>
      <c r="B875">
        <v>202501</v>
      </c>
      <c r="C875" t="str">
        <f>MID(analisis_productividad__4[[#This Row],[Periodo]],1,4)</f>
        <v>2025</v>
      </c>
      <c r="D875" t="str">
        <f>MID(analisis_productividad__4[[#This Row],[Periodo]],5,2)</f>
        <v>01</v>
      </c>
      <c r="E875" t="s">
        <v>11</v>
      </c>
      <c r="F875" t="s">
        <v>52</v>
      </c>
      <c r="G875">
        <v>94129</v>
      </c>
      <c r="H875">
        <v>8652871</v>
      </c>
      <c r="I875">
        <v>91.92571236559138</v>
      </c>
      <c r="J875">
        <v>95248.542454725233</v>
      </c>
      <c r="K875">
        <v>104.5</v>
      </c>
      <c r="L875">
        <v>99</v>
      </c>
      <c r="M875">
        <v>90.845175338121265</v>
      </c>
      <c r="N875">
        <v>8960280</v>
      </c>
    </row>
    <row r="876" spans="1:14" x14ac:dyDescent="0.35">
      <c r="A876" t="s">
        <v>43</v>
      </c>
      <c r="B876">
        <v>202407</v>
      </c>
      <c r="C876" t="str">
        <f>MID(analisis_productividad__4[[#This Row],[Periodo]],1,4)</f>
        <v>2024</v>
      </c>
      <c r="D876" t="str">
        <f>MID(analisis_productividad__4[[#This Row],[Periodo]],5,2)</f>
        <v>07</v>
      </c>
      <c r="E876" t="s">
        <v>11</v>
      </c>
      <c r="F876" t="s">
        <v>12</v>
      </c>
      <c r="G876">
        <v>94115</v>
      </c>
      <c r="H876">
        <v>7633865</v>
      </c>
      <c r="I876">
        <v>81.112217741935439</v>
      </c>
      <c r="J876">
        <v>0</v>
      </c>
      <c r="K876">
        <v>84.5</v>
      </c>
      <c r="L876">
        <v>86.5</v>
      </c>
      <c r="N876">
        <v>0</v>
      </c>
    </row>
    <row r="877" spans="1:14" x14ac:dyDescent="0.35">
      <c r="A877" t="s">
        <v>50</v>
      </c>
      <c r="B877">
        <v>202507</v>
      </c>
      <c r="C877" t="str">
        <f>MID(analisis_productividad__4[[#This Row],[Periodo]],1,4)</f>
        <v>2025</v>
      </c>
      <c r="D877" t="str">
        <f>MID(analisis_productividad__4[[#This Row],[Periodo]],5,2)</f>
        <v>07</v>
      </c>
      <c r="E877" t="s">
        <v>34</v>
      </c>
      <c r="F877" t="s">
        <v>35</v>
      </c>
      <c r="G877">
        <v>94096</v>
      </c>
      <c r="H877">
        <v>5793049</v>
      </c>
      <c r="I877">
        <v>61.565000000000026</v>
      </c>
      <c r="J877">
        <v>101748.2860613809</v>
      </c>
      <c r="K877">
        <v>79.5</v>
      </c>
      <c r="L877">
        <v>72.5</v>
      </c>
      <c r="M877">
        <v>56.935098312174745</v>
      </c>
      <c r="N877">
        <v>6070535</v>
      </c>
    </row>
    <row r="878" spans="1:14" x14ac:dyDescent="0.35">
      <c r="A878" t="s">
        <v>59</v>
      </c>
      <c r="B878">
        <v>202406</v>
      </c>
      <c r="C878" t="str">
        <f>MID(analisis_productividad__4[[#This Row],[Periodo]],1,4)</f>
        <v>2024</v>
      </c>
      <c r="D878" t="str">
        <f>MID(analisis_productividad__4[[#This Row],[Periodo]],5,2)</f>
        <v>06</v>
      </c>
      <c r="E878" t="s">
        <v>11</v>
      </c>
      <c r="F878" t="s">
        <v>12</v>
      </c>
      <c r="G878">
        <v>94095</v>
      </c>
      <c r="H878">
        <v>7865898</v>
      </c>
      <c r="I878">
        <v>83.594874999999973</v>
      </c>
      <c r="J878">
        <v>0</v>
      </c>
      <c r="K878">
        <v>94.5</v>
      </c>
      <c r="L878">
        <v>97</v>
      </c>
      <c r="N878">
        <v>0</v>
      </c>
    </row>
    <row r="879" spans="1:14" x14ac:dyDescent="0.35">
      <c r="A879" t="s">
        <v>28</v>
      </c>
      <c r="B879">
        <v>202410</v>
      </c>
      <c r="C879" t="str">
        <f>MID(analisis_productividad__4[[#This Row],[Periodo]],1,4)</f>
        <v>2024</v>
      </c>
      <c r="D879" t="str">
        <f>MID(analisis_productividad__4[[#This Row],[Periodo]],5,2)</f>
        <v>10</v>
      </c>
      <c r="E879" t="s">
        <v>16</v>
      </c>
      <c r="F879" t="s">
        <v>17</v>
      </c>
      <c r="G879">
        <v>94053</v>
      </c>
      <c r="H879">
        <v>5246520</v>
      </c>
      <c r="I879">
        <v>55.782520161290336</v>
      </c>
      <c r="J879">
        <v>0</v>
      </c>
      <c r="K879">
        <v>64</v>
      </c>
      <c r="L879">
        <v>67</v>
      </c>
      <c r="N879">
        <v>0</v>
      </c>
    </row>
    <row r="880" spans="1:14" x14ac:dyDescent="0.35">
      <c r="A880" t="s">
        <v>131</v>
      </c>
      <c r="B880">
        <v>202409</v>
      </c>
      <c r="C880" t="str">
        <f>MID(analisis_productividad__4[[#This Row],[Periodo]],1,4)</f>
        <v>2024</v>
      </c>
      <c r="D880" t="str">
        <f>MID(analisis_productividad__4[[#This Row],[Periodo]],5,2)</f>
        <v>09</v>
      </c>
      <c r="E880" t="s">
        <v>16</v>
      </c>
      <c r="F880" t="s">
        <v>21</v>
      </c>
      <c r="G880">
        <v>94038</v>
      </c>
      <c r="H880">
        <v>10985952</v>
      </c>
      <c r="I880">
        <v>116.8241180555555</v>
      </c>
      <c r="J880">
        <v>0</v>
      </c>
      <c r="K880">
        <v>99</v>
      </c>
      <c r="L880">
        <v>32.5</v>
      </c>
      <c r="N880">
        <v>0</v>
      </c>
    </row>
    <row r="881" spans="1:14" x14ac:dyDescent="0.35">
      <c r="A881" t="s">
        <v>32</v>
      </c>
      <c r="B881">
        <v>202508</v>
      </c>
      <c r="C881" t="str">
        <f>MID(analisis_productividad__4[[#This Row],[Periodo]],1,4)</f>
        <v>2025</v>
      </c>
      <c r="D881" t="str">
        <f>MID(analisis_productividad__4[[#This Row],[Periodo]],5,2)</f>
        <v>08</v>
      </c>
      <c r="E881" t="s">
        <v>11</v>
      </c>
      <c r="F881" t="s">
        <v>12</v>
      </c>
      <c r="G881">
        <v>94035</v>
      </c>
      <c r="H881">
        <v>5154384</v>
      </c>
      <c r="I881">
        <v>54.813293010752687</v>
      </c>
      <c r="J881">
        <v>97197.647267207358</v>
      </c>
      <c r="K881">
        <v>65.5</v>
      </c>
      <c r="L881">
        <v>66</v>
      </c>
      <c r="M881">
        <v>53.029920835738082</v>
      </c>
      <c r="N881">
        <v>5420372</v>
      </c>
    </row>
    <row r="882" spans="1:14" x14ac:dyDescent="0.35">
      <c r="A882" t="s">
        <v>47</v>
      </c>
      <c r="B882">
        <v>202412</v>
      </c>
      <c r="C882" t="str">
        <f>MID(analisis_productividad__4[[#This Row],[Periodo]],1,4)</f>
        <v>2024</v>
      </c>
      <c r="D882" t="str">
        <f>MID(analisis_productividad__4[[#This Row],[Periodo]],5,2)</f>
        <v>12</v>
      </c>
      <c r="E882" t="s">
        <v>11</v>
      </c>
      <c r="F882" t="s">
        <v>14</v>
      </c>
      <c r="G882">
        <v>94022</v>
      </c>
      <c r="H882">
        <v>5973585</v>
      </c>
      <c r="I882">
        <v>63.533655913978521</v>
      </c>
      <c r="J882">
        <v>0</v>
      </c>
      <c r="K882">
        <v>61.5</v>
      </c>
      <c r="L882">
        <v>48.5</v>
      </c>
      <c r="N882">
        <v>0</v>
      </c>
    </row>
    <row r="883" spans="1:14" x14ac:dyDescent="0.35">
      <c r="A883" t="s">
        <v>39</v>
      </c>
      <c r="B883">
        <v>202408</v>
      </c>
      <c r="C883" t="str">
        <f>MID(analisis_productividad__4[[#This Row],[Periodo]],1,4)</f>
        <v>2024</v>
      </c>
      <c r="D883" t="str">
        <f>MID(analisis_productividad__4[[#This Row],[Periodo]],5,2)</f>
        <v>08</v>
      </c>
      <c r="E883" t="s">
        <v>16</v>
      </c>
      <c r="F883" t="s">
        <v>17</v>
      </c>
      <c r="G883">
        <v>94018</v>
      </c>
      <c r="H883">
        <v>8640476</v>
      </c>
      <c r="I883">
        <v>91.902614247311732</v>
      </c>
      <c r="J883">
        <v>0</v>
      </c>
      <c r="K883">
        <v>93.5</v>
      </c>
      <c r="L883">
        <v>94</v>
      </c>
      <c r="N883">
        <v>0</v>
      </c>
    </row>
    <row r="884" spans="1:14" x14ac:dyDescent="0.35">
      <c r="A884" t="s">
        <v>77</v>
      </c>
      <c r="B884">
        <v>202603</v>
      </c>
      <c r="C884" t="str">
        <f>MID(analisis_productividad__4[[#This Row],[Periodo]],1,4)</f>
        <v>2026</v>
      </c>
      <c r="D884" t="str">
        <f>MID(analisis_productividad__4[[#This Row],[Periodo]],5,2)</f>
        <v>03</v>
      </c>
      <c r="E884" t="s">
        <v>16</v>
      </c>
      <c r="F884" t="s">
        <v>21</v>
      </c>
      <c r="G884">
        <v>94008</v>
      </c>
      <c r="H884">
        <v>5387372</v>
      </c>
      <c r="I884">
        <v>57.307419354838707</v>
      </c>
      <c r="J884">
        <v>96406.587796308653</v>
      </c>
      <c r="K884">
        <v>60.5</v>
      </c>
      <c r="L884">
        <v>60.5</v>
      </c>
      <c r="M884">
        <v>53.343390369396616</v>
      </c>
      <c r="N884">
        <v>5142654</v>
      </c>
    </row>
    <row r="885" spans="1:14" x14ac:dyDescent="0.35">
      <c r="A885" t="s">
        <v>63</v>
      </c>
      <c r="B885">
        <v>202601</v>
      </c>
      <c r="C885" t="str">
        <f>MID(analisis_productividad__4[[#This Row],[Periodo]],1,4)</f>
        <v>2026</v>
      </c>
      <c r="D885" t="str">
        <f>MID(analisis_productividad__4[[#This Row],[Periodo]],5,2)</f>
        <v>01</v>
      </c>
      <c r="E885" t="s">
        <v>16</v>
      </c>
      <c r="F885" t="s">
        <v>17</v>
      </c>
      <c r="G885">
        <v>94005</v>
      </c>
      <c r="H885">
        <v>6780165</v>
      </c>
      <c r="I885">
        <v>72.125544354838681</v>
      </c>
      <c r="J885">
        <v>119655.23794154664</v>
      </c>
      <c r="K885">
        <v>86.5</v>
      </c>
      <c r="L885">
        <v>81.5</v>
      </c>
      <c r="M885">
        <v>76.26782259426129</v>
      </c>
      <c r="N885">
        <v>9125844</v>
      </c>
    </row>
    <row r="886" spans="1:14" x14ac:dyDescent="0.35">
      <c r="A886" t="s">
        <v>64</v>
      </c>
      <c r="B886">
        <v>202403</v>
      </c>
      <c r="C886" t="str">
        <f>MID(analisis_productividad__4[[#This Row],[Periodo]],1,4)</f>
        <v>2024</v>
      </c>
      <c r="D886" t="str">
        <f>MID(analisis_productividad__4[[#This Row],[Periodo]],5,2)</f>
        <v>03</v>
      </c>
      <c r="E886" t="s">
        <v>16</v>
      </c>
      <c r="F886" t="s">
        <v>21</v>
      </c>
      <c r="G886">
        <v>93968</v>
      </c>
      <c r="H886">
        <v>7740735</v>
      </c>
      <c r="I886">
        <v>82.376169354838723</v>
      </c>
      <c r="J886">
        <v>0</v>
      </c>
      <c r="K886">
        <v>88.5</v>
      </c>
      <c r="L886">
        <v>92.5</v>
      </c>
      <c r="N886">
        <v>0</v>
      </c>
    </row>
    <row r="887" spans="1:14" x14ac:dyDescent="0.35">
      <c r="A887" t="s">
        <v>18</v>
      </c>
      <c r="B887">
        <v>202411</v>
      </c>
      <c r="C887" t="str">
        <f>MID(analisis_productividad__4[[#This Row],[Periodo]],1,4)</f>
        <v>2024</v>
      </c>
      <c r="D887" t="str">
        <f>MID(analisis_productividad__4[[#This Row],[Periodo]],5,2)</f>
        <v>11</v>
      </c>
      <c r="E887" t="s">
        <v>16</v>
      </c>
      <c r="F887" t="s">
        <v>19</v>
      </c>
      <c r="G887">
        <v>93942</v>
      </c>
      <c r="H887">
        <v>5957710</v>
      </c>
      <c r="I887">
        <v>63.418881944444472</v>
      </c>
      <c r="J887">
        <v>0</v>
      </c>
      <c r="K887">
        <v>70.5</v>
      </c>
      <c r="L887">
        <v>69.5</v>
      </c>
      <c r="N887">
        <v>0</v>
      </c>
    </row>
    <row r="888" spans="1:14" x14ac:dyDescent="0.35">
      <c r="A888" t="s">
        <v>51</v>
      </c>
      <c r="B888">
        <v>202402</v>
      </c>
      <c r="C888" t="str">
        <f>MID(analisis_productividad__4[[#This Row],[Periodo]],1,4)</f>
        <v>2024</v>
      </c>
      <c r="D888" t="str">
        <f>MID(analisis_productividad__4[[#This Row],[Periodo]],5,2)</f>
        <v>02</v>
      </c>
      <c r="E888" t="s">
        <v>11</v>
      </c>
      <c r="F888" t="s">
        <v>52</v>
      </c>
      <c r="G888">
        <v>93913</v>
      </c>
      <c r="H888">
        <v>8815777</v>
      </c>
      <c r="I888">
        <v>93.872061781609176</v>
      </c>
      <c r="J888">
        <v>0</v>
      </c>
      <c r="K888">
        <v>117.5</v>
      </c>
      <c r="L888">
        <v>99</v>
      </c>
      <c r="N888">
        <v>0</v>
      </c>
    </row>
    <row r="889" spans="1:14" x14ac:dyDescent="0.35">
      <c r="A889" t="s">
        <v>40</v>
      </c>
      <c r="B889">
        <v>202508</v>
      </c>
      <c r="C889" t="str">
        <f>MID(analisis_productividad__4[[#This Row],[Periodo]],1,4)</f>
        <v>2025</v>
      </c>
      <c r="D889" t="str">
        <f>MID(analisis_productividad__4[[#This Row],[Periodo]],5,2)</f>
        <v>08</v>
      </c>
      <c r="E889" t="s">
        <v>11</v>
      </c>
      <c r="F889" t="s">
        <v>14</v>
      </c>
      <c r="G889">
        <v>93902</v>
      </c>
      <c r="H889">
        <v>5540328</v>
      </c>
      <c r="I889">
        <v>59.001485215053755</v>
      </c>
      <c r="J889">
        <v>97865.645380498026</v>
      </c>
      <c r="K889">
        <v>76.5</v>
      </c>
      <c r="L889">
        <v>75.5</v>
      </c>
      <c r="M889">
        <v>56.611574352362418</v>
      </c>
      <c r="N889">
        <v>6013045</v>
      </c>
    </row>
    <row r="890" spans="1:14" x14ac:dyDescent="0.35">
      <c r="A890" t="s">
        <v>65</v>
      </c>
      <c r="B890">
        <v>202604</v>
      </c>
      <c r="C890" t="str">
        <f>MID(analisis_productividad__4[[#This Row],[Periodo]],1,4)</f>
        <v>2026</v>
      </c>
      <c r="D890" t="str">
        <f>MID(analisis_productividad__4[[#This Row],[Periodo]],5,2)</f>
        <v>04</v>
      </c>
      <c r="E890" t="s">
        <v>16</v>
      </c>
      <c r="F890" t="s">
        <v>19</v>
      </c>
      <c r="G890">
        <v>93900</v>
      </c>
      <c r="H890">
        <v>6003071</v>
      </c>
      <c r="I890">
        <v>63.930562500000931</v>
      </c>
      <c r="J890">
        <v>92739.829586351334</v>
      </c>
      <c r="K890">
        <v>68</v>
      </c>
      <c r="L890">
        <v>68.5</v>
      </c>
      <c r="M890">
        <v>60.397061823201135</v>
      </c>
      <c r="N890">
        <v>5601213</v>
      </c>
    </row>
    <row r="891" spans="1:14" x14ac:dyDescent="0.35">
      <c r="A891" t="s">
        <v>63</v>
      </c>
      <c r="B891">
        <v>202604</v>
      </c>
      <c r="C891" t="str">
        <f>MID(analisis_productividad__4[[#This Row],[Periodo]],1,4)</f>
        <v>2026</v>
      </c>
      <c r="D891" t="str">
        <f>MID(analisis_productividad__4[[#This Row],[Periodo]],5,2)</f>
        <v>04</v>
      </c>
      <c r="E891" t="s">
        <v>16</v>
      </c>
      <c r="F891" t="s">
        <v>17</v>
      </c>
      <c r="G891">
        <v>93893</v>
      </c>
      <c r="H891">
        <v>7255945</v>
      </c>
      <c r="I891">
        <v>77.278979166667298</v>
      </c>
      <c r="J891">
        <v>94290.432360410734</v>
      </c>
      <c r="K891">
        <v>86.5</v>
      </c>
      <c r="L891">
        <v>81.5</v>
      </c>
      <c r="M891">
        <v>76.26782259426129</v>
      </c>
      <c r="N891">
        <v>7191326</v>
      </c>
    </row>
    <row r="892" spans="1:14" x14ac:dyDescent="0.35">
      <c r="A892" t="s">
        <v>61</v>
      </c>
      <c r="B892">
        <v>202406</v>
      </c>
      <c r="C892" t="str">
        <f>MID(analisis_productividad__4[[#This Row],[Periodo]],1,4)</f>
        <v>2024</v>
      </c>
      <c r="D892" t="str">
        <f>MID(analisis_productividad__4[[#This Row],[Periodo]],5,2)</f>
        <v>06</v>
      </c>
      <c r="E892" t="s">
        <v>11</v>
      </c>
      <c r="F892" t="s">
        <v>52</v>
      </c>
      <c r="G892">
        <v>93879</v>
      </c>
      <c r="H892">
        <v>8785062</v>
      </c>
      <c r="I892">
        <v>93.57823611111111</v>
      </c>
      <c r="J892">
        <v>0</v>
      </c>
      <c r="K892">
        <v>104.5</v>
      </c>
      <c r="L892">
        <v>99</v>
      </c>
      <c r="N892">
        <v>0</v>
      </c>
    </row>
    <row r="893" spans="1:14" x14ac:dyDescent="0.35">
      <c r="A893" t="s">
        <v>78</v>
      </c>
      <c r="B893">
        <v>202605</v>
      </c>
      <c r="C893" t="str">
        <f>MID(analisis_productividad__4[[#This Row],[Periodo]],1,4)</f>
        <v>2026</v>
      </c>
      <c r="D893" t="str">
        <f>MID(analisis_productividad__4[[#This Row],[Periodo]],5,2)</f>
        <v>05</v>
      </c>
      <c r="E893" t="s">
        <v>11</v>
      </c>
      <c r="F893" t="s">
        <v>14</v>
      </c>
      <c r="G893">
        <v>93869</v>
      </c>
      <c r="H893">
        <v>6072336</v>
      </c>
      <c r="I893">
        <v>64.689737903225463</v>
      </c>
      <c r="J893">
        <v>80253.555466750942</v>
      </c>
      <c r="K893">
        <v>79.5</v>
      </c>
      <c r="L893">
        <v>67</v>
      </c>
      <c r="M893">
        <v>68.682661472657543</v>
      </c>
      <c r="N893">
        <v>5512028</v>
      </c>
    </row>
    <row r="894" spans="1:14" x14ac:dyDescent="0.35">
      <c r="A894" t="s">
        <v>20</v>
      </c>
      <c r="B894">
        <v>202408</v>
      </c>
      <c r="C894" t="str">
        <f>MID(analisis_productividad__4[[#This Row],[Periodo]],1,4)</f>
        <v>2024</v>
      </c>
      <c r="D894" t="str">
        <f>MID(analisis_productividad__4[[#This Row],[Periodo]],5,2)</f>
        <v>08</v>
      </c>
      <c r="E894" t="s">
        <v>16</v>
      </c>
      <c r="F894" t="s">
        <v>21</v>
      </c>
      <c r="G894">
        <v>93853</v>
      </c>
      <c r="H894">
        <v>8134366</v>
      </c>
      <c r="I894">
        <v>86.671008064516158</v>
      </c>
      <c r="J894">
        <v>0</v>
      </c>
      <c r="K894">
        <v>96.5</v>
      </c>
      <c r="L894">
        <v>94</v>
      </c>
      <c r="N894">
        <v>0</v>
      </c>
    </row>
    <row r="895" spans="1:14" x14ac:dyDescent="0.35">
      <c r="A895" t="s">
        <v>61</v>
      </c>
      <c r="B895">
        <v>202510</v>
      </c>
      <c r="C895" t="str">
        <f>MID(analisis_productividad__4[[#This Row],[Periodo]],1,4)</f>
        <v>2025</v>
      </c>
      <c r="D895" t="str">
        <f>MID(analisis_productividad__4[[#This Row],[Periodo]],5,2)</f>
        <v>10</v>
      </c>
      <c r="E895" t="s">
        <v>11</v>
      </c>
      <c r="F895" t="s">
        <v>52</v>
      </c>
      <c r="G895">
        <v>93830</v>
      </c>
      <c r="H895">
        <v>8406490</v>
      </c>
      <c r="I895">
        <v>89.593037634408574</v>
      </c>
      <c r="J895">
        <v>96417.701445830564</v>
      </c>
      <c r="K895">
        <v>104.5</v>
      </c>
      <c r="L895">
        <v>99</v>
      </c>
      <c r="M895">
        <v>87.188239544612415</v>
      </c>
      <c r="N895">
        <v>9176907</v>
      </c>
    </row>
    <row r="896" spans="1:14" x14ac:dyDescent="0.35">
      <c r="A896" t="s">
        <v>43</v>
      </c>
      <c r="B896">
        <v>202406</v>
      </c>
      <c r="C896" t="str">
        <f>MID(analisis_productividad__4[[#This Row],[Periodo]],1,4)</f>
        <v>2024</v>
      </c>
      <c r="D896" t="str">
        <f>MID(analisis_productividad__4[[#This Row],[Periodo]],5,2)</f>
        <v>06</v>
      </c>
      <c r="E896" t="s">
        <v>11</v>
      </c>
      <c r="F896" t="s">
        <v>12</v>
      </c>
      <c r="G896">
        <v>93815</v>
      </c>
      <c r="H896">
        <v>7099340</v>
      </c>
      <c r="I896">
        <v>75.673597222222256</v>
      </c>
      <c r="J896">
        <v>0</v>
      </c>
      <c r="K896">
        <v>84.5</v>
      </c>
      <c r="L896">
        <v>86.5</v>
      </c>
      <c r="N896">
        <v>0</v>
      </c>
    </row>
    <row r="897" spans="1:14" x14ac:dyDescent="0.35">
      <c r="A897" t="s">
        <v>64</v>
      </c>
      <c r="B897">
        <v>202602</v>
      </c>
      <c r="C897" t="str">
        <f>MID(analisis_productividad__4[[#This Row],[Periodo]],1,4)</f>
        <v>2026</v>
      </c>
      <c r="D897" t="str">
        <f>MID(analisis_productividad__4[[#This Row],[Periodo]],5,2)</f>
        <v>02</v>
      </c>
      <c r="E897" t="s">
        <v>16</v>
      </c>
      <c r="F897" t="s">
        <v>21</v>
      </c>
      <c r="G897">
        <v>93776</v>
      </c>
      <c r="H897">
        <v>9907585</v>
      </c>
      <c r="I897">
        <v>105.65171874999996</v>
      </c>
      <c r="J897">
        <v>72374.255859590325</v>
      </c>
      <c r="K897">
        <v>88.5</v>
      </c>
      <c r="L897">
        <v>92.5</v>
      </c>
      <c r="M897">
        <v>102.97612103755296</v>
      </c>
      <c r="N897">
        <v>7452820</v>
      </c>
    </row>
    <row r="898" spans="1:14" x14ac:dyDescent="0.35">
      <c r="A898" t="s">
        <v>37</v>
      </c>
      <c r="B898">
        <v>202504</v>
      </c>
      <c r="C898" t="str">
        <f>MID(analisis_productividad__4[[#This Row],[Periodo]],1,4)</f>
        <v>2025</v>
      </c>
      <c r="D898" t="str">
        <f>MID(analisis_productividad__4[[#This Row],[Periodo]],5,2)</f>
        <v>04</v>
      </c>
      <c r="E898" t="s">
        <v>16</v>
      </c>
      <c r="F898" t="s">
        <v>17</v>
      </c>
      <c r="G898">
        <v>93766</v>
      </c>
      <c r="H898">
        <v>9296042</v>
      </c>
      <c r="I898">
        <v>99.140513888888876</v>
      </c>
      <c r="J898">
        <v>94786.307702774371</v>
      </c>
      <c r="K898">
        <v>107.5</v>
      </c>
      <c r="L898">
        <v>102.5</v>
      </c>
      <c r="M898">
        <v>98.07368485277442</v>
      </c>
      <c r="N898">
        <v>10380714</v>
      </c>
    </row>
    <row r="899" spans="1:14" x14ac:dyDescent="0.35">
      <c r="A899" t="s">
        <v>87</v>
      </c>
      <c r="B899">
        <v>202504</v>
      </c>
      <c r="C899" t="str">
        <f>MID(analisis_productividad__4[[#This Row],[Periodo]],1,4)</f>
        <v>2025</v>
      </c>
      <c r="D899" t="str">
        <f>MID(analisis_productividad__4[[#This Row],[Periodo]],5,2)</f>
        <v>04</v>
      </c>
      <c r="E899" t="s">
        <v>9</v>
      </c>
      <c r="F899" t="s">
        <v>9</v>
      </c>
      <c r="G899">
        <v>93757</v>
      </c>
      <c r="H899">
        <v>911123</v>
      </c>
      <c r="I899">
        <v>9.7178958333333334</v>
      </c>
      <c r="J899">
        <v>98180.662804041203</v>
      </c>
      <c r="K899">
        <v>13.5</v>
      </c>
      <c r="L899">
        <v>12</v>
      </c>
      <c r="M899">
        <v>9.2800657887033271</v>
      </c>
      <c r="N899">
        <v>1025443</v>
      </c>
    </row>
    <row r="900" spans="1:14" x14ac:dyDescent="0.35">
      <c r="A900" t="s">
        <v>41</v>
      </c>
      <c r="B900">
        <v>202501</v>
      </c>
      <c r="C900" t="str">
        <f>MID(analisis_productividad__4[[#This Row],[Periodo]],1,4)</f>
        <v>2025</v>
      </c>
      <c r="D900" t="str">
        <f>MID(analisis_productividad__4[[#This Row],[Periodo]],5,2)</f>
        <v>01</v>
      </c>
      <c r="E900" t="s">
        <v>16</v>
      </c>
      <c r="F900" t="s">
        <v>19</v>
      </c>
      <c r="G900">
        <v>93693</v>
      </c>
      <c r="H900">
        <v>5124832</v>
      </c>
      <c r="I900">
        <v>54.698037634408593</v>
      </c>
      <c r="J900">
        <v>93986.87369718228</v>
      </c>
      <c r="K900">
        <v>57.5</v>
      </c>
      <c r="L900">
        <v>56.5</v>
      </c>
      <c r="M900">
        <v>54.527105098864915</v>
      </c>
      <c r="N900">
        <v>4692061</v>
      </c>
    </row>
    <row r="901" spans="1:14" x14ac:dyDescent="0.35">
      <c r="A901" t="s">
        <v>23</v>
      </c>
      <c r="B901">
        <v>202410</v>
      </c>
      <c r="C901" t="str">
        <f>MID(analisis_productividad__4[[#This Row],[Periodo]],1,4)</f>
        <v>2024</v>
      </c>
      <c r="D901" t="str">
        <f>MID(analisis_productividad__4[[#This Row],[Periodo]],5,2)</f>
        <v>10</v>
      </c>
      <c r="E901" t="s">
        <v>11</v>
      </c>
      <c r="F901" t="s">
        <v>12</v>
      </c>
      <c r="G901">
        <v>93604</v>
      </c>
      <c r="H901">
        <v>5475236</v>
      </c>
      <c r="I901">
        <v>58.493749999999991</v>
      </c>
      <c r="J901">
        <v>0</v>
      </c>
      <c r="K901">
        <v>68.5</v>
      </c>
      <c r="L901">
        <v>66</v>
      </c>
      <c r="N901">
        <v>0</v>
      </c>
    </row>
    <row r="902" spans="1:14" x14ac:dyDescent="0.35">
      <c r="A902" t="s">
        <v>39</v>
      </c>
      <c r="B902">
        <v>202504</v>
      </c>
      <c r="C902" t="str">
        <f>MID(analisis_productividad__4[[#This Row],[Periodo]],1,4)</f>
        <v>2025</v>
      </c>
      <c r="D902" t="str">
        <f>MID(analisis_productividad__4[[#This Row],[Periodo]],5,2)</f>
        <v>04</v>
      </c>
      <c r="E902" t="s">
        <v>16</v>
      </c>
      <c r="F902" t="s">
        <v>17</v>
      </c>
      <c r="G902">
        <v>93547</v>
      </c>
      <c r="H902">
        <v>7969404</v>
      </c>
      <c r="I902">
        <v>85.191847222222265</v>
      </c>
      <c r="J902">
        <v>92361.892227572258</v>
      </c>
      <c r="K902">
        <v>93.5</v>
      </c>
      <c r="L902">
        <v>94</v>
      </c>
      <c r="M902">
        <v>86.284544608116434</v>
      </c>
      <c r="N902">
        <v>8293194</v>
      </c>
    </row>
    <row r="903" spans="1:14" x14ac:dyDescent="0.35">
      <c r="A903" t="s">
        <v>47</v>
      </c>
      <c r="B903">
        <v>202503</v>
      </c>
      <c r="C903" t="str">
        <f>MID(analisis_productividad__4[[#This Row],[Periodo]],1,4)</f>
        <v>2025</v>
      </c>
      <c r="D903" t="str">
        <f>MID(analisis_productividad__4[[#This Row],[Periodo]],5,2)</f>
        <v>03</v>
      </c>
      <c r="E903" t="s">
        <v>11</v>
      </c>
      <c r="F903" t="s">
        <v>14</v>
      </c>
      <c r="G903">
        <v>93543</v>
      </c>
      <c r="H903">
        <v>5149693</v>
      </c>
      <c r="I903">
        <v>55.051377688172039</v>
      </c>
      <c r="J903">
        <v>87505.019270908626</v>
      </c>
      <c r="K903">
        <v>61.5</v>
      </c>
      <c r="L903">
        <v>48.5</v>
      </c>
      <c r="M903">
        <v>58.85026359524538</v>
      </c>
      <c r="N903">
        <v>5111690</v>
      </c>
    </row>
    <row r="904" spans="1:14" x14ac:dyDescent="0.35">
      <c r="A904" t="s">
        <v>24</v>
      </c>
      <c r="B904">
        <v>202408</v>
      </c>
      <c r="C904" t="str">
        <f>MID(analisis_productividad__4[[#This Row],[Periodo]],1,4)</f>
        <v>2024</v>
      </c>
      <c r="D904" t="str">
        <f>MID(analisis_productividad__4[[#This Row],[Periodo]],5,2)</f>
        <v>08</v>
      </c>
      <c r="E904" t="s">
        <v>16</v>
      </c>
      <c r="F904" t="s">
        <v>21</v>
      </c>
      <c r="G904">
        <v>93535</v>
      </c>
      <c r="H904">
        <v>9766935</v>
      </c>
      <c r="I904">
        <v>104.42005376344089</v>
      </c>
      <c r="J904">
        <v>0</v>
      </c>
      <c r="K904">
        <v>125</v>
      </c>
      <c r="L904">
        <v>118.5</v>
      </c>
      <c r="N904">
        <v>0</v>
      </c>
    </row>
    <row r="905" spans="1:14" x14ac:dyDescent="0.35">
      <c r="A905" t="s">
        <v>87</v>
      </c>
      <c r="B905">
        <v>202404</v>
      </c>
      <c r="C905" t="str">
        <f>MID(analisis_productividad__4[[#This Row],[Periodo]],1,4)</f>
        <v>2024</v>
      </c>
      <c r="D905" t="str">
        <f>MID(analisis_productividad__4[[#This Row],[Periodo]],5,2)</f>
        <v>04</v>
      </c>
      <c r="E905" t="s">
        <v>9</v>
      </c>
      <c r="F905" t="s">
        <v>9</v>
      </c>
      <c r="G905">
        <v>93505</v>
      </c>
      <c r="H905">
        <v>970439</v>
      </c>
      <c r="I905">
        <v>10.378423611111113</v>
      </c>
      <c r="J905">
        <v>0</v>
      </c>
      <c r="K905">
        <v>13.5</v>
      </c>
      <c r="L905">
        <v>12</v>
      </c>
      <c r="N905">
        <v>0</v>
      </c>
    </row>
    <row r="906" spans="1:14" x14ac:dyDescent="0.35">
      <c r="A906" t="s">
        <v>22</v>
      </c>
      <c r="B906">
        <v>202508</v>
      </c>
      <c r="C906" t="str">
        <f>MID(analisis_productividad__4[[#This Row],[Periodo]],1,4)</f>
        <v>2025</v>
      </c>
      <c r="D906" t="str">
        <f>MID(analisis_productividad__4[[#This Row],[Periodo]],5,2)</f>
        <v>08</v>
      </c>
      <c r="E906" t="s">
        <v>16</v>
      </c>
      <c r="F906" t="s">
        <v>21</v>
      </c>
      <c r="G906">
        <v>93475</v>
      </c>
      <c r="H906">
        <v>4831449</v>
      </c>
      <c r="I906">
        <v>51.687143817204323</v>
      </c>
      <c r="J906">
        <v>93203.882542812513</v>
      </c>
      <c r="K906">
        <v>59.5</v>
      </c>
      <c r="L906">
        <v>55.5</v>
      </c>
      <c r="M906">
        <v>51.837421448411355</v>
      </c>
      <c r="N906">
        <v>4940436</v>
      </c>
    </row>
    <row r="907" spans="1:14" x14ac:dyDescent="0.35">
      <c r="A907" t="s">
        <v>49</v>
      </c>
      <c r="B907">
        <v>202604</v>
      </c>
      <c r="C907" t="str">
        <f>MID(analisis_productividad__4[[#This Row],[Periodo]],1,4)</f>
        <v>2026</v>
      </c>
      <c r="D907" t="str">
        <f>MID(analisis_productividad__4[[#This Row],[Periodo]],5,2)</f>
        <v>04</v>
      </c>
      <c r="E907" t="s">
        <v>16</v>
      </c>
      <c r="F907" t="s">
        <v>21</v>
      </c>
      <c r="G907">
        <v>93466</v>
      </c>
      <c r="H907">
        <v>5565095</v>
      </c>
      <c r="I907">
        <v>59.541659722222882</v>
      </c>
      <c r="J907">
        <v>86896.305723160913</v>
      </c>
      <c r="K907">
        <v>75.5</v>
      </c>
      <c r="L907">
        <v>68</v>
      </c>
      <c r="M907">
        <v>66.56902434528007</v>
      </c>
      <c r="N907">
        <v>5784602</v>
      </c>
    </row>
    <row r="908" spans="1:14" x14ac:dyDescent="0.35">
      <c r="A908" t="s">
        <v>82</v>
      </c>
      <c r="B908">
        <v>202412</v>
      </c>
      <c r="C908" t="str">
        <f>MID(analisis_productividad__4[[#This Row],[Periodo]],1,4)</f>
        <v>2024</v>
      </c>
      <c r="D908" t="str">
        <f>MID(analisis_productividad__4[[#This Row],[Periodo]],5,2)</f>
        <v>12</v>
      </c>
      <c r="E908" t="s">
        <v>11</v>
      </c>
      <c r="F908" t="s">
        <v>12</v>
      </c>
      <c r="G908">
        <v>93453</v>
      </c>
      <c r="H908">
        <v>5621844</v>
      </c>
      <c r="I908">
        <v>60.157143817204293</v>
      </c>
      <c r="J908">
        <v>0</v>
      </c>
      <c r="K908">
        <v>53.5</v>
      </c>
      <c r="L908">
        <v>54</v>
      </c>
      <c r="N908">
        <v>0</v>
      </c>
    </row>
    <row r="909" spans="1:14" x14ac:dyDescent="0.35">
      <c r="A909" t="s">
        <v>65</v>
      </c>
      <c r="B909">
        <v>202510</v>
      </c>
      <c r="C909" t="str">
        <f>MID(analisis_productividad__4[[#This Row],[Periodo]],1,4)</f>
        <v>2025</v>
      </c>
      <c r="D909" t="str">
        <f>MID(analisis_productividad__4[[#This Row],[Periodo]],5,2)</f>
        <v>10</v>
      </c>
      <c r="E909" t="s">
        <v>16</v>
      </c>
      <c r="F909" t="s">
        <v>19</v>
      </c>
      <c r="G909">
        <v>93395</v>
      </c>
      <c r="H909">
        <v>5449828</v>
      </c>
      <c r="I909">
        <v>58.352573924731196</v>
      </c>
      <c r="J909">
        <v>80497.395426472853</v>
      </c>
      <c r="K909">
        <v>68</v>
      </c>
      <c r="L909">
        <v>68.5</v>
      </c>
      <c r="M909">
        <v>67.701919809044355</v>
      </c>
      <c r="N909">
        <v>5331336</v>
      </c>
    </row>
    <row r="910" spans="1:14" x14ac:dyDescent="0.35">
      <c r="A910" t="s">
        <v>26</v>
      </c>
      <c r="B910">
        <v>202411</v>
      </c>
      <c r="C910" t="str">
        <f>MID(analisis_productividad__4[[#This Row],[Periodo]],1,4)</f>
        <v>2024</v>
      </c>
      <c r="D910" t="str">
        <f>MID(analisis_productividad__4[[#This Row],[Periodo]],5,2)</f>
        <v>11</v>
      </c>
      <c r="E910" t="s">
        <v>11</v>
      </c>
      <c r="F910" t="s">
        <v>12</v>
      </c>
      <c r="G910">
        <v>93380</v>
      </c>
      <c r="H910">
        <v>5488982</v>
      </c>
      <c r="I910">
        <v>58.781090277777771</v>
      </c>
      <c r="J910">
        <v>0</v>
      </c>
      <c r="K910">
        <v>65.5</v>
      </c>
      <c r="L910">
        <v>63</v>
      </c>
      <c r="N910">
        <v>0</v>
      </c>
    </row>
    <row r="911" spans="1:14" x14ac:dyDescent="0.35">
      <c r="A911" t="s">
        <v>50</v>
      </c>
      <c r="B911">
        <v>202509</v>
      </c>
      <c r="C911" t="str">
        <f>MID(analisis_productividad__4[[#This Row],[Periodo]],1,4)</f>
        <v>2025</v>
      </c>
      <c r="D911" t="str">
        <f>MID(analisis_productividad__4[[#This Row],[Periodo]],5,2)</f>
        <v>09</v>
      </c>
      <c r="E911" t="s">
        <v>34</v>
      </c>
      <c r="F911" t="s">
        <v>35</v>
      </c>
      <c r="G911">
        <v>93379</v>
      </c>
      <c r="H911">
        <v>5648571</v>
      </c>
      <c r="I911">
        <v>60.490645833333367</v>
      </c>
      <c r="J911">
        <v>90695.079951148829</v>
      </c>
      <c r="K911">
        <v>79.5</v>
      </c>
      <c r="L911">
        <v>72.5</v>
      </c>
      <c r="M911">
        <v>62.280902371357904</v>
      </c>
      <c r="N911">
        <v>5986850</v>
      </c>
    </row>
    <row r="912" spans="1:14" x14ac:dyDescent="0.35">
      <c r="A912" t="s">
        <v>51</v>
      </c>
      <c r="B912">
        <v>202410</v>
      </c>
      <c r="C912" t="str">
        <f>MID(analisis_productividad__4[[#This Row],[Periodo]],1,4)</f>
        <v>2024</v>
      </c>
      <c r="D912" t="str">
        <f>MID(analisis_productividad__4[[#This Row],[Periodo]],5,2)</f>
        <v>10</v>
      </c>
      <c r="E912" t="s">
        <v>11</v>
      </c>
      <c r="F912" t="s">
        <v>52</v>
      </c>
      <c r="G912">
        <v>93370</v>
      </c>
      <c r="H912">
        <v>9156209</v>
      </c>
      <c r="I912">
        <v>98.063790322580644</v>
      </c>
      <c r="J912">
        <v>0</v>
      </c>
      <c r="K912">
        <v>117.5</v>
      </c>
      <c r="L912">
        <v>99</v>
      </c>
      <c r="N912">
        <v>0</v>
      </c>
    </row>
    <row r="913" spans="1:14" x14ac:dyDescent="0.35">
      <c r="A913" t="s">
        <v>75</v>
      </c>
      <c r="B913">
        <v>202511</v>
      </c>
      <c r="C913" t="str">
        <f>MID(analisis_productividad__4[[#This Row],[Periodo]],1,4)</f>
        <v>2025</v>
      </c>
      <c r="D913" t="str">
        <f>MID(analisis_productividad__4[[#This Row],[Periodo]],5,2)</f>
        <v>11</v>
      </c>
      <c r="E913" t="s">
        <v>11</v>
      </c>
      <c r="F913" t="s">
        <v>52</v>
      </c>
      <c r="G913">
        <v>93360</v>
      </c>
      <c r="H913">
        <v>9267133</v>
      </c>
      <c r="I913">
        <v>99.261944444444495</v>
      </c>
      <c r="J913">
        <v>94096.124768171299</v>
      </c>
      <c r="K913">
        <v>118</v>
      </c>
      <c r="L913">
        <v>106</v>
      </c>
      <c r="M913">
        <v>98.485813234411438</v>
      </c>
      <c r="N913">
        <v>10166622</v>
      </c>
    </row>
    <row r="914" spans="1:14" x14ac:dyDescent="0.35">
      <c r="A914" t="s">
        <v>57</v>
      </c>
      <c r="B914">
        <v>202404</v>
      </c>
      <c r="C914" t="str">
        <f>MID(analisis_productividad__4[[#This Row],[Periodo]],1,4)</f>
        <v>2024</v>
      </c>
      <c r="D914" t="str">
        <f>MID(analisis_productividad__4[[#This Row],[Periodo]],5,2)</f>
        <v>04</v>
      </c>
      <c r="E914" t="s">
        <v>16</v>
      </c>
      <c r="F914" t="s">
        <v>19</v>
      </c>
      <c r="G914">
        <v>93356</v>
      </c>
      <c r="H914">
        <v>5983748</v>
      </c>
      <c r="I914">
        <v>64.096131944444437</v>
      </c>
      <c r="J914">
        <v>0</v>
      </c>
      <c r="K914">
        <v>71</v>
      </c>
      <c r="L914">
        <v>74.5</v>
      </c>
      <c r="N914">
        <v>0</v>
      </c>
    </row>
    <row r="915" spans="1:14" x14ac:dyDescent="0.35">
      <c r="A915" t="s">
        <v>31</v>
      </c>
      <c r="B915">
        <v>202402</v>
      </c>
      <c r="C915" t="str">
        <f>MID(analisis_productividad__4[[#This Row],[Periodo]],1,4)</f>
        <v>2024</v>
      </c>
      <c r="D915" t="str">
        <f>MID(analisis_productividad__4[[#This Row],[Periodo]],5,2)</f>
        <v>02</v>
      </c>
      <c r="E915" t="s">
        <v>11</v>
      </c>
      <c r="F915" t="s">
        <v>14</v>
      </c>
      <c r="G915">
        <v>93281</v>
      </c>
      <c r="H915">
        <v>8888511</v>
      </c>
      <c r="I915">
        <v>95.287248563218341</v>
      </c>
      <c r="J915">
        <v>0</v>
      </c>
      <c r="K915">
        <v>101.5</v>
      </c>
      <c r="L915">
        <v>97.5</v>
      </c>
      <c r="N915">
        <v>0</v>
      </c>
    </row>
    <row r="916" spans="1:14" x14ac:dyDescent="0.35">
      <c r="A916" t="s">
        <v>25</v>
      </c>
      <c r="B916">
        <v>202408</v>
      </c>
      <c r="C916" t="str">
        <f>MID(analisis_productividad__4[[#This Row],[Periodo]],1,4)</f>
        <v>2024</v>
      </c>
      <c r="D916" t="str">
        <f>MID(analisis_productividad__4[[#This Row],[Periodo]],5,2)</f>
        <v>08</v>
      </c>
      <c r="E916" t="s">
        <v>16</v>
      </c>
      <c r="F916" t="s">
        <v>19</v>
      </c>
      <c r="G916">
        <v>93248</v>
      </c>
      <c r="H916">
        <v>7933472</v>
      </c>
      <c r="I916">
        <v>85.079684139784931</v>
      </c>
      <c r="J916">
        <v>0</v>
      </c>
      <c r="K916">
        <v>94</v>
      </c>
      <c r="L916">
        <v>92</v>
      </c>
      <c r="N916">
        <v>0</v>
      </c>
    </row>
    <row r="917" spans="1:14" x14ac:dyDescent="0.35">
      <c r="A917" t="s">
        <v>82</v>
      </c>
      <c r="B917">
        <v>202603</v>
      </c>
      <c r="C917" t="str">
        <f>MID(analisis_productividad__4[[#This Row],[Periodo]],1,4)</f>
        <v>2026</v>
      </c>
      <c r="D917" t="str">
        <f>MID(analisis_productividad__4[[#This Row],[Periodo]],5,2)</f>
        <v>03</v>
      </c>
      <c r="E917" t="s">
        <v>11</v>
      </c>
      <c r="F917" t="s">
        <v>12</v>
      </c>
      <c r="G917">
        <v>93241</v>
      </c>
      <c r="H917">
        <v>4881000</v>
      </c>
      <c r="I917">
        <v>52.347956989247329</v>
      </c>
      <c r="J917">
        <v>118254.49120106069</v>
      </c>
      <c r="K917">
        <v>53.5</v>
      </c>
      <c r="L917">
        <v>54</v>
      </c>
      <c r="M917">
        <v>47.165198395018514</v>
      </c>
      <c r="N917">
        <v>5577497</v>
      </c>
    </row>
    <row r="918" spans="1:14" x14ac:dyDescent="0.35">
      <c r="A918" t="s">
        <v>61</v>
      </c>
      <c r="B918">
        <v>202407</v>
      </c>
      <c r="C918" t="str">
        <f>MID(analisis_productividad__4[[#This Row],[Periodo]],1,4)</f>
        <v>2024</v>
      </c>
      <c r="D918" t="str">
        <f>MID(analisis_productividad__4[[#This Row],[Periodo]],5,2)</f>
        <v>07</v>
      </c>
      <c r="E918" t="s">
        <v>11</v>
      </c>
      <c r="F918" t="s">
        <v>52</v>
      </c>
      <c r="G918">
        <v>93232</v>
      </c>
      <c r="H918">
        <v>8881666</v>
      </c>
      <c r="I918">
        <v>95.264448924731198</v>
      </c>
      <c r="J918">
        <v>0</v>
      </c>
      <c r="K918">
        <v>104.5</v>
      </c>
      <c r="L918">
        <v>99</v>
      </c>
      <c r="N918">
        <v>0</v>
      </c>
    </row>
    <row r="919" spans="1:14" x14ac:dyDescent="0.35">
      <c r="A919" t="s">
        <v>24</v>
      </c>
      <c r="B919">
        <v>202402</v>
      </c>
      <c r="C919" t="str">
        <f>MID(analisis_productividad__4[[#This Row],[Periodo]],1,4)</f>
        <v>2024</v>
      </c>
      <c r="D919" t="str">
        <f>MID(analisis_productividad__4[[#This Row],[Periodo]],5,2)</f>
        <v>02</v>
      </c>
      <c r="E919" t="s">
        <v>16</v>
      </c>
      <c r="F919" t="s">
        <v>21</v>
      </c>
      <c r="G919">
        <v>93211</v>
      </c>
      <c r="H919">
        <v>10285057</v>
      </c>
      <c r="I919">
        <v>110.34217672413796</v>
      </c>
      <c r="J919">
        <v>0</v>
      </c>
      <c r="K919">
        <v>125</v>
      </c>
      <c r="L919">
        <v>118.5</v>
      </c>
      <c r="N919">
        <v>0</v>
      </c>
    </row>
    <row r="920" spans="1:14" x14ac:dyDescent="0.35">
      <c r="A920" t="s">
        <v>40</v>
      </c>
      <c r="B920">
        <v>202408</v>
      </c>
      <c r="C920" t="str">
        <f>MID(analisis_productividad__4[[#This Row],[Periodo]],1,4)</f>
        <v>2024</v>
      </c>
      <c r="D920" t="str">
        <f>MID(analisis_productividad__4[[#This Row],[Periodo]],5,2)</f>
        <v>08</v>
      </c>
      <c r="E920" t="s">
        <v>11</v>
      </c>
      <c r="F920" t="s">
        <v>14</v>
      </c>
      <c r="G920">
        <v>93205</v>
      </c>
      <c r="H920">
        <v>5938108</v>
      </c>
      <c r="I920">
        <v>63.709926075268804</v>
      </c>
      <c r="J920">
        <v>0</v>
      </c>
      <c r="K920">
        <v>76.5</v>
      </c>
      <c r="L920">
        <v>75.5</v>
      </c>
      <c r="N920">
        <v>0</v>
      </c>
    </row>
    <row r="921" spans="1:14" x14ac:dyDescent="0.35">
      <c r="A921" t="s">
        <v>62</v>
      </c>
      <c r="B921">
        <v>202604</v>
      </c>
      <c r="C921" t="str">
        <f>MID(analisis_productividad__4[[#This Row],[Periodo]],1,4)</f>
        <v>2026</v>
      </c>
      <c r="D921" t="str">
        <f>MID(analisis_productividad__4[[#This Row],[Periodo]],5,2)</f>
        <v>04</v>
      </c>
      <c r="E921" t="s">
        <v>16</v>
      </c>
      <c r="F921" t="s">
        <v>17</v>
      </c>
      <c r="G921">
        <v>93175</v>
      </c>
      <c r="H921">
        <v>2747750</v>
      </c>
      <c r="I921">
        <v>29.490124999999878</v>
      </c>
      <c r="J921">
        <v>89542.555675074793</v>
      </c>
      <c r="K921">
        <v>32.5</v>
      </c>
      <c r="L921">
        <v>32</v>
      </c>
      <c r="M921">
        <v>29.073700348097926</v>
      </c>
      <c r="N921">
        <v>2603333</v>
      </c>
    </row>
    <row r="922" spans="1:14" x14ac:dyDescent="0.35">
      <c r="A922" t="s">
        <v>79</v>
      </c>
      <c r="B922">
        <v>202407</v>
      </c>
      <c r="C922" t="str">
        <f>MID(analisis_productividad__4[[#This Row],[Periodo]],1,4)</f>
        <v>2024</v>
      </c>
      <c r="D922" t="str">
        <f>MID(analisis_productividad__4[[#This Row],[Periodo]],5,2)</f>
        <v>07</v>
      </c>
      <c r="E922" t="s">
        <v>11</v>
      </c>
      <c r="F922" t="s">
        <v>12</v>
      </c>
      <c r="G922">
        <v>93158</v>
      </c>
      <c r="H922">
        <v>5986236</v>
      </c>
      <c r="I922">
        <v>64.258635752688178</v>
      </c>
      <c r="J922">
        <v>0</v>
      </c>
      <c r="K922">
        <v>64.5</v>
      </c>
      <c r="L922">
        <v>64</v>
      </c>
      <c r="N922">
        <v>0</v>
      </c>
    </row>
    <row r="923" spans="1:14" x14ac:dyDescent="0.35">
      <c r="A923" t="s">
        <v>75</v>
      </c>
      <c r="B923">
        <v>202603</v>
      </c>
      <c r="C923" t="str">
        <f>MID(analisis_productividad__4[[#This Row],[Periodo]],1,4)</f>
        <v>2026</v>
      </c>
      <c r="D923" t="str">
        <f>MID(analisis_productividad__4[[#This Row],[Periodo]],5,2)</f>
        <v>03</v>
      </c>
      <c r="E923" t="s">
        <v>11</v>
      </c>
      <c r="F923" t="s">
        <v>52</v>
      </c>
      <c r="G923">
        <v>93110</v>
      </c>
      <c r="H923">
        <v>10069020</v>
      </c>
      <c r="I923">
        <v>108.14153225806459</v>
      </c>
      <c r="J923">
        <v>97530.842733194164</v>
      </c>
      <c r="K923">
        <v>118</v>
      </c>
      <c r="L923">
        <v>106</v>
      </c>
      <c r="M923">
        <v>102.17544085783207</v>
      </c>
      <c r="N923">
        <v>9965257</v>
      </c>
    </row>
    <row r="924" spans="1:14" x14ac:dyDescent="0.35">
      <c r="A924" t="s">
        <v>112</v>
      </c>
      <c r="B924">
        <v>202412</v>
      </c>
      <c r="C924" t="str">
        <f>MID(analisis_productividad__4[[#This Row],[Periodo]],1,4)</f>
        <v>2024</v>
      </c>
      <c r="D924" t="str">
        <f>MID(analisis_productividad__4[[#This Row],[Periodo]],5,2)</f>
        <v>12</v>
      </c>
      <c r="E924" t="s">
        <v>34</v>
      </c>
      <c r="F924" t="s">
        <v>35</v>
      </c>
      <c r="G924">
        <v>93079</v>
      </c>
      <c r="H924">
        <v>2562035</v>
      </c>
      <c r="I924">
        <v>27.525336021505371</v>
      </c>
      <c r="J924">
        <v>0</v>
      </c>
      <c r="K924">
        <v>31</v>
      </c>
      <c r="L924">
        <v>27</v>
      </c>
      <c r="N924">
        <v>0</v>
      </c>
    </row>
    <row r="925" spans="1:14" x14ac:dyDescent="0.35">
      <c r="A925" t="s">
        <v>46</v>
      </c>
      <c r="B925">
        <v>202508</v>
      </c>
      <c r="C925" t="str">
        <f>MID(analisis_productividad__4[[#This Row],[Periodo]],1,4)</f>
        <v>2025</v>
      </c>
      <c r="D925" t="str">
        <f>MID(analisis_productividad__4[[#This Row],[Periodo]],5,2)</f>
        <v>08</v>
      </c>
      <c r="E925" t="s">
        <v>11</v>
      </c>
      <c r="F925" t="s">
        <v>14</v>
      </c>
      <c r="G925">
        <v>93079</v>
      </c>
      <c r="H925">
        <v>6379262</v>
      </c>
      <c r="I925">
        <v>68.536115591397902</v>
      </c>
      <c r="J925">
        <v>101696.61592060138</v>
      </c>
      <c r="K925">
        <v>77</v>
      </c>
      <c r="L925">
        <v>79</v>
      </c>
      <c r="M925">
        <v>62.728359269894945</v>
      </c>
      <c r="N925">
        <v>6628385</v>
      </c>
    </row>
    <row r="926" spans="1:14" x14ac:dyDescent="0.35">
      <c r="A926" t="s">
        <v>32</v>
      </c>
      <c r="B926">
        <v>202606</v>
      </c>
      <c r="C926" t="str">
        <f>MID(analisis_productividad__4[[#This Row],[Periodo]],1,4)</f>
        <v>2026</v>
      </c>
      <c r="D926" t="str">
        <f>MID(analisis_productividad__4[[#This Row],[Periodo]],5,2)</f>
        <v>06</v>
      </c>
      <c r="E926" t="s">
        <v>11</v>
      </c>
      <c r="F926" t="s">
        <v>12</v>
      </c>
      <c r="G926">
        <v>93059</v>
      </c>
      <c r="H926">
        <v>5354998</v>
      </c>
      <c r="I926">
        <v>57.54437499999969</v>
      </c>
      <c r="J926">
        <v>98314.955853465668</v>
      </c>
      <c r="K926">
        <v>65.5</v>
      </c>
      <c r="L926">
        <v>66</v>
      </c>
      <c r="M926">
        <v>55.812340478272937</v>
      </c>
      <c r="N926">
        <v>5487188</v>
      </c>
    </row>
    <row r="927" spans="1:14" x14ac:dyDescent="0.35">
      <c r="A927" t="s">
        <v>53</v>
      </c>
      <c r="B927">
        <v>202505</v>
      </c>
      <c r="C927" t="str">
        <f>MID(analisis_productividad__4[[#This Row],[Periodo]],1,4)</f>
        <v>2025</v>
      </c>
      <c r="D927" t="str">
        <f>MID(analisis_productividad__4[[#This Row],[Periodo]],5,2)</f>
        <v>05</v>
      </c>
      <c r="E927" t="s">
        <v>11</v>
      </c>
      <c r="F927" t="s">
        <v>12</v>
      </c>
      <c r="G927">
        <v>93058</v>
      </c>
      <c r="H927">
        <v>6387287</v>
      </c>
      <c r="I927">
        <v>68.637775537634425</v>
      </c>
      <c r="J927">
        <v>94897.42315135822</v>
      </c>
      <c r="K927">
        <v>81</v>
      </c>
      <c r="L927">
        <v>77</v>
      </c>
      <c r="M927">
        <v>67.307273241892872</v>
      </c>
      <c r="N927">
        <v>6778870</v>
      </c>
    </row>
    <row r="928" spans="1:14" x14ac:dyDescent="0.35">
      <c r="A928" t="s">
        <v>60</v>
      </c>
      <c r="B928">
        <v>202605</v>
      </c>
      <c r="C928" t="str">
        <f>MID(analisis_productividad__4[[#This Row],[Periodo]],1,4)</f>
        <v>2026</v>
      </c>
      <c r="D928" t="str">
        <f>MID(analisis_productividad__4[[#This Row],[Periodo]],5,2)</f>
        <v>05</v>
      </c>
      <c r="E928" t="s">
        <v>11</v>
      </c>
      <c r="F928" t="s">
        <v>14</v>
      </c>
      <c r="G928">
        <v>93057</v>
      </c>
      <c r="H928">
        <v>6172549</v>
      </c>
      <c r="I928">
        <v>66.330504032258361</v>
      </c>
      <c r="J928">
        <v>95763.765018788225</v>
      </c>
      <c r="K928">
        <v>75.5</v>
      </c>
      <c r="L928">
        <v>74</v>
      </c>
      <c r="M928">
        <v>63.845934941054651</v>
      </c>
      <c r="N928">
        <v>6114127</v>
      </c>
    </row>
    <row r="929" spans="1:14" x14ac:dyDescent="0.35">
      <c r="A929" t="s">
        <v>24</v>
      </c>
      <c r="B929">
        <v>202411</v>
      </c>
      <c r="C929" t="str">
        <f>MID(analisis_productividad__4[[#This Row],[Periodo]],1,4)</f>
        <v>2024</v>
      </c>
      <c r="D929" t="str">
        <f>MID(analisis_productividad__4[[#This Row],[Periodo]],5,2)</f>
        <v>11</v>
      </c>
      <c r="E929" t="s">
        <v>16</v>
      </c>
      <c r="F929" t="s">
        <v>21</v>
      </c>
      <c r="G929">
        <v>93035</v>
      </c>
      <c r="H929">
        <v>9206293</v>
      </c>
      <c r="I929">
        <v>98.955451388888946</v>
      </c>
      <c r="J929">
        <v>0</v>
      </c>
      <c r="K929">
        <v>125</v>
      </c>
      <c r="L929">
        <v>118.5</v>
      </c>
      <c r="N929">
        <v>0</v>
      </c>
    </row>
    <row r="930" spans="1:14" x14ac:dyDescent="0.35">
      <c r="A930" t="s">
        <v>77</v>
      </c>
      <c r="B930">
        <v>202601</v>
      </c>
      <c r="C930" t="str">
        <f>MID(analisis_productividad__4[[#This Row],[Periodo]],1,4)</f>
        <v>2026</v>
      </c>
      <c r="D930" t="str">
        <f>MID(analisis_productividad__4[[#This Row],[Periodo]],5,2)</f>
        <v>01</v>
      </c>
      <c r="E930" t="s">
        <v>16</v>
      </c>
      <c r="F930" t="s">
        <v>21</v>
      </c>
      <c r="G930">
        <v>93032</v>
      </c>
      <c r="H930">
        <v>4618851</v>
      </c>
      <c r="I930">
        <v>49.648111559139807</v>
      </c>
      <c r="J930">
        <v>86332.544577857712</v>
      </c>
      <c r="K930">
        <v>60.5</v>
      </c>
      <c r="L930">
        <v>60.5</v>
      </c>
      <c r="M930">
        <v>53.343390369396616</v>
      </c>
      <c r="N930">
        <v>4605271</v>
      </c>
    </row>
    <row r="931" spans="1:14" x14ac:dyDescent="0.35">
      <c r="A931" t="s">
        <v>68</v>
      </c>
      <c r="B931">
        <v>202510</v>
      </c>
      <c r="C931" t="str">
        <f>MID(analisis_productividad__4[[#This Row],[Periodo]],1,4)</f>
        <v>2025</v>
      </c>
      <c r="D931" t="str">
        <f>MID(analisis_productividad__4[[#This Row],[Periodo]],5,2)</f>
        <v>10</v>
      </c>
      <c r="E931" t="s">
        <v>11</v>
      </c>
      <c r="F931" t="s">
        <v>52</v>
      </c>
      <c r="G931">
        <v>93001</v>
      </c>
      <c r="H931">
        <v>7544427</v>
      </c>
      <c r="I931">
        <v>81.122143817204332</v>
      </c>
      <c r="J931">
        <v>92503.352423903256</v>
      </c>
      <c r="K931">
        <v>103</v>
      </c>
      <c r="L931">
        <v>91</v>
      </c>
      <c r="M931">
        <v>81.558419693019587</v>
      </c>
      <c r="N931">
        <v>8515354</v>
      </c>
    </row>
    <row r="932" spans="1:14" x14ac:dyDescent="0.35">
      <c r="A932" t="s">
        <v>23</v>
      </c>
      <c r="B932">
        <v>202509</v>
      </c>
      <c r="C932" t="str">
        <f>MID(analisis_productividad__4[[#This Row],[Periodo]],1,4)</f>
        <v>2025</v>
      </c>
      <c r="D932" t="str">
        <f>MID(analisis_productividad__4[[#This Row],[Periodo]],5,2)</f>
        <v>09</v>
      </c>
      <c r="E932" t="s">
        <v>11</v>
      </c>
      <c r="F932" t="s">
        <v>12</v>
      </c>
      <c r="G932">
        <v>92954</v>
      </c>
      <c r="H932">
        <v>5566743</v>
      </c>
      <c r="I932">
        <v>59.887381944444499</v>
      </c>
      <c r="J932">
        <v>92400.639445430716</v>
      </c>
      <c r="K932">
        <v>68.5</v>
      </c>
      <c r="L932">
        <v>66</v>
      </c>
      <c r="M932">
        <v>60.245715542775713</v>
      </c>
      <c r="N932">
        <v>5656695</v>
      </c>
    </row>
    <row r="933" spans="1:14" x14ac:dyDescent="0.35">
      <c r="A933" t="s">
        <v>27</v>
      </c>
      <c r="B933">
        <v>202404</v>
      </c>
      <c r="C933" t="str">
        <f>MID(analisis_productividad__4[[#This Row],[Periodo]],1,4)</f>
        <v>2024</v>
      </c>
      <c r="D933" t="str">
        <f>MID(analisis_productividad__4[[#This Row],[Periodo]],5,2)</f>
        <v>04</v>
      </c>
      <c r="E933" t="s">
        <v>11</v>
      </c>
      <c r="F933" t="s">
        <v>14</v>
      </c>
      <c r="G933">
        <v>92872</v>
      </c>
      <c r="H933">
        <v>7230536</v>
      </c>
      <c r="I933">
        <v>77.85516666666669</v>
      </c>
      <c r="J933">
        <v>0</v>
      </c>
      <c r="K933">
        <v>88</v>
      </c>
      <c r="L933">
        <v>84</v>
      </c>
      <c r="N933">
        <v>0</v>
      </c>
    </row>
    <row r="934" spans="1:14" x14ac:dyDescent="0.35">
      <c r="A934" t="s">
        <v>20</v>
      </c>
      <c r="B934">
        <v>202406</v>
      </c>
      <c r="C934" t="str">
        <f>MID(analisis_productividad__4[[#This Row],[Periodo]],1,4)</f>
        <v>2024</v>
      </c>
      <c r="D934" t="str">
        <f>MID(analisis_productividad__4[[#This Row],[Periodo]],5,2)</f>
        <v>06</v>
      </c>
      <c r="E934" t="s">
        <v>16</v>
      </c>
      <c r="F934" t="s">
        <v>21</v>
      </c>
      <c r="G934">
        <v>92845</v>
      </c>
      <c r="H934">
        <v>8154585</v>
      </c>
      <c r="I934">
        <v>87.829680555555598</v>
      </c>
      <c r="J934">
        <v>0</v>
      </c>
      <c r="K934">
        <v>96.5</v>
      </c>
      <c r="L934">
        <v>94</v>
      </c>
      <c r="N934">
        <v>0</v>
      </c>
    </row>
    <row r="935" spans="1:14" x14ac:dyDescent="0.35">
      <c r="A935" t="s">
        <v>32</v>
      </c>
      <c r="B935">
        <v>202601</v>
      </c>
      <c r="C935" t="str">
        <f>MID(analisis_productividad__4[[#This Row],[Periodo]],1,4)</f>
        <v>2026</v>
      </c>
      <c r="D935" t="str">
        <f>MID(analisis_productividad__4[[#This Row],[Periodo]],5,2)</f>
        <v>01</v>
      </c>
      <c r="E935" t="s">
        <v>11</v>
      </c>
      <c r="F935" t="s">
        <v>12</v>
      </c>
      <c r="G935">
        <v>92811</v>
      </c>
      <c r="H935">
        <v>5402380</v>
      </c>
      <c r="I935">
        <v>58.20815188172044</v>
      </c>
      <c r="J935">
        <v>95614.636565499779</v>
      </c>
      <c r="K935">
        <v>65.5</v>
      </c>
      <c r="L935">
        <v>66</v>
      </c>
      <c r="M935">
        <v>55.812340478272937</v>
      </c>
      <c r="N935">
        <v>5336477</v>
      </c>
    </row>
    <row r="936" spans="1:14" x14ac:dyDescent="0.35">
      <c r="A936" t="s">
        <v>46</v>
      </c>
      <c r="B936">
        <v>202401</v>
      </c>
      <c r="C936" t="str">
        <f>MID(analisis_productividad__4[[#This Row],[Periodo]],1,4)</f>
        <v>2024</v>
      </c>
      <c r="D936" t="str">
        <f>MID(analisis_productividad__4[[#This Row],[Periodo]],5,2)</f>
        <v>01</v>
      </c>
      <c r="E936" t="s">
        <v>11</v>
      </c>
      <c r="F936" t="s">
        <v>14</v>
      </c>
      <c r="G936">
        <v>92811</v>
      </c>
      <c r="H936">
        <v>5616607</v>
      </c>
      <c r="I936">
        <v>60.516599462365591</v>
      </c>
      <c r="J936">
        <v>0</v>
      </c>
      <c r="K936">
        <v>77</v>
      </c>
      <c r="L936">
        <v>79</v>
      </c>
      <c r="N936">
        <v>0</v>
      </c>
    </row>
    <row r="937" spans="1:14" x14ac:dyDescent="0.35">
      <c r="A937" t="s">
        <v>79</v>
      </c>
      <c r="B937">
        <v>202605</v>
      </c>
      <c r="C937" t="str">
        <f>MID(analisis_productividad__4[[#This Row],[Periodo]],1,4)</f>
        <v>2026</v>
      </c>
      <c r="D937" t="str">
        <f>MID(analisis_productividad__4[[#This Row],[Periodo]],5,2)</f>
        <v>05</v>
      </c>
      <c r="E937" t="s">
        <v>11</v>
      </c>
      <c r="F937" t="s">
        <v>12</v>
      </c>
      <c r="G937">
        <v>92805</v>
      </c>
      <c r="H937">
        <v>5526601</v>
      </c>
      <c r="I937">
        <v>59.550430107526942</v>
      </c>
      <c r="J937">
        <v>97422.154848679682</v>
      </c>
      <c r="K937">
        <v>64.5</v>
      </c>
      <c r="L937">
        <v>64</v>
      </c>
      <c r="M937">
        <v>54.966698955874868</v>
      </c>
      <c r="N937">
        <v>5354974</v>
      </c>
    </row>
    <row r="938" spans="1:14" x14ac:dyDescent="0.35">
      <c r="A938" t="s">
        <v>46</v>
      </c>
      <c r="B938">
        <v>202501</v>
      </c>
      <c r="C938" t="str">
        <f>MID(analisis_productividad__4[[#This Row],[Periodo]],1,4)</f>
        <v>2025</v>
      </c>
      <c r="D938" t="str">
        <f>MID(analisis_productividad__4[[#This Row],[Periodo]],5,2)</f>
        <v>01</v>
      </c>
      <c r="E938" t="s">
        <v>11</v>
      </c>
      <c r="F938" t="s">
        <v>14</v>
      </c>
      <c r="G938">
        <v>92789</v>
      </c>
      <c r="H938">
        <v>6152401</v>
      </c>
      <c r="I938">
        <v>66.30561827956987</v>
      </c>
      <c r="J938">
        <v>97451.562445565563</v>
      </c>
      <c r="K938">
        <v>77</v>
      </c>
      <c r="L938">
        <v>79</v>
      </c>
      <c r="M938">
        <v>63.132915631153736</v>
      </c>
      <c r="N938">
        <v>5766002</v>
      </c>
    </row>
    <row r="939" spans="1:14" x14ac:dyDescent="0.35">
      <c r="A939" t="s">
        <v>50</v>
      </c>
      <c r="B939">
        <v>202602</v>
      </c>
      <c r="C939" t="str">
        <f>MID(analisis_productividad__4[[#This Row],[Periodo]],1,4)</f>
        <v>2026</v>
      </c>
      <c r="D939" t="str">
        <f>MID(analisis_productividad__4[[#This Row],[Periodo]],5,2)</f>
        <v>02</v>
      </c>
      <c r="E939" t="s">
        <v>34</v>
      </c>
      <c r="F939" t="s">
        <v>35</v>
      </c>
      <c r="G939">
        <v>92783</v>
      </c>
      <c r="H939">
        <v>5866426</v>
      </c>
      <c r="I939">
        <v>63.227656249999988</v>
      </c>
      <c r="J939">
        <v>88091.937039207871</v>
      </c>
      <c r="K939">
        <v>79.5</v>
      </c>
      <c r="L939">
        <v>72.5</v>
      </c>
      <c r="M939">
        <v>64.209802769832038</v>
      </c>
      <c r="N939">
        <v>5656366</v>
      </c>
    </row>
    <row r="940" spans="1:14" x14ac:dyDescent="0.35">
      <c r="A940" t="s">
        <v>50</v>
      </c>
      <c r="B940">
        <v>202404</v>
      </c>
      <c r="C940" t="str">
        <f>MID(analisis_productividad__4[[#This Row],[Periodo]],1,4)</f>
        <v>2024</v>
      </c>
      <c r="D940" t="str">
        <f>MID(analisis_productividad__4[[#This Row],[Periodo]],5,2)</f>
        <v>04</v>
      </c>
      <c r="E940" t="s">
        <v>34</v>
      </c>
      <c r="F940" t="s">
        <v>35</v>
      </c>
      <c r="G940">
        <v>92781</v>
      </c>
      <c r="H940">
        <v>5735138</v>
      </c>
      <c r="I940">
        <v>61.8138402777778</v>
      </c>
      <c r="J940">
        <v>0</v>
      </c>
      <c r="K940">
        <v>79.5</v>
      </c>
      <c r="L940">
        <v>72.5</v>
      </c>
      <c r="N940">
        <v>0</v>
      </c>
    </row>
    <row r="941" spans="1:14" x14ac:dyDescent="0.35">
      <c r="A941" t="s">
        <v>74</v>
      </c>
      <c r="B941">
        <v>202601</v>
      </c>
      <c r="C941" t="str">
        <f>MID(analisis_productividad__4[[#This Row],[Periodo]],1,4)</f>
        <v>2026</v>
      </c>
      <c r="D941" t="str">
        <f>MID(analisis_productividad__4[[#This Row],[Periodo]],5,2)</f>
        <v>01</v>
      </c>
      <c r="E941" t="s">
        <v>16</v>
      </c>
      <c r="F941" t="s">
        <v>19</v>
      </c>
      <c r="G941">
        <v>92778</v>
      </c>
      <c r="H941">
        <v>4092156</v>
      </c>
      <c r="I941">
        <v>44.107150537634411</v>
      </c>
      <c r="J941">
        <v>90791.025090058465</v>
      </c>
      <c r="K941">
        <v>50.5</v>
      </c>
      <c r="L941">
        <v>51.5</v>
      </c>
      <c r="M941">
        <v>44.728769766304502</v>
      </c>
      <c r="N941">
        <v>4060971</v>
      </c>
    </row>
    <row r="942" spans="1:14" x14ac:dyDescent="0.35">
      <c r="A942" t="s">
        <v>18</v>
      </c>
      <c r="B942">
        <v>202407</v>
      </c>
      <c r="C942" t="str">
        <f>MID(analisis_productividad__4[[#This Row],[Periodo]],1,4)</f>
        <v>2024</v>
      </c>
      <c r="D942" t="str">
        <f>MID(analisis_productividad__4[[#This Row],[Periodo]],5,2)</f>
        <v>07</v>
      </c>
      <c r="E942" t="s">
        <v>16</v>
      </c>
      <c r="F942" t="s">
        <v>19</v>
      </c>
      <c r="G942">
        <v>92753</v>
      </c>
      <c r="H942">
        <v>5911299</v>
      </c>
      <c r="I942">
        <v>63.731330645161279</v>
      </c>
      <c r="J942">
        <v>0</v>
      </c>
      <c r="K942">
        <v>70.5</v>
      </c>
      <c r="L942">
        <v>69.5</v>
      </c>
      <c r="N942">
        <v>0</v>
      </c>
    </row>
    <row r="943" spans="1:14" x14ac:dyDescent="0.35">
      <c r="A943" t="s">
        <v>81</v>
      </c>
      <c r="B943">
        <v>202601</v>
      </c>
      <c r="C943" t="str">
        <f>MID(analisis_productividad__4[[#This Row],[Periodo]],1,4)</f>
        <v>2026</v>
      </c>
      <c r="D943" t="str">
        <f>MID(analisis_productividad__4[[#This Row],[Periodo]],5,2)</f>
        <v>01</v>
      </c>
      <c r="E943" t="s">
        <v>34</v>
      </c>
      <c r="F943" t="s">
        <v>35</v>
      </c>
      <c r="G943">
        <v>92722</v>
      </c>
      <c r="H943">
        <v>7439451</v>
      </c>
      <c r="I943">
        <v>80.234018817204287</v>
      </c>
      <c r="J943">
        <v>89761.998708126906</v>
      </c>
      <c r="K943">
        <v>106</v>
      </c>
      <c r="L943">
        <v>94.5</v>
      </c>
      <c r="M943">
        <v>88.413034538205707</v>
      </c>
      <c r="N943">
        <v>7936131</v>
      </c>
    </row>
    <row r="944" spans="1:14" x14ac:dyDescent="0.35">
      <c r="A944" t="s">
        <v>81</v>
      </c>
      <c r="B944">
        <v>202606</v>
      </c>
      <c r="C944" t="str">
        <f>MID(analisis_productividad__4[[#This Row],[Periodo]],1,4)</f>
        <v>2026</v>
      </c>
      <c r="D944" t="str">
        <f>MID(analisis_productividad__4[[#This Row],[Periodo]],5,2)</f>
        <v>06</v>
      </c>
      <c r="E944" t="s">
        <v>34</v>
      </c>
      <c r="F944" t="s">
        <v>35</v>
      </c>
      <c r="G944">
        <v>92697</v>
      </c>
      <c r="H944">
        <v>7766438</v>
      </c>
      <c r="I944">
        <v>83.783194444446778</v>
      </c>
      <c r="J944">
        <v>85052.613258631056</v>
      </c>
      <c r="K944">
        <v>106</v>
      </c>
      <c r="L944">
        <v>94.5</v>
      </c>
      <c r="M944">
        <v>88.413034538205707</v>
      </c>
      <c r="N944">
        <v>7519760</v>
      </c>
    </row>
    <row r="945" spans="1:14" x14ac:dyDescent="0.35">
      <c r="A945" t="s">
        <v>24</v>
      </c>
      <c r="B945">
        <v>202508</v>
      </c>
      <c r="C945" t="str">
        <f>MID(analisis_productividad__4[[#This Row],[Periodo]],1,4)</f>
        <v>2025</v>
      </c>
      <c r="D945" t="str">
        <f>MID(analisis_productividad__4[[#This Row],[Periodo]],5,2)</f>
        <v>08</v>
      </c>
      <c r="E945" t="s">
        <v>16</v>
      </c>
      <c r="F945" t="s">
        <v>21</v>
      </c>
      <c r="G945">
        <v>92680</v>
      </c>
      <c r="H945">
        <v>9309700</v>
      </c>
      <c r="I945">
        <v>100.4497647849462</v>
      </c>
      <c r="J945">
        <v>98211.801195131527</v>
      </c>
      <c r="K945">
        <v>125</v>
      </c>
      <c r="L945">
        <v>118.5</v>
      </c>
      <c r="M945">
        <v>94.792075256853039</v>
      </c>
      <c r="N945">
        <v>9486917</v>
      </c>
    </row>
    <row r="946" spans="1:14" x14ac:dyDescent="0.35">
      <c r="A946" t="s">
        <v>46</v>
      </c>
      <c r="B946">
        <v>202405</v>
      </c>
      <c r="C946" t="str">
        <f>MID(analisis_productividad__4[[#This Row],[Periodo]],1,4)</f>
        <v>2024</v>
      </c>
      <c r="D946" t="str">
        <f>MID(analisis_productividad__4[[#This Row],[Periodo]],5,2)</f>
        <v>05</v>
      </c>
      <c r="E946" t="s">
        <v>11</v>
      </c>
      <c r="F946" t="s">
        <v>14</v>
      </c>
      <c r="G946">
        <v>92665</v>
      </c>
      <c r="H946">
        <v>6333302</v>
      </c>
      <c r="I946">
        <v>68.346579301075266</v>
      </c>
      <c r="J946">
        <v>0</v>
      </c>
      <c r="K946">
        <v>77</v>
      </c>
      <c r="L946">
        <v>79</v>
      </c>
      <c r="N946">
        <v>0</v>
      </c>
    </row>
    <row r="947" spans="1:14" x14ac:dyDescent="0.35">
      <c r="A947" t="s">
        <v>38</v>
      </c>
      <c r="B947">
        <v>202409</v>
      </c>
      <c r="C947" t="str">
        <f>MID(analisis_productividad__4[[#This Row],[Periodo]],1,4)</f>
        <v>2024</v>
      </c>
      <c r="D947" t="str">
        <f>MID(analisis_productividad__4[[#This Row],[Periodo]],5,2)</f>
        <v>09</v>
      </c>
      <c r="E947" t="s">
        <v>34</v>
      </c>
      <c r="F947" t="s">
        <v>35</v>
      </c>
      <c r="G947">
        <v>92595</v>
      </c>
      <c r="H947">
        <v>11085468</v>
      </c>
      <c r="I947">
        <v>119.71954166666663</v>
      </c>
      <c r="J947">
        <v>0</v>
      </c>
      <c r="K947">
        <v>140.5</v>
      </c>
      <c r="L947">
        <v>125.5</v>
      </c>
      <c r="N947">
        <v>0</v>
      </c>
    </row>
    <row r="948" spans="1:14" x14ac:dyDescent="0.35">
      <c r="A948" t="s">
        <v>32</v>
      </c>
      <c r="B948">
        <v>202408</v>
      </c>
      <c r="C948" t="str">
        <f>MID(analisis_productividad__4[[#This Row],[Periodo]],1,4)</f>
        <v>2024</v>
      </c>
      <c r="D948" t="str">
        <f>MID(analisis_productividad__4[[#This Row],[Periodo]],5,2)</f>
        <v>08</v>
      </c>
      <c r="E948" t="s">
        <v>11</v>
      </c>
      <c r="F948" t="s">
        <v>12</v>
      </c>
      <c r="G948">
        <v>92569</v>
      </c>
      <c r="H948">
        <v>5367501</v>
      </c>
      <c r="I948">
        <v>57.983662634408596</v>
      </c>
      <c r="J948">
        <v>0</v>
      </c>
      <c r="K948">
        <v>65.5</v>
      </c>
      <c r="L948">
        <v>66</v>
      </c>
      <c r="N948">
        <v>0</v>
      </c>
    </row>
    <row r="949" spans="1:14" x14ac:dyDescent="0.35">
      <c r="A949" t="s">
        <v>27</v>
      </c>
      <c r="B949">
        <v>202501</v>
      </c>
      <c r="C949" t="str">
        <f>MID(analisis_productividad__4[[#This Row],[Periodo]],1,4)</f>
        <v>2025</v>
      </c>
      <c r="D949" t="str">
        <f>MID(analisis_productividad__4[[#This Row],[Periodo]],5,2)</f>
        <v>01</v>
      </c>
      <c r="E949" t="s">
        <v>11</v>
      </c>
      <c r="F949" t="s">
        <v>14</v>
      </c>
      <c r="G949">
        <v>92554</v>
      </c>
      <c r="H949">
        <v>7655103</v>
      </c>
      <c r="I949">
        <v>82.709422043010719</v>
      </c>
      <c r="J949">
        <v>99789.222064319198</v>
      </c>
      <c r="K949">
        <v>88</v>
      </c>
      <c r="L949">
        <v>84</v>
      </c>
      <c r="M949">
        <v>76.712724797733159</v>
      </c>
      <c r="N949">
        <v>7834878</v>
      </c>
    </row>
    <row r="950" spans="1:14" x14ac:dyDescent="0.35">
      <c r="A950" t="s">
        <v>32</v>
      </c>
      <c r="B950">
        <v>202406</v>
      </c>
      <c r="C950" t="str">
        <f>MID(analisis_productividad__4[[#This Row],[Periodo]],1,4)</f>
        <v>2024</v>
      </c>
      <c r="D950" t="str">
        <f>MID(analisis_productividad__4[[#This Row],[Periodo]],5,2)</f>
        <v>06</v>
      </c>
      <c r="E950" t="s">
        <v>11</v>
      </c>
      <c r="F950" t="s">
        <v>12</v>
      </c>
      <c r="G950">
        <v>92539</v>
      </c>
      <c r="H950">
        <v>5578005</v>
      </c>
      <c r="I950">
        <v>60.277437499999991</v>
      </c>
      <c r="J950">
        <v>0</v>
      </c>
      <c r="K950">
        <v>65.5</v>
      </c>
      <c r="L950">
        <v>66</v>
      </c>
      <c r="N950">
        <v>0</v>
      </c>
    </row>
    <row r="951" spans="1:14" x14ac:dyDescent="0.35">
      <c r="A951" t="s">
        <v>57</v>
      </c>
      <c r="B951">
        <v>202411</v>
      </c>
      <c r="C951" t="str">
        <f>MID(analisis_productividad__4[[#This Row],[Periodo]],1,4)</f>
        <v>2024</v>
      </c>
      <c r="D951" t="str">
        <f>MID(analisis_productividad__4[[#This Row],[Periodo]],5,2)</f>
        <v>11</v>
      </c>
      <c r="E951" t="s">
        <v>16</v>
      </c>
      <c r="F951" t="s">
        <v>19</v>
      </c>
      <c r="G951">
        <v>92513</v>
      </c>
      <c r="H951">
        <v>6057464</v>
      </c>
      <c r="I951">
        <v>65.476638888888886</v>
      </c>
      <c r="J951">
        <v>0</v>
      </c>
      <c r="K951">
        <v>71</v>
      </c>
      <c r="L951">
        <v>74.5</v>
      </c>
      <c r="N951">
        <v>0</v>
      </c>
    </row>
    <row r="952" spans="1:14" x14ac:dyDescent="0.35">
      <c r="A952" t="s">
        <v>83</v>
      </c>
      <c r="B952">
        <v>202603</v>
      </c>
      <c r="C952" t="str">
        <f>MID(analisis_productividad__4[[#This Row],[Periodo]],1,4)</f>
        <v>2026</v>
      </c>
      <c r="D952" t="str">
        <f>MID(analisis_productividad__4[[#This Row],[Periodo]],5,2)</f>
        <v>03</v>
      </c>
      <c r="E952" t="s">
        <v>16</v>
      </c>
      <c r="F952" t="s">
        <v>17</v>
      </c>
      <c r="G952">
        <v>92466</v>
      </c>
      <c r="H952">
        <v>4321005</v>
      </c>
      <c r="I952">
        <v>46.730927419354856</v>
      </c>
      <c r="J952">
        <v>91218.694754519078</v>
      </c>
      <c r="K952">
        <v>52</v>
      </c>
      <c r="L952">
        <v>52</v>
      </c>
      <c r="M952">
        <v>46.517920556956689</v>
      </c>
      <c r="N952">
        <v>4243304</v>
      </c>
    </row>
    <row r="953" spans="1:14" x14ac:dyDescent="0.35">
      <c r="A953" t="s">
        <v>68</v>
      </c>
      <c r="B953">
        <v>202509</v>
      </c>
      <c r="C953" t="str">
        <f>MID(analisis_productividad__4[[#This Row],[Periodo]],1,4)</f>
        <v>2025</v>
      </c>
      <c r="D953" t="str">
        <f>MID(analisis_productividad__4[[#This Row],[Periodo]],5,2)</f>
        <v>09</v>
      </c>
      <c r="E953" t="s">
        <v>11</v>
      </c>
      <c r="F953" t="s">
        <v>52</v>
      </c>
      <c r="G953">
        <v>92447</v>
      </c>
      <c r="H953">
        <v>7367446</v>
      </c>
      <c r="I953">
        <v>79.69363888888897</v>
      </c>
      <c r="J953">
        <v>97056.525876674685</v>
      </c>
      <c r="K953">
        <v>103</v>
      </c>
      <c r="L953">
        <v>91</v>
      </c>
      <c r="M953">
        <v>75.908812245778066</v>
      </c>
      <c r="N953">
        <v>8301449</v>
      </c>
    </row>
    <row r="954" spans="1:14" x14ac:dyDescent="0.35">
      <c r="A954" t="s">
        <v>64</v>
      </c>
      <c r="B954">
        <v>202502</v>
      </c>
      <c r="C954" t="str">
        <f>MID(analisis_productividad__4[[#This Row],[Periodo]],1,4)</f>
        <v>2025</v>
      </c>
      <c r="D954" t="str">
        <f>MID(analisis_productividad__4[[#This Row],[Periodo]],5,2)</f>
        <v>02</v>
      </c>
      <c r="E954" t="s">
        <v>16</v>
      </c>
      <c r="F954" t="s">
        <v>21</v>
      </c>
      <c r="G954">
        <v>92441</v>
      </c>
      <c r="H954">
        <v>7387253</v>
      </c>
      <c r="I954">
        <v>79.913385416666685</v>
      </c>
      <c r="J954">
        <v>83465.932779651193</v>
      </c>
      <c r="K954">
        <v>88.5</v>
      </c>
      <c r="L954">
        <v>92.5</v>
      </c>
      <c r="M954">
        <v>88.506199643179428</v>
      </c>
      <c r="N954">
        <v>5933284</v>
      </c>
    </row>
    <row r="955" spans="1:14" x14ac:dyDescent="0.35">
      <c r="A955" t="s">
        <v>68</v>
      </c>
      <c r="B955">
        <v>202409</v>
      </c>
      <c r="C955" t="str">
        <f>MID(analisis_productividad__4[[#This Row],[Periodo]],1,4)</f>
        <v>2024</v>
      </c>
      <c r="D955" t="str">
        <f>MID(analisis_productividad__4[[#This Row],[Periodo]],5,2)</f>
        <v>09</v>
      </c>
      <c r="E955" t="s">
        <v>11</v>
      </c>
      <c r="F955" t="s">
        <v>52</v>
      </c>
      <c r="G955">
        <v>92435</v>
      </c>
      <c r="H955">
        <v>7574399</v>
      </c>
      <c r="I955">
        <v>81.943166666666684</v>
      </c>
      <c r="J955">
        <v>0</v>
      </c>
      <c r="K955">
        <v>103</v>
      </c>
      <c r="L955">
        <v>91</v>
      </c>
      <c r="N955">
        <v>0</v>
      </c>
    </row>
    <row r="956" spans="1:14" x14ac:dyDescent="0.35">
      <c r="A956" t="s">
        <v>55</v>
      </c>
      <c r="B956">
        <v>202408</v>
      </c>
      <c r="C956" t="str">
        <f>MID(analisis_productividad__4[[#This Row],[Periodo]],1,4)</f>
        <v>2024</v>
      </c>
      <c r="D956" t="str">
        <f>MID(analisis_productividad__4[[#This Row],[Periodo]],5,2)</f>
        <v>08</v>
      </c>
      <c r="E956" t="s">
        <v>16</v>
      </c>
      <c r="F956" t="s">
        <v>21</v>
      </c>
      <c r="G956">
        <v>92432</v>
      </c>
      <c r="H956">
        <v>4739428</v>
      </c>
      <c r="I956">
        <v>51.274576612903239</v>
      </c>
      <c r="J956">
        <v>0</v>
      </c>
      <c r="K956">
        <v>55</v>
      </c>
      <c r="L956">
        <v>50.5</v>
      </c>
      <c r="N956">
        <v>0</v>
      </c>
    </row>
    <row r="957" spans="1:14" x14ac:dyDescent="0.35">
      <c r="A957" t="s">
        <v>76</v>
      </c>
      <c r="B957">
        <v>202606</v>
      </c>
      <c r="C957" t="str">
        <f>MID(analisis_productividad__4[[#This Row],[Periodo]],1,4)</f>
        <v>2026</v>
      </c>
      <c r="D957" t="str">
        <f>MID(analisis_productividad__4[[#This Row],[Periodo]],5,2)</f>
        <v>06</v>
      </c>
      <c r="E957" t="s">
        <v>11</v>
      </c>
      <c r="F957" t="s">
        <v>14</v>
      </c>
      <c r="G957">
        <v>92416</v>
      </c>
      <c r="H957">
        <v>6257457</v>
      </c>
      <c r="I957">
        <v>67.709833333334487</v>
      </c>
      <c r="J957">
        <v>88702.632326041596</v>
      </c>
      <c r="K957">
        <v>80</v>
      </c>
      <c r="L957">
        <v>78</v>
      </c>
      <c r="M957">
        <v>69.114627897013889</v>
      </c>
      <c r="N957">
        <v>6130649</v>
      </c>
    </row>
    <row r="958" spans="1:14" x14ac:dyDescent="0.35">
      <c r="A958" t="s">
        <v>65</v>
      </c>
      <c r="B958">
        <v>202503</v>
      </c>
      <c r="C958" t="str">
        <f>MID(analisis_productividad__4[[#This Row],[Periodo]],1,4)</f>
        <v>2025</v>
      </c>
      <c r="D958" t="str">
        <f>MID(analisis_productividad__4[[#This Row],[Periodo]],5,2)</f>
        <v>03</v>
      </c>
      <c r="E958" t="s">
        <v>16</v>
      </c>
      <c r="F958" t="s">
        <v>19</v>
      </c>
      <c r="G958">
        <v>92402</v>
      </c>
      <c r="H958">
        <v>6134959</v>
      </c>
      <c r="I958">
        <v>66.394012096774205</v>
      </c>
      <c r="J958">
        <v>94432.254178611518</v>
      </c>
      <c r="K958">
        <v>68</v>
      </c>
      <c r="L958">
        <v>68.5</v>
      </c>
      <c r="M958">
        <v>64.966774047309997</v>
      </c>
      <c r="N958">
        <v>5543023</v>
      </c>
    </row>
    <row r="959" spans="1:14" x14ac:dyDescent="0.35">
      <c r="A959" t="s">
        <v>51</v>
      </c>
      <c r="B959">
        <v>202409</v>
      </c>
      <c r="C959" t="str">
        <f>MID(analisis_productividad__4[[#This Row],[Periodo]],1,4)</f>
        <v>2024</v>
      </c>
      <c r="D959" t="str">
        <f>MID(analisis_productividad__4[[#This Row],[Periodo]],5,2)</f>
        <v>09</v>
      </c>
      <c r="E959" t="s">
        <v>11</v>
      </c>
      <c r="F959" t="s">
        <v>52</v>
      </c>
      <c r="G959">
        <v>92388</v>
      </c>
      <c r="H959">
        <v>9025811</v>
      </c>
      <c r="I959">
        <v>97.694770833333351</v>
      </c>
      <c r="J959">
        <v>0</v>
      </c>
      <c r="K959">
        <v>117.5</v>
      </c>
      <c r="L959">
        <v>99</v>
      </c>
      <c r="N959">
        <v>0</v>
      </c>
    </row>
    <row r="960" spans="1:14" x14ac:dyDescent="0.35">
      <c r="A960" t="s">
        <v>28</v>
      </c>
      <c r="B960">
        <v>202405</v>
      </c>
      <c r="C960" t="str">
        <f>MID(analisis_productividad__4[[#This Row],[Periodo]],1,4)</f>
        <v>2024</v>
      </c>
      <c r="D960" t="str">
        <f>MID(analisis_productividad__4[[#This Row],[Periodo]],5,2)</f>
        <v>05</v>
      </c>
      <c r="E960" t="s">
        <v>16</v>
      </c>
      <c r="F960" t="s">
        <v>17</v>
      </c>
      <c r="G960">
        <v>92385</v>
      </c>
      <c r="H960">
        <v>5464947</v>
      </c>
      <c r="I960">
        <v>59.153951612903221</v>
      </c>
      <c r="J960">
        <v>0</v>
      </c>
      <c r="K960">
        <v>64</v>
      </c>
      <c r="L960">
        <v>67</v>
      </c>
      <c r="N960">
        <v>0</v>
      </c>
    </row>
    <row r="961" spans="1:14" x14ac:dyDescent="0.35">
      <c r="A961" t="s">
        <v>41</v>
      </c>
      <c r="B961">
        <v>202606</v>
      </c>
      <c r="C961" t="str">
        <f>MID(analisis_productividad__4[[#This Row],[Periodo]],1,4)</f>
        <v>2026</v>
      </c>
      <c r="D961" t="str">
        <f>MID(analisis_productividad__4[[#This Row],[Periodo]],5,2)</f>
        <v>06</v>
      </c>
      <c r="E961" t="s">
        <v>16</v>
      </c>
      <c r="F961" t="s">
        <v>19</v>
      </c>
      <c r="G961">
        <v>92381</v>
      </c>
      <c r="H961">
        <v>4419981</v>
      </c>
      <c r="I961">
        <v>47.845097222222314</v>
      </c>
      <c r="J961">
        <v>87291.274051649685</v>
      </c>
      <c r="K961">
        <v>57.5</v>
      </c>
      <c r="L961">
        <v>56.5</v>
      </c>
      <c r="M961">
        <v>50.698263574219922</v>
      </c>
      <c r="N961">
        <v>4425516</v>
      </c>
    </row>
    <row r="962" spans="1:14" x14ac:dyDescent="0.35">
      <c r="A962" t="s">
        <v>71</v>
      </c>
      <c r="B962">
        <v>202604</v>
      </c>
      <c r="C962" t="str">
        <f>MID(analisis_productividad__4[[#This Row],[Periodo]],1,4)</f>
        <v>2026</v>
      </c>
      <c r="D962" t="str">
        <f>MID(analisis_productividad__4[[#This Row],[Periodo]],5,2)</f>
        <v>04</v>
      </c>
      <c r="E962" t="s">
        <v>16</v>
      </c>
      <c r="F962" t="s">
        <v>19</v>
      </c>
      <c r="G962">
        <v>92375</v>
      </c>
      <c r="H962">
        <v>3295944</v>
      </c>
      <c r="I962">
        <v>35.679972222222354</v>
      </c>
      <c r="J962">
        <v>69175.744742501527</v>
      </c>
      <c r="K962">
        <v>41.5</v>
      </c>
      <c r="L962">
        <v>35.5</v>
      </c>
      <c r="M962">
        <v>37.124878906032741</v>
      </c>
      <c r="N962">
        <v>2568141</v>
      </c>
    </row>
    <row r="963" spans="1:14" x14ac:dyDescent="0.35">
      <c r="A963" t="s">
        <v>80</v>
      </c>
      <c r="B963">
        <v>202501</v>
      </c>
      <c r="C963" t="str">
        <f>MID(analisis_productividad__4[[#This Row],[Periodo]],1,4)</f>
        <v>2025</v>
      </c>
      <c r="D963" t="str">
        <f>MID(analisis_productividad__4[[#This Row],[Periodo]],5,2)</f>
        <v>01</v>
      </c>
      <c r="E963" t="s">
        <v>16</v>
      </c>
      <c r="F963" t="s">
        <v>17</v>
      </c>
      <c r="G963">
        <v>92360</v>
      </c>
      <c r="H963">
        <v>4765753</v>
      </c>
      <c r="I963">
        <v>51.600020161290303</v>
      </c>
      <c r="J963">
        <v>83749.09897237517</v>
      </c>
      <c r="K963">
        <v>58</v>
      </c>
      <c r="L963">
        <v>58.5</v>
      </c>
      <c r="M963">
        <v>56.905127678710826</v>
      </c>
      <c r="N963">
        <v>4457547</v>
      </c>
    </row>
    <row r="964" spans="1:14" x14ac:dyDescent="0.35">
      <c r="A964" t="s">
        <v>43</v>
      </c>
      <c r="B964">
        <v>202509</v>
      </c>
      <c r="C964" t="str">
        <f>MID(analisis_productividad__4[[#This Row],[Periodo]],1,4)</f>
        <v>2025</v>
      </c>
      <c r="D964" t="str">
        <f>MID(analisis_productividad__4[[#This Row],[Periodo]],5,2)</f>
        <v>09</v>
      </c>
      <c r="E964" t="s">
        <v>11</v>
      </c>
      <c r="F964" t="s">
        <v>12</v>
      </c>
      <c r="G964">
        <v>92351</v>
      </c>
      <c r="H964">
        <v>6128222</v>
      </c>
      <c r="I964">
        <v>66.357861111111163</v>
      </c>
      <c r="J964">
        <v>86077.358643636384</v>
      </c>
      <c r="K964">
        <v>84.5</v>
      </c>
      <c r="L964">
        <v>86.5</v>
      </c>
      <c r="M964">
        <v>71.194356292588878</v>
      </c>
      <c r="N964">
        <v>6406806</v>
      </c>
    </row>
    <row r="965" spans="1:14" x14ac:dyDescent="0.35">
      <c r="A965" t="s">
        <v>53</v>
      </c>
      <c r="B965">
        <v>202511</v>
      </c>
      <c r="C965" t="str">
        <f>MID(analisis_productividad__4[[#This Row],[Periodo]],1,4)</f>
        <v>2025</v>
      </c>
      <c r="D965" t="str">
        <f>MID(analisis_productividad__4[[#This Row],[Periodo]],5,2)</f>
        <v>11</v>
      </c>
      <c r="E965" t="s">
        <v>11</v>
      </c>
      <c r="F965" t="s">
        <v>12</v>
      </c>
      <c r="G965">
        <v>92336</v>
      </c>
      <c r="H965">
        <v>6608649</v>
      </c>
      <c r="I965">
        <v>71.571791666666684</v>
      </c>
      <c r="J965">
        <v>95211.987304675175</v>
      </c>
      <c r="K965">
        <v>81</v>
      </c>
      <c r="L965">
        <v>77</v>
      </c>
      <c r="M965">
        <v>69.409837847964937</v>
      </c>
      <c r="N965">
        <v>6754229</v>
      </c>
    </row>
    <row r="966" spans="1:14" x14ac:dyDescent="0.35">
      <c r="A966" t="s">
        <v>60</v>
      </c>
      <c r="B966">
        <v>202604</v>
      </c>
      <c r="C966" t="str">
        <f>MID(analisis_productividad__4[[#This Row],[Periodo]],1,4)</f>
        <v>2026</v>
      </c>
      <c r="D966" t="str">
        <f>MID(analisis_productividad__4[[#This Row],[Periodo]],5,2)</f>
        <v>04</v>
      </c>
      <c r="E966" t="s">
        <v>11</v>
      </c>
      <c r="F966" t="s">
        <v>14</v>
      </c>
      <c r="G966">
        <v>92315</v>
      </c>
      <c r="H966">
        <v>5886462</v>
      </c>
      <c r="I966">
        <v>63.765284722223363</v>
      </c>
      <c r="J966">
        <v>89160.202967590332</v>
      </c>
      <c r="K966">
        <v>75.5</v>
      </c>
      <c r="L966">
        <v>74</v>
      </c>
      <c r="M966">
        <v>63.845934941054651</v>
      </c>
      <c r="N966">
        <v>5692517</v>
      </c>
    </row>
    <row r="967" spans="1:14" x14ac:dyDescent="0.35">
      <c r="A967" t="s">
        <v>72</v>
      </c>
      <c r="B967">
        <v>202605</v>
      </c>
      <c r="C967" t="str">
        <f>MID(analisis_productividad__4[[#This Row],[Periodo]],1,4)</f>
        <v>2026</v>
      </c>
      <c r="D967" t="str">
        <f>MID(analisis_productividad__4[[#This Row],[Periodo]],5,2)</f>
        <v>05</v>
      </c>
      <c r="E967" t="s">
        <v>11</v>
      </c>
      <c r="F967" t="s">
        <v>14</v>
      </c>
      <c r="G967">
        <v>92300</v>
      </c>
      <c r="H967">
        <v>5126938</v>
      </c>
      <c r="I967">
        <v>55.546505376344513</v>
      </c>
      <c r="J967">
        <v>89598.234132475773</v>
      </c>
      <c r="K967">
        <v>66</v>
      </c>
      <c r="L967">
        <v>64.5</v>
      </c>
      <c r="M967">
        <v>56.772923994003754</v>
      </c>
      <c r="N967">
        <v>5086754</v>
      </c>
    </row>
    <row r="968" spans="1:14" x14ac:dyDescent="0.35">
      <c r="A968" t="s">
        <v>54</v>
      </c>
      <c r="B968">
        <v>202602</v>
      </c>
      <c r="C968" t="str">
        <f>MID(analisis_productividad__4[[#This Row],[Periodo]],1,4)</f>
        <v>2026</v>
      </c>
      <c r="D968" t="str">
        <f>MID(analisis_productividad__4[[#This Row],[Periodo]],5,2)</f>
        <v>02</v>
      </c>
      <c r="E968" t="s">
        <v>11</v>
      </c>
      <c r="F968" t="s">
        <v>52</v>
      </c>
      <c r="G968">
        <v>92296</v>
      </c>
      <c r="H968">
        <v>8593961</v>
      </c>
      <c r="I968">
        <v>93.112708333333288</v>
      </c>
      <c r="J968">
        <v>97858.66739868786</v>
      </c>
      <c r="K968">
        <v>106</v>
      </c>
      <c r="L968">
        <v>102.5</v>
      </c>
      <c r="M968">
        <v>90.060822135394957</v>
      </c>
      <c r="N968">
        <v>8813232</v>
      </c>
    </row>
    <row r="969" spans="1:14" x14ac:dyDescent="0.35">
      <c r="A969" t="s">
        <v>84</v>
      </c>
      <c r="B969">
        <v>202408</v>
      </c>
      <c r="C969" t="str">
        <f>MID(analisis_productividad__4[[#This Row],[Periodo]],1,4)</f>
        <v>2024</v>
      </c>
      <c r="D969" t="str">
        <f>MID(analisis_productividad__4[[#This Row],[Periodo]],5,2)</f>
        <v>08</v>
      </c>
      <c r="E969" t="s">
        <v>11</v>
      </c>
      <c r="F969" t="s">
        <v>52</v>
      </c>
      <c r="G969">
        <v>92277</v>
      </c>
      <c r="H969">
        <v>9073747</v>
      </c>
      <c r="I969">
        <v>98.33202956989247</v>
      </c>
      <c r="J969">
        <v>0</v>
      </c>
      <c r="K969">
        <v>123</v>
      </c>
      <c r="L969">
        <v>115.5</v>
      </c>
      <c r="N969">
        <v>0</v>
      </c>
    </row>
    <row r="970" spans="1:14" x14ac:dyDescent="0.35">
      <c r="A970" t="s">
        <v>53</v>
      </c>
      <c r="B970">
        <v>202408</v>
      </c>
      <c r="C970" t="str">
        <f>MID(analisis_productividad__4[[#This Row],[Periodo]],1,4)</f>
        <v>2024</v>
      </c>
      <c r="D970" t="str">
        <f>MID(analisis_productividad__4[[#This Row],[Periodo]],5,2)</f>
        <v>08</v>
      </c>
      <c r="E970" t="s">
        <v>11</v>
      </c>
      <c r="F970" t="s">
        <v>12</v>
      </c>
      <c r="G970">
        <v>92261</v>
      </c>
      <c r="H970">
        <v>6523228</v>
      </c>
      <c r="I970">
        <v>70.703857526881677</v>
      </c>
      <c r="J970">
        <v>0</v>
      </c>
      <c r="K970">
        <v>81</v>
      </c>
      <c r="L970">
        <v>77</v>
      </c>
      <c r="N970">
        <v>0</v>
      </c>
    </row>
    <row r="971" spans="1:14" x14ac:dyDescent="0.35">
      <c r="A971" t="s">
        <v>89</v>
      </c>
      <c r="B971">
        <v>202412</v>
      </c>
      <c r="C971" t="str">
        <f>MID(analisis_productividad__4[[#This Row],[Periodo]],1,4)</f>
        <v>2024</v>
      </c>
      <c r="D971" t="str">
        <f>MID(analisis_productividad__4[[#This Row],[Periodo]],5,2)</f>
        <v>12</v>
      </c>
      <c r="E971" t="s">
        <v>9</v>
      </c>
      <c r="F971" t="s">
        <v>9</v>
      </c>
      <c r="G971">
        <v>92261</v>
      </c>
      <c r="H971">
        <v>1281742</v>
      </c>
      <c r="I971">
        <v>13.89255376344086</v>
      </c>
      <c r="J971">
        <v>0</v>
      </c>
      <c r="K971">
        <v>17</v>
      </c>
      <c r="L971">
        <v>13.5</v>
      </c>
      <c r="N971">
        <v>0</v>
      </c>
    </row>
    <row r="972" spans="1:14" x14ac:dyDescent="0.35">
      <c r="A972" t="s">
        <v>22</v>
      </c>
      <c r="B972">
        <v>202510</v>
      </c>
      <c r="C972" t="str">
        <f>MID(analisis_productividad__4[[#This Row],[Periodo]],1,4)</f>
        <v>2025</v>
      </c>
      <c r="D972" t="str">
        <f>MID(analisis_productividad__4[[#This Row],[Periodo]],5,2)</f>
        <v>10</v>
      </c>
      <c r="E972" t="s">
        <v>16</v>
      </c>
      <c r="F972" t="s">
        <v>21</v>
      </c>
      <c r="G972">
        <v>92228</v>
      </c>
      <c r="H972">
        <v>4615629</v>
      </c>
      <c r="I972">
        <v>50.046001344086008</v>
      </c>
      <c r="J972">
        <v>101163.54771211024</v>
      </c>
      <c r="K972">
        <v>59.5</v>
      </c>
      <c r="L972">
        <v>55.5</v>
      </c>
      <c r="M972">
        <v>45.625413050312247</v>
      </c>
      <c r="N972">
        <v>4954749</v>
      </c>
    </row>
    <row r="973" spans="1:14" x14ac:dyDescent="0.35">
      <c r="A973" t="s">
        <v>37</v>
      </c>
      <c r="B973">
        <v>202405</v>
      </c>
      <c r="C973" t="str">
        <f>MID(analisis_productividad__4[[#This Row],[Periodo]],1,4)</f>
        <v>2024</v>
      </c>
      <c r="D973" t="str">
        <f>MID(analisis_productividad__4[[#This Row],[Periodo]],5,2)</f>
        <v>05</v>
      </c>
      <c r="E973" t="s">
        <v>16</v>
      </c>
      <c r="F973" t="s">
        <v>17</v>
      </c>
      <c r="G973">
        <v>92208</v>
      </c>
      <c r="H973">
        <v>9619322</v>
      </c>
      <c r="I973">
        <v>104.32196908602145</v>
      </c>
      <c r="J973">
        <v>0</v>
      </c>
      <c r="K973">
        <v>107.5</v>
      </c>
      <c r="L973">
        <v>102.5</v>
      </c>
      <c r="N973">
        <v>0</v>
      </c>
    </row>
    <row r="974" spans="1:14" x14ac:dyDescent="0.35">
      <c r="A974" t="s">
        <v>81</v>
      </c>
      <c r="B974">
        <v>202512</v>
      </c>
      <c r="C974" t="str">
        <f>MID(analisis_productividad__4[[#This Row],[Periodo]],1,4)</f>
        <v>2025</v>
      </c>
      <c r="D974" t="str">
        <f>MID(analisis_productividad__4[[#This Row],[Periodo]],5,2)</f>
        <v>12</v>
      </c>
      <c r="E974" t="s">
        <v>34</v>
      </c>
      <c r="F974" t="s">
        <v>35</v>
      </c>
      <c r="G974">
        <v>92163</v>
      </c>
      <c r="H974">
        <v>8865141</v>
      </c>
      <c r="I974">
        <v>96.189973118279511</v>
      </c>
      <c r="J974">
        <v>86912.709617242101</v>
      </c>
      <c r="K974">
        <v>106</v>
      </c>
      <c r="L974">
        <v>94.5</v>
      </c>
      <c r="M974">
        <v>102.00051119153343</v>
      </c>
      <c r="N974">
        <v>9649556</v>
      </c>
    </row>
    <row r="975" spans="1:14" x14ac:dyDescent="0.35">
      <c r="A975" t="s">
        <v>84</v>
      </c>
      <c r="B975">
        <v>202603</v>
      </c>
      <c r="C975" t="str">
        <f>MID(analisis_productividad__4[[#This Row],[Periodo]],1,4)</f>
        <v>2026</v>
      </c>
      <c r="D975" t="str">
        <f>MID(analisis_productividad__4[[#This Row],[Periodo]],5,2)</f>
        <v>03</v>
      </c>
      <c r="E975" t="s">
        <v>11</v>
      </c>
      <c r="F975" t="s">
        <v>52</v>
      </c>
      <c r="G975">
        <v>92132</v>
      </c>
      <c r="H975">
        <v>10068047</v>
      </c>
      <c r="I975">
        <v>109.27870295698924</v>
      </c>
      <c r="J975">
        <v>99470.288049203606</v>
      </c>
      <c r="K975">
        <v>123</v>
      </c>
      <c r="L975">
        <v>115.5</v>
      </c>
      <c r="M975">
        <v>102.59248347357834</v>
      </c>
      <c r="N975">
        <v>10204904</v>
      </c>
    </row>
    <row r="976" spans="1:14" x14ac:dyDescent="0.35">
      <c r="A976" t="s">
        <v>48</v>
      </c>
      <c r="B976">
        <v>202505</v>
      </c>
      <c r="C976" t="str">
        <f>MID(analisis_productividad__4[[#This Row],[Periodo]],1,4)</f>
        <v>2025</v>
      </c>
      <c r="D976" t="str">
        <f>MID(analisis_productividad__4[[#This Row],[Periodo]],5,2)</f>
        <v>05</v>
      </c>
      <c r="E976" t="s">
        <v>16</v>
      </c>
      <c r="F976" t="s">
        <v>21</v>
      </c>
      <c r="G976">
        <v>92126</v>
      </c>
      <c r="H976">
        <v>5002698</v>
      </c>
      <c r="I976">
        <v>54.302688172042991</v>
      </c>
      <c r="J976">
        <v>67495.275292099948</v>
      </c>
      <c r="K976">
        <v>56</v>
      </c>
      <c r="L976">
        <v>60</v>
      </c>
      <c r="M976">
        <v>74.119234988668097</v>
      </c>
      <c r="N976">
        <v>4852985</v>
      </c>
    </row>
    <row r="977" spans="1:14" x14ac:dyDescent="0.35">
      <c r="A977" t="s">
        <v>68</v>
      </c>
      <c r="B977">
        <v>202507</v>
      </c>
      <c r="C977" t="str">
        <f>MID(analisis_productividad__4[[#This Row],[Periodo]],1,4)</f>
        <v>2025</v>
      </c>
      <c r="D977" t="str">
        <f>MID(analisis_productividad__4[[#This Row],[Periodo]],5,2)</f>
        <v>07</v>
      </c>
      <c r="E977" t="s">
        <v>11</v>
      </c>
      <c r="F977" t="s">
        <v>52</v>
      </c>
      <c r="G977">
        <v>92097</v>
      </c>
      <c r="H977">
        <v>7627029</v>
      </c>
      <c r="I977">
        <v>82.815362903225846</v>
      </c>
      <c r="J977">
        <v>94854.01581884874</v>
      </c>
      <c r="K977">
        <v>103</v>
      </c>
      <c r="L977">
        <v>91</v>
      </c>
      <c r="M977">
        <v>80.408076602323519</v>
      </c>
      <c r="N977">
        <v>8494016</v>
      </c>
    </row>
    <row r="978" spans="1:14" x14ac:dyDescent="0.35">
      <c r="A978" t="s">
        <v>73</v>
      </c>
      <c r="B978">
        <v>202412</v>
      </c>
      <c r="C978" t="str">
        <f>MID(analisis_productividad__4[[#This Row],[Periodo]],1,4)</f>
        <v>2024</v>
      </c>
      <c r="D978" t="str">
        <f>MID(analisis_productividad__4[[#This Row],[Periodo]],5,2)</f>
        <v>12</v>
      </c>
      <c r="E978" t="s">
        <v>16</v>
      </c>
      <c r="F978" t="s">
        <v>21</v>
      </c>
      <c r="G978">
        <v>92094</v>
      </c>
      <c r="H978">
        <v>3938829</v>
      </c>
      <c r="I978">
        <v>42.769576612903222</v>
      </c>
      <c r="J978">
        <v>0</v>
      </c>
      <c r="K978">
        <v>43.5</v>
      </c>
      <c r="L978">
        <v>41</v>
      </c>
      <c r="N978">
        <v>0</v>
      </c>
    </row>
    <row r="979" spans="1:14" x14ac:dyDescent="0.35">
      <c r="A979" t="s">
        <v>23</v>
      </c>
      <c r="B979">
        <v>202401</v>
      </c>
      <c r="C979" t="str">
        <f>MID(analisis_productividad__4[[#This Row],[Periodo]],1,4)</f>
        <v>2024</v>
      </c>
      <c r="D979" t="str">
        <f>MID(analisis_productividad__4[[#This Row],[Periodo]],5,2)</f>
        <v>01</v>
      </c>
      <c r="E979" t="s">
        <v>11</v>
      </c>
      <c r="F979" t="s">
        <v>12</v>
      </c>
      <c r="G979">
        <v>92037</v>
      </c>
      <c r="H979">
        <v>5449296</v>
      </c>
      <c r="I979">
        <v>59.207533602150534</v>
      </c>
      <c r="J979">
        <v>0</v>
      </c>
      <c r="K979">
        <v>68.5</v>
      </c>
      <c r="L979">
        <v>66</v>
      </c>
      <c r="N979">
        <v>0</v>
      </c>
    </row>
    <row r="980" spans="1:14" x14ac:dyDescent="0.35">
      <c r="A980" t="s">
        <v>45</v>
      </c>
      <c r="B980">
        <v>202402</v>
      </c>
      <c r="C980" t="str">
        <f>MID(analisis_productividad__4[[#This Row],[Periodo]],1,4)</f>
        <v>2024</v>
      </c>
      <c r="D980" t="str">
        <f>MID(analisis_productividad__4[[#This Row],[Periodo]],5,2)</f>
        <v>02</v>
      </c>
      <c r="E980" t="s">
        <v>34</v>
      </c>
      <c r="F980" t="s">
        <v>35</v>
      </c>
      <c r="G980">
        <v>92021</v>
      </c>
      <c r="H980">
        <v>2660186</v>
      </c>
      <c r="I980">
        <v>28.908591954022992</v>
      </c>
      <c r="J980">
        <v>0</v>
      </c>
      <c r="K980">
        <v>22.5</v>
      </c>
      <c r="L980">
        <v>21</v>
      </c>
      <c r="N980">
        <v>0</v>
      </c>
    </row>
    <row r="981" spans="1:14" x14ac:dyDescent="0.35">
      <c r="A981" t="s">
        <v>25</v>
      </c>
      <c r="B981">
        <v>202404</v>
      </c>
      <c r="C981" t="str">
        <f>MID(analisis_productividad__4[[#This Row],[Periodo]],1,4)</f>
        <v>2024</v>
      </c>
      <c r="D981" t="str">
        <f>MID(analisis_productividad__4[[#This Row],[Periodo]],5,2)</f>
        <v>04</v>
      </c>
      <c r="E981" t="s">
        <v>16</v>
      </c>
      <c r="F981" t="s">
        <v>19</v>
      </c>
      <c r="G981">
        <v>92012</v>
      </c>
      <c r="H981">
        <v>7560910</v>
      </c>
      <c r="I981">
        <v>82.172902777777836</v>
      </c>
      <c r="J981">
        <v>0</v>
      </c>
      <c r="K981">
        <v>94</v>
      </c>
      <c r="L981">
        <v>92</v>
      </c>
      <c r="N981">
        <v>0</v>
      </c>
    </row>
    <row r="982" spans="1:14" x14ac:dyDescent="0.35">
      <c r="A982" t="s">
        <v>53</v>
      </c>
      <c r="B982">
        <v>202601</v>
      </c>
      <c r="C982" t="str">
        <f>MID(analisis_productividad__4[[#This Row],[Periodo]],1,4)</f>
        <v>2026</v>
      </c>
      <c r="D982" t="str">
        <f>MID(analisis_productividad__4[[#This Row],[Periodo]],5,2)</f>
        <v>01</v>
      </c>
      <c r="E982" t="s">
        <v>11</v>
      </c>
      <c r="F982" t="s">
        <v>12</v>
      </c>
      <c r="G982">
        <v>92005</v>
      </c>
      <c r="H982">
        <v>6594402</v>
      </c>
      <c r="I982">
        <v>71.674401881720428</v>
      </c>
      <c r="J982">
        <v>92127.210807114214</v>
      </c>
      <c r="K982">
        <v>81</v>
      </c>
      <c r="L982">
        <v>77</v>
      </c>
      <c r="M982">
        <v>69.978560745726568</v>
      </c>
      <c r="N982">
        <v>6446930</v>
      </c>
    </row>
    <row r="983" spans="1:14" x14ac:dyDescent="0.35">
      <c r="A983" t="s">
        <v>74</v>
      </c>
      <c r="B983">
        <v>202605</v>
      </c>
      <c r="C983" t="str">
        <f>MID(analisis_productividad__4[[#This Row],[Periodo]],1,4)</f>
        <v>2026</v>
      </c>
      <c r="D983" t="str">
        <f>MID(analisis_productividad__4[[#This Row],[Periodo]],5,2)</f>
        <v>05</v>
      </c>
      <c r="E983" t="s">
        <v>16</v>
      </c>
      <c r="F983" t="s">
        <v>19</v>
      </c>
      <c r="G983">
        <v>91947</v>
      </c>
      <c r="H983">
        <v>4230278</v>
      </c>
      <c r="I983">
        <v>46.00787634408681</v>
      </c>
      <c r="J983">
        <v>89956.691715924084</v>
      </c>
      <c r="K983">
        <v>50.5</v>
      </c>
      <c r="L983">
        <v>51.5</v>
      </c>
      <c r="M983">
        <v>44.728769766304502</v>
      </c>
      <c r="N983">
        <v>4023652</v>
      </c>
    </row>
    <row r="984" spans="1:14" x14ac:dyDescent="0.35">
      <c r="A984" t="s">
        <v>27</v>
      </c>
      <c r="B984">
        <v>202410</v>
      </c>
      <c r="C984" t="str">
        <f>MID(analisis_productividad__4[[#This Row],[Periodo]],1,4)</f>
        <v>2024</v>
      </c>
      <c r="D984" t="str">
        <f>MID(analisis_productividad__4[[#This Row],[Periodo]],5,2)</f>
        <v>10</v>
      </c>
      <c r="E984" t="s">
        <v>11</v>
      </c>
      <c r="F984" t="s">
        <v>14</v>
      </c>
      <c r="G984">
        <v>91912</v>
      </c>
      <c r="H984">
        <v>7064895</v>
      </c>
      <c r="I984">
        <v>76.865598118279578</v>
      </c>
      <c r="J984">
        <v>0</v>
      </c>
      <c r="K984">
        <v>88</v>
      </c>
      <c r="L984">
        <v>84</v>
      </c>
      <c r="N984">
        <v>0</v>
      </c>
    </row>
    <row r="985" spans="1:14" x14ac:dyDescent="0.35">
      <c r="A985" t="s">
        <v>87</v>
      </c>
      <c r="B985">
        <v>202401</v>
      </c>
      <c r="C985" t="str">
        <f>MID(analisis_productividad__4[[#This Row],[Periodo]],1,4)</f>
        <v>2024</v>
      </c>
      <c r="D985" t="str">
        <f>MID(analisis_productividad__4[[#This Row],[Periodo]],5,2)</f>
        <v>01</v>
      </c>
      <c r="E985" t="s">
        <v>9</v>
      </c>
      <c r="F985" t="s">
        <v>9</v>
      </c>
      <c r="G985">
        <v>91894</v>
      </c>
      <c r="H985">
        <v>1042773</v>
      </c>
      <c r="I985">
        <v>11.347526881720432</v>
      </c>
      <c r="J985">
        <v>0</v>
      </c>
      <c r="K985">
        <v>13.5</v>
      </c>
      <c r="L985">
        <v>12</v>
      </c>
      <c r="N985">
        <v>0</v>
      </c>
    </row>
    <row r="986" spans="1:14" x14ac:dyDescent="0.35">
      <c r="A986" t="s">
        <v>51</v>
      </c>
      <c r="B986">
        <v>202507</v>
      </c>
      <c r="C986" t="str">
        <f>MID(analisis_productividad__4[[#This Row],[Periodo]],1,4)</f>
        <v>2025</v>
      </c>
      <c r="D986" t="str">
        <f>MID(analisis_productividad__4[[#This Row],[Periodo]],5,2)</f>
        <v>07</v>
      </c>
      <c r="E986" t="s">
        <v>11</v>
      </c>
      <c r="F986" t="s">
        <v>52</v>
      </c>
      <c r="G986">
        <v>91858</v>
      </c>
      <c r="H986">
        <v>8926181</v>
      </c>
      <c r="I986">
        <v>97.173877688172041</v>
      </c>
      <c r="J986">
        <v>91167.039090072081</v>
      </c>
      <c r="K986">
        <v>117.5</v>
      </c>
      <c r="L986">
        <v>99</v>
      </c>
      <c r="M986">
        <v>97.91017629936438</v>
      </c>
      <c r="N986">
        <v>9877281</v>
      </c>
    </row>
    <row r="987" spans="1:14" x14ac:dyDescent="0.35">
      <c r="A987" t="s">
        <v>66</v>
      </c>
      <c r="B987">
        <v>202403</v>
      </c>
      <c r="C987" t="str">
        <f>MID(analisis_productividad__4[[#This Row],[Periodo]],1,4)</f>
        <v>2024</v>
      </c>
      <c r="D987" t="str">
        <f>MID(analisis_productividad__4[[#This Row],[Periodo]],5,2)</f>
        <v>03</v>
      </c>
      <c r="E987" t="s">
        <v>11</v>
      </c>
      <c r="F987" t="s">
        <v>12</v>
      </c>
      <c r="G987">
        <v>91856</v>
      </c>
      <c r="H987">
        <v>7581612</v>
      </c>
      <c r="I987">
        <v>82.537620967741987</v>
      </c>
      <c r="J987">
        <v>0</v>
      </c>
      <c r="K987">
        <v>80</v>
      </c>
      <c r="L987">
        <v>80.5</v>
      </c>
      <c r="N987">
        <v>0</v>
      </c>
    </row>
    <row r="988" spans="1:14" x14ac:dyDescent="0.35">
      <c r="A988" t="s">
        <v>55</v>
      </c>
      <c r="B988">
        <v>202405</v>
      </c>
      <c r="C988" t="str">
        <f>MID(analisis_productividad__4[[#This Row],[Periodo]],1,4)</f>
        <v>2024</v>
      </c>
      <c r="D988" t="str">
        <f>MID(analisis_productividad__4[[#This Row],[Periodo]],5,2)</f>
        <v>05</v>
      </c>
      <c r="E988" t="s">
        <v>16</v>
      </c>
      <c r="F988" t="s">
        <v>21</v>
      </c>
      <c r="G988">
        <v>91845</v>
      </c>
      <c r="H988">
        <v>4856416</v>
      </c>
      <c r="I988">
        <v>52.876391129032228</v>
      </c>
      <c r="J988">
        <v>0</v>
      </c>
      <c r="K988">
        <v>55</v>
      </c>
      <c r="L988">
        <v>50.5</v>
      </c>
      <c r="N988">
        <v>0</v>
      </c>
    </row>
    <row r="989" spans="1:14" x14ac:dyDescent="0.35">
      <c r="A989" t="s">
        <v>88</v>
      </c>
      <c r="B989">
        <v>202512</v>
      </c>
      <c r="C989" t="str">
        <f>MID(analisis_productividad__4[[#This Row],[Periodo]],1,4)</f>
        <v>2025</v>
      </c>
      <c r="D989" t="str">
        <f>MID(analisis_productividad__4[[#This Row],[Periodo]],5,2)</f>
        <v>12</v>
      </c>
      <c r="E989" t="s">
        <v>34</v>
      </c>
      <c r="F989" t="s">
        <v>35</v>
      </c>
      <c r="G989">
        <v>91840</v>
      </c>
      <c r="H989">
        <v>1359341</v>
      </c>
      <c r="I989">
        <v>14.801189516129019</v>
      </c>
      <c r="J989">
        <v>108461.12099482983</v>
      </c>
      <c r="K989">
        <v>15.5</v>
      </c>
      <c r="L989">
        <v>14.5</v>
      </c>
      <c r="M989">
        <v>12.5329787073176</v>
      </c>
      <c r="N989">
        <v>1515718</v>
      </c>
    </row>
    <row r="990" spans="1:14" x14ac:dyDescent="0.35">
      <c r="A990" t="s">
        <v>57</v>
      </c>
      <c r="B990">
        <v>202511</v>
      </c>
      <c r="C990" t="str">
        <f>MID(analisis_productividad__4[[#This Row],[Periodo]],1,4)</f>
        <v>2025</v>
      </c>
      <c r="D990" t="str">
        <f>MID(analisis_productividad__4[[#This Row],[Periodo]],5,2)</f>
        <v>11</v>
      </c>
      <c r="E990" t="s">
        <v>16</v>
      </c>
      <c r="F990" t="s">
        <v>19</v>
      </c>
      <c r="G990">
        <v>91839</v>
      </c>
      <c r="H990">
        <v>5978568</v>
      </c>
      <c r="I990">
        <v>65.098590277777816</v>
      </c>
      <c r="J990">
        <v>97139.029521555422</v>
      </c>
      <c r="K990">
        <v>71</v>
      </c>
      <c r="L990">
        <v>74.5</v>
      </c>
      <c r="M990">
        <v>61.546512142921294</v>
      </c>
      <c r="N990">
        <v>5835085</v>
      </c>
    </row>
    <row r="991" spans="1:14" x14ac:dyDescent="0.35">
      <c r="A991" t="s">
        <v>76</v>
      </c>
      <c r="B991">
        <v>202504</v>
      </c>
      <c r="C991" t="str">
        <f>MID(analisis_productividad__4[[#This Row],[Periodo]],1,4)</f>
        <v>2025</v>
      </c>
      <c r="D991" t="str">
        <f>MID(analisis_productividad__4[[#This Row],[Periodo]],5,2)</f>
        <v>04</v>
      </c>
      <c r="E991" t="s">
        <v>11</v>
      </c>
      <c r="F991" t="s">
        <v>14</v>
      </c>
      <c r="G991">
        <v>91832</v>
      </c>
      <c r="H991">
        <v>6086905</v>
      </c>
      <c r="I991">
        <v>66.283097222222224</v>
      </c>
      <c r="J991">
        <v>79398.739307862939</v>
      </c>
      <c r="K991">
        <v>80</v>
      </c>
      <c r="L991">
        <v>78</v>
      </c>
      <c r="M991">
        <v>76.662495186459552</v>
      </c>
      <c r="N991">
        <v>6476508</v>
      </c>
    </row>
    <row r="992" spans="1:14" x14ac:dyDescent="0.35">
      <c r="A992" t="s">
        <v>61</v>
      </c>
      <c r="B992">
        <v>202410</v>
      </c>
      <c r="C992" t="str">
        <f>MID(analisis_productividad__4[[#This Row],[Periodo]],1,4)</f>
        <v>2024</v>
      </c>
      <c r="D992" t="str">
        <f>MID(analisis_productividad__4[[#This Row],[Periodo]],5,2)</f>
        <v>10</v>
      </c>
      <c r="E992" t="s">
        <v>11</v>
      </c>
      <c r="F992" t="s">
        <v>52</v>
      </c>
      <c r="G992">
        <v>91826</v>
      </c>
      <c r="H992">
        <v>8156575</v>
      </c>
      <c r="I992">
        <v>88.826048387096833</v>
      </c>
      <c r="J992">
        <v>0</v>
      </c>
      <c r="K992">
        <v>104.5</v>
      </c>
      <c r="L992">
        <v>99</v>
      </c>
      <c r="N992">
        <v>0</v>
      </c>
    </row>
    <row r="993" spans="1:14" x14ac:dyDescent="0.35">
      <c r="A993" t="s">
        <v>20</v>
      </c>
      <c r="B993">
        <v>202401</v>
      </c>
      <c r="C993" t="str">
        <f>MID(analisis_productividad__4[[#This Row],[Periodo]],1,4)</f>
        <v>2024</v>
      </c>
      <c r="D993" t="str">
        <f>MID(analisis_productividad__4[[#This Row],[Periodo]],5,2)</f>
        <v>01</v>
      </c>
      <c r="E993" t="s">
        <v>16</v>
      </c>
      <c r="F993" t="s">
        <v>21</v>
      </c>
      <c r="G993">
        <v>91788</v>
      </c>
      <c r="H993">
        <v>7993698</v>
      </c>
      <c r="I993">
        <v>87.089032258064492</v>
      </c>
      <c r="J993">
        <v>0</v>
      </c>
      <c r="K993">
        <v>96.5</v>
      </c>
      <c r="L993">
        <v>94</v>
      </c>
      <c r="N993">
        <v>0</v>
      </c>
    </row>
    <row r="994" spans="1:14" x14ac:dyDescent="0.35">
      <c r="A994" t="s">
        <v>84</v>
      </c>
      <c r="B994">
        <v>202503</v>
      </c>
      <c r="C994" t="str">
        <f>MID(analisis_productividad__4[[#This Row],[Periodo]],1,4)</f>
        <v>2025</v>
      </c>
      <c r="D994" t="str">
        <f>MID(analisis_productividad__4[[#This Row],[Periodo]],5,2)</f>
        <v>03</v>
      </c>
      <c r="E994" t="s">
        <v>11</v>
      </c>
      <c r="F994" t="s">
        <v>52</v>
      </c>
      <c r="G994">
        <v>91781</v>
      </c>
      <c r="H994">
        <v>10084511</v>
      </c>
      <c r="I994">
        <v>109.87614919354841</v>
      </c>
      <c r="J994">
        <v>86666.236001250974</v>
      </c>
      <c r="K994">
        <v>123</v>
      </c>
      <c r="L994">
        <v>115.5</v>
      </c>
      <c r="M994">
        <v>116.36031718112733</v>
      </c>
      <c r="N994">
        <v>10505001</v>
      </c>
    </row>
    <row r="995" spans="1:14" x14ac:dyDescent="0.35">
      <c r="A995" t="s">
        <v>28</v>
      </c>
      <c r="B995">
        <v>202509</v>
      </c>
      <c r="C995" t="str">
        <f>MID(analisis_productividad__4[[#This Row],[Periodo]],1,4)</f>
        <v>2025</v>
      </c>
      <c r="D995" t="str">
        <f>MID(analisis_productividad__4[[#This Row],[Periodo]],5,2)</f>
        <v>09</v>
      </c>
      <c r="E995" t="s">
        <v>16</v>
      </c>
      <c r="F995" t="s">
        <v>17</v>
      </c>
      <c r="G995">
        <v>91780</v>
      </c>
      <c r="H995">
        <v>5294488</v>
      </c>
      <c r="I995">
        <v>57.686513888888946</v>
      </c>
      <c r="J995">
        <v>93958.359006658226</v>
      </c>
      <c r="K995">
        <v>64</v>
      </c>
      <c r="L995">
        <v>67</v>
      </c>
      <c r="M995">
        <v>56.349300753803234</v>
      </c>
      <c r="N995">
        <v>5033648</v>
      </c>
    </row>
    <row r="996" spans="1:14" x14ac:dyDescent="0.35">
      <c r="A996" t="s">
        <v>56</v>
      </c>
      <c r="B996">
        <v>202510</v>
      </c>
      <c r="C996" t="str">
        <f>MID(analisis_productividad__4[[#This Row],[Periodo]],1,4)</f>
        <v>2025</v>
      </c>
      <c r="D996" t="str">
        <f>MID(analisis_productividad__4[[#This Row],[Periodo]],5,2)</f>
        <v>10</v>
      </c>
      <c r="E996" t="s">
        <v>16</v>
      </c>
      <c r="F996" t="s">
        <v>21</v>
      </c>
      <c r="G996">
        <v>91693</v>
      </c>
      <c r="H996">
        <v>5252949</v>
      </c>
      <c r="I996">
        <v>57.288555107526868</v>
      </c>
      <c r="J996">
        <v>91233.621802364243</v>
      </c>
      <c r="K996">
        <v>72.5</v>
      </c>
      <c r="L996">
        <v>68.5</v>
      </c>
      <c r="M996">
        <v>57.576901982245715</v>
      </c>
      <c r="N996">
        <v>5479986</v>
      </c>
    </row>
    <row r="997" spans="1:14" x14ac:dyDescent="0.35">
      <c r="A997" t="s">
        <v>53</v>
      </c>
      <c r="B997">
        <v>202602</v>
      </c>
      <c r="C997" t="str">
        <f>MID(analisis_productividad__4[[#This Row],[Periodo]],1,4)</f>
        <v>2026</v>
      </c>
      <c r="D997" t="str">
        <f>MID(analisis_productividad__4[[#This Row],[Periodo]],5,2)</f>
        <v>02</v>
      </c>
      <c r="E997" t="s">
        <v>11</v>
      </c>
      <c r="F997" t="s">
        <v>12</v>
      </c>
      <c r="G997">
        <v>91683</v>
      </c>
      <c r="H997">
        <v>6759673</v>
      </c>
      <c r="I997">
        <v>73.728489583333328</v>
      </c>
      <c r="J997">
        <v>88476.221190046359</v>
      </c>
      <c r="K997">
        <v>81</v>
      </c>
      <c r="L997">
        <v>77</v>
      </c>
      <c r="M997">
        <v>69.978560745726568</v>
      </c>
      <c r="N997">
        <v>6191439</v>
      </c>
    </row>
    <row r="998" spans="1:14" x14ac:dyDescent="0.35">
      <c r="A998" t="s">
        <v>24</v>
      </c>
      <c r="B998">
        <v>202501</v>
      </c>
      <c r="C998" t="str">
        <f>MID(analisis_productividad__4[[#This Row],[Periodo]],1,4)</f>
        <v>2025</v>
      </c>
      <c r="D998" t="str">
        <f>MID(analisis_productividad__4[[#This Row],[Periodo]],5,2)</f>
        <v>01</v>
      </c>
      <c r="E998" t="s">
        <v>16</v>
      </c>
      <c r="F998" t="s">
        <v>21</v>
      </c>
      <c r="G998">
        <v>91678</v>
      </c>
      <c r="H998">
        <v>9224309</v>
      </c>
      <c r="I998">
        <v>100.61629704301075</v>
      </c>
      <c r="J998">
        <v>86538.59523685748</v>
      </c>
      <c r="K998">
        <v>125</v>
      </c>
      <c r="L998">
        <v>118.5</v>
      </c>
      <c r="M998">
        <v>106.59184754216228</v>
      </c>
      <c r="N998">
        <v>8998857</v>
      </c>
    </row>
    <row r="999" spans="1:14" x14ac:dyDescent="0.35">
      <c r="A999" t="s">
        <v>46</v>
      </c>
      <c r="B999">
        <v>202506</v>
      </c>
      <c r="C999" t="str">
        <f>MID(analisis_productividad__4[[#This Row],[Periodo]],1,4)</f>
        <v>2025</v>
      </c>
      <c r="D999" t="str">
        <f>MID(analisis_productividad__4[[#This Row],[Periodo]],5,2)</f>
        <v>06</v>
      </c>
      <c r="E999" t="s">
        <v>11</v>
      </c>
      <c r="F999" t="s">
        <v>14</v>
      </c>
      <c r="G999">
        <v>91678</v>
      </c>
      <c r="H999">
        <v>6190576</v>
      </c>
      <c r="I999">
        <v>67.525256944444436</v>
      </c>
      <c r="J999">
        <v>107498.49460835051</v>
      </c>
      <c r="K999">
        <v>77</v>
      </c>
      <c r="L999">
        <v>79</v>
      </c>
      <c r="M999">
        <v>57.58755592396097</v>
      </c>
      <c r="N999">
        <v>6962900</v>
      </c>
    </row>
    <row r="1000" spans="1:14" x14ac:dyDescent="0.35">
      <c r="A1000" t="s">
        <v>28</v>
      </c>
      <c r="B1000">
        <v>202501</v>
      </c>
      <c r="C1000" t="str">
        <f>MID(analisis_productividad__4[[#This Row],[Periodo]],1,4)</f>
        <v>2025</v>
      </c>
      <c r="D1000" t="str">
        <f>MID(analisis_productividad__4[[#This Row],[Periodo]],5,2)</f>
        <v>01</v>
      </c>
      <c r="E1000" t="s">
        <v>16</v>
      </c>
      <c r="F1000" t="s">
        <v>17</v>
      </c>
      <c r="G1000">
        <v>91629</v>
      </c>
      <c r="H1000">
        <v>5200158</v>
      </c>
      <c r="I1000">
        <v>56.752170698924722</v>
      </c>
      <c r="J1000">
        <v>107955.7586198568</v>
      </c>
      <c r="K1000">
        <v>64</v>
      </c>
      <c r="L1000">
        <v>67</v>
      </c>
      <c r="M1000">
        <v>48.169344521131563</v>
      </c>
      <c r="N1000">
        <v>5233224</v>
      </c>
    </row>
    <row r="1001" spans="1:14" x14ac:dyDescent="0.35">
      <c r="A1001" t="s">
        <v>54</v>
      </c>
      <c r="B1001">
        <v>202403</v>
      </c>
      <c r="C1001" t="str">
        <f>MID(analisis_productividad__4[[#This Row],[Periodo]],1,4)</f>
        <v>2024</v>
      </c>
      <c r="D1001" t="str">
        <f>MID(analisis_productividad__4[[#This Row],[Periodo]],5,2)</f>
        <v>03</v>
      </c>
      <c r="E1001" t="s">
        <v>11</v>
      </c>
      <c r="F1001" t="s">
        <v>52</v>
      </c>
      <c r="G1001">
        <v>91621</v>
      </c>
      <c r="H1001">
        <v>10289852</v>
      </c>
      <c r="I1001">
        <v>112.30864919354839</v>
      </c>
      <c r="J1001">
        <v>0</v>
      </c>
      <c r="K1001">
        <v>106</v>
      </c>
      <c r="L1001">
        <v>102.5</v>
      </c>
      <c r="N1001">
        <v>0</v>
      </c>
    </row>
    <row r="1002" spans="1:14" x14ac:dyDescent="0.35">
      <c r="A1002" t="s">
        <v>38</v>
      </c>
      <c r="B1002">
        <v>202405</v>
      </c>
      <c r="C1002" t="str">
        <f>MID(analisis_productividad__4[[#This Row],[Periodo]],1,4)</f>
        <v>2024</v>
      </c>
      <c r="D1002" t="str">
        <f>MID(analisis_productividad__4[[#This Row],[Periodo]],5,2)</f>
        <v>05</v>
      </c>
      <c r="E1002" t="s">
        <v>34</v>
      </c>
      <c r="F1002" t="s">
        <v>35</v>
      </c>
      <c r="G1002">
        <v>91598</v>
      </c>
      <c r="H1002">
        <v>11253397</v>
      </c>
      <c r="I1002">
        <v>122.8567741935483</v>
      </c>
      <c r="J1002">
        <v>0</v>
      </c>
      <c r="K1002">
        <v>140.5</v>
      </c>
      <c r="L1002">
        <v>125.5</v>
      </c>
      <c r="N1002">
        <v>0</v>
      </c>
    </row>
    <row r="1003" spans="1:14" x14ac:dyDescent="0.35">
      <c r="A1003" t="s">
        <v>70</v>
      </c>
      <c r="B1003">
        <v>202604</v>
      </c>
      <c r="C1003" t="str">
        <f>MID(analisis_productividad__4[[#This Row],[Periodo]],1,4)</f>
        <v>2026</v>
      </c>
      <c r="D1003" t="str">
        <f>MID(analisis_productividad__4[[#This Row],[Periodo]],5,2)</f>
        <v>04</v>
      </c>
      <c r="E1003" t="s">
        <v>11</v>
      </c>
      <c r="F1003" t="s">
        <v>14</v>
      </c>
      <c r="G1003">
        <v>91569</v>
      </c>
      <c r="H1003">
        <v>5337820</v>
      </c>
      <c r="I1003">
        <v>58.292645833334063</v>
      </c>
      <c r="J1003">
        <v>88003.76131811869</v>
      </c>
      <c r="K1003">
        <v>65</v>
      </c>
      <c r="L1003">
        <v>67.5</v>
      </c>
      <c r="M1003">
        <v>56.772923994003762</v>
      </c>
      <c r="N1003">
        <v>4996231</v>
      </c>
    </row>
    <row r="1004" spans="1:14" x14ac:dyDescent="0.35">
      <c r="A1004" t="s">
        <v>85</v>
      </c>
      <c r="B1004">
        <v>202603</v>
      </c>
      <c r="C1004" t="str">
        <f>MID(analisis_productividad__4[[#This Row],[Periodo]],1,4)</f>
        <v>2026</v>
      </c>
      <c r="D1004" t="str">
        <f>MID(analisis_productividad__4[[#This Row],[Periodo]],5,2)</f>
        <v>03</v>
      </c>
      <c r="E1004" t="s">
        <v>11</v>
      </c>
      <c r="F1004" t="s">
        <v>14</v>
      </c>
      <c r="G1004">
        <v>91558</v>
      </c>
      <c r="H1004">
        <v>4863032</v>
      </c>
      <c r="I1004">
        <v>53.114287634408591</v>
      </c>
      <c r="J1004">
        <v>89989.354748048732</v>
      </c>
      <c r="K1004">
        <v>60.5</v>
      </c>
      <c r="L1004">
        <v>57.5</v>
      </c>
      <c r="M1004">
        <v>51.161312105083525</v>
      </c>
      <c r="N1004">
        <v>4603973</v>
      </c>
    </row>
    <row r="1005" spans="1:14" x14ac:dyDescent="0.35">
      <c r="A1005" t="s">
        <v>43</v>
      </c>
      <c r="B1005">
        <v>202504</v>
      </c>
      <c r="C1005" t="str">
        <f>MID(analisis_productividad__4[[#This Row],[Periodo]],1,4)</f>
        <v>2025</v>
      </c>
      <c r="D1005" t="str">
        <f>MID(analisis_productividad__4[[#This Row],[Periodo]],5,2)</f>
        <v>04</v>
      </c>
      <c r="E1005" t="s">
        <v>11</v>
      </c>
      <c r="F1005" t="s">
        <v>12</v>
      </c>
      <c r="G1005">
        <v>91553</v>
      </c>
      <c r="H1005">
        <v>6729230</v>
      </c>
      <c r="I1005">
        <v>73.500923611111119</v>
      </c>
      <c r="J1005">
        <v>86434.82946919091</v>
      </c>
      <c r="K1005">
        <v>84.5</v>
      </c>
      <c r="L1005">
        <v>86.5</v>
      </c>
      <c r="M1005">
        <v>77.853220181322726</v>
      </c>
      <c r="N1005">
        <v>6867241</v>
      </c>
    </row>
    <row r="1006" spans="1:14" x14ac:dyDescent="0.35">
      <c r="A1006" t="s">
        <v>60</v>
      </c>
      <c r="B1006">
        <v>202602</v>
      </c>
      <c r="C1006" t="str">
        <f>MID(analisis_productividad__4[[#This Row],[Periodo]],1,4)</f>
        <v>2026</v>
      </c>
      <c r="D1006" t="str">
        <f>MID(analisis_productividad__4[[#This Row],[Periodo]],5,2)</f>
        <v>02</v>
      </c>
      <c r="E1006" t="s">
        <v>11</v>
      </c>
      <c r="F1006" t="s">
        <v>14</v>
      </c>
      <c r="G1006">
        <v>91532</v>
      </c>
      <c r="H1006">
        <v>5628881</v>
      </c>
      <c r="I1006">
        <v>61.496302083333347</v>
      </c>
      <c r="J1006">
        <v>93227.747818171076</v>
      </c>
      <c r="K1006">
        <v>75.5</v>
      </c>
      <c r="L1006">
        <v>74</v>
      </c>
      <c r="M1006">
        <v>63.845934941054651</v>
      </c>
      <c r="N1006">
        <v>5952213</v>
      </c>
    </row>
    <row r="1007" spans="1:14" x14ac:dyDescent="0.35">
      <c r="A1007" t="s">
        <v>56</v>
      </c>
      <c r="B1007">
        <v>202411</v>
      </c>
      <c r="C1007" t="str">
        <f>MID(analisis_productividad__4[[#This Row],[Periodo]],1,4)</f>
        <v>2024</v>
      </c>
      <c r="D1007" t="str">
        <f>MID(analisis_productividad__4[[#This Row],[Periodo]],5,2)</f>
        <v>11</v>
      </c>
      <c r="E1007" t="s">
        <v>16</v>
      </c>
      <c r="F1007" t="s">
        <v>21</v>
      </c>
      <c r="G1007">
        <v>91484</v>
      </c>
      <c r="H1007">
        <v>6251821</v>
      </c>
      <c r="I1007">
        <v>68.338180555555624</v>
      </c>
      <c r="J1007">
        <v>0</v>
      </c>
      <c r="K1007">
        <v>72.5</v>
      </c>
      <c r="L1007">
        <v>68.5</v>
      </c>
      <c r="N1007">
        <v>0</v>
      </c>
    </row>
    <row r="1008" spans="1:14" x14ac:dyDescent="0.35">
      <c r="A1008" t="s">
        <v>60</v>
      </c>
      <c r="B1008">
        <v>202401</v>
      </c>
      <c r="C1008" t="str">
        <f>MID(analisis_productividad__4[[#This Row],[Periodo]],1,4)</f>
        <v>2024</v>
      </c>
      <c r="D1008" t="str">
        <f>MID(analisis_productividad__4[[#This Row],[Periodo]],5,2)</f>
        <v>01</v>
      </c>
      <c r="E1008" t="s">
        <v>11</v>
      </c>
      <c r="F1008" t="s">
        <v>14</v>
      </c>
      <c r="G1008">
        <v>91470</v>
      </c>
      <c r="H1008">
        <v>6309839</v>
      </c>
      <c r="I1008">
        <v>68.982694892473091</v>
      </c>
      <c r="J1008">
        <v>0</v>
      </c>
      <c r="K1008">
        <v>75.5</v>
      </c>
      <c r="L1008">
        <v>74</v>
      </c>
      <c r="N1008">
        <v>0</v>
      </c>
    </row>
    <row r="1009" spans="1:14" x14ac:dyDescent="0.35">
      <c r="A1009" t="s">
        <v>65</v>
      </c>
      <c r="B1009">
        <v>202407</v>
      </c>
      <c r="C1009" t="str">
        <f>MID(analisis_productividad__4[[#This Row],[Periodo]],1,4)</f>
        <v>2024</v>
      </c>
      <c r="D1009" t="str">
        <f>MID(analisis_productividad__4[[#This Row],[Periodo]],5,2)</f>
        <v>07</v>
      </c>
      <c r="E1009" t="s">
        <v>16</v>
      </c>
      <c r="F1009" t="s">
        <v>19</v>
      </c>
      <c r="G1009">
        <v>91441</v>
      </c>
      <c r="H1009">
        <v>5616648</v>
      </c>
      <c r="I1009">
        <v>61.423588709677432</v>
      </c>
      <c r="J1009">
        <v>0</v>
      </c>
      <c r="K1009">
        <v>68</v>
      </c>
      <c r="L1009">
        <v>68.5</v>
      </c>
      <c r="N1009">
        <v>0</v>
      </c>
    </row>
    <row r="1010" spans="1:14" x14ac:dyDescent="0.35">
      <c r="A1010" t="s">
        <v>27</v>
      </c>
      <c r="B1010">
        <v>202402</v>
      </c>
      <c r="C1010" t="str">
        <f>MID(analisis_productividad__4[[#This Row],[Periodo]],1,4)</f>
        <v>2024</v>
      </c>
      <c r="D1010" t="str">
        <f>MID(analisis_productividad__4[[#This Row],[Periodo]],5,2)</f>
        <v>02</v>
      </c>
      <c r="E1010" t="s">
        <v>11</v>
      </c>
      <c r="F1010" t="s">
        <v>14</v>
      </c>
      <c r="G1010">
        <v>91441</v>
      </c>
      <c r="H1010">
        <v>7861297</v>
      </c>
      <c r="I1010">
        <v>85.971616379310376</v>
      </c>
      <c r="J1010">
        <v>0</v>
      </c>
      <c r="K1010">
        <v>88</v>
      </c>
      <c r="L1010">
        <v>84</v>
      </c>
      <c r="N1010">
        <v>0</v>
      </c>
    </row>
    <row r="1011" spans="1:14" x14ac:dyDescent="0.35">
      <c r="A1011" t="s">
        <v>46</v>
      </c>
      <c r="B1011">
        <v>202410</v>
      </c>
      <c r="C1011" t="str">
        <f>MID(analisis_productividad__4[[#This Row],[Periodo]],1,4)</f>
        <v>2024</v>
      </c>
      <c r="D1011" t="str">
        <f>MID(analisis_productividad__4[[#This Row],[Periodo]],5,2)</f>
        <v>10</v>
      </c>
      <c r="E1011" t="s">
        <v>11</v>
      </c>
      <c r="F1011" t="s">
        <v>14</v>
      </c>
      <c r="G1011">
        <v>91425</v>
      </c>
      <c r="H1011">
        <v>5748204</v>
      </c>
      <c r="I1011">
        <v>62.873689516129048</v>
      </c>
      <c r="J1011">
        <v>0</v>
      </c>
      <c r="K1011">
        <v>77</v>
      </c>
      <c r="L1011">
        <v>79</v>
      </c>
      <c r="N1011">
        <v>0</v>
      </c>
    </row>
    <row r="1012" spans="1:14" x14ac:dyDescent="0.35">
      <c r="A1012" t="s">
        <v>50</v>
      </c>
      <c r="B1012">
        <v>202406</v>
      </c>
      <c r="C1012" t="str">
        <f>MID(analisis_productividad__4[[#This Row],[Periodo]],1,4)</f>
        <v>2024</v>
      </c>
      <c r="D1012" t="str">
        <f>MID(analisis_productividad__4[[#This Row],[Periodo]],5,2)</f>
        <v>06</v>
      </c>
      <c r="E1012" t="s">
        <v>34</v>
      </c>
      <c r="F1012" t="s">
        <v>35</v>
      </c>
      <c r="G1012">
        <v>91422</v>
      </c>
      <c r="H1012">
        <v>5904310</v>
      </c>
      <c r="I1012">
        <v>64.58282638888889</v>
      </c>
      <c r="J1012">
        <v>0</v>
      </c>
      <c r="K1012">
        <v>79.5</v>
      </c>
      <c r="L1012">
        <v>72.5</v>
      </c>
      <c r="N1012">
        <v>0</v>
      </c>
    </row>
    <row r="1013" spans="1:14" x14ac:dyDescent="0.35">
      <c r="A1013" t="s">
        <v>50</v>
      </c>
      <c r="B1013">
        <v>202501</v>
      </c>
      <c r="C1013" t="str">
        <f>MID(analisis_productividad__4[[#This Row],[Periodo]],1,4)</f>
        <v>2025</v>
      </c>
      <c r="D1013" t="str">
        <f>MID(analisis_productividad__4[[#This Row],[Periodo]],5,2)</f>
        <v>01</v>
      </c>
      <c r="E1013" t="s">
        <v>34</v>
      </c>
      <c r="F1013" t="s">
        <v>35</v>
      </c>
      <c r="G1013">
        <v>91415</v>
      </c>
      <c r="H1013">
        <v>5487015</v>
      </c>
      <c r="I1013">
        <v>60.023212365591348</v>
      </c>
      <c r="J1013">
        <v>91110.615209695912</v>
      </c>
      <c r="K1013">
        <v>79.5</v>
      </c>
      <c r="L1013">
        <v>72.5</v>
      </c>
      <c r="M1013">
        <v>60.223666335380798</v>
      </c>
      <c r="N1013">
        <v>5705960</v>
      </c>
    </row>
    <row r="1014" spans="1:14" x14ac:dyDescent="0.35">
      <c r="A1014" t="s">
        <v>47</v>
      </c>
      <c r="B1014">
        <v>202511</v>
      </c>
      <c r="C1014" t="str">
        <f>MID(analisis_productividad__4[[#This Row],[Periodo]],1,4)</f>
        <v>2025</v>
      </c>
      <c r="D1014" t="str">
        <f>MID(analisis_productividad__4[[#This Row],[Periodo]],5,2)</f>
        <v>11</v>
      </c>
      <c r="E1014" t="s">
        <v>11</v>
      </c>
      <c r="F1014" t="s">
        <v>14</v>
      </c>
      <c r="G1014">
        <v>91376</v>
      </c>
      <c r="H1014">
        <v>4447292</v>
      </c>
      <c r="I1014">
        <v>48.670124999999999</v>
      </c>
      <c r="J1014">
        <v>82108.304326916346</v>
      </c>
      <c r="K1014">
        <v>61.5</v>
      </c>
      <c r="L1014">
        <v>48.5</v>
      </c>
      <c r="M1014">
        <v>54.163733454937649</v>
      </c>
      <c r="N1014">
        <v>4649319</v>
      </c>
    </row>
    <row r="1015" spans="1:14" x14ac:dyDescent="0.35">
      <c r="A1015" t="s">
        <v>59</v>
      </c>
      <c r="B1015">
        <v>202508</v>
      </c>
      <c r="C1015" t="str">
        <f>MID(analisis_productividad__4[[#This Row],[Periodo]],1,4)</f>
        <v>2025</v>
      </c>
      <c r="D1015" t="str">
        <f>MID(analisis_productividad__4[[#This Row],[Periodo]],5,2)</f>
        <v>08</v>
      </c>
      <c r="E1015" t="s">
        <v>11</v>
      </c>
      <c r="F1015" t="s">
        <v>12</v>
      </c>
      <c r="G1015">
        <v>91373</v>
      </c>
      <c r="H1015">
        <v>7583978</v>
      </c>
      <c r="I1015">
        <v>83.000241935483913</v>
      </c>
      <c r="J1015">
        <v>95874.710320192273</v>
      </c>
      <c r="K1015">
        <v>94.5</v>
      </c>
      <c r="L1015">
        <v>97</v>
      </c>
      <c r="M1015">
        <v>79.103009173866909</v>
      </c>
      <c r="N1015">
        <v>7823391</v>
      </c>
    </row>
    <row r="1016" spans="1:14" x14ac:dyDescent="0.35">
      <c r="A1016" t="s">
        <v>92</v>
      </c>
      <c r="B1016">
        <v>202512</v>
      </c>
      <c r="C1016" t="str">
        <f>MID(analisis_productividad__4[[#This Row],[Periodo]],1,4)</f>
        <v>2025</v>
      </c>
      <c r="D1016" t="str">
        <f>MID(analisis_productividad__4[[#This Row],[Periodo]],5,2)</f>
        <v>12</v>
      </c>
      <c r="E1016" t="s">
        <v>11</v>
      </c>
      <c r="F1016" t="s">
        <v>14</v>
      </c>
      <c r="G1016">
        <v>91342</v>
      </c>
      <c r="H1016">
        <v>5154659</v>
      </c>
      <c r="I1016">
        <v>56.432654569892435</v>
      </c>
      <c r="J1016">
        <v>92435.929116333849</v>
      </c>
      <c r="K1016">
        <v>63</v>
      </c>
      <c r="L1016">
        <v>59</v>
      </c>
      <c r="M1016">
        <v>55.764664122244973</v>
      </c>
      <c r="N1016">
        <v>6011013</v>
      </c>
    </row>
    <row r="1017" spans="1:14" x14ac:dyDescent="0.35">
      <c r="A1017" t="s">
        <v>32</v>
      </c>
      <c r="B1017">
        <v>202510</v>
      </c>
      <c r="C1017" t="str">
        <f>MID(analisis_productividad__4[[#This Row],[Periodo]],1,4)</f>
        <v>2025</v>
      </c>
      <c r="D1017" t="str">
        <f>MID(analisis_productividad__4[[#This Row],[Periodo]],5,2)</f>
        <v>10</v>
      </c>
      <c r="E1017" t="s">
        <v>11</v>
      </c>
      <c r="F1017" t="s">
        <v>12</v>
      </c>
      <c r="G1017">
        <v>91335</v>
      </c>
      <c r="H1017">
        <v>4960512</v>
      </c>
      <c r="I1017">
        <v>54.311391129032259</v>
      </c>
      <c r="J1017">
        <v>89444.530377785326</v>
      </c>
      <c r="K1017">
        <v>65.5</v>
      </c>
      <c r="L1017">
        <v>66</v>
      </c>
      <c r="M1017">
        <v>55.459085078186149</v>
      </c>
      <c r="N1017">
        <v>6347250</v>
      </c>
    </row>
    <row r="1018" spans="1:14" x14ac:dyDescent="0.35">
      <c r="A1018" t="s">
        <v>41</v>
      </c>
      <c r="B1018">
        <v>202407</v>
      </c>
      <c r="C1018" t="str">
        <f>MID(analisis_productividad__4[[#This Row],[Periodo]],1,4)</f>
        <v>2024</v>
      </c>
      <c r="D1018" t="str">
        <f>MID(analisis_productividad__4[[#This Row],[Periodo]],5,2)</f>
        <v>07</v>
      </c>
      <c r="E1018" t="s">
        <v>16</v>
      </c>
      <c r="F1018" t="s">
        <v>19</v>
      </c>
      <c r="G1018">
        <v>91333</v>
      </c>
      <c r="H1018">
        <v>4998750</v>
      </c>
      <c r="I1018">
        <v>54.731014784946218</v>
      </c>
      <c r="J1018">
        <v>0</v>
      </c>
      <c r="K1018">
        <v>57.5</v>
      </c>
      <c r="L1018">
        <v>56.5</v>
      </c>
      <c r="N1018">
        <v>0</v>
      </c>
    </row>
    <row r="1019" spans="1:14" x14ac:dyDescent="0.35">
      <c r="A1019" t="s">
        <v>67</v>
      </c>
      <c r="B1019">
        <v>202606</v>
      </c>
      <c r="C1019" t="str">
        <f>MID(analisis_productividad__4[[#This Row],[Periodo]],1,4)</f>
        <v>2026</v>
      </c>
      <c r="D1019" t="str">
        <f>MID(analisis_productividad__4[[#This Row],[Periodo]],5,2)</f>
        <v>06</v>
      </c>
      <c r="E1019" t="s">
        <v>16</v>
      </c>
      <c r="F1019" t="s">
        <v>19</v>
      </c>
      <c r="G1019">
        <v>91333</v>
      </c>
      <c r="H1019">
        <v>6622233</v>
      </c>
      <c r="I1019">
        <v>72.506826388891</v>
      </c>
      <c r="J1019">
        <v>92238.866281415598</v>
      </c>
      <c r="K1019">
        <v>79.5</v>
      </c>
      <c r="L1019">
        <v>81.5</v>
      </c>
      <c r="M1019">
        <v>68.773296674593993</v>
      </c>
      <c r="N1019">
        <v>6343571</v>
      </c>
    </row>
    <row r="1020" spans="1:14" x14ac:dyDescent="0.35">
      <c r="A1020" t="s">
        <v>59</v>
      </c>
      <c r="B1020">
        <v>202408</v>
      </c>
      <c r="C1020" t="str">
        <f>MID(analisis_productividad__4[[#This Row],[Periodo]],1,4)</f>
        <v>2024</v>
      </c>
      <c r="D1020" t="str">
        <f>MID(analisis_productividad__4[[#This Row],[Periodo]],5,2)</f>
        <v>08</v>
      </c>
      <c r="E1020" t="s">
        <v>11</v>
      </c>
      <c r="F1020" t="s">
        <v>12</v>
      </c>
      <c r="G1020">
        <v>91309</v>
      </c>
      <c r="H1020">
        <v>7668297</v>
      </c>
      <c r="I1020">
        <v>83.981606182795659</v>
      </c>
      <c r="J1020">
        <v>0</v>
      </c>
      <c r="K1020">
        <v>94.5</v>
      </c>
      <c r="L1020">
        <v>97</v>
      </c>
      <c r="N1020">
        <v>0</v>
      </c>
    </row>
    <row r="1021" spans="1:14" x14ac:dyDescent="0.35">
      <c r="A1021" t="s">
        <v>57</v>
      </c>
      <c r="B1021">
        <v>202408</v>
      </c>
      <c r="C1021" t="str">
        <f>MID(analisis_productividad__4[[#This Row],[Periodo]],1,4)</f>
        <v>2024</v>
      </c>
      <c r="D1021" t="str">
        <f>MID(analisis_productividad__4[[#This Row],[Periodo]],5,2)</f>
        <v>08</v>
      </c>
      <c r="E1021" t="s">
        <v>16</v>
      </c>
      <c r="F1021" t="s">
        <v>19</v>
      </c>
      <c r="G1021">
        <v>91274</v>
      </c>
      <c r="H1021">
        <v>6018270</v>
      </c>
      <c r="I1021">
        <v>65.936095430107514</v>
      </c>
      <c r="J1021">
        <v>0</v>
      </c>
      <c r="K1021">
        <v>71</v>
      </c>
      <c r="L1021">
        <v>74.5</v>
      </c>
      <c r="N1021">
        <v>0</v>
      </c>
    </row>
    <row r="1022" spans="1:14" x14ac:dyDescent="0.35">
      <c r="A1022" t="s">
        <v>45</v>
      </c>
      <c r="B1022">
        <v>202502</v>
      </c>
      <c r="C1022" t="str">
        <f>MID(analisis_productividad__4[[#This Row],[Periodo]],1,4)</f>
        <v>2025</v>
      </c>
      <c r="D1022" t="str">
        <f>MID(analisis_productividad__4[[#This Row],[Periodo]],5,2)</f>
        <v>02</v>
      </c>
      <c r="E1022" t="s">
        <v>34</v>
      </c>
      <c r="F1022" t="s">
        <v>35</v>
      </c>
      <c r="G1022">
        <v>91273</v>
      </c>
      <c r="H1022">
        <v>2376295</v>
      </c>
      <c r="I1022">
        <v>26.034895833333337</v>
      </c>
      <c r="J1022">
        <v>96621.613772900906</v>
      </c>
      <c r="K1022">
        <v>22.5</v>
      </c>
      <c r="L1022">
        <v>21</v>
      </c>
      <c r="M1022">
        <v>24.59382499639506</v>
      </c>
      <c r="N1022">
        <v>2282621</v>
      </c>
    </row>
    <row r="1023" spans="1:14" x14ac:dyDescent="0.35">
      <c r="A1023" t="s">
        <v>44</v>
      </c>
      <c r="B1023">
        <v>202501</v>
      </c>
      <c r="C1023" t="str">
        <f>MID(analisis_productividad__4[[#This Row],[Periodo]],1,4)</f>
        <v>2025</v>
      </c>
      <c r="D1023" t="str">
        <f>MID(analisis_productividad__4[[#This Row],[Periodo]],5,2)</f>
        <v>01</v>
      </c>
      <c r="E1023" t="s">
        <v>11</v>
      </c>
      <c r="F1023" t="s">
        <v>12</v>
      </c>
      <c r="G1023">
        <v>91253</v>
      </c>
      <c r="H1023">
        <v>6142072</v>
      </c>
      <c r="I1023">
        <v>67.307916666666628</v>
      </c>
      <c r="J1023">
        <v>104086.57277945445</v>
      </c>
      <c r="K1023">
        <v>78</v>
      </c>
      <c r="L1023">
        <v>74.5</v>
      </c>
      <c r="M1023">
        <v>59.009263116139181</v>
      </c>
      <c r="N1023">
        <v>6220755</v>
      </c>
    </row>
    <row r="1024" spans="1:14" x14ac:dyDescent="0.35">
      <c r="A1024" t="s">
        <v>56</v>
      </c>
      <c r="B1024">
        <v>202409</v>
      </c>
      <c r="C1024" t="str">
        <f>MID(analisis_productividad__4[[#This Row],[Periodo]],1,4)</f>
        <v>2024</v>
      </c>
      <c r="D1024" t="str">
        <f>MID(analisis_productividad__4[[#This Row],[Periodo]],5,2)</f>
        <v>09</v>
      </c>
      <c r="E1024" t="s">
        <v>16</v>
      </c>
      <c r="F1024" t="s">
        <v>21</v>
      </c>
      <c r="G1024">
        <v>91209</v>
      </c>
      <c r="H1024">
        <v>5638389</v>
      </c>
      <c r="I1024">
        <v>61.818361111111088</v>
      </c>
      <c r="J1024">
        <v>0</v>
      </c>
      <c r="K1024">
        <v>72.5</v>
      </c>
      <c r="L1024">
        <v>68.5</v>
      </c>
      <c r="N1024">
        <v>0</v>
      </c>
    </row>
    <row r="1025" spans="1:14" x14ac:dyDescent="0.35">
      <c r="A1025" t="s">
        <v>55</v>
      </c>
      <c r="B1025">
        <v>202411</v>
      </c>
      <c r="C1025" t="str">
        <f>MID(analisis_productividad__4[[#This Row],[Periodo]],1,4)</f>
        <v>2024</v>
      </c>
      <c r="D1025" t="str">
        <f>MID(analisis_productividad__4[[#This Row],[Periodo]],5,2)</f>
        <v>11</v>
      </c>
      <c r="E1025" t="s">
        <v>16</v>
      </c>
      <c r="F1025" t="s">
        <v>21</v>
      </c>
      <c r="G1025">
        <v>91209</v>
      </c>
      <c r="H1025">
        <v>4549494</v>
      </c>
      <c r="I1025">
        <v>49.879958333333327</v>
      </c>
      <c r="J1025">
        <v>0</v>
      </c>
      <c r="K1025">
        <v>55</v>
      </c>
      <c r="L1025">
        <v>50.5</v>
      </c>
      <c r="N1025">
        <v>0</v>
      </c>
    </row>
    <row r="1026" spans="1:14" x14ac:dyDescent="0.35">
      <c r="A1026" t="s">
        <v>38</v>
      </c>
      <c r="B1026">
        <v>202507</v>
      </c>
      <c r="C1026" t="str">
        <f>MID(analisis_productividad__4[[#This Row],[Periodo]],1,4)</f>
        <v>2025</v>
      </c>
      <c r="D1026" t="str">
        <f>MID(analisis_productividad__4[[#This Row],[Periodo]],5,2)</f>
        <v>07</v>
      </c>
      <c r="E1026" t="s">
        <v>34</v>
      </c>
      <c r="F1026" t="s">
        <v>35</v>
      </c>
      <c r="G1026">
        <v>91197</v>
      </c>
      <c r="H1026">
        <v>10978506</v>
      </c>
      <c r="I1026">
        <v>120.38193548387089</v>
      </c>
      <c r="J1026">
        <v>94798.108544064933</v>
      </c>
      <c r="K1026">
        <v>140.5</v>
      </c>
      <c r="L1026">
        <v>125.5</v>
      </c>
      <c r="M1026">
        <v>115.80933162708483</v>
      </c>
      <c r="N1026">
        <v>11750313</v>
      </c>
    </row>
    <row r="1027" spans="1:14" x14ac:dyDescent="0.35">
      <c r="A1027" t="s">
        <v>25</v>
      </c>
      <c r="B1027">
        <v>202509</v>
      </c>
      <c r="C1027" t="str">
        <f>MID(analisis_productividad__4[[#This Row],[Periodo]],1,4)</f>
        <v>2025</v>
      </c>
      <c r="D1027" t="str">
        <f>MID(analisis_productividad__4[[#This Row],[Periodo]],5,2)</f>
        <v>09</v>
      </c>
      <c r="E1027" t="s">
        <v>16</v>
      </c>
      <c r="F1027" t="s">
        <v>19</v>
      </c>
      <c r="G1027">
        <v>91193</v>
      </c>
      <c r="H1027">
        <v>7621148</v>
      </c>
      <c r="I1027">
        <v>83.572076388889002</v>
      </c>
      <c r="J1027">
        <v>88430.06838310766</v>
      </c>
      <c r="K1027">
        <v>94</v>
      </c>
      <c r="L1027">
        <v>92</v>
      </c>
      <c r="M1027">
        <v>86.182767008419845</v>
      </c>
      <c r="N1027">
        <v>7166578</v>
      </c>
    </row>
    <row r="1028" spans="1:14" x14ac:dyDescent="0.35">
      <c r="A1028" t="s">
        <v>27</v>
      </c>
      <c r="B1028">
        <v>202502</v>
      </c>
      <c r="C1028" t="str">
        <f>MID(analisis_productividad__4[[#This Row],[Periodo]],1,4)</f>
        <v>2025</v>
      </c>
      <c r="D1028" t="str">
        <f>MID(analisis_productividad__4[[#This Row],[Periodo]],5,2)</f>
        <v>02</v>
      </c>
      <c r="E1028" t="s">
        <v>11</v>
      </c>
      <c r="F1028" t="s">
        <v>14</v>
      </c>
      <c r="G1028">
        <v>91190</v>
      </c>
      <c r="H1028">
        <v>7265441</v>
      </c>
      <c r="I1028">
        <v>79.673749999999984</v>
      </c>
      <c r="J1028">
        <v>96012.643010937536</v>
      </c>
      <c r="K1028">
        <v>88</v>
      </c>
      <c r="L1028">
        <v>84</v>
      </c>
      <c r="M1028">
        <v>75.671709080775287</v>
      </c>
      <c r="N1028">
        <v>7753496</v>
      </c>
    </row>
    <row r="1029" spans="1:14" x14ac:dyDescent="0.35">
      <c r="A1029" t="s">
        <v>65</v>
      </c>
      <c r="B1029">
        <v>202601</v>
      </c>
      <c r="C1029" t="str">
        <f>MID(analisis_productividad__4[[#This Row],[Periodo]],1,4)</f>
        <v>2026</v>
      </c>
      <c r="D1029" t="str">
        <f>MID(analisis_productividad__4[[#This Row],[Periodo]],5,2)</f>
        <v>01</v>
      </c>
      <c r="E1029" t="s">
        <v>16</v>
      </c>
      <c r="F1029" t="s">
        <v>19</v>
      </c>
      <c r="G1029">
        <v>91183</v>
      </c>
      <c r="H1029">
        <v>5718851</v>
      </c>
      <c r="I1029">
        <v>62.718353494623678</v>
      </c>
      <c r="J1029">
        <v>89137.037590658394</v>
      </c>
      <c r="K1029">
        <v>68</v>
      </c>
      <c r="L1029">
        <v>68.5</v>
      </c>
      <c r="M1029">
        <v>60.397061823201135</v>
      </c>
      <c r="N1029">
        <v>5383615</v>
      </c>
    </row>
    <row r="1030" spans="1:14" x14ac:dyDescent="0.35">
      <c r="A1030" t="s">
        <v>50</v>
      </c>
      <c r="B1030">
        <v>202411</v>
      </c>
      <c r="C1030" t="str">
        <f>MID(analisis_productividad__4[[#This Row],[Periodo]],1,4)</f>
        <v>2024</v>
      </c>
      <c r="D1030" t="str">
        <f>MID(analisis_productividad__4[[#This Row],[Periodo]],5,2)</f>
        <v>11</v>
      </c>
      <c r="E1030" t="s">
        <v>34</v>
      </c>
      <c r="F1030" t="s">
        <v>35</v>
      </c>
      <c r="G1030">
        <v>91175</v>
      </c>
      <c r="H1030">
        <v>5543581</v>
      </c>
      <c r="I1030">
        <v>60.801270833333376</v>
      </c>
      <c r="J1030">
        <v>0</v>
      </c>
      <c r="K1030">
        <v>79.5</v>
      </c>
      <c r="L1030">
        <v>72.5</v>
      </c>
      <c r="N1030">
        <v>0</v>
      </c>
    </row>
    <row r="1031" spans="1:14" x14ac:dyDescent="0.35">
      <c r="A1031" t="s">
        <v>57</v>
      </c>
      <c r="B1031">
        <v>202604</v>
      </c>
      <c r="C1031" t="str">
        <f>MID(analisis_productividad__4[[#This Row],[Periodo]],1,4)</f>
        <v>2026</v>
      </c>
      <c r="D1031" t="str">
        <f>MID(analisis_productividad__4[[#This Row],[Periodo]],5,2)</f>
        <v>04</v>
      </c>
      <c r="E1031" t="s">
        <v>16</v>
      </c>
      <c r="F1031" t="s">
        <v>19</v>
      </c>
      <c r="G1031">
        <v>91170</v>
      </c>
      <c r="H1031">
        <v>6091625</v>
      </c>
      <c r="I1031">
        <v>66.81577777777953</v>
      </c>
      <c r="J1031">
        <v>92753.857184476656</v>
      </c>
      <c r="K1031">
        <v>71</v>
      </c>
      <c r="L1031">
        <v>74.5</v>
      </c>
      <c r="M1031">
        <v>62.681117153293116</v>
      </c>
      <c r="N1031">
        <v>5813915</v>
      </c>
    </row>
    <row r="1032" spans="1:14" x14ac:dyDescent="0.35">
      <c r="A1032" t="s">
        <v>49</v>
      </c>
      <c r="B1032">
        <v>202507</v>
      </c>
      <c r="C1032" t="str">
        <f>MID(analisis_productividad__4[[#This Row],[Periodo]],1,4)</f>
        <v>2025</v>
      </c>
      <c r="D1032" t="str">
        <f>MID(analisis_productividad__4[[#This Row],[Periodo]],5,2)</f>
        <v>07</v>
      </c>
      <c r="E1032" t="s">
        <v>16</v>
      </c>
      <c r="F1032" t="s">
        <v>21</v>
      </c>
      <c r="G1032">
        <v>91153</v>
      </c>
      <c r="H1032">
        <v>5702562</v>
      </c>
      <c r="I1032">
        <v>62.560618279569887</v>
      </c>
      <c r="J1032">
        <v>109432.99646219518</v>
      </c>
      <c r="K1032">
        <v>75.5</v>
      </c>
      <c r="L1032">
        <v>68</v>
      </c>
      <c r="M1032">
        <v>52.11008219052114</v>
      </c>
      <c r="N1032">
        <v>6419727</v>
      </c>
    </row>
    <row r="1033" spans="1:14" x14ac:dyDescent="0.35">
      <c r="A1033" t="s">
        <v>87</v>
      </c>
      <c r="B1033">
        <v>202511</v>
      </c>
      <c r="C1033" t="str">
        <f>MID(analisis_productividad__4[[#This Row],[Periodo]],1,4)</f>
        <v>2025</v>
      </c>
      <c r="D1033" t="str">
        <f>MID(analisis_productividad__4[[#This Row],[Periodo]],5,2)</f>
        <v>11</v>
      </c>
      <c r="E1033" t="s">
        <v>9</v>
      </c>
      <c r="F1033" t="s">
        <v>9</v>
      </c>
      <c r="G1033">
        <v>91151</v>
      </c>
      <c r="H1033">
        <v>902221</v>
      </c>
      <c r="I1033">
        <v>9.8980486111111112</v>
      </c>
      <c r="J1033">
        <v>90084.606294465208</v>
      </c>
      <c r="K1033">
        <v>13.5</v>
      </c>
      <c r="L1033">
        <v>12</v>
      </c>
      <c r="M1033">
        <v>10.015267059622287</v>
      </c>
      <c r="N1033">
        <v>1070492</v>
      </c>
    </row>
    <row r="1034" spans="1:14" x14ac:dyDescent="0.35">
      <c r="A1034" t="s">
        <v>75</v>
      </c>
      <c r="B1034">
        <v>202403</v>
      </c>
      <c r="C1034" t="str">
        <f>MID(analisis_productividad__4[[#This Row],[Periodo]],1,4)</f>
        <v>2024</v>
      </c>
      <c r="D1034" t="str">
        <f>MID(analisis_productividad__4[[#This Row],[Periodo]],5,2)</f>
        <v>03</v>
      </c>
      <c r="E1034" t="s">
        <v>11</v>
      </c>
      <c r="F1034" t="s">
        <v>52</v>
      </c>
      <c r="G1034">
        <v>91117</v>
      </c>
      <c r="H1034">
        <v>10511279</v>
      </c>
      <c r="I1034">
        <v>115.35962365591405</v>
      </c>
      <c r="J1034">
        <v>0</v>
      </c>
      <c r="K1034">
        <v>118</v>
      </c>
      <c r="L1034">
        <v>106</v>
      </c>
      <c r="N1034">
        <v>0</v>
      </c>
    </row>
    <row r="1035" spans="1:14" x14ac:dyDescent="0.35">
      <c r="A1035" t="s">
        <v>131</v>
      </c>
      <c r="B1035">
        <v>202410</v>
      </c>
      <c r="C1035" t="str">
        <f>MID(analisis_productividad__4[[#This Row],[Periodo]],1,4)</f>
        <v>2024</v>
      </c>
      <c r="D1035" t="str">
        <f>MID(analisis_productividad__4[[#This Row],[Periodo]],5,2)</f>
        <v>10</v>
      </c>
      <c r="E1035" t="s">
        <v>16</v>
      </c>
      <c r="F1035" t="s">
        <v>21</v>
      </c>
      <c r="G1035">
        <v>91073</v>
      </c>
      <c r="H1035">
        <v>10781401</v>
      </c>
      <c r="I1035">
        <v>118.38147849462364</v>
      </c>
      <c r="J1035">
        <v>0</v>
      </c>
      <c r="K1035">
        <v>99</v>
      </c>
      <c r="L1035">
        <v>32.5</v>
      </c>
      <c r="N1035">
        <v>0</v>
      </c>
    </row>
    <row r="1036" spans="1:14" x14ac:dyDescent="0.35">
      <c r="A1036" t="s">
        <v>64</v>
      </c>
      <c r="B1036">
        <v>202605</v>
      </c>
      <c r="C1036" t="str">
        <f>MID(analisis_productividad__4[[#This Row],[Periodo]],1,4)</f>
        <v>2026</v>
      </c>
      <c r="D1036" t="str">
        <f>MID(analisis_productividad__4[[#This Row],[Periodo]],5,2)</f>
        <v>05</v>
      </c>
      <c r="E1036" t="s">
        <v>16</v>
      </c>
      <c r="F1036" t="s">
        <v>21</v>
      </c>
      <c r="G1036">
        <v>91046</v>
      </c>
      <c r="H1036">
        <v>9929231</v>
      </c>
      <c r="I1036">
        <v>109.05680107526388</v>
      </c>
      <c r="J1036">
        <v>90889.521866791096</v>
      </c>
      <c r="K1036">
        <v>88.5</v>
      </c>
      <c r="L1036">
        <v>92.5</v>
      </c>
      <c r="M1036">
        <v>102.97612103755296</v>
      </c>
      <c r="N1036">
        <v>9359450</v>
      </c>
    </row>
    <row r="1037" spans="1:14" x14ac:dyDescent="0.35">
      <c r="A1037" t="s">
        <v>71</v>
      </c>
      <c r="B1037">
        <v>202603</v>
      </c>
      <c r="C1037" t="str">
        <f>MID(analisis_productividad__4[[#This Row],[Periodo]],1,4)</f>
        <v>2026</v>
      </c>
      <c r="D1037" t="str">
        <f>MID(analisis_productividad__4[[#This Row],[Periodo]],5,2)</f>
        <v>03</v>
      </c>
      <c r="E1037" t="s">
        <v>16</v>
      </c>
      <c r="F1037" t="s">
        <v>19</v>
      </c>
      <c r="G1037">
        <v>91028</v>
      </c>
      <c r="H1037">
        <v>3280732</v>
      </c>
      <c r="I1037">
        <v>36.041061827956995</v>
      </c>
      <c r="J1037">
        <v>70401.060935859074</v>
      </c>
      <c r="K1037">
        <v>41.5</v>
      </c>
      <c r="L1037">
        <v>35.5</v>
      </c>
      <c r="M1037">
        <v>37.124878906032741</v>
      </c>
      <c r="N1037">
        <v>2613631</v>
      </c>
    </row>
    <row r="1038" spans="1:14" x14ac:dyDescent="0.35">
      <c r="A1038" t="s">
        <v>79</v>
      </c>
      <c r="B1038">
        <v>202601</v>
      </c>
      <c r="C1038" t="str">
        <f>MID(analisis_productividad__4[[#This Row],[Periodo]],1,4)</f>
        <v>2026</v>
      </c>
      <c r="D1038" t="str">
        <f>MID(analisis_productividad__4[[#This Row],[Periodo]],5,2)</f>
        <v>01</v>
      </c>
      <c r="E1038" t="s">
        <v>11</v>
      </c>
      <c r="F1038" t="s">
        <v>12</v>
      </c>
      <c r="G1038">
        <v>91017</v>
      </c>
      <c r="H1038">
        <v>5263425</v>
      </c>
      <c r="I1038">
        <v>57.829032258064515</v>
      </c>
      <c r="J1038">
        <v>94293.154567289894</v>
      </c>
      <c r="K1038">
        <v>64.5</v>
      </c>
      <c r="L1038">
        <v>64</v>
      </c>
      <c r="M1038">
        <v>54.966698955874868</v>
      </c>
      <c r="N1038">
        <v>5182983</v>
      </c>
    </row>
    <row r="1039" spans="1:14" x14ac:dyDescent="0.35">
      <c r="A1039" t="s">
        <v>46</v>
      </c>
      <c r="B1039">
        <v>202411</v>
      </c>
      <c r="C1039" t="str">
        <f>MID(analisis_productividad__4[[#This Row],[Periodo]],1,4)</f>
        <v>2024</v>
      </c>
      <c r="D1039" t="str">
        <f>MID(analisis_productividad__4[[#This Row],[Periodo]],5,2)</f>
        <v>11</v>
      </c>
      <c r="E1039" t="s">
        <v>11</v>
      </c>
      <c r="F1039" t="s">
        <v>14</v>
      </c>
      <c r="G1039">
        <v>91010</v>
      </c>
      <c r="H1039">
        <v>6162852</v>
      </c>
      <c r="I1039">
        <v>67.716055555555599</v>
      </c>
      <c r="J1039">
        <v>0</v>
      </c>
      <c r="K1039">
        <v>77</v>
      </c>
      <c r="L1039">
        <v>79</v>
      </c>
      <c r="N1039">
        <v>0</v>
      </c>
    </row>
    <row r="1040" spans="1:14" x14ac:dyDescent="0.35">
      <c r="A1040" t="s">
        <v>39</v>
      </c>
      <c r="B1040">
        <v>202501</v>
      </c>
      <c r="C1040" t="str">
        <f>MID(analisis_productividad__4[[#This Row],[Periodo]],1,4)</f>
        <v>2025</v>
      </c>
      <c r="D1040" t="str">
        <f>MID(analisis_productividad__4[[#This Row],[Periodo]],5,2)</f>
        <v>01</v>
      </c>
      <c r="E1040" t="s">
        <v>16</v>
      </c>
      <c r="F1040" t="s">
        <v>17</v>
      </c>
      <c r="G1040">
        <v>90992</v>
      </c>
      <c r="H1040">
        <v>7927205</v>
      </c>
      <c r="I1040">
        <v>87.119704301075174</v>
      </c>
      <c r="J1040">
        <v>99812.90047899817</v>
      </c>
      <c r="K1040">
        <v>93.5</v>
      </c>
      <c r="L1040">
        <v>94</v>
      </c>
      <c r="M1040">
        <v>79.420646749645158</v>
      </c>
      <c r="N1040">
        <v>7762310</v>
      </c>
    </row>
    <row r="1041" spans="1:14" x14ac:dyDescent="0.35">
      <c r="A1041" t="s">
        <v>55</v>
      </c>
      <c r="B1041">
        <v>202507</v>
      </c>
      <c r="C1041" t="str">
        <f>MID(analisis_productividad__4[[#This Row],[Periodo]],1,4)</f>
        <v>2025</v>
      </c>
      <c r="D1041" t="str">
        <f>MID(analisis_productividad__4[[#This Row],[Periodo]],5,2)</f>
        <v>07</v>
      </c>
      <c r="E1041" t="s">
        <v>16</v>
      </c>
      <c r="F1041" t="s">
        <v>21</v>
      </c>
      <c r="G1041">
        <v>90989</v>
      </c>
      <c r="H1041">
        <v>4696274</v>
      </c>
      <c r="I1041">
        <v>51.613568548387086</v>
      </c>
      <c r="J1041">
        <v>100482.44878679224</v>
      </c>
      <c r="K1041">
        <v>55</v>
      </c>
      <c r="L1041">
        <v>50.5</v>
      </c>
      <c r="M1041">
        <v>46.73725816500297</v>
      </c>
      <c r="N1041">
        <v>5244692</v>
      </c>
    </row>
    <row r="1042" spans="1:14" x14ac:dyDescent="0.35">
      <c r="A1042" t="s">
        <v>79</v>
      </c>
      <c r="B1042">
        <v>202511</v>
      </c>
      <c r="C1042" t="str">
        <f>MID(analisis_productividad__4[[#This Row],[Periodo]],1,4)</f>
        <v>2025</v>
      </c>
      <c r="D1042" t="str">
        <f>MID(analisis_productividad__4[[#This Row],[Periodo]],5,2)</f>
        <v>11</v>
      </c>
      <c r="E1042" t="s">
        <v>11</v>
      </c>
      <c r="F1042" t="s">
        <v>12</v>
      </c>
      <c r="G1042">
        <v>90979</v>
      </c>
      <c r="H1042">
        <v>5389428</v>
      </c>
      <c r="I1042">
        <v>59.237840277777785</v>
      </c>
      <c r="J1042">
        <v>86248.34444143837</v>
      </c>
      <c r="K1042">
        <v>64.5</v>
      </c>
      <c r="L1042">
        <v>64</v>
      </c>
      <c r="M1042">
        <v>62.48731653810885</v>
      </c>
      <c r="N1042">
        <v>5415909</v>
      </c>
    </row>
    <row r="1043" spans="1:14" x14ac:dyDescent="0.35">
      <c r="A1043" t="s">
        <v>90</v>
      </c>
      <c r="B1043">
        <v>202412</v>
      </c>
      <c r="C1043" t="str">
        <f>MID(analisis_productividad__4[[#This Row],[Periodo]],1,4)</f>
        <v>2024</v>
      </c>
      <c r="D1043" t="str">
        <f>MID(analisis_productividad__4[[#This Row],[Periodo]],5,2)</f>
        <v>12</v>
      </c>
      <c r="E1043" t="s">
        <v>11</v>
      </c>
      <c r="F1043" t="s">
        <v>14</v>
      </c>
      <c r="G1043">
        <v>90956</v>
      </c>
      <c r="H1043">
        <v>7909612</v>
      </c>
      <c r="I1043">
        <v>86.961122311828007</v>
      </c>
      <c r="J1043">
        <v>0</v>
      </c>
      <c r="K1043">
        <v>84.5</v>
      </c>
      <c r="L1043">
        <v>78.5</v>
      </c>
      <c r="N1043">
        <v>0</v>
      </c>
    </row>
    <row r="1044" spans="1:14" x14ac:dyDescent="0.35">
      <c r="A1044" t="s">
        <v>38</v>
      </c>
      <c r="B1044">
        <v>202402</v>
      </c>
      <c r="C1044" t="str">
        <f>MID(analisis_productividad__4[[#This Row],[Periodo]],1,4)</f>
        <v>2024</v>
      </c>
      <c r="D1044" t="str">
        <f>MID(analisis_productividad__4[[#This Row],[Periodo]],5,2)</f>
        <v>02</v>
      </c>
      <c r="E1044" t="s">
        <v>34</v>
      </c>
      <c r="F1044" t="s">
        <v>35</v>
      </c>
      <c r="G1044">
        <v>90930</v>
      </c>
      <c r="H1044">
        <v>10670203</v>
      </c>
      <c r="I1044">
        <v>117.34479166666664</v>
      </c>
      <c r="J1044">
        <v>0</v>
      </c>
      <c r="K1044">
        <v>140.5</v>
      </c>
      <c r="L1044">
        <v>125.5</v>
      </c>
      <c r="N1044">
        <v>0</v>
      </c>
    </row>
    <row r="1045" spans="1:14" x14ac:dyDescent="0.35">
      <c r="A1045" t="s">
        <v>86</v>
      </c>
      <c r="B1045">
        <v>202503</v>
      </c>
      <c r="C1045" t="str">
        <f>MID(analisis_productividad__4[[#This Row],[Periodo]],1,4)</f>
        <v>2025</v>
      </c>
      <c r="D1045" t="str">
        <f>MID(analisis_productividad__4[[#This Row],[Periodo]],5,2)</f>
        <v>03</v>
      </c>
      <c r="E1045" t="s">
        <v>11</v>
      </c>
      <c r="F1045" t="s">
        <v>14</v>
      </c>
      <c r="G1045">
        <v>90921</v>
      </c>
      <c r="H1045">
        <v>5889750</v>
      </c>
      <c r="I1045">
        <v>64.77893145161292</v>
      </c>
      <c r="J1045">
        <v>104304.81918848326</v>
      </c>
      <c r="K1045">
        <v>69.5</v>
      </c>
      <c r="L1045">
        <v>59</v>
      </c>
      <c r="M1045">
        <v>56.466710319079034</v>
      </c>
      <c r="N1045">
        <v>6648608</v>
      </c>
    </row>
    <row r="1046" spans="1:14" x14ac:dyDescent="0.35">
      <c r="A1046" t="s">
        <v>32</v>
      </c>
      <c r="B1046">
        <v>202501</v>
      </c>
      <c r="C1046" t="str">
        <f>MID(analisis_productividad__4[[#This Row],[Periodo]],1,4)</f>
        <v>2025</v>
      </c>
      <c r="D1046" t="str">
        <f>MID(analisis_productividad__4[[#This Row],[Periodo]],5,2)</f>
        <v>01</v>
      </c>
      <c r="E1046" t="s">
        <v>11</v>
      </c>
      <c r="F1046" t="s">
        <v>12</v>
      </c>
      <c r="G1046">
        <v>90900</v>
      </c>
      <c r="H1046">
        <v>5074248</v>
      </c>
      <c r="I1046">
        <v>55.822083333333339</v>
      </c>
      <c r="J1046">
        <v>91381.584746206907</v>
      </c>
      <c r="K1046">
        <v>65.5</v>
      </c>
      <c r="L1046">
        <v>66</v>
      </c>
      <c r="M1046">
        <v>55.528125432412381</v>
      </c>
      <c r="N1046">
        <v>5458384</v>
      </c>
    </row>
    <row r="1047" spans="1:14" x14ac:dyDescent="0.35">
      <c r="A1047" t="s">
        <v>38</v>
      </c>
      <c r="B1047">
        <v>202404</v>
      </c>
      <c r="C1047" t="str">
        <f>MID(analisis_productividad__4[[#This Row],[Periodo]],1,4)</f>
        <v>2024</v>
      </c>
      <c r="D1047" t="str">
        <f>MID(analisis_productividad__4[[#This Row],[Periodo]],5,2)</f>
        <v>04</v>
      </c>
      <c r="E1047" t="s">
        <v>34</v>
      </c>
      <c r="F1047" t="s">
        <v>35</v>
      </c>
      <c r="G1047">
        <v>90899</v>
      </c>
      <c r="H1047">
        <v>11420406</v>
      </c>
      <c r="I1047">
        <v>125.63804166666665</v>
      </c>
      <c r="J1047">
        <v>0</v>
      </c>
      <c r="K1047">
        <v>140.5</v>
      </c>
      <c r="L1047">
        <v>125.5</v>
      </c>
      <c r="N1047">
        <v>0</v>
      </c>
    </row>
    <row r="1048" spans="1:14" x14ac:dyDescent="0.35">
      <c r="A1048" t="s">
        <v>49</v>
      </c>
      <c r="B1048">
        <v>202505</v>
      </c>
      <c r="C1048" t="str">
        <f>MID(analisis_productividad__4[[#This Row],[Periodo]],1,4)</f>
        <v>2025</v>
      </c>
      <c r="D1048" t="str">
        <f>MID(analisis_productividad__4[[#This Row],[Periodo]],5,2)</f>
        <v>05</v>
      </c>
      <c r="E1048" t="s">
        <v>16</v>
      </c>
      <c r="F1048" t="s">
        <v>21</v>
      </c>
      <c r="G1048">
        <v>90873</v>
      </c>
      <c r="H1048">
        <v>5740738</v>
      </c>
      <c r="I1048">
        <v>63.173212365591411</v>
      </c>
      <c r="J1048">
        <v>89465.313994959215</v>
      </c>
      <c r="K1048">
        <v>75.5</v>
      </c>
      <c r="L1048">
        <v>68</v>
      </c>
      <c r="M1048">
        <v>64.167188529886033</v>
      </c>
      <c r="N1048">
        <v>5857423</v>
      </c>
    </row>
    <row r="1049" spans="1:14" x14ac:dyDescent="0.35">
      <c r="A1049" t="s">
        <v>67</v>
      </c>
      <c r="B1049">
        <v>202507</v>
      </c>
      <c r="C1049" t="str">
        <f>MID(analisis_productividad__4[[#This Row],[Periodo]],1,4)</f>
        <v>2025</v>
      </c>
      <c r="D1049" t="str">
        <f>MID(analisis_productividad__4[[#This Row],[Periodo]],5,2)</f>
        <v>07</v>
      </c>
      <c r="E1049" t="s">
        <v>16</v>
      </c>
      <c r="F1049" t="s">
        <v>19</v>
      </c>
      <c r="G1049">
        <v>90858</v>
      </c>
      <c r="H1049">
        <v>6528854</v>
      </c>
      <c r="I1049">
        <v>71.858104838709693</v>
      </c>
      <c r="J1049">
        <v>88826.481470094019</v>
      </c>
      <c r="K1049">
        <v>79.5</v>
      </c>
      <c r="L1049">
        <v>81.5</v>
      </c>
      <c r="M1049">
        <v>73.501207995029361</v>
      </c>
      <c r="N1049">
        <v>6772599</v>
      </c>
    </row>
    <row r="1050" spans="1:14" x14ac:dyDescent="0.35">
      <c r="A1050" t="s">
        <v>67</v>
      </c>
      <c r="B1050">
        <v>202403</v>
      </c>
      <c r="C1050" t="str">
        <f>MID(analisis_productividad__4[[#This Row],[Periodo]],1,4)</f>
        <v>2024</v>
      </c>
      <c r="D1050" t="str">
        <f>MID(analisis_productividad__4[[#This Row],[Periodo]],5,2)</f>
        <v>03</v>
      </c>
      <c r="E1050" t="s">
        <v>16</v>
      </c>
      <c r="F1050" t="s">
        <v>19</v>
      </c>
      <c r="G1050">
        <v>90828</v>
      </c>
      <c r="H1050">
        <v>6611669</v>
      </c>
      <c r="I1050">
        <v>72.793508064516104</v>
      </c>
      <c r="J1050">
        <v>0</v>
      </c>
      <c r="K1050">
        <v>79.5</v>
      </c>
      <c r="L1050">
        <v>81.5</v>
      </c>
      <c r="N1050">
        <v>0</v>
      </c>
    </row>
    <row r="1051" spans="1:14" x14ac:dyDescent="0.35">
      <c r="A1051" t="s">
        <v>39</v>
      </c>
      <c r="B1051">
        <v>202405</v>
      </c>
      <c r="C1051" t="str">
        <f>MID(analisis_productividad__4[[#This Row],[Periodo]],1,4)</f>
        <v>2024</v>
      </c>
      <c r="D1051" t="str">
        <f>MID(analisis_productividad__4[[#This Row],[Periodo]],5,2)</f>
        <v>05</v>
      </c>
      <c r="E1051" t="s">
        <v>16</v>
      </c>
      <c r="F1051" t="s">
        <v>17</v>
      </c>
      <c r="G1051">
        <v>90825</v>
      </c>
      <c r="H1051">
        <v>7822432</v>
      </c>
      <c r="I1051">
        <v>86.12610887096767</v>
      </c>
      <c r="J1051">
        <v>0</v>
      </c>
      <c r="K1051">
        <v>93.5</v>
      </c>
      <c r="L1051">
        <v>94</v>
      </c>
      <c r="N1051">
        <v>0</v>
      </c>
    </row>
    <row r="1052" spans="1:14" x14ac:dyDescent="0.35">
      <c r="A1052" t="s">
        <v>69</v>
      </c>
      <c r="B1052">
        <v>202508</v>
      </c>
      <c r="C1052" t="str">
        <f>MID(analisis_productividad__4[[#This Row],[Periodo]],1,4)</f>
        <v>2025</v>
      </c>
      <c r="D1052" t="str">
        <f>MID(analisis_productividad__4[[#This Row],[Periodo]],5,2)</f>
        <v>08</v>
      </c>
      <c r="E1052" t="s">
        <v>11</v>
      </c>
      <c r="F1052" t="s">
        <v>52</v>
      </c>
      <c r="G1052">
        <v>90823</v>
      </c>
      <c r="H1052">
        <v>4790414</v>
      </c>
      <c r="I1052">
        <v>52.744294354838708</v>
      </c>
      <c r="J1052">
        <v>90572.641233716335</v>
      </c>
      <c r="K1052">
        <v>68</v>
      </c>
      <c r="L1052">
        <v>60.5</v>
      </c>
      <c r="M1052">
        <v>52.890297387250456</v>
      </c>
      <c r="N1052">
        <v>5097421</v>
      </c>
    </row>
    <row r="1053" spans="1:14" x14ac:dyDescent="0.35">
      <c r="A1053" t="s">
        <v>67</v>
      </c>
      <c r="B1053">
        <v>202601</v>
      </c>
      <c r="C1053" t="str">
        <f>MID(analisis_productividad__4[[#This Row],[Periodo]],1,4)</f>
        <v>2026</v>
      </c>
      <c r="D1053" t="str">
        <f>MID(analisis_productividad__4[[#This Row],[Periodo]],5,2)</f>
        <v>01</v>
      </c>
      <c r="E1053" t="s">
        <v>16</v>
      </c>
      <c r="F1053" t="s">
        <v>19</v>
      </c>
      <c r="G1053">
        <v>90802</v>
      </c>
      <c r="H1053">
        <v>6226452</v>
      </c>
      <c r="I1053">
        <v>68.57200940860217</v>
      </c>
      <c r="J1053">
        <v>98922.465408194199</v>
      </c>
      <c r="K1053">
        <v>79.5</v>
      </c>
      <c r="L1053">
        <v>81.5</v>
      </c>
      <c r="M1053">
        <v>68.773296674593993</v>
      </c>
      <c r="N1053">
        <v>6803224</v>
      </c>
    </row>
    <row r="1054" spans="1:14" x14ac:dyDescent="0.35">
      <c r="A1054" t="s">
        <v>47</v>
      </c>
      <c r="B1054">
        <v>202508</v>
      </c>
      <c r="C1054" t="str">
        <f>MID(analisis_productividad__4[[#This Row],[Periodo]],1,4)</f>
        <v>2025</v>
      </c>
      <c r="D1054" t="str">
        <f>MID(analisis_productividad__4[[#This Row],[Periodo]],5,2)</f>
        <v>08</v>
      </c>
      <c r="E1054" t="s">
        <v>11</v>
      </c>
      <c r="F1054" t="s">
        <v>14</v>
      </c>
      <c r="G1054">
        <v>90770</v>
      </c>
      <c r="H1054">
        <v>4398411</v>
      </c>
      <c r="I1054">
        <v>48.456700268817215</v>
      </c>
      <c r="J1054">
        <v>86839.599080305357</v>
      </c>
      <c r="K1054">
        <v>61.5</v>
      </c>
      <c r="L1054">
        <v>48.5</v>
      </c>
      <c r="M1054">
        <v>50.649825616220859</v>
      </c>
      <c r="N1054">
        <v>4798846</v>
      </c>
    </row>
    <row r="1055" spans="1:14" x14ac:dyDescent="0.35">
      <c r="A1055" t="s">
        <v>49</v>
      </c>
      <c r="B1055">
        <v>202403</v>
      </c>
      <c r="C1055" t="str">
        <f>MID(analisis_productividad__4[[#This Row],[Periodo]],1,4)</f>
        <v>2024</v>
      </c>
      <c r="D1055" t="str">
        <f>MID(analisis_productividad__4[[#This Row],[Periodo]],5,2)</f>
        <v>03</v>
      </c>
      <c r="E1055" t="s">
        <v>16</v>
      </c>
      <c r="F1055" t="s">
        <v>21</v>
      </c>
      <c r="G1055">
        <v>90768</v>
      </c>
      <c r="H1055">
        <v>6705127</v>
      </c>
      <c r="I1055">
        <v>73.870698924731215</v>
      </c>
      <c r="J1055">
        <v>0</v>
      </c>
      <c r="K1055">
        <v>75.5</v>
      </c>
      <c r="L1055">
        <v>68</v>
      </c>
      <c r="N1055">
        <v>0</v>
      </c>
    </row>
    <row r="1056" spans="1:14" x14ac:dyDescent="0.35">
      <c r="A1056" t="s">
        <v>39</v>
      </c>
      <c r="B1056">
        <v>202402</v>
      </c>
      <c r="C1056" t="str">
        <f>MID(analisis_productividad__4[[#This Row],[Periodo]],1,4)</f>
        <v>2024</v>
      </c>
      <c r="D1056" t="str">
        <f>MID(analisis_productividad__4[[#This Row],[Periodo]],5,2)</f>
        <v>02</v>
      </c>
      <c r="E1056" t="s">
        <v>16</v>
      </c>
      <c r="F1056" t="s">
        <v>17</v>
      </c>
      <c r="G1056">
        <v>90762</v>
      </c>
      <c r="H1056">
        <v>7353139</v>
      </c>
      <c r="I1056">
        <v>81.015344827586205</v>
      </c>
      <c r="J1056">
        <v>0</v>
      </c>
      <c r="K1056">
        <v>93.5</v>
      </c>
      <c r="L1056">
        <v>94</v>
      </c>
      <c r="N1056">
        <v>0</v>
      </c>
    </row>
    <row r="1057" spans="1:14" x14ac:dyDescent="0.35">
      <c r="A1057" t="s">
        <v>86</v>
      </c>
      <c r="B1057">
        <v>202603</v>
      </c>
      <c r="C1057" t="str">
        <f>MID(analisis_productividad__4[[#This Row],[Periodo]],1,4)</f>
        <v>2026</v>
      </c>
      <c r="D1057" t="str">
        <f>MID(analisis_productividad__4[[#This Row],[Periodo]],5,2)</f>
        <v>03</v>
      </c>
      <c r="E1057" t="s">
        <v>11</v>
      </c>
      <c r="F1057" t="s">
        <v>14</v>
      </c>
      <c r="G1057">
        <v>90735</v>
      </c>
      <c r="H1057">
        <v>5387484</v>
      </c>
      <c r="I1057">
        <v>59.375712365591404</v>
      </c>
      <c r="J1057">
        <v>99780.262864671109</v>
      </c>
      <c r="K1057">
        <v>69.5</v>
      </c>
      <c r="L1057">
        <v>59</v>
      </c>
      <c r="M1057">
        <v>57.926444284268129</v>
      </c>
      <c r="N1057">
        <v>5779916</v>
      </c>
    </row>
    <row r="1058" spans="1:14" x14ac:dyDescent="0.35">
      <c r="A1058" t="s">
        <v>61</v>
      </c>
      <c r="B1058">
        <v>202401</v>
      </c>
      <c r="C1058" t="str">
        <f>MID(analisis_productividad__4[[#This Row],[Periodo]],1,4)</f>
        <v>2024</v>
      </c>
      <c r="D1058" t="str">
        <f>MID(analisis_productividad__4[[#This Row],[Periodo]],5,2)</f>
        <v>01</v>
      </c>
      <c r="E1058" t="s">
        <v>11</v>
      </c>
      <c r="F1058" t="s">
        <v>52</v>
      </c>
      <c r="G1058">
        <v>90713</v>
      </c>
      <c r="H1058">
        <v>8616852</v>
      </c>
      <c r="I1058">
        <v>94.990376344085988</v>
      </c>
      <c r="J1058">
        <v>0</v>
      </c>
      <c r="K1058">
        <v>104.5</v>
      </c>
      <c r="L1058">
        <v>99</v>
      </c>
      <c r="N1058">
        <v>0</v>
      </c>
    </row>
    <row r="1059" spans="1:14" x14ac:dyDescent="0.35">
      <c r="A1059" t="s">
        <v>32</v>
      </c>
      <c r="B1059">
        <v>202504</v>
      </c>
      <c r="C1059" t="str">
        <f>MID(analisis_productividad__4[[#This Row],[Periodo]],1,4)</f>
        <v>2025</v>
      </c>
      <c r="D1059" t="str">
        <f>MID(analisis_productividad__4[[#This Row],[Periodo]],5,2)</f>
        <v>04</v>
      </c>
      <c r="E1059" t="s">
        <v>11</v>
      </c>
      <c r="F1059" t="s">
        <v>12</v>
      </c>
      <c r="G1059">
        <v>90688</v>
      </c>
      <c r="H1059">
        <v>5193865</v>
      </c>
      <c r="I1059">
        <v>57.271763888888877</v>
      </c>
      <c r="J1059">
        <v>81205.062719238456</v>
      </c>
      <c r="K1059">
        <v>65.5</v>
      </c>
      <c r="L1059">
        <v>66</v>
      </c>
      <c r="M1059">
        <v>63.959872649288783</v>
      </c>
      <c r="N1059">
        <v>5540049</v>
      </c>
    </row>
    <row r="1060" spans="1:14" x14ac:dyDescent="0.35">
      <c r="A1060" t="s">
        <v>49</v>
      </c>
      <c r="B1060">
        <v>202504</v>
      </c>
      <c r="C1060" t="str">
        <f>MID(analisis_productividad__4[[#This Row],[Periodo]],1,4)</f>
        <v>2025</v>
      </c>
      <c r="D1060" t="str">
        <f>MID(analisis_productividad__4[[#This Row],[Periodo]],5,2)</f>
        <v>04</v>
      </c>
      <c r="E1060" t="s">
        <v>16</v>
      </c>
      <c r="F1060" t="s">
        <v>21</v>
      </c>
      <c r="G1060">
        <v>90685</v>
      </c>
      <c r="H1060">
        <v>5761791</v>
      </c>
      <c r="I1060">
        <v>63.536083333333345</v>
      </c>
      <c r="J1060">
        <v>82054.323803662366</v>
      </c>
      <c r="K1060">
        <v>75.5</v>
      </c>
      <c r="L1060">
        <v>68</v>
      </c>
      <c r="M1060">
        <v>70.219220303206384</v>
      </c>
      <c r="N1060">
        <v>5905438</v>
      </c>
    </row>
    <row r="1061" spans="1:14" x14ac:dyDescent="0.35">
      <c r="A1061" t="s">
        <v>53</v>
      </c>
      <c r="B1061">
        <v>202411</v>
      </c>
      <c r="C1061" t="str">
        <f>MID(analisis_productividad__4[[#This Row],[Periodo]],1,4)</f>
        <v>2024</v>
      </c>
      <c r="D1061" t="str">
        <f>MID(analisis_productividad__4[[#This Row],[Periodo]],5,2)</f>
        <v>11</v>
      </c>
      <c r="E1061" t="s">
        <v>11</v>
      </c>
      <c r="F1061" t="s">
        <v>12</v>
      </c>
      <c r="G1061">
        <v>90678</v>
      </c>
      <c r="H1061">
        <v>6308138</v>
      </c>
      <c r="I1061">
        <v>69.566291666666686</v>
      </c>
      <c r="J1061">
        <v>0</v>
      </c>
      <c r="K1061">
        <v>81</v>
      </c>
      <c r="L1061">
        <v>77</v>
      </c>
      <c r="N1061">
        <v>0</v>
      </c>
    </row>
    <row r="1062" spans="1:14" x14ac:dyDescent="0.35">
      <c r="A1062" t="s">
        <v>109</v>
      </c>
      <c r="B1062">
        <v>202512</v>
      </c>
      <c r="C1062" t="str">
        <f>MID(analisis_productividad__4[[#This Row],[Periodo]],1,4)</f>
        <v>2025</v>
      </c>
      <c r="D1062" t="str">
        <f>MID(analisis_productividad__4[[#This Row],[Periodo]],5,2)</f>
        <v>12</v>
      </c>
      <c r="E1062" t="s">
        <v>9</v>
      </c>
      <c r="F1062" t="s">
        <v>9</v>
      </c>
      <c r="G1062">
        <v>90640</v>
      </c>
      <c r="H1062">
        <v>765041</v>
      </c>
      <c r="I1062">
        <v>8.4404569892473038</v>
      </c>
      <c r="J1062">
        <v>80544.47115796787</v>
      </c>
      <c r="K1062">
        <v>10</v>
      </c>
      <c r="L1062">
        <v>9</v>
      </c>
      <c r="M1062">
        <v>9.4983648039548694</v>
      </c>
      <c r="N1062">
        <v>884020</v>
      </c>
    </row>
    <row r="1063" spans="1:14" x14ac:dyDescent="0.35">
      <c r="A1063" t="s">
        <v>54</v>
      </c>
      <c r="B1063">
        <v>202601</v>
      </c>
      <c r="C1063" t="str">
        <f>MID(analisis_productividad__4[[#This Row],[Periodo]],1,4)</f>
        <v>2026</v>
      </c>
      <c r="D1063" t="str">
        <f>MID(analisis_productividad__4[[#This Row],[Periodo]],5,2)</f>
        <v>01</v>
      </c>
      <c r="E1063" t="s">
        <v>11</v>
      </c>
      <c r="F1063" t="s">
        <v>52</v>
      </c>
      <c r="G1063">
        <v>90621</v>
      </c>
      <c r="H1063">
        <v>8816959</v>
      </c>
      <c r="I1063">
        <v>97.294401881720404</v>
      </c>
      <c r="J1063">
        <v>107714.56035029294</v>
      </c>
      <c r="K1063">
        <v>106</v>
      </c>
      <c r="L1063">
        <v>102.5</v>
      </c>
      <c r="M1063">
        <v>90.060822135394957</v>
      </c>
      <c r="N1063">
        <v>9700862</v>
      </c>
    </row>
    <row r="1064" spans="1:14" x14ac:dyDescent="0.35">
      <c r="A1064" t="s">
        <v>68</v>
      </c>
      <c r="B1064">
        <v>202504</v>
      </c>
      <c r="C1064" t="str">
        <f>MID(analisis_productividad__4[[#This Row],[Periodo]],1,4)</f>
        <v>2025</v>
      </c>
      <c r="D1064" t="str">
        <f>MID(analisis_productividad__4[[#This Row],[Periodo]],5,2)</f>
        <v>04</v>
      </c>
      <c r="E1064" t="s">
        <v>11</v>
      </c>
      <c r="F1064" t="s">
        <v>52</v>
      </c>
      <c r="G1064">
        <v>90596</v>
      </c>
      <c r="H1064">
        <v>7750847</v>
      </c>
      <c r="I1064">
        <v>85.554388888888894</v>
      </c>
      <c r="J1064">
        <v>92254.767196952744</v>
      </c>
      <c r="K1064">
        <v>103</v>
      </c>
      <c r="L1064">
        <v>91</v>
      </c>
      <c r="M1064">
        <v>84.015683042729691</v>
      </c>
      <c r="N1064">
        <v>8459158</v>
      </c>
    </row>
    <row r="1065" spans="1:14" x14ac:dyDescent="0.35">
      <c r="A1065" t="s">
        <v>72</v>
      </c>
      <c r="B1065">
        <v>202509</v>
      </c>
      <c r="C1065" t="str">
        <f>MID(analisis_productividad__4[[#This Row],[Periodo]],1,4)</f>
        <v>2025</v>
      </c>
      <c r="D1065" t="str">
        <f>MID(analisis_productividad__4[[#This Row],[Periodo]],5,2)</f>
        <v>09</v>
      </c>
      <c r="E1065" t="s">
        <v>11</v>
      </c>
      <c r="F1065" t="s">
        <v>14</v>
      </c>
      <c r="G1065">
        <v>90587</v>
      </c>
      <c r="H1065">
        <v>4355275</v>
      </c>
      <c r="I1065">
        <v>48.078479166666668</v>
      </c>
      <c r="J1065">
        <v>82909.125166953352</v>
      </c>
      <c r="K1065">
        <v>66</v>
      </c>
      <c r="L1065">
        <v>64.5</v>
      </c>
      <c r="M1065">
        <v>52.530706375562673</v>
      </c>
      <c r="N1065">
        <v>5269188</v>
      </c>
    </row>
    <row r="1066" spans="1:14" x14ac:dyDescent="0.35">
      <c r="A1066" t="s">
        <v>120</v>
      </c>
      <c r="B1066">
        <v>202512</v>
      </c>
      <c r="C1066" t="str">
        <f>MID(analisis_productividad__4[[#This Row],[Periodo]],1,4)</f>
        <v>2025</v>
      </c>
      <c r="D1066" t="str">
        <f>MID(analisis_productividad__4[[#This Row],[Periodo]],5,2)</f>
        <v>12</v>
      </c>
      <c r="E1066" t="s">
        <v>9</v>
      </c>
      <c r="F1066" t="s">
        <v>9</v>
      </c>
      <c r="G1066">
        <v>90561</v>
      </c>
      <c r="H1066">
        <v>926054</v>
      </c>
      <c r="I1066">
        <v>10.22573924731182</v>
      </c>
      <c r="J1066">
        <v>86079.5674711803</v>
      </c>
      <c r="K1066">
        <v>11.5</v>
      </c>
      <c r="L1066">
        <v>12</v>
      </c>
      <c r="M1066">
        <v>10.758110864230879</v>
      </c>
      <c r="N1066">
        <v>1147737</v>
      </c>
    </row>
    <row r="1067" spans="1:14" x14ac:dyDescent="0.35">
      <c r="A1067" t="s">
        <v>50</v>
      </c>
      <c r="B1067">
        <v>202405</v>
      </c>
      <c r="C1067" t="str">
        <f>MID(analisis_productividad__4[[#This Row],[Periodo]],1,4)</f>
        <v>2024</v>
      </c>
      <c r="D1067" t="str">
        <f>MID(analisis_productividad__4[[#This Row],[Periodo]],5,2)</f>
        <v>05</v>
      </c>
      <c r="E1067" t="s">
        <v>34</v>
      </c>
      <c r="F1067" t="s">
        <v>35</v>
      </c>
      <c r="G1067">
        <v>90525</v>
      </c>
      <c r="H1067">
        <v>5925176</v>
      </c>
      <c r="I1067">
        <v>65.453198924731154</v>
      </c>
      <c r="J1067">
        <v>0</v>
      </c>
      <c r="K1067">
        <v>79.5</v>
      </c>
      <c r="L1067">
        <v>72.5</v>
      </c>
      <c r="N1067">
        <v>0</v>
      </c>
    </row>
    <row r="1068" spans="1:14" x14ac:dyDescent="0.35">
      <c r="A1068" t="s">
        <v>40</v>
      </c>
      <c r="B1068">
        <v>202404</v>
      </c>
      <c r="C1068" t="str">
        <f>MID(analisis_productividad__4[[#This Row],[Periodo]],1,4)</f>
        <v>2024</v>
      </c>
      <c r="D1068" t="str">
        <f>MID(analisis_productividad__4[[#This Row],[Periodo]],5,2)</f>
        <v>04</v>
      </c>
      <c r="E1068" t="s">
        <v>11</v>
      </c>
      <c r="F1068" t="s">
        <v>14</v>
      </c>
      <c r="G1068">
        <v>90489</v>
      </c>
      <c r="H1068">
        <v>6398985</v>
      </c>
      <c r="I1068">
        <v>70.715701388888931</v>
      </c>
      <c r="J1068">
        <v>0</v>
      </c>
      <c r="K1068">
        <v>76.5</v>
      </c>
      <c r="L1068">
        <v>75.5</v>
      </c>
      <c r="N1068">
        <v>0</v>
      </c>
    </row>
    <row r="1069" spans="1:14" x14ac:dyDescent="0.35">
      <c r="A1069" t="s">
        <v>20</v>
      </c>
      <c r="B1069">
        <v>202502</v>
      </c>
      <c r="C1069" t="str">
        <f>MID(analisis_productividad__4[[#This Row],[Periodo]],1,4)</f>
        <v>2025</v>
      </c>
      <c r="D1069" t="str">
        <f>MID(analisis_productividad__4[[#This Row],[Periodo]],5,2)</f>
        <v>02</v>
      </c>
      <c r="E1069" t="s">
        <v>16</v>
      </c>
      <c r="F1069" t="s">
        <v>21</v>
      </c>
      <c r="G1069">
        <v>90420</v>
      </c>
      <c r="H1069">
        <v>8383686</v>
      </c>
      <c r="I1069">
        <v>92.719635416666662</v>
      </c>
      <c r="J1069">
        <v>100093.74612634798</v>
      </c>
      <c r="K1069">
        <v>96.5</v>
      </c>
      <c r="L1069">
        <v>94</v>
      </c>
      <c r="M1069">
        <v>83.758337303284719</v>
      </c>
      <c r="N1069">
        <v>8684620</v>
      </c>
    </row>
    <row r="1070" spans="1:14" x14ac:dyDescent="0.35">
      <c r="A1070" t="s">
        <v>50</v>
      </c>
      <c r="B1070">
        <v>202410</v>
      </c>
      <c r="C1070" t="str">
        <f>MID(analisis_productividad__4[[#This Row],[Periodo]],1,4)</f>
        <v>2024</v>
      </c>
      <c r="D1070" t="str">
        <f>MID(analisis_productividad__4[[#This Row],[Periodo]],5,2)</f>
        <v>10</v>
      </c>
      <c r="E1070" t="s">
        <v>34</v>
      </c>
      <c r="F1070" t="s">
        <v>35</v>
      </c>
      <c r="G1070">
        <v>90409</v>
      </c>
      <c r="H1070">
        <v>5422998</v>
      </c>
      <c r="I1070">
        <v>59.982708333333328</v>
      </c>
      <c r="J1070">
        <v>0</v>
      </c>
      <c r="K1070">
        <v>79.5</v>
      </c>
      <c r="L1070">
        <v>72.5</v>
      </c>
      <c r="N1070">
        <v>0</v>
      </c>
    </row>
    <row r="1071" spans="1:14" x14ac:dyDescent="0.35">
      <c r="A1071" t="s">
        <v>48</v>
      </c>
      <c r="B1071">
        <v>202412</v>
      </c>
      <c r="C1071" t="str">
        <f>MID(analisis_productividad__4[[#This Row],[Periodo]],1,4)</f>
        <v>2024</v>
      </c>
      <c r="D1071" t="str">
        <f>MID(analisis_productividad__4[[#This Row],[Periodo]],5,2)</f>
        <v>12</v>
      </c>
      <c r="E1071" t="s">
        <v>16</v>
      </c>
      <c r="F1071" t="s">
        <v>21</v>
      </c>
      <c r="G1071">
        <v>90408</v>
      </c>
      <c r="H1071">
        <v>5285748</v>
      </c>
      <c r="I1071">
        <v>58.465430107526892</v>
      </c>
      <c r="J1071">
        <v>0</v>
      </c>
      <c r="K1071">
        <v>56</v>
      </c>
      <c r="L1071">
        <v>60</v>
      </c>
      <c r="N1071">
        <v>0</v>
      </c>
    </row>
    <row r="1072" spans="1:14" x14ac:dyDescent="0.35">
      <c r="A1072" t="s">
        <v>65</v>
      </c>
      <c r="B1072">
        <v>202508</v>
      </c>
      <c r="C1072" t="str">
        <f>MID(analisis_productividad__4[[#This Row],[Periodo]],1,4)</f>
        <v>2025</v>
      </c>
      <c r="D1072" t="str">
        <f>MID(analisis_productividad__4[[#This Row],[Periodo]],5,2)</f>
        <v>08</v>
      </c>
      <c r="E1072" t="s">
        <v>16</v>
      </c>
      <c r="F1072" t="s">
        <v>19</v>
      </c>
      <c r="G1072">
        <v>90382</v>
      </c>
      <c r="H1072">
        <v>5526164</v>
      </c>
      <c r="I1072">
        <v>61.142600806451611</v>
      </c>
      <c r="J1072">
        <v>91356.373018865343</v>
      </c>
      <c r="K1072">
        <v>68</v>
      </c>
      <c r="L1072">
        <v>68.5</v>
      </c>
      <c r="M1072">
        <v>60.490184509172998</v>
      </c>
      <c r="N1072">
        <v>5364972</v>
      </c>
    </row>
    <row r="1073" spans="1:14" x14ac:dyDescent="0.35">
      <c r="A1073" t="s">
        <v>84</v>
      </c>
      <c r="B1073">
        <v>202508</v>
      </c>
      <c r="C1073" t="str">
        <f>MID(analisis_productividad__4[[#This Row],[Periodo]],1,4)</f>
        <v>2025</v>
      </c>
      <c r="D1073" t="str">
        <f>MID(analisis_productividad__4[[#This Row],[Periodo]],5,2)</f>
        <v>08</v>
      </c>
      <c r="E1073" t="s">
        <v>11</v>
      </c>
      <c r="F1073" t="s">
        <v>52</v>
      </c>
      <c r="G1073">
        <v>90380</v>
      </c>
      <c r="H1073">
        <v>8625038</v>
      </c>
      <c r="I1073">
        <v>95.430793010752708</v>
      </c>
      <c r="J1073">
        <v>96890.448795507575</v>
      </c>
      <c r="K1073">
        <v>123</v>
      </c>
      <c r="L1073">
        <v>115.5</v>
      </c>
      <c r="M1073">
        <v>89.01844957085089</v>
      </c>
      <c r="N1073">
        <v>9415952</v>
      </c>
    </row>
    <row r="1074" spans="1:14" x14ac:dyDescent="0.35">
      <c r="A1074" t="s">
        <v>53</v>
      </c>
      <c r="B1074">
        <v>202405</v>
      </c>
      <c r="C1074" t="str">
        <f>MID(analisis_productividad__4[[#This Row],[Periodo]],1,4)</f>
        <v>2024</v>
      </c>
      <c r="D1074" t="str">
        <f>MID(analisis_productividad__4[[#This Row],[Periodo]],5,2)</f>
        <v>05</v>
      </c>
      <c r="E1074" t="s">
        <v>11</v>
      </c>
      <c r="F1074" t="s">
        <v>12</v>
      </c>
      <c r="G1074">
        <v>90378</v>
      </c>
      <c r="H1074">
        <v>6529164</v>
      </c>
      <c r="I1074">
        <v>72.242446236559132</v>
      </c>
      <c r="J1074">
        <v>0</v>
      </c>
      <c r="K1074">
        <v>81</v>
      </c>
      <c r="L1074">
        <v>77</v>
      </c>
      <c r="N1074">
        <v>0</v>
      </c>
    </row>
    <row r="1075" spans="1:14" x14ac:dyDescent="0.35">
      <c r="A1075" t="s">
        <v>68</v>
      </c>
      <c r="B1075">
        <v>202407</v>
      </c>
      <c r="C1075" t="str">
        <f>MID(analisis_productividad__4[[#This Row],[Periodo]],1,4)</f>
        <v>2024</v>
      </c>
      <c r="D1075" t="str">
        <f>MID(analisis_productividad__4[[#This Row],[Periodo]],5,2)</f>
        <v>07</v>
      </c>
      <c r="E1075" t="s">
        <v>11</v>
      </c>
      <c r="F1075" t="s">
        <v>52</v>
      </c>
      <c r="G1075">
        <v>90337</v>
      </c>
      <c r="H1075">
        <v>8049825</v>
      </c>
      <c r="I1075">
        <v>89.10868279569894</v>
      </c>
      <c r="J1075">
        <v>0</v>
      </c>
      <c r="K1075">
        <v>103</v>
      </c>
      <c r="L1075">
        <v>91</v>
      </c>
      <c r="N1075">
        <v>0</v>
      </c>
    </row>
    <row r="1076" spans="1:14" x14ac:dyDescent="0.35">
      <c r="A1076" t="s">
        <v>49</v>
      </c>
      <c r="B1076">
        <v>202605</v>
      </c>
      <c r="C1076" t="str">
        <f>MID(analisis_productividad__4[[#This Row],[Periodo]],1,4)</f>
        <v>2026</v>
      </c>
      <c r="D1076" t="str">
        <f>MID(analisis_productividad__4[[#This Row],[Periodo]],5,2)</f>
        <v>05</v>
      </c>
      <c r="E1076" t="s">
        <v>16</v>
      </c>
      <c r="F1076" t="s">
        <v>21</v>
      </c>
      <c r="G1076">
        <v>90325</v>
      </c>
      <c r="H1076">
        <v>5573921</v>
      </c>
      <c r="I1076">
        <v>61.70946908602194</v>
      </c>
      <c r="J1076">
        <v>88914.581187183518</v>
      </c>
      <c r="K1076">
        <v>75.5</v>
      </c>
      <c r="L1076">
        <v>68</v>
      </c>
      <c r="M1076">
        <v>66.56902434528007</v>
      </c>
      <c r="N1076">
        <v>5918957</v>
      </c>
    </row>
    <row r="1077" spans="1:14" x14ac:dyDescent="0.35">
      <c r="A1077" t="s">
        <v>41</v>
      </c>
      <c r="B1077">
        <v>202408</v>
      </c>
      <c r="C1077" t="str">
        <f>MID(analisis_productividad__4[[#This Row],[Periodo]],1,4)</f>
        <v>2024</v>
      </c>
      <c r="D1077" t="str">
        <f>MID(analisis_productividad__4[[#This Row],[Periodo]],5,2)</f>
        <v>08</v>
      </c>
      <c r="E1077" t="s">
        <v>16</v>
      </c>
      <c r="F1077" t="s">
        <v>19</v>
      </c>
      <c r="G1077">
        <v>90319</v>
      </c>
      <c r="H1077">
        <v>4597157</v>
      </c>
      <c r="I1077">
        <v>50.899126344086007</v>
      </c>
      <c r="J1077">
        <v>0</v>
      </c>
      <c r="K1077">
        <v>57.5</v>
      </c>
      <c r="L1077">
        <v>56.5</v>
      </c>
      <c r="N1077">
        <v>0</v>
      </c>
    </row>
    <row r="1078" spans="1:14" x14ac:dyDescent="0.35">
      <c r="A1078" t="s">
        <v>46</v>
      </c>
      <c r="B1078">
        <v>202402</v>
      </c>
      <c r="C1078" t="str">
        <f>MID(analisis_productividad__4[[#This Row],[Periodo]],1,4)</f>
        <v>2024</v>
      </c>
      <c r="D1078" t="str">
        <f>MID(analisis_productividad__4[[#This Row],[Periodo]],5,2)</f>
        <v>02</v>
      </c>
      <c r="E1078" t="s">
        <v>11</v>
      </c>
      <c r="F1078" t="s">
        <v>14</v>
      </c>
      <c r="G1078">
        <v>90285</v>
      </c>
      <c r="H1078">
        <v>5771877</v>
      </c>
      <c r="I1078">
        <v>63.929762931034482</v>
      </c>
      <c r="J1078">
        <v>0</v>
      </c>
      <c r="K1078">
        <v>77</v>
      </c>
      <c r="L1078">
        <v>79</v>
      </c>
      <c r="N1078">
        <v>0</v>
      </c>
    </row>
    <row r="1079" spans="1:14" x14ac:dyDescent="0.35">
      <c r="A1079" t="s">
        <v>38</v>
      </c>
      <c r="B1079">
        <v>202407</v>
      </c>
      <c r="C1079" t="str">
        <f>MID(analisis_productividad__4[[#This Row],[Periodo]],1,4)</f>
        <v>2024</v>
      </c>
      <c r="D1079" t="str">
        <f>MID(analisis_productividad__4[[#This Row],[Periodo]],5,2)</f>
        <v>07</v>
      </c>
      <c r="E1079" t="s">
        <v>34</v>
      </c>
      <c r="F1079" t="s">
        <v>35</v>
      </c>
      <c r="G1079">
        <v>90284</v>
      </c>
      <c r="H1079">
        <v>11106235</v>
      </c>
      <c r="I1079">
        <v>123.01455645161276</v>
      </c>
      <c r="J1079">
        <v>0</v>
      </c>
      <c r="K1079">
        <v>140.5</v>
      </c>
      <c r="L1079">
        <v>125.5</v>
      </c>
      <c r="N1079">
        <v>0</v>
      </c>
    </row>
    <row r="1080" spans="1:14" x14ac:dyDescent="0.35">
      <c r="A1080" t="s">
        <v>72</v>
      </c>
      <c r="B1080">
        <v>202604</v>
      </c>
      <c r="C1080" t="str">
        <f>MID(analisis_productividad__4[[#This Row],[Periodo]],1,4)</f>
        <v>2026</v>
      </c>
      <c r="D1080" t="str">
        <f>MID(analisis_productividad__4[[#This Row],[Periodo]],5,2)</f>
        <v>04</v>
      </c>
      <c r="E1080" t="s">
        <v>11</v>
      </c>
      <c r="F1080" t="s">
        <v>14</v>
      </c>
      <c r="G1080">
        <v>90275</v>
      </c>
      <c r="H1080">
        <v>4908748</v>
      </c>
      <c r="I1080">
        <v>54.375756944444881</v>
      </c>
      <c r="J1080">
        <v>86831.32274498776</v>
      </c>
      <c r="K1080">
        <v>66</v>
      </c>
      <c r="L1080">
        <v>64.5</v>
      </c>
      <c r="M1080">
        <v>56.772923994003754</v>
      </c>
      <c r="N1080">
        <v>4929668</v>
      </c>
    </row>
    <row r="1081" spans="1:14" x14ac:dyDescent="0.35">
      <c r="A1081" t="s">
        <v>37</v>
      </c>
      <c r="B1081">
        <v>202404</v>
      </c>
      <c r="C1081" t="str">
        <f>MID(analisis_productividad__4[[#This Row],[Periodo]],1,4)</f>
        <v>2024</v>
      </c>
      <c r="D1081" t="str">
        <f>MID(analisis_productividad__4[[#This Row],[Periodo]],5,2)</f>
        <v>04</v>
      </c>
      <c r="E1081" t="s">
        <v>16</v>
      </c>
      <c r="F1081" t="s">
        <v>17</v>
      </c>
      <c r="G1081">
        <v>90273</v>
      </c>
      <c r="H1081">
        <v>9417222</v>
      </c>
      <c r="I1081">
        <v>104.31973611111108</v>
      </c>
      <c r="J1081">
        <v>0</v>
      </c>
      <c r="K1081">
        <v>107.5</v>
      </c>
      <c r="L1081">
        <v>102.5</v>
      </c>
      <c r="N1081">
        <v>0</v>
      </c>
    </row>
    <row r="1082" spans="1:14" x14ac:dyDescent="0.35">
      <c r="A1082" t="s">
        <v>61</v>
      </c>
      <c r="B1082">
        <v>202509</v>
      </c>
      <c r="C1082" t="str">
        <f>MID(analisis_productividad__4[[#This Row],[Periodo]],1,4)</f>
        <v>2025</v>
      </c>
      <c r="D1082" t="str">
        <f>MID(analisis_productividad__4[[#This Row],[Periodo]],5,2)</f>
        <v>09</v>
      </c>
      <c r="E1082" t="s">
        <v>11</v>
      </c>
      <c r="F1082" t="s">
        <v>52</v>
      </c>
      <c r="G1082">
        <v>90241</v>
      </c>
      <c r="H1082">
        <v>8158286</v>
      </c>
      <c r="I1082">
        <v>90.40572916666666</v>
      </c>
      <c r="J1082">
        <v>94262.109240230464</v>
      </c>
      <c r="K1082">
        <v>104.5</v>
      </c>
      <c r="L1082">
        <v>99</v>
      </c>
      <c r="M1082">
        <v>86.548944382395561</v>
      </c>
      <c r="N1082">
        <v>8792977</v>
      </c>
    </row>
    <row r="1083" spans="1:14" x14ac:dyDescent="0.35">
      <c r="A1083" t="s">
        <v>41</v>
      </c>
      <c r="B1083">
        <v>202502</v>
      </c>
      <c r="C1083" t="str">
        <f>MID(analisis_productividad__4[[#This Row],[Periodo]],1,4)</f>
        <v>2025</v>
      </c>
      <c r="D1083" t="str">
        <f>MID(analisis_productividad__4[[#This Row],[Periodo]],5,2)</f>
        <v>02</v>
      </c>
      <c r="E1083" t="s">
        <v>16</v>
      </c>
      <c r="F1083" t="s">
        <v>19</v>
      </c>
      <c r="G1083">
        <v>90235</v>
      </c>
      <c r="H1083">
        <v>4919073</v>
      </c>
      <c r="I1083">
        <v>54.513906249999991</v>
      </c>
      <c r="J1083">
        <v>89937.754323040921</v>
      </c>
      <c r="K1083">
        <v>57.5</v>
      </c>
      <c r="L1083">
        <v>56.5</v>
      </c>
      <c r="M1083">
        <v>54.694190410086712</v>
      </c>
      <c r="N1083">
        <v>4553872</v>
      </c>
    </row>
    <row r="1084" spans="1:14" x14ac:dyDescent="0.35">
      <c r="A1084" t="s">
        <v>79</v>
      </c>
      <c r="B1084">
        <v>202602</v>
      </c>
      <c r="C1084" t="str">
        <f>MID(analisis_productividad__4[[#This Row],[Periodo]],1,4)</f>
        <v>2026</v>
      </c>
      <c r="D1084" t="str">
        <f>MID(analisis_productividad__4[[#This Row],[Periodo]],5,2)</f>
        <v>02</v>
      </c>
      <c r="E1084" t="s">
        <v>11</v>
      </c>
      <c r="F1084" t="s">
        <v>12</v>
      </c>
      <c r="G1084">
        <v>90226</v>
      </c>
      <c r="H1084">
        <v>5208573</v>
      </c>
      <c r="I1084">
        <v>57.728281250000009</v>
      </c>
      <c r="J1084">
        <v>91811.160816682459</v>
      </c>
      <c r="K1084">
        <v>64.5</v>
      </c>
      <c r="L1084">
        <v>64</v>
      </c>
      <c r="M1084">
        <v>54.966698955874868</v>
      </c>
      <c r="N1084">
        <v>5046556</v>
      </c>
    </row>
    <row r="1085" spans="1:14" x14ac:dyDescent="0.35">
      <c r="A1085" t="s">
        <v>57</v>
      </c>
      <c r="B1085">
        <v>202605</v>
      </c>
      <c r="C1085" t="str">
        <f>MID(analisis_productividad__4[[#This Row],[Periodo]],1,4)</f>
        <v>2026</v>
      </c>
      <c r="D1085" t="str">
        <f>MID(analisis_productividad__4[[#This Row],[Periodo]],5,2)</f>
        <v>05</v>
      </c>
      <c r="E1085" t="s">
        <v>16</v>
      </c>
      <c r="F1085" t="s">
        <v>19</v>
      </c>
      <c r="G1085">
        <v>90223</v>
      </c>
      <c r="H1085">
        <v>5973842</v>
      </c>
      <c r="I1085">
        <v>66.212049731183086</v>
      </c>
      <c r="J1085">
        <v>95487.159889994873</v>
      </c>
      <c r="K1085">
        <v>71</v>
      </c>
      <c r="L1085">
        <v>74.5</v>
      </c>
      <c r="M1085">
        <v>62.681117153293116</v>
      </c>
      <c r="N1085">
        <v>5985242</v>
      </c>
    </row>
    <row r="1086" spans="1:14" x14ac:dyDescent="0.35">
      <c r="A1086" t="s">
        <v>32</v>
      </c>
      <c r="B1086">
        <v>202502</v>
      </c>
      <c r="C1086" t="str">
        <f>MID(analisis_productividad__4[[#This Row],[Periodo]],1,4)</f>
        <v>2025</v>
      </c>
      <c r="D1086" t="str">
        <f>MID(analisis_productividad__4[[#This Row],[Periodo]],5,2)</f>
        <v>02</v>
      </c>
      <c r="E1086" t="s">
        <v>11</v>
      </c>
      <c r="F1086" t="s">
        <v>12</v>
      </c>
      <c r="G1086">
        <v>90197</v>
      </c>
      <c r="H1086">
        <v>5420739</v>
      </c>
      <c r="I1086">
        <v>60.098593749999992</v>
      </c>
      <c r="J1086">
        <v>91687.954506974638</v>
      </c>
      <c r="K1086">
        <v>65.5</v>
      </c>
      <c r="L1086">
        <v>66</v>
      </c>
      <c r="M1086">
        <v>59.121603695364882</v>
      </c>
      <c r="N1086">
        <v>5510414</v>
      </c>
    </row>
    <row r="1087" spans="1:14" x14ac:dyDescent="0.35">
      <c r="A1087" t="s">
        <v>76</v>
      </c>
      <c r="B1087">
        <v>202505</v>
      </c>
      <c r="C1087" t="str">
        <f>MID(analisis_productividad__4[[#This Row],[Periodo]],1,4)</f>
        <v>2025</v>
      </c>
      <c r="D1087" t="str">
        <f>MID(analisis_productividad__4[[#This Row],[Periodo]],5,2)</f>
        <v>05</v>
      </c>
      <c r="E1087" t="s">
        <v>11</v>
      </c>
      <c r="F1087" t="s">
        <v>14</v>
      </c>
      <c r="G1087">
        <v>90185</v>
      </c>
      <c r="H1087">
        <v>6472697</v>
      </c>
      <c r="I1087">
        <v>71.771263440860196</v>
      </c>
      <c r="J1087">
        <v>84062.427903354095</v>
      </c>
      <c r="K1087">
        <v>80</v>
      </c>
      <c r="L1087">
        <v>78</v>
      </c>
      <c r="M1087">
        <v>76.998691108964977</v>
      </c>
      <c r="N1087">
        <v>6593349</v>
      </c>
    </row>
    <row r="1088" spans="1:14" x14ac:dyDescent="0.35">
      <c r="A1088" t="s">
        <v>43</v>
      </c>
      <c r="B1088">
        <v>202408</v>
      </c>
      <c r="C1088" t="str">
        <f>MID(analisis_productividad__4[[#This Row],[Periodo]],1,4)</f>
        <v>2024</v>
      </c>
      <c r="D1088" t="str">
        <f>MID(analisis_productividad__4[[#This Row],[Periodo]],5,2)</f>
        <v>08</v>
      </c>
      <c r="E1088" t="s">
        <v>11</v>
      </c>
      <c r="F1088" t="s">
        <v>12</v>
      </c>
      <c r="G1088">
        <v>90176</v>
      </c>
      <c r="H1088">
        <v>7029024</v>
      </c>
      <c r="I1088">
        <v>77.948151881720463</v>
      </c>
      <c r="J1088">
        <v>0</v>
      </c>
      <c r="K1088">
        <v>84.5</v>
      </c>
      <c r="L1088">
        <v>86.5</v>
      </c>
      <c r="N1088">
        <v>0</v>
      </c>
    </row>
    <row r="1089" spans="1:14" x14ac:dyDescent="0.35">
      <c r="A1089" t="s">
        <v>59</v>
      </c>
      <c r="B1089">
        <v>202507</v>
      </c>
      <c r="C1089" t="str">
        <f>MID(analisis_productividad__4[[#This Row],[Periodo]],1,4)</f>
        <v>2025</v>
      </c>
      <c r="D1089" t="str">
        <f>MID(analisis_productividad__4[[#This Row],[Periodo]],5,2)</f>
        <v>07</v>
      </c>
      <c r="E1089" t="s">
        <v>11</v>
      </c>
      <c r="F1089" t="s">
        <v>12</v>
      </c>
      <c r="G1089">
        <v>90144</v>
      </c>
      <c r="H1089">
        <v>7964007</v>
      </c>
      <c r="I1089">
        <v>88.347150537634434</v>
      </c>
      <c r="J1089">
        <v>100415.82730695815</v>
      </c>
      <c r="K1089">
        <v>94.5</v>
      </c>
      <c r="L1089">
        <v>97</v>
      </c>
      <c r="M1089">
        <v>79.310281093985921</v>
      </c>
      <c r="N1089">
        <v>8986765</v>
      </c>
    </row>
    <row r="1090" spans="1:14" x14ac:dyDescent="0.35">
      <c r="A1090" t="s">
        <v>62</v>
      </c>
      <c r="B1090">
        <v>202403</v>
      </c>
      <c r="C1090" t="str">
        <f>MID(analisis_productividad__4[[#This Row],[Periodo]],1,4)</f>
        <v>2024</v>
      </c>
      <c r="D1090" t="str">
        <f>MID(analisis_productividad__4[[#This Row],[Periodo]],5,2)</f>
        <v>03</v>
      </c>
      <c r="E1090" t="s">
        <v>16</v>
      </c>
      <c r="F1090" t="s">
        <v>17</v>
      </c>
      <c r="G1090">
        <v>90095</v>
      </c>
      <c r="H1090">
        <v>3063242</v>
      </c>
      <c r="I1090">
        <v>34.000147849462358</v>
      </c>
      <c r="J1090">
        <v>0</v>
      </c>
      <c r="K1090">
        <v>32.5</v>
      </c>
      <c r="L1090">
        <v>32</v>
      </c>
      <c r="N1090">
        <v>0</v>
      </c>
    </row>
    <row r="1091" spans="1:14" x14ac:dyDescent="0.35">
      <c r="A1091" t="s">
        <v>77</v>
      </c>
      <c r="B1091">
        <v>202606</v>
      </c>
      <c r="C1091" t="str">
        <f>MID(analisis_productividad__4[[#This Row],[Periodo]],1,4)</f>
        <v>2026</v>
      </c>
      <c r="D1091" t="str">
        <f>MID(analisis_productividad__4[[#This Row],[Periodo]],5,2)</f>
        <v>06</v>
      </c>
      <c r="E1091" t="s">
        <v>16</v>
      </c>
      <c r="F1091" t="s">
        <v>21</v>
      </c>
      <c r="G1091">
        <v>90082</v>
      </c>
      <c r="H1091">
        <v>4853515</v>
      </c>
      <c r="I1091">
        <v>53.878999999999991</v>
      </c>
      <c r="J1091">
        <v>82247.775271087026</v>
      </c>
      <c r="K1091">
        <v>60.5</v>
      </c>
      <c r="L1091">
        <v>60.5</v>
      </c>
      <c r="M1091">
        <v>53.343390369396616</v>
      </c>
      <c r="N1091">
        <v>4387375</v>
      </c>
    </row>
    <row r="1092" spans="1:14" x14ac:dyDescent="0.35">
      <c r="A1092" t="s">
        <v>72</v>
      </c>
      <c r="B1092">
        <v>202508</v>
      </c>
      <c r="C1092" t="str">
        <f>MID(analisis_productividad__4[[#This Row],[Periodo]],1,4)</f>
        <v>2025</v>
      </c>
      <c r="D1092" t="str">
        <f>MID(analisis_productividad__4[[#This Row],[Periodo]],5,2)</f>
        <v>08</v>
      </c>
      <c r="E1092" t="s">
        <v>11</v>
      </c>
      <c r="F1092" t="s">
        <v>14</v>
      </c>
      <c r="G1092">
        <v>90078</v>
      </c>
      <c r="H1092">
        <v>4671109</v>
      </c>
      <c r="I1092">
        <v>51.856545698924727</v>
      </c>
      <c r="J1092">
        <v>85144.686138207675</v>
      </c>
      <c r="K1092">
        <v>66</v>
      </c>
      <c r="L1092">
        <v>64.5</v>
      </c>
      <c r="M1092">
        <v>54.860845718754646</v>
      </c>
      <c r="N1092">
        <v>5312082</v>
      </c>
    </row>
    <row r="1093" spans="1:14" x14ac:dyDescent="0.35">
      <c r="A1093" t="s">
        <v>24</v>
      </c>
      <c r="B1093">
        <v>202510</v>
      </c>
      <c r="C1093" t="str">
        <f>MID(analisis_productividad__4[[#This Row],[Periodo]],1,4)</f>
        <v>2025</v>
      </c>
      <c r="D1093" t="str">
        <f>MID(analisis_productividad__4[[#This Row],[Periodo]],5,2)</f>
        <v>10</v>
      </c>
      <c r="E1093" t="s">
        <v>16</v>
      </c>
      <c r="F1093" t="s">
        <v>21</v>
      </c>
      <c r="G1093">
        <v>90058</v>
      </c>
      <c r="H1093">
        <v>8949986</v>
      </c>
      <c r="I1093">
        <v>99.379959677419393</v>
      </c>
      <c r="J1093">
        <v>91498.478985008071</v>
      </c>
      <c r="K1093">
        <v>125</v>
      </c>
      <c r="L1093">
        <v>118.5</v>
      </c>
      <c r="M1093">
        <v>97.815683487661516</v>
      </c>
      <c r="N1093">
        <v>9670322</v>
      </c>
    </row>
    <row r="1094" spans="1:14" x14ac:dyDescent="0.35">
      <c r="A1094" t="s">
        <v>53</v>
      </c>
      <c r="B1094">
        <v>202506</v>
      </c>
      <c r="C1094" t="str">
        <f>MID(analisis_productividad__4[[#This Row],[Periodo]],1,4)</f>
        <v>2025</v>
      </c>
      <c r="D1094" t="str">
        <f>MID(analisis_productividad__4[[#This Row],[Periodo]],5,2)</f>
        <v>06</v>
      </c>
      <c r="E1094" t="s">
        <v>11</v>
      </c>
      <c r="F1094" t="s">
        <v>12</v>
      </c>
      <c r="G1094">
        <v>89997</v>
      </c>
      <c r="H1094">
        <v>6103751</v>
      </c>
      <c r="I1094">
        <v>67.821784722222191</v>
      </c>
      <c r="J1094">
        <v>104907.64852803954</v>
      </c>
      <c r="K1094">
        <v>81</v>
      </c>
      <c r="L1094">
        <v>77</v>
      </c>
      <c r="M1094">
        <v>58.182137867370081</v>
      </c>
      <c r="N1094">
        <v>7067718</v>
      </c>
    </row>
    <row r="1095" spans="1:14" x14ac:dyDescent="0.35">
      <c r="A1095" t="s">
        <v>76</v>
      </c>
      <c r="B1095">
        <v>202508</v>
      </c>
      <c r="C1095" t="str">
        <f>MID(analisis_productividad__4[[#This Row],[Periodo]],1,4)</f>
        <v>2025</v>
      </c>
      <c r="D1095" t="str">
        <f>MID(analisis_productividad__4[[#This Row],[Periodo]],5,2)</f>
        <v>08</v>
      </c>
      <c r="E1095" t="s">
        <v>11</v>
      </c>
      <c r="F1095" t="s">
        <v>14</v>
      </c>
      <c r="G1095">
        <v>89994</v>
      </c>
      <c r="H1095">
        <v>6212410</v>
      </c>
      <c r="I1095">
        <v>69.031196236559154</v>
      </c>
      <c r="J1095">
        <v>90326.073414591679</v>
      </c>
      <c r="K1095">
        <v>80</v>
      </c>
      <c r="L1095">
        <v>78</v>
      </c>
      <c r="M1095">
        <v>68.777596823957794</v>
      </c>
      <c r="N1095">
        <v>6627923</v>
      </c>
    </row>
    <row r="1096" spans="1:14" x14ac:dyDescent="0.35">
      <c r="A1096" t="s">
        <v>56</v>
      </c>
      <c r="B1096">
        <v>202406</v>
      </c>
      <c r="C1096" t="str">
        <f>MID(analisis_productividad__4[[#This Row],[Periodo]],1,4)</f>
        <v>2024</v>
      </c>
      <c r="D1096" t="str">
        <f>MID(analisis_productividad__4[[#This Row],[Periodo]],5,2)</f>
        <v>06</v>
      </c>
      <c r="E1096" t="s">
        <v>16</v>
      </c>
      <c r="F1096" t="s">
        <v>21</v>
      </c>
      <c r="G1096">
        <v>89966</v>
      </c>
      <c r="H1096">
        <v>5455126</v>
      </c>
      <c r="I1096">
        <v>60.635555555555563</v>
      </c>
      <c r="J1096">
        <v>0</v>
      </c>
      <c r="K1096">
        <v>72.5</v>
      </c>
      <c r="L1096">
        <v>68.5</v>
      </c>
      <c r="N1096">
        <v>0</v>
      </c>
    </row>
    <row r="1097" spans="1:14" x14ac:dyDescent="0.35">
      <c r="A1097" t="s">
        <v>75</v>
      </c>
      <c r="B1097">
        <v>202505</v>
      </c>
      <c r="C1097" t="str">
        <f>MID(analisis_productividad__4[[#This Row],[Periodo]],1,4)</f>
        <v>2025</v>
      </c>
      <c r="D1097" t="str">
        <f>MID(analisis_productividad__4[[#This Row],[Periodo]],5,2)</f>
        <v>05</v>
      </c>
      <c r="E1097" t="s">
        <v>11</v>
      </c>
      <c r="F1097" t="s">
        <v>52</v>
      </c>
      <c r="G1097">
        <v>89956</v>
      </c>
      <c r="H1097">
        <v>9364853</v>
      </c>
      <c r="I1097">
        <v>104.10486559139784</v>
      </c>
      <c r="J1097">
        <v>88925.776042350364</v>
      </c>
      <c r="K1097">
        <v>118</v>
      </c>
      <c r="L1097">
        <v>106</v>
      </c>
      <c r="M1097">
        <v>105.31089091131518</v>
      </c>
      <c r="N1097">
        <v>10093724</v>
      </c>
    </row>
    <row r="1098" spans="1:14" x14ac:dyDescent="0.35">
      <c r="A1098" t="s">
        <v>57</v>
      </c>
      <c r="B1098">
        <v>202602</v>
      </c>
      <c r="C1098" t="str">
        <f>MID(analisis_productividad__4[[#This Row],[Periodo]],1,4)</f>
        <v>2026</v>
      </c>
      <c r="D1098" t="str">
        <f>MID(analisis_productividad__4[[#This Row],[Periodo]],5,2)</f>
        <v>02</v>
      </c>
      <c r="E1098" t="s">
        <v>16</v>
      </c>
      <c r="F1098" t="s">
        <v>19</v>
      </c>
      <c r="G1098">
        <v>89945</v>
      </c>
      <c r="H1098">
        <v>5940355</v>
      </c>
      <c r="I1098">
        <v>66.044062499999995</v>
      </c>
      <c r="J1098">
        <v>90512.940707884787</v>
      </c>
      <c r="K1098">
        <v>71</v>
      </c>
      <c r="L1098">
        <v>74.5</v>
      </c>
      <c r="M1098">
        <v>62.681117153293116</v>
      </c>
      <c r="N1098">
        <v>5673452</v>
      </c>
    </row>
    <row r="1099" spans="1:14" x14ac:dyDescent="0.35">
      <c r="A1099" t="s">
        <v>65</v>
      </c>
      <c r="B1099">
        <v>202403</v>
      </c>
      <c r="C1099" t="str">
        <f>MID(analisis_productividad__4[[#This Row],[Periodo]],1,4)</f>
        <v>2024</v>
      </c>
      <c r="D1099" t="str">
        <f>MID(analisis_productividad__4[[#This Row],[Periodo]],5,2)</f>
        <v>03</v>
      </c>
      <c r="E1099" t="s">
        <v>16</v>
      </c>
      <c r="F1099" t="s">
        <v>19</v>
      </c>
      <c r="G1099">
        <v>89935</v>
      </c>
      <c r="H1099">
        <v>5510723</v>
      </c>
      <c r="I1099">
        <v>61.274180107526895</v>
      </c>
      <c r="J1099">
        <v>0</v>
      </c>
      <c r="K1099">
        <v>68</v>
      </c>
      <c r="L1099">
        <v>68.5</v>
      </c>
      <c r="N1099">
        <v>0</v>
      </c>
    </row>
    <row r="1100" spans="1:14" x14ac:dyDescent="0.35">
      <c r="A1100" t="s">
        <v>42</v>
      </c>
      <c r="B1100">
        <v>202510</v>
      </c>
      <c r="C1100" t="str">
        <f>MID(analisis_productividad__4[[#This Row],[Periodo]],1,4)</f>
        <v>2025</v>
      </c>
      <c r="D1100" t="str">
        <f>MID(analisis_productividad__4[[#This Row],[Periodo]],5,2)</f>
        <v>10</v>
      </c>
      <c r="E1100" t="s">
        <v>16</v>
      </c>
      <c r="F1100" t="s">
        <v>19</v>
      </c>
      <c r="G1100">
        <v>89932</v>
      </c>
      <c r="H1100">
        <v>4814160</v>
      </c>
      <c r="I1100">
        <v>53.530994623655907</v>
      </c>
      <c r="J1100">
        <v>80384.646324073532</v>
      </c>
      <c r="K1100">
        <v>62</v>
      </c>
      <c r="L1100">
        <v>58</v>
      </c>
      <c r="M1100">
        <v>59.889046604640704</v>
      </c>
      <c r="N1100">
        <v>4875096</v>
      </c>
    </row>
    <row r="1101" spans="1:14" x14ac:dyDescent="0.35">
      <c r="A1101" t="s">
        <v>87</v>
      </c>
      <c r="B1101">
        <v>202510</v>
      </c>
      <c r="C1101" t="str">
        <f>MID(analisis_productividad__4[[#This Row],[Periodo]],1,4)</f>
        <v>2025</v>
      </c>
      <c r="D1101" t="str">
        <f>MID(analisis_productividad__4[[#This Row],[Periodo]],5,2)</f>
        <v>10</v>
      </c>
      <c r="E1101" t="s">
        <v>9</v>
      </c>
      <c r="F1101" t="s">
        <v>9</v>
      </c>
      <c r="G1101">
        <v>89932</v>
      </c>
      <c r="H1101">
        <v>841465</v>
      </c>
      <c r="I1101">
        <v>9.3567137096774182</v>
      </c>
      <c r="J1101">
        <v>87529.393666641816</v>
      </c>
      <c r="K1101">
        <v>13.5</v>
      </c>
      <c r="L1101">
        <v>12</v>
      </c>
      <c r="M1101">
        <v>9.6135144407002713</v>
      </c>
      <c r="N1101">
        <v>1060409</v>
      </c>
    </row>
    <row r="1102" spans="1:14" x14ac:dyDescent="0.35">
      <c r="A1102" t="s">
        <v>27</v>
      </c>
      <c r="B1102">
        <v>202409</v>
      </c>
      <c r="C1102" t="str">
        <f>MID(analisis_productividad__4[[#This Row],[Periodo]],1,4)</f>
        <v>2024</v>
      </c>
      <c r="D1102" t="str">
        <f>MID(analisis_productividad__4[[#This Row],[Periodo]],5,2)</f>
        <v>09</v>
      </c>
      <c r="E1102" t="s">
        <v>11</v>
      </c>
      <c r="F1102" t="s">
        <v>14</v>
      </c>
      <c r="G1102">
        <v>89931</v>
      </c>
      <c r="H1102">
        <v>7036910</v>
      </c>
      <c r="I1102">
        <v>78.247944444444443</v>
      </c>
      <c r="J1102">
        <v>0</v>
      </c>
      <c r="K1102">
        <v>88</v>
      </c>
      <c r="L1102">
        <v>84</v>
      </c>
      <c r="N1102">
        <v>0</v>
      </c>
    </row>
    <row r="1103" spans="1:14" x14ac:dyDescent="0.35">
      <c r="A1103" t="s">
        <v>68</v>
      </c>
      <c r="B1103">
        <v>202501</v>
      </c>
      <c r="C1103" t="str">
        <f>MID(analisis_productividad__4[[#This Row],[Periodo]],1,4)</f>
        <v>2025</v>
      </c>
      <c r="D1103" t="str">
        <f>MID(analisis_productividad__4[[#This Row],[Periodo]],5,2)</f>
        <v>01</v>
      </c>
      <c r="E1103" t="s">
        <v>11</v>
      </c>
      <c r="F1103" t="s">
        <v>52</v>
      </c>
      <c r="G1103">
        <v>89848</v>
      </c>
      <c r="H1103">
        <v>7827389</v>
      </c>
      <c r="I1103">
        <v>87.117963709677383</v>
      </c>
      <c r="J1103">
        <v>101606.1070562688</v>
      </c>
      <c r="K1103">
        <v>103</v>
      </c>
      <c r="L1103">
        <v>91</v>
      </c>
      <c r="M1103">
        <v>77.036602688313266</v>
      </c>
      <c r="N1103">
        <v>8170173</v>
      </c>
    </row>
    <row r="1104" spans="1:14" x14ac:dyDescent="0.35">
      <c r="A1104" t="s">
        <v>49</v>
      </c>
      <c r="B1104">
        <v>202508</v>
      </c>
      <c r="C1104" t="str">
        <f>MID(analisis_productividad__4[[#This Row],[Periodo]],1,4)</f>
        <v>2025</v>
      </c>
      <c r="D1104" t="str">
        <f>MID(analisis_productividad__4[[#This Row],[Periodo]],5,2)</f>
        <v>08</v>
      </c>
      <c r="E1104" t="s">
        <v>16</v>
      </c>
      <c r="F1104" t="s">
        <v>21</v>
      </c>
      <c r="G1104">
        <v>89836</v>
      </c>
      <c r="H1104">
        <v>5224448</v>
      </c>
      <c r="I1104">
        <v>58.155134408602159</v>
      </c>
      <c r="J1104">
        <v>99466.197420985569</v>
      </c>
      <c r="K1104">
        <v>75.5</v>
      </c>
      <c r="L1104">
        <v>68</v>
      </c>
      <c r="M1104">
        <v>52.52485754419456</v>
      </c>
      <c r="N1104">
        <v>5739501</v>
      </c>
    </row>
    <row r="1105" spans="1:14" x14ac:dyDescent="0.35">
      <c r="A1105" t="s">
        <v>61</v>
      </c>
      <c r="B1105">
        <v>202409</v>
      </c>
      <c r="C1105" t="str">
        <f>MID(analisis_productividad__4[[#This Row],[Periodo]],1,4)</f>
        <v>2024</v>
      </c>
      <c r="D1105" t="str">
        <f>MID(analisis_productividad__4[[#This Row],[Periodo]],5,2)</f>
        <v>09</v>
      </c>
      <c r="E1105" t="s">
        <v>11</v>
      </c>
      <c r="F1105" t="s">
        <v>52</v>
      </c>
      <c r="G1105">
        <v>89773</v>
      </c>
      <c r="H1105">
        <v>8123613</v>
      </c>
      <c r="I1105">
        <v>90.49016666666671</v>
      </c>
      <c r="J1105">
        <v>0</v>
      </c>
      <c r="K1105">
        <v>104.5</v>
      </c>
      <c r="L1105">
        <v>99</v>
      </c>
      <c r="N1105">
        <v>0</v>
      </c>
    </row>
    <row r="1106" spans="1:14" x14ac:dyDescent="0.35">
      <c r="A1106" t="s">
        <v>20</v>
      </c>
      <c r="B1106">
        <v>202410</v>
      </c>
      <c r="C1106" t="str">
        <f>MID(analisis_productividad__4[[#This Row],[Periodo]],1,4)</f>
        <v>2024</v>
      </c>
      <c r="D1106" t="str">
        <f>MID(analisis_productividad__4[[#This Row],[Periodo]],5,2)</f>
        <v>10</v>
      </c>
      <c r="E1106" t="s">
        <v>16</v>
      </c>
      <c r="F1106" t="s">
        <v>21</v>
      </c>
      <c r="G1106">
        <v>89734</v>
      </c>
      <c r="H1106">
        <v>7587773</v>
      </c>
      <c r="I1106">
        <v>84.55896505376343</v>
      </c>
      <c r="J1106">
        <v>0</v>
      </c>
      <c r="K1106">
        <v>96.5</v>
      </c>
      <c r="L1106">
        <v>94</v>
      </c>
      <c r="N1106">
        <v>0</v>
      </c>
    </row>
    <row r="1107" spans="1:14" x14ac:dyDescent="0.35">
      <c r="A1107" t="s">
        <v>54</v>
      </c>
      <c r="B1107">
        <v>202408</v>
      </c>
      <c r="C1107" t="str">
        <f>MID(analisis_productividad__4[[#This Row],[Periodo]],1,4)</f>
        <v>2024</v>
      </c>
      <c r="D1107" t="str">
        <f>MID(analisis_productividad__4[[#This Row],[Periodo]],5,2)</f>
        <v>08</v>
      </c>
      <c r="E1107" t="s">
        <v>11</v>
      </c>
      <c r="F1107" t="s">
        <v>52</v>
      </c>
      <c r="G1107">
        <v>89719</v>
      </c>
      <c r="H1107">
        <v>8982564</v>
      </c>
      <c r="I1107">
        <v>100.11848790322584</v>
      </c>
      <c r="J1107">
        <v>0</v>
      </c>
      <c r="K1107">
        <v>106</v>
      </c>
      <c r="L1107">
        <v>102.5</v>
      </c>
      <c r="N1107">
        <v>0</v>
      </c>
    </row>
    <row r="1108" spans="1:14" x14ac:dyDescent="0.35">
      <c r="A1108" t="s">
        <v>57</v>
      </c>
      <c r="B1108">
        <v>202405</v>
      </c>
      <c r="C1108" t="str">
        <f>MID(analisis_productividad__4[[#This Row],[Periodo]],1,4)</f>
        <v>2024</v>
      </c>
      <c r="D1108" t="str">
        <f>MID(analisis_productividad__4[[#This Row],[Periodo]],5,2)</f>
        <v>05</v>
      </c>
      <c r="E1108" t="s">
        <v>16</v>
      </c>
      <c r="F1108" t="s">
        <v>19</v>
      </c>
      <c r="G1108">
        <v>89715</v>
      </c>
      <c r="H1108">
        <v>5686445</v>
      </c>
      <c r="I1108">
        <v>63.383400537634401</v>
      </c>
      <c r="J1108">
        <v>0</v>
      </c>
      <c r="K1108">
        <v>71</v>
      </c>
      <c r="L1108">
        <v>74.5</v>
      </c>
      <c r="N1108">
        <v>0</v>
      </c>
    </row>
    <row r="1109" spans="1:14" x14ac:dyDescent="0.35">
      <c r="A1109" t="s">
        <v>76</v>
      </c>
      <c r="B1109">
        <v>202502</v>
      </c>
      <c r="C1109" t="str">
        <f>MID(analisis_productividad__4[[#This Row],[Periodo]],1,4)</f>
        <v>2025</v>
      </c>
      <c r="D1109" t="str">
        <f>MID(analisis_productividad__4[[#This Row],[Periodo]],5,2)</f>
        <v>02</v>
      </c>
      <c r="E1109" t="s">
        <v>11</v>
      </c>
      <c r="F1109" t="s">
        <v>14</v>
      </c>
      <c r="G1109">
        <v>89715</v>
      </c>
      <c r="H1109">
        <v>5995508</v>
      </c>
      <c r="I1109">
        <v>66.828437500000021</v>
      </c>
      <c r="J1109">
        <v>80575.531252107205</v>
      </c>
      <c r="K1109">
        <v>80</v>
      </c>
      <c r="L1109">
        <v>78</v>
      </c>
      <c r="M1109">
        <v>74.408542603846698</v>
      </c>
      <c r="N1109">
        <v>6033261</v>
      </c>
    </row>
    <row r="1110" spans="1:14" x14ac:dyDescent="0.35">
      <c r="A1110" t="s">
        <v>77</v>
      </c>
      <c r="B1110">
        <v>202604</v>
      </c>
      <c r="C1110" t="str">
        <f>MID(analisis_productividad__4[[#This Row],[Periodo]],1,4)</f>
        <v>2026</v>
      </c>
      <c r="D1110" t="str">
        <f>MID(analisis_productividad__4[[#This Row],[Periodo]],5,2)</f>
        <v>04</v>
      </c>
      <c r="E1110" t="s">
        <v>16</v>
      </c>
      <c r="F1110" t="s">
        <v>21</v>
      </c>
      <c r="G1110">
        <v>89713</v>
      </c>
      <c r="H1110">
        <v>4686481</v>
      </c>
      <c r="I1110">
        <v>52.238715277778311</v>
      </c>
      <c r="J1110">
        <v>88316.642593883371</v>
      </c>
      <c r="K1110">
        <v>60.5</v>
      </c>
      <c r="L1110">
        <v>60.5</v>
      </c>
      <c r="M1110">
        <v>53.343390369396616</v>
      </c>
      <c r="N1110">
        <v>4711109</v>
      </c>
    </row>
    <row r="1111" spans="1:14" x14ac:dyDescent="0.35">
      <c r="A1111" t="s">
        <v>55</v>
      </c>
      <c r="B1111">
        <v>202410</v>
      </c>
      <c r="C1111" t="str">
        <f>MID(analisis_productividad__4[[#This Row],[Periodo]],1,4)</f>
        <v>2024</v>
      </c>
      <c r="D1111" t="str">
        <f>MID(analisis_productividad__4[[#This Row],[Periodo]],5,2)</f>
        <v>10</v>
      </c>
      <c r="E1111" t="s">
        <v>16</v>
      </c>
      <c r="F1111" t="s">
        <v>21</v>
      </c>
      <c r="G1111">
        <v>89707</v>
      </c>
      <c r="H1111">
        <v>4453921</v>
      </c>
      <c r="I1111">
        <v>49.64966397849463</v>
      </c>
      <c r="J1111">
        <v>0</v>
      </c>
      <c r="K1111">
        <v>55</v>
      </c>
      <c r="L1111">
        <v>50.5</v>
      </c>
      <c r="N1111">
        <v>0</v>
      </c>
    </row>
    <row r="1112" spans="1:14" x14ac:dyDescent="0.35">
      <c r="A1112" t="s">
        <v>10</v>
      </c>
      <c r="B1112">
        <v>202502</v>
      </c>
      <c r="C1112" t="str">
        <f>MID(analisis_productividad__4[[#This Row],[Periodo]],1,4)</f>
        <v>2025</v>
      </c>
      <c r="D1112" t="str">
        <f>MID(analisis_productividad__4[[#This Row],[Periodo]],5,2)</f>
        <v>02</v>
      </c>
      <c r="E1112" t="s">
        <v>11</v>
      </c>
      <c r="F1112" t="s">
        <v>12</v>
      </c>
      <c r="G1112">
        <v>89673</v>
      </c>
      <c r="H1112">
        <v>7783095</v>
      </c>
      <c r="I1112">
        <v>86.793906249999992</v>
      </c>
      <c r="J1112">
        <v>83930.022370775347</v>
      </c>
      <c r="K1112">
        <v>98.5</v>
      </c>
      <c r="L1112">
        <v>96.5</v>
      </c>
      <c r="M1112">
        <v>92.733148164989572</v>
      </c>
      <c r="N1112">
        <v>9579922</v>
      </c>
    </row>
    <row r="1113" spans="1:14" x14ac:dyDescent="0.35">
      <c r="A1113" t="s">
        <v>87</v>
      </c>
      <c r="B1113">
        <v>202601</v>
      </c>
      <c r="C1113" t="str">
        <f>MID(analisis_productividad__4[[#This Row],[Periodo]],1,4)</f>
        <v>2026</v>
      </c>
      <c r="D1113" t="str">
        <f>MID(analisis_productividad__4[[#This Row],[Periodo]],5,2)</f>
        <v>01</v>
      </c>
      <c r="E1113" t="s">
        <v>9</v>
      </c>
      <c r="F1113" t="s">
        <v>9</v>
      </c>
      <c r="G1113">
        <v>89639</v>
      </c>
      <c r="H1113">
        <v>909841</v>
      </c>
      <c r="I1113">
        <v>10.150094086021507</v>
      </c>
      <c r="J1113">
        <v>90012.555732584849</v>
      </c>
      <c r="K1113">
        <v>13.5</v>
      </c>
      <c r="L1113">
        <v>12</v>
      </c>
      <c r="M1113">
        <v>11.788780293634797</v>
      </c>
      <c r="N1113">
        <v>1061138</v>
      </c>
    </row>
    <row r="1114" spans="1:14" x14ac:dyDescent="0.35">
      <c r="A1114" t="s">
        <v>58</v>
      </c>
      <c r="B1114">
        <v>202403</v>
      </c>
      <c r="C1114" t="str">
        <f>MID(analisis_productividad__4[[#This Row],[Periodo]],1,4)</f>
        <v>2024</v>
      </c>
      <c r="D1114" t="str">
        <f>MID(analisis_productividad__4[[#This Row],[Periodo]],5,2)</f>
        <v>03</v>
      </c>
      <c r="E1114" t="s">
        <v>34</v>
      </c>
      <c r="F1114" t="s">
        <v>35</v>
      </c>
      <c r="G1114">
        <v>89634</v>
      </c>
      <c r="H1114">
        <v>4865753</v>
      </c>
      <c r="I1114">
        <v>54.28452956989247</v>
      </c>
      <c r="J1114">
        <v>0</v>
      </c>
      <c r="K1114">
        <v>53.5</v>
      </c>
      <c r="L1114">
        <v>52</v>
      </c>
      <c r="N1114">
        <v>0</v>
      </c>
    </row>
    <row r="1115" spans="1:14" x14ac:dyDescent="0.35">
      <c r="A1115" t="s">
        <v>60</v>
      </c>
      <c r="B1115">
        <v>202407</v>
      </c>
      <c r="C1115" t="str">
        <f>MID(analisis_productividad__4[[#This Row],[Periodo]],1,4)</f>
        <v>2024</v>
      </c>
      <c r="D1115" t="str">
        <f>MID(analisis_productividad__4[[#This Row],[Periodo]],5,2)</f>
        <v>07</v>
      </c>
      <c r="E1115" t="s">
        <v>11</v>
      </c>
      <c r="F1115" t="s">
        <v>14</v>
      </c>
      <c r="G1115">
        <v>89617</v>
      </c>
      <c r="H1115">
        <v>6922140</v>
      </c>
      <c r="I1115">
        <v>77.241330645161284</v>
      </c>
      <c r="J1115">
        <v>0</v>
      </c>
      <c r="K1115">
        <v>75.5</v>
      </c>
      <c r="L1115">
        <v>74</v>
      </c>
      <c r="N1115">
        <v>0</v>
      </c>
    </row>
    <row r="1116" spans="1:14" x14ac:dyDescent="0.35">
      <c r="A1116" t="s">
        <v>75</v>
      </c>
      <c r="B1116">
        <v>202411</v>
      </c>
      <c r="C1116" t="str">
        <f>MID(analisis_productividad__4[[#This Row],[Periodo]],1,4)</f>
        <v>2024</v>
      </c>
      <c r="D1116" t="str">
        <f>MID(analisis_productividad__4[[#This Row],[Periodo]],5,2)</f>
        <v>11</v>
      </c>
      <c r="E1116" t="s">
        <v>11</v>
      </c>
      <c r="F1116" t="s">
        <v>52</v>
      </c>
      <c r="G1116">
        <v>89615</v>
      </c>
      <c r="H1116">
        <v>9407264</v>
      </c>
      <c r="I1116">
        <v>104.97379861111111</v>
      </c>
      <c r="J1116">
        <v>0</v>
      </c>
      <c r="K1116">
        <v>118</v>
      </c>
      <c r="L1116">
        <v>106</v>
      </c>
      <c r="N1116">
        <v>0</v>
      </c>
    </row>
    <row r="1117" spans="1:14" x14ac:dyDescent="0.35">
      <c r="A1117" t="s">
        <v>37</v>
      </c>
      <c r="B1117">
        <v>202506</v>
      </c>
      <c r="C1117" t="str">
        <f>MID(analisis_productividad__4[[#This Row],[Periodo]],1,4)</f>
        <v>2025</v>
      </c>
      <c r="D1117" t="str">
        <f>MID(analisis_productividad__4[[#This Row],[Periodo]],5,2)</f>
        <v>06</v>
      </c>
      <c r="E1117" t="s">
        <v>16</v>
      </c>
      <c r="F1117" t="s">
        <v>17</v>
      </c>
      <c r="G1117">
        <v>89614</v>
      </c>
      <c r="H1117">
        <v>8961782</v>
      </c>
      <c r="I1117">
        <v>100.0042361111111</v>
      </c>
      <c r="J1117">
        <v>101218.43426737978</v>
      </c>
      <c r="K1117">
        <v>107.5</v>
      </c>
      <c r="L1117">
        <v>102.5</v>
      </c>
      <c r="M1117">
        <v>88.539026955568758</v>
      </c>
      <c r="N1117">
        <v>9985463</v>
      </c>
    </row>
    <row r="1118" spans="1:14" x14ac:dyDescent="0.35">
      <c r="A1118" t="s">
        <v>68</v>
      </c>
      <c r="B1118">
        <v>202405</v>
      </c>
      <c r="C1118" t="str">
        <f>MID(analisis_productividad__4[[#This Row],[Periodo]],1,4)</f>
        <v>2024</v>
      </c>
      <c r="D1118" t="str">
        <f>MID(analisis_productividad__4[[#This Row],[Periodo]],5,2)</f>
        <v>05</v>
      </c>
      <c r="E1118" t="s">
        <v>11</v>
      </c>
      <c r="F1118" t="s">
        <v>52</v>
      </c>
      <c r="G1118">
        <v>89612</v>
      </c>
      <c r="H1118">
        <v>7848795</v>
      </c>
      <c r="I1118">
        <v>87.586700268817154</v>
      </c>
      <c r="J1118">
        <v>0</v>
      </c>
      <c r="K1118">
        <v>103</v>
      </c>
      <c r="L1118">
        <v>91</v>
      </c>
      <c r="N1118">
        <v>0</v>
      </c>
    </row>
    <row r="1119" spans="1:14" x14ac:dyDescent="0.35">
      <c r="A1119" t="s">
        <v>71</v>
      </c>
      <c r="B1119">
        <v>202511</v>
      </c>
      <c r="C1119" t="str">
        <f>MID(analisis_productividad__4[[#This Row],[Periodo]],1,4)</f>
        <v>2025</v>
      </c>
      <c r="D1119" t="str">
        <f>MID(analisis_productividad__4[[#This Row],[Periodo]],5,2)</f>
        <v>11</v>
      </c>
      <c r="E1119" t="s">
        <v>16</v>
      </c>
      <c r="F1119" t="s">
        <v>19</v>
      </c>
      <c r="G1119">
        <v>89602</v>
      </c>
      <c r="H1119">
        <v>2809285</v>
      </c>
      <c r="I1119">
        <v>31.352805555555555</v>
      </c>
      <c r="J1119">
        <v>74617.652906531745</v>
      </c>
      <c r="K1119">
        <v>41.5</v>
      </c>
      <c r="L1119">
        <v>35.5</v>
      </c>
      <c r="M1119">
        <v>37.649069497254132</v>
      </c>
      <c r="N1119">
        <v>2190596</v>
      </c>
    </row>
    <row r="1120" spans="1:14" x14ac:dyDescent="0.35">
      <c r="A1120" t="s">
        <v>90</v>
      </c>
      <c r="B1120">
        <v>202512</v>
      </c>
      <c r="C1120" t="str">
        <f>MID(analisis_productividad__4[[#This Row],[Periodo]],1,4)</f>
        <v>2025</v>
      </c>
      <c r="D1120" t="str">
        <f>MID(analisis_productividad__4[[#This Row],[Periodo]],5,2)</f>
        <v>12</v>
      </c>
      <c r="E1120" t="s">
        <v>11</v>
      </c>
      <c r="F1120" t="s">
        <v>14</v>
      </c>
      <c r="G1120">
        <v>89591</v>
      </c>
      <c r="H1120">
        <v>7378671</v>
      </c>
      <c r="I1120">
        <v>82.359657258064416</v>
      </c>
      <c r="J1120">
        <v>95503.514912322891</v>
      </c>
      <c r="K1120">
        <v>84.5</v>
      </c>
      <c r="L1120">
        <v>78.5</v>
      </c>
      <c r="M1120">
        <v>77.260725605481611</v>
      </c>
      <c r="N1120">
        <v>7937628</v>
      </c>
    </row>
    <row r="1121" spans="1:14" x14ac:dyDescent="0.35">
      <c r="A1121" t="s">
        <v>40</v>
      </c>
      <c r="B1121">
        <v>202507</v>
      </c>
      <c r="C1121" t="str">
        <f>MID(analisis_productividad__4[[#This Row],[Periodo]],1,4)</f>
        <v>2025</v>
      </c>
      <c r="D1121" t="str">
        <f>MID(analisis_productividad__4[[#This Row],[Periodo]],5,2)</f>
        <v>07</v>
      </c>
      <c r="E1121" t="s">
        <v>11</v>
      </c>
      <c r="F1121" t="s">
        <v>14</v>
      </c>
      <c r="G1121">
        <v>89560</v>
      </c>
      <c r="H1121">
        <v>6141771</v>
      </c>
      <c r="I1121">
        <v>68.577466397849477</v>
      </c>
      <c r="J1121">
        <v>112422.17353278089</v>
      </c>
      <c r="K1121">
        <v>76.5</v>
      </c>
      <c r="L1121">
        <v>75.5</v>
      </c>
      <c r="M1121">
        <v>54.631314775364451</v>
      </c>
      <c r="N1121">
        <v>7144633</v>
      </c>
    </row>
    <row r="1122" spans="1:14" x14ac:dyDescent="0.35">
      <c r="A1122" t="s">
        <v>50</v>
      </c>
      <c r="B1122">
        <v>202506</v>
      </c>
      <c r="C1122" t="str">
        <f>MID(analisis_productividad__4[[#This Row],[Periodo]],1,4)</f>
        <v>2025</v>
      </c>
      <c r="D1122" t="str">
        <f>MID(analisis_productividad__4[[#This Row],[Periodo]],5,2)</f>
        <v>06</v>
      </c>
      <c r="E1122" t="s">
        <v>34</v>
      </c>
      <c r="F1122" t="s">
        <v>35</v>
      </c>
      <c r="G1122">
        <v>89553</v>
      </c>
      <c r="H1122">
        <v>5710411</v>
      </c>
      <c r="I1122">
        <v>63.765576388888881</v>
      </c>
      <c r="J1122">
        <v>95993.411439896227</v>
      </c>
      <c r="K1122">
        <v>79.5</v>
      </c>
      <c r="L1122">
        <v>72.5</v>
      </c>
      <c r="M1122">
        <v>59.487526949445119</v>
      </c>
      <c r="N1122">
        <v>6134700</v>
      </c>
    </row>
    <row r="1123" spans="1:14" x14ac:dyDescent="0.35">
      <c r="A1123" t="s">
        <v>76</v>
      </c>
      <c r="B1123">
        <v>202501</v>
      </c>
      <c r="C1123" t="str">
        <f>MID(analisis_productividad__4[[#This Row],[Periodo]],1,4)</f>
        <v>2025</v>
      </c>
      <c r="D1123" t="str">
        <f>MID(analisis_productividad__4[[#This Row],[Periodo]],5,2)</f>
        <v>01</v>
      </c>
      <c r="E1123" t="s">
        <v>11</v>
      </c>
      <c r="F1123" t="s">
        <v>14</v>
      </c>
      <c r="G1123">
        <v>89552</v>
      </c>
      <c r="H1123">
        <v>6151557</v>
      </c>
      <c r="I1123">
        <v>68.692204301075265</v>
      </c>
      <c r="J1123">
        <v>88441.033693215635</v>
      </c>
      <c r="K1123">
        <v>80</v>
      </c>
      <c r="L1123">
        <v>78</v>
      </c>
      <c r="M1123">
        <v>69.555463715389493</v>
      </c>
      <c r="N1123">
        <v>6457196</v>
      </c>
    </row>
    <row r="1124" spans="1:14" x14ac:dyDescent="0.35">
      <c r="A1124" t="s">
        <v>61</v>
      </c>
      <c r="B1124">
        <v>202405</v>
      </c>
      <c r="C1124" t="str">
        <f>MID(analisis_productividad__4[[#This Row],[Periodo]],1,4)</f>
        <v>2024</v>
      </c>
      <c r="D1124" t="str">
        <f>MID(analisis_productividad__4[[#This Row],[Periodo]],5,2)</f>
        <v>05</v>
      </c>
      <c r="E1124" t="s">
        <v>11</v>
      </c>
      <c r="F1124" t="s">
        <v>52</v>
      </c>
      <c r="G1124">
        <v>89549</v>
      </c>
      <c r="H1124">
        <v>8771428</v>
      </c>
      <c r="I1124">
        <v>97.951686827956976</v>
      </c>
      <c r="J1124">
        <v>0</v>
      </c>
      <c r="K1124">
        <v>104.5</v>
      </c>
      <c r="L1124">
        <v>99</v>
      </c>
      <c r="N1124">
        <v>0</v>
      </c>
    </row>
    <row r="1125" spans="1:14" x14ac:dyDescent="0.35">
      <c r="A1125" t="s">
        <v>53</v>
      </c>
      <c r="B1125">
        <v>202402</v>
      </c>
      <c r="C1125" t="str">
        <f>MID(analisis_productividad__4[[#This Row],[Periodo]],1,4)</f>
        <v>2024</v>
      </c>
      <c r="D1125" t="str">
        <f>MID(analisis_productividad__4[[#This Row],[Periodo]],5,2)</f>
        <v>02</v>
      </c>
      <c r="E1125" t="s">
        <v>11</v>
      </c>
      <c r="F1125" t="s">
        <v>12</v>
      </c>
      <c r="G1125">
        <v>89541</v>
      </c>
      <c r="H1125">
        <v>6490839</v>
      </c>
      <c r="I1125">
        <v>72.489777298850584</v>
      </c>
      <c r="J1125">
        <v>0</v>
      </c>
      <c r="K1125">
        <v>81</v>
      </c>
      <c r="L1125">
        <v>77</v>
      </c>
      <c r="N1125">
        <v>0</v>
      </c>
    </row>
    <row r="1126" spans="1:14" x14ac:dyDescent="0.35">
      <c r="A1126" t="s">
        <v>78</v>
      </c>
      <c r="B1126">
        <v>202503</v>
      </c>
      <c r="C1126" t="str">
        <f>MID(analisis_productividad__4[[#This Row],[Periodo]],1,4)</f>
        <v>2025</v>
      </c>
      <c r="D1126" t="str">
        <f>MID(analisis_productividad__4[[#This Row],[Periodo]],5,2)</f>
        <v>03</v>
      </c>
      <c r="E1126" t="s">
        <v>11</v>
      </c>
      <c r="F1126" t="s">
        <v>14</v>
      </c>
      <c r="G1126">
        <v>89515</v>
      </c>
      <c r="H1126">
        <v>6350866</v>
      </c>
      <c r="I1126">
        <v>70.94768145161288</v>
      </c>
      <c r="J1126">
        <v>86639.436176340459</v>
      </c>
      <c r="K1126">
        <v>79.5</v>
      </c>
      <c r="L1126">
        <v>67</v>
      </c>
      <c r="M1126">
        <v>73.302254034454322</v>
      </c>
      <c r="N1126">
        <v>6279082</v>
      </c>
    </row>
    <row r="1127" spans="1:14" x14ac:dyDescent="0.35">
      <c r="A1127" t="s">
        <v>69</v>
      </c>
      <c r="B1127">
        <v>202511</v>
      </c>
      <c r="C1127" t="str">
        <f>MID(analisis_productividad__4[[#This Row],[Periodo]],1,4)</f>
        <v>2025</v>
      </c>
      <c r="D1127" t="str">
        <f>MID(analisis_productividad__4[[#This Row],[Periodo]],5,2)</f>
        <v>11</v>
      </c>
      <c r="E1127" t="s">
        <v>11</v>
      </c>
      <c r="F1127" t="s">
        <v>52</v>
      </c>
      <c r="G1127">
        <v>89512</v>
      </c>
      <c r="H1127">
        <v>5233223</v>
      </c>
      <c r="I1127">
        <v>58.463854166666664</v>
      </c>
      <c r="J1127">
        <v>84227.157732814376</v>
      </c>
      <c r="K1127">
        <v>68</v>
      </c>
      <c r="L1127">
        <v>60.5</v>
      </c>
      <c r="M1127">
        <v>62.13225248085476</v>
      </c>
      <c r="N1127">
        <v>5720280</v>
      </c>
    </row>
    <row r="1128" spans="1:14" x14ac:dyDescent="0.35">
      <c r="A1128" t="s">
        <v>41</v>
      </c>
      <c r="B1128">
        <v>202401</v>
      </c>
      <c r="C1128" t="str">
        <f>MID(analisis_productividad__4[[#This Row],[Periodo]],1,4)</f>
        <v>2024</v>
      </c>
      <c r="D1128" t="str">
        <f>MID(analisis_productividad__4[[#This Row],[Periodo]],5,2)</f>
        <v>01</v>
      </c>
      <c r="E1128" t="s">
        <v>16</v>
      </c>
      <c r="F1128" t="s">
        <v>19</v>
      </c>
      <c r="G1128">
        <v>89511</v>
      </c>
      <c r="H1128">
        <v>4582277</v>
      </c>
      <c r="I1128">
        <v>51.192157258064505</v>
      </c>
      <c r="J1128">
        <v>0</v>
      </c>
      <c r="K1128">
        <v>57.5</v>
      </c>
      <c r="L1128">
        <v>56.5</v>
      </c>
      <c r="N1128">
        <v>0</v>
      </c>
    </row>
    <row r="1129" spans="1:14" x14ac:dyDescent="0.35">
      <c r="A1129" t="s">
        <v>28</v>
      </c>
      <c r="B1129">
        <v>202409</v>
      </c>
      <c r="C1129" t="str">
        <f>MID(analisis_productividad__4[[#This Row],[Periodo]],1,4)</f>
        <v>2024</v>
      </c>
      <c r="D1129" t="str">
        <f>MID(analisis_productividad__4[[#This Row],[Periodo]],5,2)</f>
        <v>09</v>
      </c>
      <c r="E1129" t="s">
        <v>16</v>
      </c>
      <c r="F1129" t="s">
        <v>17</v>
      </c>
      <c r="G1129">
        <v>89484</v>
      </c>
      <c r="H1129">
        <v>5221266</v>
      </c>
      <c r="I1129">
        <v>58.348500000000016</v>
      </c>
      <c r="J1129">
        <v>0</v>
      </c>
      <c r="K1129">
        <v>64</v>
      </c>
      <c r="L1129">
        <v>67</v>
      </c>
      <c r="N1129">
        <v>0</v>
      </c>
    </row>
    <row r="1130" spans="1:14" x14ac:dyDescent="0.35">
      <c r="A1130" t="s">
        <v>57</v>
      </c>
      <c r="B1130">
        <v>202507</v>
      </c>
      <c r="C1130" t="str">
        <f>MID(analisis_productividad__4[[#This Row],[Periodo]],1,4)</f>
        <v>2025</v>
      </c>
      <c r="D1130" t="str">
        <f>MID(analisis_productividad__4[[#This Row],[Periodo]],5,2)</f>
        <v>07</v>
      </c>
      <c r="E1130" t="s">
        <v>16</v>
      </c>
      <c r="F1130" t="s">
        <v>19</v>
      </c>
      <c r="G1130">
        <v>89474</v>
      </c>
      <c r="H1130">
        <v>5650099</v>
      </c>
      <c r="I1130">
        <v>63.147715053763449</v>
      </c>
      <c r="J1130">
        <v>105982.18280995172</v>
      </c>
      <c r="K1130">
        <v>71</v>
      </c>
      <c r="L1130">
        <v>74.5</v>
      </c>
      <c r="M1130">
        <v>53.311783643216835</v>
      </c>
      <c r="N1130">
        <v>6716653</v>
      </c>
    </row>
    <row r="1131" spans="1:14" x14ac:dyDescent="0.35">
      <c r="A1131" t="s">
        <v>44</v>
      </c>
      <c r="B1131">
        <v>202411</v>
      </c>
      <c r="C1131" t="str">
        <f>MID(analisis_productividad__4[[#This Row],[Periodo]],1,4)</f>
        <v>2024</v>
      </c>
      <c r="D1131" t="str">
        <f>MID(analisis_productividad__4[[#This Row],[Periodo]],5,2)</f>
        <v>11</v>
      </c>
      <c r="E1131" t="s">
        <v>11</v>
      </c>
      <c r="F1131" t="s">
        <v>12</v>
      </c>
      <c r="G1131">
        <v>89453</v>
      </c>
      <c r="H1131">
        <v>6231313</v>
      </c>
      <c r="I1131">
        <v>69.660159722222204</v>
      </c>
      <c r="J1131">
        <v>0</v>
      </c>
      <c r="K1131">
        <v>78</v>
      </c>
      <c r="L1131">
        <v>74.5</v>
      </c>
      <c r="N1131">
        <v>0</v>
      </c>
    </row>
    <row r="1132" spans="1:14" x14ac:dyDescent="0.35">
      <c r="A1132" t="s">
        <v>70</v>
      </c>
      <c r="B1132">
        <v>202501</v>
      </c>
      <c r="C1132" t="str">
        <f>MID(analisis_productividad__4[[#This Row],[Periodo]],1,4)</f>
        <v>2025</v>
      </c>
      <c r="D1132" t="str">
        <f>MID(analisis_productividad__4[[#This Row],[Periodo]],5,2)</f>
        <v>01</v>
      </c>
      <c r="E1132" t="s">
        <v>11</v>
      </c>
      <c r="F1132" t="s">
        <v>14</v>
      </c>
      <c r="G1132">
        <v>89440</v>
      </c>
      <c r="H1132">
        <v>4827976</v>
      </c>
      <c r="I1132">
        <v>53.980114247311825</v>
      </c>
      <c r="J1132">
        <v>83963.412358594156</v>
      </c>
      <c r="K1132">
        <v>65</v>
      </c>
      <c r="L1132">
        <v>67.5</v>
      </c>
      <c r="M1132">
        <v>57.500944928018136</v>
      </c>
      <c r="N1132">
        <v>4755550</v>
      </c>
    </row>
    <row r="1133" spans="1:14" x14ac:dyDescent="0.35">
      <c r="A1133" t="s">
        <v>87</v>
      </c>
      <c r="B1133">
        <v>202604</v>
      </c>
      <c r="C1133" t="str">
        <f>MID(analisis_productividad__4[[#This Row],[Periodo]],1,4)</f>
        <v>2026</v>
      </c>
      <c r="D1133" t="str">
        <f>MID(analisis_productividad__4[[#This Row],[Periodo]],5,2)</f>
        <v>04</v>
      </c>
      <c r="E1133" t="s">
        <v>9</v>
      </c>
      <c r="F1133" t="s">
        <v>9</v>
      </c>
      <c r="G1133">
        <v>89430</v>
      </c>
      <c r="H1133">
        <v>864911</v>
      </c>
      <c r="I1133">
        <v>9.6714236111111163</v>
      </c>
      <c r="J1133">
        <v>73571.915872272235</v>
      </c>
      <c r="K1133">
        <v>13.5</v>
      </c>
      <c r="L1133">
        <v>12</v>
      </c>
      <c r="M1133">
        <v>11.788780293634797</v>
      </c>
      <c r="N1133">
        <v>867323</v>
      </c>
    </row>
    <row r="1134" spans="1:14" x14ac:dyDescent="0.35">
      <c r="A1134" t="s">
        <v>41</v>
      </c>
      <c r="B1134">
        <v>202507</v>
      </c>
      <c r="C1134" t="str">
        <f>MID(analisis_productividad__4[[#This Row],[Periodo]],1,4)</f>
        <v>2025</v>
      </c>
      <c r="D1134" t="str">
        <f>MID(analisis_productividad__4[[#This Row],[Periodo]],5,2)</f>
        <v>07</v>
      </c>
      <c r="E1134" t="s">
        <v>16</v>
      </c>
      <c r="F1134" t="s">
        <v>19</v>
      </c>
      <c r="G1134">
        <v>89418</v>
      </c>
      <c r="H1134">
        <v>4713655</v>
      </c>
      <c r="I1134">
        <v>52.714892473118262</v>
      </c>
      <c r="J1134">
        <v>95899.699048585069</v>
      </c>
      <c r="K1134">
        <v>57.5</v>
      </c>
      <c r="L1134">
        <v>56.5</v>
      </c>
      <c r="M1134">
        <v>49.151922547869013</v>
      </c>
      <c r="N1134">
        <v>4908714</v>
      </c>
    </row>
    <row r="1135" spans="1:14" x14ac:dyDescent="0.35">
      <c r="A1135" t="s">
        <v>50</v>
      </c>
      <c r="B1135">
        <v>202502</v>
      </c>
      <c r="C1135" t="str">
        <f>MID(analisis_productividad__4[[#This Row],[Periodo]],1,4)</f>
        <v>2025</v>
      </c>
      <c r="D1135" t="str">
        <f>MID(analisis_productividad__4[[#This Row],[Periodo]],5,2)</f>
        <v>02</v>
      </c>
      <c r="E1135" t="s">
        <v>34</v>
      </c>
      <c r="F1135" t="s">
        <v>35</v>
      </c>
      <c r="G1135">
        <v>89334</v>
      </c>
      <c r="H1135">
        <v>5397340</v>
      </c>
      <c r="I1135">
        <v>60.417656250000007</v>
      </c>
      <c r="J1135">
        <v>85041.170618933349</v>
      </c>
      <c r="K1135">
        <v>79.5</v>
      </c>
      <c r="L1135">
        <v>72.5</v>
      </c>
      <c r="M1135">
        <v>63.467381513188492</v>
      </c>
      <c r="N1135">
        <v>5481427</v>
      </c>
    </row>
    <row r="1136" spans="1:14" x14ac:dyDescent="0.35">
      <c r="A1136" t="s">
        <v>63</v>
      </c>
      <c r="B1136">
        <v>202602</v>
      </c>
      <c r="C1136" t="str">
        <f>MID(analisis_productividad__4[[#This Row],[Periodo]],1,4)</f>
        <v>2026</v>
      </c>
      <c r="D1136" t="str">
        <f>MID(analisis_productividad__4[[#This Row],[Periodo]],5,2)</f>
        <v>02</v>
      </c>
      <c r="E1136" t="s">
        <v>16</v>
      </c>
      <c r="F1136" t="s">
        <v>17</v>
      </c>
      <c r="G1136">
        <v>89316</v>
      </c>
      <c r="H1136">
        <v>6432948</v>
      </c>
      <c r="I1136">
        <v>72.024687499999999</v>
      </c>
      <c r="J1136">
        <v>111276.42485808405</v>
      </c>
      <c r="K1136">
        <v>86.5</v>
      </c>
      <c r="L1136">
        <v>81.5</v>
      </c>
      <c r="M1136">
        <v>76.26782259426129</v>
      </c>
      <c r="N1136">
        <v>8486811</v>
      </c>
    </row>
    <row r="1137" spans="1:14" x14ac:dyDescent="0.35">
      <c r="A1137" t="s">
        <v>89</v>
      </c>
      <c r="B1137">
        <v>202504</v>
      </c>
      <c r="C1137" t="str">
        <f>MID(analisis_productividad__4[[#This Row],[Periodo]],1,4)</f>
        <v>2025</v>
      </c>
      <c r="D1137" t="str">
        <f>MID(analisis_productividad__4[[#This Row],[Periodo]],5,2)</f>
        <v>04</v>
      </c>
      <c r="E1137" t="s">
        <v>9</v>
      </c>
      <c r="F1137" t="s">
        <v>9</v>
      </c>
      <c r="G1137">
        <v>89315</v>
      </c>
      <c r="H1137">
        <v>1000023</v>
      </c>
      <c r="I1137">
        <v>11.196597222222225</v>
      </c>
      <c r="J1137">
        <v>62960.405917186406</v>
      </c>
      <c r="K1137">
        <v>17</v>
      </c>
      <c r="L1137">
        <v>13.5</v>
      </c>
      <c r="M1137">
        <v>15.883362971251465</v>
      </c>
      <c r="N1137">
        <v>1104646</v>
      </c>
    </row>
    <row r="1138" spans="1:14" x14ac:dyDescent="0.35">
      <c r="A1138" t="s">
        <v>97</v>
      </c>
      <c r="B1138">
        <v>202511</v>
      </c>
      <c r="C1138" t="str">
        <f>MID(analisis_productividad__4[[#This Row],[Periodo]],1,4)</f>
        <v>2025</v>
      </c>
      <c r="D1138" t="str">
        <f>MID(analisis_productividad__4[[#This Row],[Periodo]],5,2)</f>
        <v>11</v>
      </c>
      <c r="E1138" t="s">
        <v>11</v>
      </c>
      <c r="F1138" t="s">
        <v>12</v>
      </c>
      <c r="G1138">
        <v>89267</v>
      </c>
      <c r="H1138">
        <v>4726245</v>
      </c>
      <c r="I1138">
        <v>52.945229166666692</v>
      </c>
      <c r="J1138">
        <v>85082.982803407271</v>
      </c>
      <c r="K1138">
        <v>66.5</v>
      </c>
      <c r="L1138">
        <v>63.5</v>
      </c>
      <c r="M1138">
        <v>55.548654787061963</v>
      </c>
      <c r="N1138">
        <v>4875858</v>
      </c>
    </row>
    <row r="1139" spans="1:14" x14ac:dyDescent="0.35">
      <c r="A1139" t="s">
        <v>88</v>
      </c>
      <c r="B1139">
        <v>202603</v>
      </c>
      <c r="C1139" t="str">
        <f>MID(analisis_productividad__4[[#This Row],[Periodo]],1,4)</f>
        <v>2026</v>
      </c>
      <c r="D1139" t="str">
        <f>MID(analisis_productividad__4[[#This Row],[Periodo]],5,2)</f>
        <v>03</v>
      </c>
      <c r="E1139" t="s">
        <v>34</v>
      </c>
      <c r="F1139" t="s">
        <v>35</v>
      </c>
      <c r="G1139">
        <v>89209</v>
      </c>
      <c r="H1139">
        <v>1236118</v>
      </c>
      <c r="I1139">
        <v>13.856471774193544</v>
      </c>
      <c r="J1139">
        <v>89093.964351180693</v>
      </c>
      <c r="K1139">
        <v>15.5</v>
      </c>
      <c r="L1139">
        <v>14.5</v>
      </c>
      <c r="M1139">
        <v>13.971887755419019</v>
      </c>
      <c r="N1139">
        <v>1244811</v>
      </c>
    </row>
    <row r="1140" spans="1:14" x14ac:dyDescent="0.35">
      <c r="A1140" t="s">
        <v>75</v>
      </c>
      <c r="B1140">
        <v>202410</v>
      </c>
      <c r="C1140" t="str">
        <f>MID(analisis_productividad__4[[#This Row],[Periodo]],1,4)</f>
        <v>2024</v>
      </c>
      <c r="D1140" t="str">
        <f>MID(analisis_productividad__4[[#This Row],[Periodo]],5,2)</f>
        <v>10</v>
      </c>
      <c r="E1140" t="s">
        <v>11</v>
      </c>
      <c r="F1140" t="s">
        <v>52</v>
      </c>
      <c r="G1140">
        <v>89206</v>
      </c>
      <c r="H1140">
        <v>9117490</v>
      </c>
      <c r="I1140">
        <v>102.20691532258061</v>
      </c>
      <c r="J1140">
        <v>0</v>
      </c>
      <c r="K1140">
        <v>118</v>
      </c>
      <c r="L1140">
        <v>106</v>
      </c>
      <c r="N1140">
        <v>0</v>
      </c>
    </row>
    <row r="1141" spans="1:14" x14ac:dyDescent="0.35">
      <c r="A1141" t="s">
        <v>40</v>
      </c>
      <c r="B1141">
        <v>202405</v>
      </c>
      <c r="C1141" t="str">
        <f>MID(analisis_productividad__4[[#This Row],[Periodo]],1,4)</f>
        <v>2024</v>
      </c>
      <c r="D1141" t="str">
        <f>MID(analisis_productividad__4[[#This Row],[Periodo]],5,2)</f>
        <v>05</v>
      </c>
      <c r="E1141" t="s">
        <v>11</v>
      </c>
      <c r="F1141" t="s">
        <v>14</v>
      </c>
      <c r="G1141">
        <v>89175</v>
      </c>
      <c r="H1141">
        <v>6167177</v>
      </c>
      <c r="I1141">
        <v>69.158024193548414</v>
      </c>
      <c r="J1141">
        <v>0</v>
      </c>
      <c r="K1141">
        <v>76.5</v>
      </c>
      <c r="L1141">
        <v>75.5</v>
      </c>
      <c r="N1141">
        <v>0</v>
      </c>
    </row>
    <row r="1142" spans="1:14" x14ac:dyDescent="0.35">
      <c r="A1142" t="s">
        <v>77</v>
      </c>
      <c r="B1142">
        <v>202511</v>
      </c>
      <c r="C1142" t="str">
        <f>MID(analisis_productividad__4[[#This Row],[Periodo]],1,4)</f>
        <v>2025</v>
      </c>
      <c r="D1142" t="str">
        <f>MID(analisis_productividad__4[[#This Row],[Periodo]],5,2)</f>
        <v>11</v>
      </c>
      <c r="E1142" t="s">
        <v>16</v>
      </c>
      <c r="F1142" t="s">
        <v>21</v>
      </c>
      <c r="G1142">
        <v>89152</v>
      </c>
      <c r="H1142">
        <v>4710518</v>
      </c>
      <c r="I1142">
        <v>52.83716666666669</v>
      </c>
      <c r="J1142">
        <v>75332.840128254815</v>
      </c>
      <c r="K1142">
        <v>60.5</v>
      </c>
      <c r="L1142">
        <v>60.5</v>
      </c>
      <c r="M1142">
        <v>62.529403935658124</v>
      </c>
      <c r="N1142">
        <v>4702326</v>
      </c>
    </row>
    <row r="1143" spans="1:14" x14ac:dyDescent="0.35">
      <c r="A1143" t="s">
        <v>81</v>
      </c>
      <c r="B1143">
        <v>202403</v>
      </c>
      <c r="C1143" t="str">
        <f>MID(analisis_productividad__4[[#This Row],[Periodo]],1,4)</f>
        <v>2024</v>
      </c>
      <c r="D1143" t="str">
        <f>MID(analisis_productividad__4[[#This Row],[Periodo]],5,2)</f>
        <v>03</v>
      </c>
      <c r="E1143" t="s">
        <v>34</v>
      </c>
      <c r="F1143" t="s">
        <v>35</v>
      </c>
      <c r="G1143">
        <v>89108</v>
      </c>
      <c r="H1143">
        <v>8059338</v>
      </c>
      <c r="I1143">
        <v>90.444139784946188</v>
      </c>
      <c r="J1143">
        <v>0</v>
      </c>
      <c r="K1143">
        <v>106</v>
      </c>
      <c r="L1143">
        <v>94.5</v>
      </c>
      <c r="N1143">
        <v>0</v>
      </c>
    </row>
    <row r="1144" spans="1:14" x14ac:dyDescent="0.35">
      <c r="A1144" t="s">
        <v>48</v>
      </c>
      <c r="B1144">
        <v>202504</v>
      </c>
      <c r="C1144" t="str">
        <f>MID(analisis_productividad__4[[#This Row],[Periodo]],1,4)</f>
        <v>2025</v>
      </c>
      <c r="D1144" t="str">
        <f>MID(analisis_productividad__4[[#This Row],[Periodo]],5,2)</f>
        <v>04</v>
      </c>
      <c r="E1144" t="s">
        <v>16</v>
      </c>
      <c r="F1144" t="s">
        <v>21</v>
      </c>
      <c r="G1144">
        <v>89108</v>
      </c>
      <c r="H1144">
        <v>4761071</v>
      </c>
      <c r="I1144">
        <v>53.43046527777777</v>
      </c>
      <c r="J1144">
        <v>64479.660279576317</v>
      </c>
      <c r="K1144">
        <v>56</v>
      </c>
      <c r="L1144">
        <v>60</v>
      </c>
      <c r="M1144">
        <v>73.838337071823105</v>
      </c>
      <c r="N1144">
        <v>4031746</v>
      </c>
    </row>
    <row r="1145" spans="1:14" x14ac:dyDescent="0.35">
      <c r="A1145" t="s">
        <v>42</v>
      </c>
      <c r="B1145">
        <v>202508</v>
      </c>
      <c r="C1145" t="str">
        <f>MID(analisis_productividad__4[[#This Row],[Periodo]],1,4)</f>
        <v>2025</v>
      </c>
      <c r="D1145" t="str">
        <f>MID(analisis_productividad__4[[#This Row],[Periodo]],5,2)</f>
        <v>08</v>
      </c>
      <c r="E1145" t="s">
        <v>16</v>
      </c>
      <c r="F1145" t="s">
        <v>19</v>
      </c>
      <c r="G1145">
        <v>89047</v>
      </c>
      <c r="H1145">
        <v>4867322</v>
      </c>
      <c r="I1145">
        <v>54.660073924731194</v>
      </c>
      <c r="J1145">
        <v>83535.471313357732</v>
      </c>
      <c r="K1145">
        <v>62</v>
      </c>
      <c r="L1145">
        <v>58</v>
      </c>
      <c r="M1145">
        <v>58.266525746191505</v>
      </c>
      <c r="N1145">
        <v>4749745</v>
      </c>
    </row>
    <row r="1146" spans="1:14" x14ac:dyDescent="0.35">
      <c r="A1146" t="s">
        <v>43</v>
      </c>
      <c r="B1146">
        <v>202411</v>
      </c>
      <c r="C1146" t="str">
        <f>MID(analisis_productividad__4[[#This Row],[Periodo]],1,4)</f>
        <v>2024</v>
      </c>
      <c r="D1146" t="str">
        <f>MID(analisis_productividad__4[[#This Row],[Periodo]],5,2)</f>
        <v>11</v>
      </c>
      <c r="E1146" t="s">
        <v>11</v>
      </c>
      <c r="F1146" t="s">
        <v>12</v>
      </c>
      <c r="G1146">
        <v>89036</v>
      </c>
      <c r="H1146">
        <v>7014573</v>
      </c>
      <c r="I1146">
        <v>78.783833333333362</v>
      </c>
      <c r="J1146">
        <v>0</v>
      </c>
      <c r="K1146">
        <v>84.5</v>
      </c>
      <c r="L1146">
        <v>86.5</v>
      </c>
      <c r="N1146">
        <v>0</v>
      </c>
    </row>
    <row r="1147" spans="1:14" x14ac:dyDescent="0.35">
      <c r="A1147" t="s">
        <v>25</v>
      </c>
      <c r="B1147">
        <v>202401</v>
      </c>
      <c r="C1147" t="str">
        <f>MID(analisis_productividad__4[[#This Row],[Periodo]],1,4)</f>
        <v>2024</v>
      </c>
      <c r="D1147" t="str">
        <f>MID(analisis_productividad__4[[#This Row],[Periodo]],5,2)</f>
        <v>01</v>
      </c>
      <c r="E1147" t="s">
        <v>16</v>
      </c>
      <c r="F1147" t="s">
        <v>19</v>
      </c>
      <c r="G1147">
        <v>89033</v>
      </c>
      <c r="H1147">
        <v>7178563</v>
      </c>
      <c r="I1147">
        <v>80.627862903225804</v>
      </c>
      <c r="J1147">
        <v>0</v>
      </c>
      <c r="K1147">
        <v>94</v>
      </c>
      <c r="L1147">
        <v>92</v>
      </c>
      <c r="N1147">
        <v>0</v>
      </c>
    </row>
    <row r="1148" spans="1:14" x14ac:dyDescent="0.35">
      <c r="A1148" t="s">
        <v>20</v>
      </c>
      <c r="B1148">
        <v>202504</v>
      </c>
      <c r="C1148" t="str">
        <f>MID(analisis_productividad__4[[#This Row],[Periodo]],1,4)</f>
        <v>2025</v>
      </c>
      <c r="D1148" t="str">
        <f>MID(analisis_productividad__4[[#This Row],[Periodo]],5,2)</f>
        <v>04</v>
      </c>
      <c r="E1148" t="s">
        <v>16</v>
      </c>
      <c r="F1148" t="s">
        <v>21</v>
      </c>
      <c r="G1148">
        <v>89000</v>
      </c>
      <c r="H1148">
        <v>8281450</v>
      </c>
      <c r="I1148">
        <v>93.050416666666692</v>
      </c>
      <c r="J1148">
        <v>90831.096293284267</v>
      </c>
      <c r="K1148">
        <v>96.5</v>
      </c>
      <c r="L1148">
        <v>94</v>
      </c>
      <c r="M1148">
        <v>91.174167415749906</v>
      </c>
      <c r="N1148">
        <v>8301415</v>
      </c>
    </row>
    <row r="1149" spans="1:14" x14ac:dyDescent="0.35">
      <c r="A1149" t="s">
        <v>94</v>
      </c>
      <c r="B1149">
        <v>202508</v>
      </c>
      <c r="C1149" t="str">
        <f>MID(analisis_productividad__4[[#This Row],[Periodo]],1,4)</f>
        <v>2025</v>
      </c>
      <c r="D1149" t="str">
        <f>MID(analisis_productividad__4[[#This Row],[Periodo]],5,2)</f>
        <v>08</v>
      </c>
      <c r="E1149" t="s">
        <v>11</v>
      </c>
      <c r="F1149" t="s">
        <v>52</v>
      </c>
      <c r="G1149">
        <v>88996</v>
      </c>
      <c r="H1149">
        <v>4861639</v>
      </c>
      <c r="I1149">
        <v>54.627802419354865</v>
      </c>
      <c r="J1149">
        <v>81699.26391442983</v>
      </c>
      <c r="K1149">
        <v>75.5</v>
      </c>
      <c r="L1149">
        <v>70.5</v>
      </c>
      <c r="M1149">
        <v>59.506516302178476</v>
      </c>
      <c r="N1149">
        <v>5490370</v>
      </c>
    </row>
    <row r="1150" spans="1:14" x14ac:dyDescent="0.35">
      <c r="A1150" t="s">
        <v>28</v>
      </c>
      <c r="B1150">
        <v>202502</v>
      </c>
      <c r="C1150" t="str">
        <f>MID(analisis_productividad__4[[#This Row],[Periodo]],1,4)</f>
        <v>2025</v>
      </c>
      <c r="D1150" t="str">
        <f>MID(analisis_productividad__4[[#This Row],[Periodo]],5,2)</f>
        <v>02</v>
      </c>
      <c r="E1150" t="s">
        <v>16</v>
      </c>
      <c r="F1150" t="s">
        <v>17</v>
      </c>
      <c r="G1150">
        <v>88964</v>
      </c>
      <c r="H1150">
        <v>5349294</v>
      </c>
      <c r="I1150">
        <v>60.128802083333348</v>
      </c>
      <c r="J1150">
        <v>116959.17389401076</v>
      </c>
      <c r="K1150">
        <v>64</v>
      </c>
      <c r="L1150">
        <v>67</v>
      </c>
      <c r="M1150">
        <v>45.736419657405996</v>
      </c>
      <c r="N1150">
        <v>5793568</v>
      </c>
    </row>
    <row r="1151" spans="1:14" x14ac:dyDescent="0.35">
      <c r="A1151" t="s">
        <v>48</v>
      </c>
      <c r="B1151">
        <v>202511</v>
      </c>
      <c r="C1151" t="str">
        <f>MID(analisis_productividad__4[[#This Row],[Periodo]],1,4)</f>
        <v>2025</v>
      </c>
      <c r="D1151" t="str">
        <f>MID(analisis_productividad__4[[#This Row],[Periodo]],5,2)</f>
        <v>11</v>
      </c>
      <c r="E1151" t="s">
        <v>16</v>
      </c>
      <c r="F1151" t="s">
        <v>21</v>
      </c>
      <c r="G1151">
        <v>88948</v>
      </c>
      <c r="H1151">
        <v>4609139</v>
      </c>
      <c r="I1151">
        <v>51.818423611111093</v>
      </c>
      <c r="J1151">
        <v>63112.758670106545</v>
      </c>
      <c r="K1151">
        <v>56</v>
      </c>
      <c r="L1151">
        <v>60</v>
      </c>
      <c r="M1151">
        <v>73.030226013288271</v>
      </c>
      <c r="N1151">
        <v>4011253</v>
      </c>
    </row>
    <row r="1152" spans="1:14" x14ac:dyDescent="0.35">
      <c r="A1152" t="s">
        <v>18</v>
      </c>
      <c r="B1152">
        <v>202502</v>
      </c>
      <c r="C1152" t="str">
        <f>MID(analisis_productividad__4[[#This Row],[Periodo]],1,4)</f>
        <v>2025</v>
      </c>
      <c r="D1152" t="str">
        <f>MID(analisis_productividad__4[[#This Row],[Periodo]],5,2)</f>
        <v>02</v>
      </c>
      <c r="E1152" t="s">
        <v>16</v>
      </c>
      <c r="F1152" t="s">
        <v>19</v>
      </c>
      <c r="G1152">
        <v>88940</v>
      </c>
      <c r="H1152">
        <v>5965040</v>
      </c>
      <c r="I1152">
        <v>67.067916666666676</v>
      </c>
      <c r="J1152">
        <v>91141.834972849072</v>
      </c>
      <c r="K1152">
        <v>70.5</v>
      </c>
      <c r="L1152">
        <v>69.5</v>
      </c>
      <c r="M1152">
        <v>65.447881006312528</v>
      </c>
      <c r="N1152">
        <v>5477118</v>
      </c>
    </row>
    <row r="1153" spans="1:14" x14ac:dyDescent="0.35">
      <c r="A1153" t="s">
        <v>88</v>
      </c>
      <c r="B1153">
        <v>202411</v>
      </c>
      <c r="C1153" t="str">
        <f>MID(analisis_productividad__4[[#This Row],[Periodo]],1,4)</f>
        <v>2024</v>
      </c>
      <c r="D1153" t="str">
        <f>MID(analisis_productividad__4[[#This Row],[Periodo]],5,2)</f>
        <v>11</v>
      </c>
      <c r="E1153" t="s">
        <v>34</v>
      </c>
      <c r="F1153" t="s">
        <v>35</v>
      </c>
      <c r="G1153">
        <v>88938</v>
      </c>
      <c r="H1153">
        <v>1013930</v>
      </c>
      <c r="I1153">
        <v>11.400375000000002</v>
      </c>
      <c r="J1153">
        <v>0</v>
      </c>
      <c r="K1153">
        <v>15.5</v>
      </c>
      <c r="L1153">
        <v>14.5</v>
      </c>
      <c r="N1153">
        <v>0</v>
      </c>
    </row>
    <row r="1154" spans="1:14" x14ac:dyDescent="0.35">
      <c r="A1154" t="s">
        <v>40</v>
      </c>
      <c r="B1154">
        <v>202401</v>
      </c>
      <c r="C1154" t="str">
        <f>MID(analisis_productividad__4[[#This Row],[Periodo]],1,4)</f>
        <v>2024</v>
      </c>
      <c r="D1154" t="str">
        <f>MID(analisis_productividad__4[[#This Row],[Periodo]],5,2)</f>
        <v>01</v>
      </c>
      <c r="E1154" t="s">
        <v>11</v>
      </c>
      <c r="F1154" t="s">
        <v>14</v>
      </c>
      <c r="G1154">
        <v>88937</v>
      </c>
      <c r="H1154">
        <v>6225525</v>
      </c>
      <c r="I1154">
        <v>69.999435483870968</v>
      </c>
      <c r="J1154">
        <v>0</v>
      </c>
      <c r="K1154">
        <v>76.5</v>
      </c>
      <c r="L1154">
        <v>75.5</v>
      </c>
      <c r="N1154">
        <v>0</v>
      </c>
    </row>
    <row r="1155" spans="1:14" x14ac:dyDescent="0.35">
      <c r="A1155" t="s">
        <v>44</v>
      </c>
      <c r="B1155">
        <v>202606</v>
      </c>
      <c r="C1155" t="str">
        <f>MID(analisis_productividad__4[[#This Row],[Periodo]],1,4)</f>
        <v>2026</v>
      </c>
      <c r="D1155" t="str">
        <f>MID(analisis_productividad__4[[#This Row],[Periodo]],5,2)</f>
        <v>06</v>
      </c>
      <c r="E1155" t="s">
        <v>11</v>
      </c>
      <c r="F1155" t="s">
        <v>12</v>
      </c>
      <c r="G1155">
        <v>88921</v>
      </c>
      <c r="H1155">
        <v>5656095</v>
      </c>
      <c r="I1155">
        <v>63.60783333333481</v>
      </c>
      <c r="J1155">
        <v>82387.837409259446</v>
      </c>
      <c r="K1155">
        <v>78</v>
      </c>
      <c r="L1155">
        <v>74.5</v>
      </c>
      <c r="M1155">
        <v>66.954795775232199</v>
      </c>
      <c r="N1155">
        <v>5516261</v>
      </c>
    </row>
    <row r="1156" spans="1:14" x14ac:dyDescent="0.35">
      <c r="A1156" t="s">
        <v>68</v>
      </c>
      <c r="B1156">
        <v>202601</v>
      </c>
      <c r="C1156" t="str">
        <f>MID(analisis_productividad__4[[#This Row],[Periodo]],1,4)</f>
        <v>2026</v>
      </c>
      <c r="D1156" t="str">
        <f>MID(analisis_productividad__4[[#This Row],[Periodo]],5,2)</f>
        <v>01</v>
      </c>
      <c r="E1156" t="s">
        <v>11</v>
      </c>
      <c r="F1156" t="s">
        <v>52</v>
      </c>
      <c r="G1156">
        <v>88915</v>
      </c>
      <c r="H1156">
        <v>7702672</v>
      </c>
      <c r="I1156">
        <v>86.629704301075307</v>
      </c>
      <c r="J1156">
        <v>99634.457811982516</v>
      </c>
      <c r="K1156">
        <v>103</v>
      </c>
      <c r="L1156">
        <v>91</v>
      </c>
      <c r="M1156">
        <v>85.91077884372821</v>
      </c>
      <c r="N1156">
        <v>8559674</v>
      </c>
    </row>
    <row r="1157" spans="1:14" x14ac:dyDescent="0.35">
      <c r="A1157" t="s">
        <v>46</v>
      </c>
      <c r="B1157">
        <v>202502</v>
      </c>
      <c r="C1157" t="str">
        <f>MID(analisis_productividad__4[[#This Row],[Periodo]],1,4)</f>
        <v>2025</v>
      </c>
      <c r="D1157" t="str">
        <f>MID(analisis_productividad__4[[#This Row],[Periodo]],5,2)</f>
        <v>02</v>
      </c>
      <c r="E1157" t="s">
        <v>11</v>
      </c>
      <c r="F1157" t="s">
        <v>14</v>
      </c>
      <c r="G1157">
        <v>88914</v>
      </c>
      <c r="H1157">
        <v>6340296</v>
      </c>
      <c r="I1157">
        <v>71.308437499999997</v>
      </c>
      <c r="J1157">
        <v>94798.896940034872</v>
      </c>
      <c r="K1157">
        <v>77</v>
      </c>
      <c r="L1157">
        <v>79</v>
      </c>
      <c r="M1157">
        <v>66.881539075402529</v>
      </c>
      <c r="N1157">
        <v>5649831</v>
      </c>
    </row>
    <row r="1158" spans="1:14" x14ac:dyDescent="0.35">
      <c r="A1158" t="s">
        <v>30</v>
      </c>
      <c r="B1158">
        <v>202502</v>
      </c>
      <c r="C1158" t="str">
        <f>MID(analisis_productividad__4[[#This Row],[Periodo]],1,4)</f>
        <v>2025</v>
      </c>
      <c r="D1158" t="str">
        <f>MID(analisis_productividad__4[[#This Row],[Periodo]],5,2)</f>
        <v>02</v>
      </c>
      <c r="E1158" t="s">
        <v>16</v>
      </c>
      <c r="F1158" t="s">
        <v>19</v>
      </c>
      <c r="G1158">
        <v>88903</v>
      </c>
      <c r="H1158">
        <v>7931521</v>
      </c>
      <c r="I1158">
        <v>89.215156249999978</v>
      </c>
      <c r="J1158">
        <v>99841.650525266101</v>
      </c>
      <c r="K1158">
        <v>101</v>
      </c>
      <c r="L1158">
        <v>105</v>
      </c>
      <c r="M1158">
        <v>79.441007918762679</v>
      </c>
      <c r="N1158">
        <v>8362990</v>
      </c>
    </row>
    <row r="1159" spans="1:14" x14ac:dyDescent="0.35">
      <c r="A1159" t="s">
        <v>76</v>
      </c>
      <c r="B1159">
        <v>202602</v>
      </c>
      <c r="C1159" t="str">
        <f>MID(analisis_productividad__4[[#This Row],[Periodo]],1,4)</f>
        <v>2026</v>
      </c>
      <c r="D1159" t="str">
        <f>MID(analisis_productividad__4[[#This Row],[Periodo]],5,2)</f>
        <v>02</v>
      </c>
      <c r="E1159" t="s">
        <v>11</v>
      </c>
      <c r="F1159" t="s">
        <v>14</v>
      </c>
      <c r="G1159">
        <v>88873</v>
      </c>
      <c r="H1159">
        <v>6070053</v>
      </c>
      <c r="I1159">
        <v>68.300312500000004</v>
      </c>
      <c r="J1159">
        <v>88408.977671194254</v>
      </c>
      <c r="K1159">
        <v>80</v>
      </c>
      <c r="L1159">
        <v>78</v>
      </c>
      <c r="M1159">
        <v>69.114627897013889</v>
      </c>
      <c r="N1159">
        <v>6110354</v>
      </c>
    </row>
    <row r="1160" spans="1:14" x14ac:dyDescent="0.35">
      <c r="A1160" t="s">
        <v>88</v>
      </c>
      <c r="B1160">
        <v>202606</v>
      </c>
      <c r="C1160" t="str">
        <f>MID(analisis_productividad__4[[#This Row],[Periodo]],1,4)</f>
        <v>2026</v>
      </c>
      <c r="D1160" t="str">
        <f>MID(analisis_productividad__4[[#This Row],[Periodo]],5,2)</f>
        <v>06</v>
      </c>
      <c r="E1160" t="s">
        <v>34</v>
      </c>
      <c r="F1160" t="s">
        <v>35</v>
      </c>
      <c r="G1160">
        <v>88871</v>
      </c>
      <c r="H1160">
        <v>1148547</v>
      </c>
      <c r="I1160">
        <v>12.923701388888864</v>
      </c>
      <c r="J1160">
        <v>70758.329275624128</v>
      </c>
      <c r="K1160">
        <v>15.5</v>
      </c>
      <c r="L1160">
        <v>14.5</v>
      </c>
      <c r="M1160">
        <v>13.971887755419019</v>
      </c>
      <c r="N1160">
        <v>988627</v>
      </c>
    </row>
    <row r="1161" spans="1:14" x14ac:dyDescent="0.35">
      <c r="A1161" t="s">
        <v>24</v>
      </c>
      <c r="B1161">
        <v>202505</v>
      </c>
      <c r="C1161" t="str">
        <f>MID(analisis_productividad__4[[#This Row],[Periodo]],1,4)</f>
        <v>2025</v>
      </c>
      <c r="D1161" t="str">
        <f>MID(analisis_productividad__4[[#This Row],[Periodo]],5,2)</f>
        <v>05</v>
      </c>
      <c r="E1161" t="s">
        <v>16</v>
      </c>
      <c r="F1161" t="s">
        <v>21</v>
      </c>
      <c r="G1161">
        <v>88848</v>
      </c>
      <c r="H1161">
        <v>9890773</v>
      </c>
      <c r="I1161">
        <v>111.32272177419355</v>
      </c>
      <c r="J1161">
        <v>90358.485881147411</v>
      </c>
      <c r="K1161">
        <v>125</v>
      </c>
      <c r="L1161">
        <v>118.5</v>
      </c>
      <c r="M1161">
        <v>109.46147407792753</v>
      </c>
      <c r="N1161">
        <v>9373948</v>
      </c>
    </row>
    <row r="1162" spans="1:14" x14ac:dyDescent="0.35">
      <c r="A1162" t="s">
        <v>47</v>
      </c>
      <c r="B1162">
        <v>202601</v>
      </c>
      <c r="C1162" t="str">
        <f>MID(analisis_productividad__4[[#This Row],[Periodo]],1,4)</f>
        <v>2026</v>
      </c>
      <c r="D1162" t="str">
        <f>MID(analisis_productividad__4[[#This Row],[Periodo]],5,2)</f>
        <v>01</v>
      </c>
      <c r="E1162" t="s">
        <v>11</v>
      </c>
      <c r="F1162" t="s">
        <v>14</v>
      </c>
      <c r="G1162">
        <v>88817</v>
      </c>
      <c r="H1162">
        <v>4354373</v>
      </c>
      <c r="I1162">
        <v>49.026344086021524</v>
      </c>
      <c r="J1162">
        <v>89835.033702776622</v>
      </c>
      <c r="K1162">
        <v>61.5</v>
      </c>
      <c r="L1162">
        <v>48.5</v>
      </c>
      <c r="M1162">
        <v>53.715920394326645</v>
      </c>
      <c r="N1162">
        <v>4825572</v>
      </c>
    </row>
    <row r="1163" spans="1:14" x14ac:dyDescent="0.35">
      <c r="A1163" t="s">
        <v>22</v>
      </c>
      <c r="B1163">
        <v>202411</v>
      </c>
      <c r="C1163" t="str">
        <f>MID(analisis_productividad__4[[#This Row],[Periodo]],1,4)</f>
        <v>2024</v>
      </c>
      <c r="D1163" t="str">
        <f>MID(analisis_productividad__4[[#This Row],[Periodo]],5,2)</f>
        <v>11</v>
      </c>
      <c r="E1163" t="s">
        <v>16</v>
      </c>
      <c r="F1163" t="s">
        <v>21</v>
      </c>
      <c r="G1163">
        <v>88813</v>
      </c>
      <c r="H1163">
        <v>4757462</v>
      </c>
      <c r="I1163">
        <v>53.567062499999999</v>
      </c>
      <c r="J1163">
        <v>0</v>
      </c>
      <c r="K1163">
        <v>59.5</v>
      </c>
      <c r="L1163">
        <v>55.5</v>
      </c>
      <c r="N1163">
        <v>0</v>
      </c>
    </row>
    <row r="1164" spans="1:14" x14ac:dyDescent="0.35">
      <c r="A1164" t="s">
        <v>81</v>
      </c>
      <c r="B1164">
        <v>202401</v>
      </c>
      <c r="C1164" t="str">
        <f>MID(analisis_productividad__4[[#This Row],[Periodo]],1,4)</f>
        <v>2024</v>
      </c>
      <c r="D1164" t="str">
        <f>MID(analisis_productividad__4[[#This Row],[Periodo]],5,2)</f>
        <v>01</v>
      </c>
      <c r="E1164" t="s">
        <v>34</v>
      </c>
      <c r="F1164" t="s">
        <v>35</v>
      </c>
      <c r="G1164">
        <v>88779</v>
      </c>
      <c r="H1164">
        <v>7380550</v>
      </c>
      <c r="I1164">
        <v>83.133749999999949</v>
      </c>
      <c r="J1164">
        <v>0</v>
      </c>
      <c r="K1164">
        <v>106</v>
      </c>
      <c r="L1164">
        <v>94.5</v>
      </c>
      <c r="N1164">
        <v>0</v>
      </c>
    </row>
    <row r="1165" spans="1:14" x14ac:dyDescent="0.35">
      <c r="A1165" t="s">
        <v>42</v>
      </c>
      <c r="B1165">
        <v>202401</v>
      </c>
      <c r="C1165" t="str">
        <f>MID(analisis_productividad__4[[#This Row],[Periodo]],1,4)</f>
        <v>2024</v>
      </c>
      <c r="D1165" t="str">
        <f>MID(analisis_productividad__4[[#This Row],[Periodo]],5,2)</f>
        <v>01</v>
      </c>
      <c r="E1165" t="s">
        <v>16</v>
      </c>
      <c r="F1165" t="s">
        <v>19</v>
      </c>
      <c r="G1165">
        <v>88769</v>
      </c>
      <c r="H1165">
        <v>5145529</v>
      </c>
      <c r="I1165">
        <v>57.965221774193537</v>
      </c>
      <c r="J1165">
        <v>0</v>
      </c>
      <c r="K1165">
        <v>62</v>
      </c>
      <c r="L1165">
        <v>58</v>
      </c>
      <c r="N1165">
        <v>0</v>
      </c>
    </row>
    <row r="1166" spans="1:14" x14ac:dyDescent="0.35">
      <c r="A1166" t="s">
        <v>22</v>
      </c>
      <c r="B1166">
        <v>202408</v>
      </c>
      <c r="C1166" t="str">
        <f>MID(analisis_productividad__4[[#This Row],[Periodo]],1,4)</f>
        <v>2024</v>
      </c>
      <c r="D1166" t="str">
        <f>MID(analisis_productividad__4[[#This Row],[Periodo]],5,2)</f>
        <v>08</v>
      </c>
      <c r="E1166" t="s">
        <v>16</v>
      </c>
      <c r="F1166" t="s">
        <v>21</v>
      </c>
      <c r="G1166">
        <v>88766</v>
      </c>
      <c r="H1166">
        <v>4955365</v>
      </c>
      <c r="I1166">
        <v>55.825282258064505</v>
      </c>
      <c r="J1166">
        <v>0</v>
      </c>
      <c r="K1166">
        <v>59.5</v>
      </c>
      <c r="L1166">
        <v>55.5</v>
      </c>
      <c r="N1166">
        <v>0</v>
      </c>
    </row>
    <row r="1167" spans="1:14" x14ac:dyDescent="0.35">
      <c r="A1167" t="s">
        <v>57</v>
      </c>
      <c r="B1167">
        <v>202601</v>
      </c>
      <c r="C1167" t="str">
        <f>MID(analisis_productividad__4[[#This Row],[Periodo]],1,4)</f>
        <v>2026</v>
      </c>
      <c r="D1167" t="str">
        <f>MID(analisis_productividad__4[[#This Row],[Periodo]],5,2)</f>
        <v>01</v>
      </c>
      <c r="E1167" t="s">
        <v>16</v>
      </c>
      <c r="F1167" t="s">
        <v>19</v>
      </c>
      <c r="G1167">
        <v>88742</v>
      </c>
      <c r="H1167">
        <v>5892825</v>
      </c>
      <c r="I1167">
        <v>66.40384408602155</v>
      </c>
      <c r="J1167">
        <v>100910.39272850117</v>
      </c>
      <c r="K1167">
        <v>71</v>
      </c>
      <c r="L1167">
        <v>74.5</v>
      </c>
      <c r="M1167">
        <v>62.681117153293116</v>
      </c>
      <c r="N1167">
        <v>6325176</v>
      </c>
    </row>
    <row r="1168" spans="1:14" x14ac:dyDescent="0.35">
      <c r="A1168" t="s">
        <v>81</v>
      </c>
      <c r="B1168">
        <v>202604</v>
      </c>
      <c r="C1168" t="str">
        <f>MID(analisis_productividad__4[[#This Row],[Periodo]],1,4)</f>
        <v>2026</v>
      </c>
      <c r="D1168" t="str">
        <f>MID(analisis_productividad__4[[#This Row],[Periodo]],5,2)</f>
        <v>04</v>
      </c>
      <c r="E1168" t="s">
        <v>34</v>
      </c>
      <c r="F1168" t="s">
        <v>35</v>
      </c>
      <c r="G1168">
        <v>88733</v>
      </c>
      <c r="H1168">
        <v>7788630</v>
      </c>
      <c r="I1168">
        <v>87.776013888890731</v>
      </c>
      <c r="J1168">
        <v>86102.564309229667</v>
      </c>
      <c r="K1168">
        <v>106</v>
      </c>
      <c r="L1168">
        <v>94.5</v>
      </c>
      <c r="M1168">
        <v>88.413034538205707</v>
      </c>
      <c r="N1168">
        <v>7612589</v>
      </c>
    </row>
    <row r="1169" spans="1:14" x14ac:dyDescent="0.35">
      <c r="A1169" t="s">
        <v>77</v>
      </c>
      <c r="B1169">
        <v>202503</v>
      </c>
      <c r="C1169" t="str">
        <f>MID(analisis_productividad__4[[#This Row],[Periodo]],1,4)</f>
        <v>2025</v>
      </c>
      <c r="D1169" t="str">
        <f>MID(analisis_productividad__4[[#This Row],[Periodo]],5,2)</f>
        <v>03</v>
      </c>
      <c r="E1169" t="s">
        <v>16</v>
      </c>
      <c r="F1169" t="s">
        <v>21</v>
      </c>
      <c r="G1169">
        <v>88729</v>
      </c>
      <c r="H1169">
        <v>5049665</v>
      </c>
      <c r="I1169">
        <v>56.911129032258039</v>
      </c>
      <c r="J1169">
        <v>90374.979717185692</v>
      </c>
      <c r="K1169">
        <v>60.5</v>
      </c>
      <c r="L1169">
        <v>60.5</v>
      </c>
      <c r="M1169">
        <v>55.874585928562638</v>
      </c>
      <c r="N1169">
        <v>6601552</v>
      </c>
    </row>
    <row r="1170" spans="1:14" x14ac:dyDescent="0.35">
      <c r="A1170" t="s">
        <v>20</v>
      </c>
      <c r="B1170">
        <v>202409</v>
      </c>
      <c r="C1170" t="str">
        <f>MID(analisis_productividad__4[[#This Row],[Periodo]],1,4)</f>
        <v>2024</v>
      </c>
      <c r="D1170" t="str">
        <f>MID(analisis_productividad__4[[#This Row],[Periodo]],5,2)</f>
        <v>09</v>
      </c>
      <c r="E1170" t="s">
        <v>16</v>
      </c>
      <c r="F1170" t="s">
        <v>21</v>
      </c>
      <c r="G1170">
        <v>88626</v>
      </c>
      <c r="H1170">
        <v>7493896</v>
      </c>
      <c r="I1170">
        <v>84.5567430555556</v>
      </c>
      <c r="J1170">
        <v>0</v>
      </c>
      <c r="K1170">
        <v>96.5</v>
      </c>
      <c r="L1170">
        <v>94</v>
      </c>
      <c r="N1170">
        <v>0</v>
      </c>
    </row>
    <row r="1171" spans="1:14" x14ac:dyDescent="0.35">
      <c r="A1171" t="s">
        <v>70</v>
      </c>
      <c r="B1171">
        <v>202407</v>
      </c>
      <c r="C1171" t="str">
        <f>MID(analisis_productividad__4[[#This Row],[Periodo]],1,4)</f>
        <v>2024</v>
      </c>
      <c r="D1171" t="str">
        <f>MID(analisis_productividad__4[[#This Row],[Periodo]],5,2)</f>
        <v>07</v>
      </c>
      <c r="E1171" t="s">
        <v>11</v>
      </c>
      <c r="F1171" t="s">
        <v>14</v>
      </c>
      <c r="G1171">
        <v>88587</v>
      </c>
      <c r="H1171">
        <v>5125917</v>
      </c>
      <c r="I1171">
        <v>57.863279569892484</v>
      </c>
      <c r="J1171">
        <v>0</v>
      </c>
      <c r="K1171">
        <v>65</v>
      </c>
      <c r="L1171">
        <v>67.5</v>
      </c>
      <c r="N1171">
        <v>0</v>
      </c>
    </row>
    <row r="1172" spans="1:14" x14ac:dyDescent="0.35">
      <c r="A1172" t="s">
        <v>49</v>
      </c>
      <c r="B1172">
        <v>202406</v>
      </c>
      <c r="C1172" t="str">
        <f>MID(analisis_productividad__4[[#This Row],[Periodo]],1,4)</f>
        <v>2024</v>
      </c>
      <c r="D1172" t="str">
        <f>MID(analisis_productividad__4[[#This Row],[Periodo]],5,2)</f>
        <v>06</v>
      </c>
      <c r="E1172" t="s">
        <v>16</v>
      </c>
      <c r="F1172" t="s">
        <v>21</v>
      </c>
      <c r="G1172">
        <v>88574</v>
      </c>
      <c r="H1172">
        <v>5597276</v>
      </c>
      <c r="I1172">
        <v>63.192888888888881</v>
      </c>
      <c r="J1172">
        <v>0</v>
      </c>
      <c r="K1172">
        <v>75.5</v>
      </c>
      <c r="L1172">
        <v>68</v>
      </c>
      <c r="N1172">
        <v>0</v>
      </c>
    </row>
    <row r="1173" spans="1:14" x14ac:dyDescent="0.35">
      <c r="A1173" t="s">
        <v>62</v>
      </c>
      <c r="B1173">
        <v>202602</v>
      </c>
      <c r="C1173" t="str">
        <f>MID(analisis_productividad__4[[#This Row],[Periodo]],1,4)</f>
        <v>2026</v>
      </c>
      <c r="D1173" t="str">
        <f>MID(analisis_productividad__4[[#This Row],[Periodo]],5,2)</f>
        <v>02</v>
      </c>
      <c r="E1173" t="s">
        <v>16</v>
      </c>
      <c r="F1173" t="s">
        <v>17</v>
      </c>
      <c r="G1173">
        <v>88574</v>
      </c>
      <c r="H1173">
        <v>2702396</v>
      </c>
      <c r="I1173">
        <v>30.510156250000001</v>
      </c>
      <c r="J1173">
        <v>86422.56168002302</v>
      </c>
      <c r="K1173">
        <v>32.5</v>
      </c>
      <c r="L1173">
        <v>32</v>
      </c>
      <c r="M1173">
        <v>29.073700348097926</v>
      </c>
      <c r="N1173">
        <v>2512624</v>
      </c>
    </row>
    <row r="1174" spans="1:14" x14ac:dyDescent="0.35">
      <c r="A1174" t="s">
        <v>33</v>
      </c>
      <c r="B1174">
        <v>202406</v>
      </c>
      <c r="C1174" t="str">
        <f>MID(analisis_productividad__4[[#This Row],[Periodo]],1,4)</f>
        <v>2024</v>
      </c>
      <c r="D1174" t="str">
        <f>MID(analisis_productividad__4[[#This Row],[Periodo]],5,2)</f>
        <v>06</v>
      </c>
      <c r="E1174" t="s">
        <v>34</v>
      </c>
      <c r="F1174" t="s">
        <v>35</v>
      </c>
      <c r="G1174">
        <v>88572</v>
      </c>
      <c r="H1174">
        <v>1046023</v>
      </c>
      <c r="I1174">
        <v>11.809826388888892</v>
      </c>
      <c r="J1174">
        <v>0</v>
      </c>
      <c r="K1174">
        <v>15</v>
      </c>
      <c r="L1174">
        <v>15</v>
      </c>
      <c r="N1174">
        <v>0</v>
      </c>
    </row>
    <row r="1175" spans="1:14" x14ac:dyDescent="0.35">
      <c r="A1175" t="s">
        <v>32</v>
      </c>
      <c r="B1175">
        <v>202509</v>
      </c>
      <c r="C1175" t="str">
        <f>MID(analisis_productividad__4[[#This Row],[Periodo]],1,4)</f>
        <v>2025</v>
      </c>
      <c r="D1175" t="str">
        <f>MID(analisis_productividad__4[[#This Row],[Periodo]],5,2)</f>
        <v>09</v>
      </c>
      <c r="E1175" t="s">
        <v>11</v>
      </c>
      <c r="F1175" t="s">
        <v>12</v>
      </c>
      <c r="G1175">
        <v>88571</v>
      </c>
      <c r="H1175">
        <v>4598957</v>
      </c>
      <c r="I1175">
        <v>51.924006944444436</v>
      </c>
      <c r="J1175">
        <v>89530.964891471987</v>
      </c>
      <c r="K1175">
        <v>65.5</v>
      </c>
      <c r="L1175">
        <v>66</v>
      </c>
      <c r="M1175">
        <v>51.367225021809858</v>
      </c>
      <c r="N1175">
        <v>6158772</v>
      </c>
    </row>
    <row r="1176" spans="1:14" x14ac:dyDescent="0.35">
      <c r="A1176" t="s">
        <v>88</v>
      </c>
      <c r="B1176">
        <v>202403</v>
      </c>
      <c r="C1176" t="str">
        <f>MID(analisis_productividad__4[[#This Row],[Periodo]],1,4)</f>
        <v>2024</v>
      </c>
      <c r="D1176" t="str">
        <f>MID(analisis_productividad__4[[#This Row],[Periodo]],5,2)</f>
        <v>03</v>
      </c>
      <c r="E1176" t="s">
        <v>34</v>
      </c>
      <c r="F1176" t="s">
        <v>35</v>
      </c>
      <c r="G1176">
        <v>88553</v>
      </c>
      <c r="H1176">
        <v>1232762</v>
      </c>
      <c r="I1176">
        <v>13.921155913978497</v>
      </c>
      <c r="J1176">
        <v>0</v>
      </c>
      <c r="K1176">
        <v>15.5</v>
      </c>
      <c r="L1176">
        <v>14.5</v>
      </c>
      <c r="N1176">
        <v>0</v>
      </c>
    </row>
    <row r="1177" spans="1:14" x14ac:dyDescent="0.35">
      <c r="A1177" t="s">
        <v>84</v>
      </c>
      <c r="B1177">
        <v>202410</v>
      </c>
      <c r="C1177" t="str">
        <f>MID(analisis_productividad__4[[#This Row],[Periodo]],1,4)</f>
        <v>2024</v>
      </c>
      <c r="D1177" t="str">
        <f>MID(analisis_productividad__4[[#This Row],[Periodo]],5,2)</f>
        <v>10</v>
      </c>
      <c r="E1177" t="s">
        <v>11</v>
      </c>
      <c r="F1177" t="s">
        <v>52</v>
      </c>
      <c r="G1177">
        <v>88550</v>
      </c>
      <c r="H1177">
        <v>8504191</v>
      </c>
      <c r="I1177">
        <v>96.038212365591306</v>
      </c>
      <c r="J1177">
        <v>0</v>
      </c>
      <c r="K1177">
        <v>123</v>
      </c>
      <c r="L1177">
        <v>115.5</v>
      </c>
      <c r="N1177">
        <v>0</v>
      </c>
    </row>
    <row r="1178" spans="1:14" x14ac:dyDescent="0.35">
      <c r="A1178" t="s">
        <v>55</v>
      </c>
      <c r="B1178">
        <v>202402</v>
      </c>
      <c r="C1178" t="str">
        <f>MID(analisis_productividad__4[[#This Row],[Periodo]],1,4)</f>
        <v>2024</v>
      </c>
      <c r="D1178" t="str">
        <f>MID(analisis_productividad__4[[#This Row],[Periodo]],5,2)</f>
        <v>02</v>
      </c>
      <c r="E1178" t="s">
        <v>16</v>
      </c>
      <c r="F1178" t="s">
        <v>21</v>
      </c>
      <c r="G1178">
        <v>88546</v>
      </c>
      <c r="H1178">
        <v>4565394</v>
      </c>
      <c r="I1178">
        <v>51.559676724137951</v>
      </c>
      <c r="J1178">
        <v>0</v>
      </c>
      <c r="K1178">
        <v>55</v>
      </c>
      <c r="L1178">
        <v>50.5</v>
      </c>
      <c r="N1178">
        <v>0</v>
      </c>
    </row>
    <row r="1179" spans="1:14" x14ac:dyDescent="0.35">
      <c r="A1179" t="s">
        <v>58</v>
      </c>
      <c r="B1179">
        <v>202412</v>
      </c>
      <c r="C1179" t="str">
        <f>MID(analisis_productividad__4[[#This Row],[Periodo]],1,4)</f>
        <v>2024</v>
      </c>
      <c r="D1179" t="str">
        <f>MID(analisis_productividad__4[[#This Row],[Periodo]],5,2)</f>
        <v>12</v>
      </c>
      <c r="E1179" t="s">
        <v>34</v>
      </c>
      <c r="F1179" t="s">
        <v>35</v>
      </c>
      <c r="G1179">
        <v>88531</v>
      </c>
      <c r="H1179">
        <v>4610193</v>
      </c>
      <c r="I1179">
        <v>52.074401881720448</v>
      </c>
      <c r="J1179">
        <v>0</v>
      </c>
      <c r="K1179">
        <v>53.5</v>
      </c>
      <c r="L1179">
        <v>52</v>
      </c>
      <c r="N1179">
        <v>0</v>
      </c>
    </row>
    <row r="1180" spans="1:14" x14ac:dyDescent="0.35">
      <c r="A1180" t="s">
        <v>62</v>
      </c>
      <c r="B1180">
        <v>202507</v>
      </c>
      <c r="C1180" t="str">
        <f>MID(analisis_productividad__4[[#This Row],[Periodo]],1,4)</f>
        <v>2025</v>
      </c>
      <c r="D1180" t="str">
        <f>MID(analisis_productividad__4[[#This Row],[Periodo]],5,2)</f>
        <v>07</v>
      </c>
      <c r="E1180" t="s">
        <v>16</v>
      </c>
      <c r="F1180" t="s">
        <v>17</v>
      </c>
      <c r="G1180">
        <v>88515</v>
      </c>
      <c r="H1180">
        <v>2546618</v>
      </c>
      <c r="I1180">
        <v>28.770564516129031</v>
      </c>
      <c r="J1180">
        <v>90962.66702287423</v>
      </c>
      <c r="K1180">
        <v>32.5</v>
      </c>
      <c r="L1180">
        <v>32</v>
      </c>
      <c r="M1180">
        <v>27.996299507792649</v>
      </c>
      <c r="N1180">
        <v>2566237</v>
      </c>
    </row>
    <row r="1181" spans="1:14" x14ac:dyDescent="0.35">
      <c r="A1181" t="s">
        <v>64</v>
      </c>
      <c r="B1181">
        <v>202601</v>
      </c>
      <c r="C1181" t="str">
        <f>MID(analisis_productividad__4[[#This Row],[Periodo]],1,4)</f>
        <v>2026</v>
      </c>
      <c r="D1181" t="str">
        <f>MID(analisis_productividad__4[[#This Row],[Periodo]],5,2)</f>
        <v>01</v>
      </c>
      <c r="E1181" t="s">
        <v>16</v>
      </c>
      <c r="F1181" t="s">
        <v>21</v>
      </c>
      <c r="G1181">
        <v>88511</v>
      </c>
      <c r="H1181">
        <v>9423205</v>
      </c>
      <c r="I1181">
        <v>106.46374327956993</v>
      </c>
      <c r="J1181">
        <v>79751.74011851821</v>
      </c>
      <c r="K1181">
        <v>88.5</v>
      </c>
      <c r="L1181">
        <v>92.5</v>
      </c>
      <c r="M1181">
        <v>102.97612103755296</v>
      </c>
      <c r="N1181">
        <v>8212525</v>
      </c>
    </row>
    <row r="1182" spans="1:14" x14ac:dyDescent="0.35">
      <c r="A1182" t="s">
        <v>42</v>
      </c>
      <c r="B1182">
        <v>202502</v>
      </c>
      <c r="C1182" t="str">
        <f>MID(analisis_productividad__4[[#This Row],[Periodo]],1,4)</f>
        <v>2025</v>
      </c>
      <c r="D1182" t="str">
        <f>MID(analisis_productividad__4[[#This Row],[Periodo]],5,2)</f>
        <v>02</v>
      </c>
      <c r="E1182" t="s">
        <v>16</v>
      </c>
      <c r="F1182" t="s">
        <v>19</v>
      </c>
      <c r="G1182">
        <v>88485</v>
      </c>
      <c r="H1182">
        <v>5446165</v>
      </c>
      <c r="I1182">
        <v>61.548854166666672</v>
      </c>
      <c r="J1182">
        <v>84185.970575629544</v>
      </c>
      <c r="K1182">
        <v>62</v>
      </c>
      <c r="L1182">
        <v>58</v>
      </c>
      <c r="M1182">
        <v>64.692073902116149</v>
      </c>
      <c r="N1182">
        <v>5044223</v>
      </c>
    </row>
    <row r="1183" spans="1:14" x14ac:dyDescent="0.35">
      <c r="A1183" t="s">
        <v>45</v>
      </c>
      <c r="B1183">
        <v>202403</v>
      </c>
      <c r="C1183" t="str">
        <f>MID(analisis_productividad__4[[#This Row],[Periodo]],1,4)</f>
        <v>2024</v>
      </c>
      <c r="D1183" t="str">
        <f>MID(analisis_productividad__4[[#This Row],[Periodo]],5,2)</f>
        <v>03</v>
      </c>
      <c r="E1183" t="s">
        <v>34</v>
      </c>
      <c r="F1183" t="s">
        <v>35</v>
      </c>
      <c r="G1183">
        <v>88466</v>
      </c>
      <c r="H1183">
        <v>2273853</v>
      </c>
      <c r="I1183">
        <v>25.703266129032265</v>
      </c>
      <c r="J1183">
        <v>0</v>
      </c>
      <c r="K1183">
        <v>22.5</v>
      </c>
      <c r="L1183">
        <v>21</v>
      </c>
      <c r="N1183">
        <v>0</v>
      </c>
    </row>
    <row r="1184" spans="1:14" x14ac:dyDescent="0.35">
      <c r="A1184" t="s">
        <v>72</v>
      </c>
      <c r="B1184">
        <v>202501</v>
      </c>
      <c r="C1184" t="str">
        <f>MID(analisis_productividad__4[[#This Row],[Periodo]],1,4)</f>
        <v>2025</v>
      </c>
      <c r="D1184" t="str">
        <f>MID(analisis_productividad__4[[#This Row],[Periodo]],5,2)</f>
        <v>01</v>
      </c>
      <c r="E1184" t="s">
        <v>11</v>
      </c>
      <c r="F1184" t="s">
        <v>14</v>
      </c>
      <c r="G1184">
        <v>88437</v>
      </c>
      <c r="H1184">
        <v>4731755</v>
      </c>
      <c r="I1184">
        <v>53.504321236559143</v>
      </c>
      <c r="J1184">
        <v>83390.117247417249</v>
      </c>
      <c r="K1184">
        <v>66</v>
      </c>
      <c r="L1184">
        <v>64.5</v>
      </c>
      <c r="M1184">
        <v>56.742390299811575</v>
      </c>
      <c r="N1184">
        <v>5157284</v>
      </c>
    </row>
    <row r="1185" spans="1:14" x14ac:dyDescent="0.35">
      <c r="A1185" t="s">
        <v>22</v>
      </c>
      <c r="B1185">
        <v>202407</v>
      </c>
      <c r="C1185" t="str">
        <f>MID(analisis_productividad__4[[#This Row],[Periodo]],1,4)</f>
        <v>2024</v>
      </c>
      <c r="D1185" t="str">
        <f>MID(analisis_productividad__4[[#This Row],[Periodo]],5,2)</f>
        <v>07</v>
      </c>
      <c r="E1185" t="s">
        <v>16</v>
      </c>
      <c r="F1185" t="s">
        <v>21</v>
      </c>
      <c r="G1185">
        <v>88433</v>
      </c>
      <c r="H1185">
        <v>5319483</v>
      </c>
      <c r="I1185">
        <v>60.152627688172053</v>
      </c>
      <c r="J1185">
        <v>0</v>
      </c>
      <c r="K1185">
        <v>59.5</v>
      </c>
      <c r="L1185">
        <v>55.5</v>
      </c>
      <c r="N1185">
        <v>0</v>
      </c>
    </row>
    <row r="1186" spans="1:14" x14ac:dyDescent="0.35">
      <c r="A1186" t="s">
        <v>45</v>
      </c>
      <c r="B1186">
        <v>202401</v>
      </c>
      <c r="C1186" t="str">
        <f>MID(analisis_productividad__4[[#This Row],[Periodo]],1,4)</f>
        <v>2024</v>
      </c>
      <c r="D1186" t="str">
        <f>MID(analisis_productividad__4[[#This Row],[Periodo]],5,2)</f>
        <v>01</v>
      </c>
      <c r="E1186" t="s">
        <v>34</v>
      </c>
      <c r="F1186" t="s">
        <v>35</v>
      </c>
      <c r="G1186">
        <v>88423</v>
      </c>
      <c r="H1186">
        <v>2528718</v>
      </c>
      <c r="I1186">
        <v>28.598010752688165</v>
      </c>
      <c r="J1186">
        <v>0</v>
      </c>
      <c r="K1186">
        <v>22.5</v>
      </c>
      <c r="L1186">
        <v>21</v>
      </c>
      <c r="N1186">
        <v>0</v>
      </c>
    </row>
    <row r="1187" spans="1:14" x14ac:dyDescent="0.35">
      <c r="A1187" t="s">
        <v>75</v>
      </c>
      <c r="B1187">
        <v>202504</v>
      </c>
      <c r="C1187" t="str">
        <f>MID(analisis_productividad__4[[#This Row],[Periodo]],1,4)</f>
        <v>2025</v>
      </c>
      <c r="D1187" t="str">
        <f>MID(analisis_productividad__4[[#This Row],[Periodo]],5,2)</f>
        <v>04</v>
      </c>
      <c r="E1187" t="s">
        <v>11</v>
      </c>
      <c r="F1187" t="s">
        <v>52</v>
      </c>
      <c r="G1187">
        <v>88422</v>
      </c>
      <c r="H1187">
        <v>9286509</v>
      </c>
      <c r="I1187">
        <v>105.02484027777781</v>
      </c>
      <c r="J1187">
        <v>87517.515994939429</v>
      </c>
      <c r="K1187">
        <v>118</v>
      </c>
      <c r="L1187">
        <v>106</v>
      </c>
      <c r="M1187">
        <v>106.11029351583717</v>
      </c>
      <c r="N1187">
        <v>10218984</v>
      </c>
    </row>
    <row r="1188" spans="1:14" x14ac:dyDescent="0.35">
      <c r="A1188" t="s">
        <v>69</v>
      </c>
      <c r="B1188">
        <v>202506</v>
      </c>
      <c r="C1188" t="str">
        <f>MID(analisis_productividad__4[[#This Row],[Periodo]],1,4)</f>
        <v>2025</v>
      </c>
      <c r="D1188" t="str">
        <f>MID(analisis_productividad__4[[#This Row],[Periodo]],5,2)</f>
        <v>06</v>
      </c>
      <c r="E1188" t="s">
        <v>11</v>
      </c>
      <c r="F1188" t="s">
        <v>52</v>
      </c>
      <c r="G1188">
        <v>88420</v>
      </c>
      <c r="H1188">
        <v>5220375</v>
      </c>
      <c r="I1188">
        <v>59.040527777777797</v>
      </c>
      <c r="J1188">
        <v>86922.30356426131</v>
      </c>
      <c r="K1188">
        <v>68</v>
      </c>
      <c r="L1188">
        <v>60.5</v>
      </c>
      <c r="M1188">
        <v>60.057945842871014</v>
      </c>
      <c r="N1188">
        <v>5065111</v>
      </c>
    </row>
    <row r="1189" spans="1:14" x14ac:dyDescent="0.35">
      <c r="A1189" t="s">
        <v>47</v>
      </c>
      <c r="B1189">
        <v>202602</v>
      </c>
      <c r="C1189" t="str">
        <f>MID(analisis_productividad__4[[#This Row],[Periodo]],1,4)</f>
        <v>2026</v>
      </c>
      <c r="D1189" t="str">
        <f>MID(analisis_productividad__4[[#This Row],[Periodo]],5,2)</f>
        <v>02</v>
      </c>
      <c r="E1189" t="s">
        <v>11</v>
      </c>
      <c r="F1189" t="s">
        <v>14</v>
      </c>
      <c r="G1189">
        <v>88391</v>
      </c>
      <c r="H1189">
        <v>4417794</v>
      </c>
      <c r="I1189">
        <v>49.980208333333337</v>
      </c>
      <c r="J1189">
        <v>83597.679010900451</v>
      </c>
      <c r="K1189">
        <v>61.5</v>
      </c>
      <c r="L1189">
        <v>48.5</v>
      </c>
      <c r="M1189">
        <v>53.715920394326645</v>
      </c>
      <c r="N1189">
        <v>4490526</v>
      </c>
    </row>
    <row r="1190" spans="1:14" x14ac:dyDescent="0.35">
      <c r="A1190" t="s">
        <v>46</v>
      </c>
      <c r="B1190">
        <v>202409</v>
      </c>
      <c r="C1190" t="str">
        <f>MID(analisis_productividad__4[[#This Row],[Periodo]],1,4)</f>
        <v>2024</v>
      </c>
      <c r="D1190" t="str">
        <f>MID(analisis_productividad__4[[#This Row],[Periodo]],5,2)</f>
        <v>09</v>
      </c>
      <c r="E1190" t="s">
        <v>11</v>
      </c>
      <c r="F1190" t="s">
        <v>14</v>
      </c>
      <c r="G1190">
        <v>88390</v>
      </c>
      <c r="H1190">
        <v>5803138</v>
      </c>
      <c r="I1190">
        <v>65.654118055555557</v>
      </c>
      <c r="J1190">
        <v>0</v>
      </c>
      <c r="K1190">
        <v>77</v>
      </c>
      <c r="L1190">
        <v>79</v>
      </c>
      <c r="N1190">
        <v>0</v>
      </c>
    </row>
    <row r="1191" spans="1:14" x14ac:dyDescent="0.35">
      <c r="A1191" t="s">
        <v>44</v>
      </c>
      <c r="B1191">
        <v>202402</v>
      </c>
      <c r="C1191" t="str">
        <f>MID(analisis_productividad__4[[#This Row],[Periodo]],1,4)</f>
        <v>2024</v>
      </c>
      <c r="D1191" t="str">
        <f>MID(analisis_productividad__4[[#This Row],[Periodo]],5,2)</f>
        <v>02</v>
      </c>
      <c r="E1191" t="s">
        <v>11</v>
      </c>
      <c r="F1191" t="s">
        <v>12</v>
      </c>
      <c r="G1191">
        <v>88359</v>
      </c>
      <c r="H1191">
        <v>6436373</v>
      </c>
      <c r="I1191">
        <v>72.843850574712633</v>
      </c>
      <c r="J1191">
        <v>0</v>
      </c>
      <c r="K1191">
        <v>78</v>
      </c>
      <c r="L1191">
        <v>74.5</v>
      </c>
      <c r="N1191">
        <v>0</v>
      </c>
    </row>
    <row r="1192" spans="1:14" x14ac:dyDescent="0.35">
      <c r="A1192" t="s">
        <v>80</v>
      </c>
      <c r="B1192">
        <v>202511</v>
      </c>
      <c r="C1192" t="str">
        <f>MID(analisis_productividad__4[[#This Row],[Periodo]],1,4)</f>
        <v>2025</v>
      </c>
      <c r="D1192" t="str">
        <f>MID(analisis_productividad__4[[#This Row],[Periodo]],5,2)</f>
        <v>11</v>
      </c>
      <c r="E1192" t="s">
        <v>16</v>
      </c>
      <c r="F1192" t="s">
        <v>17</v>
      </c>
      <c r="G1192">
        <v>88357</v>
      </c>
      <c r="H1192">
        <v>4399312</v>
      </c>
      <c r="I1192">
        <v>49.790270833333345</v>
      </c>
      <c r="J1192">
        <v>92566.897328037376</v>
      </c>
      <c r="K1192">
        <v>58</v>
      </c>
      <c r="L1192">
        <v>58.5</v>
      </c>
      <c r="M1192">
        <v>47.525758418906221</v>
      </c>
      <c r="N1192">
        <v>4785224</v>
      </c>
    </row>
    <row r="1193" spans="1:14" x14ac:dyDescent="0.35">
      <c r="A1193" t="s">
        <v>22</v>
      </c>
      <c r="B1193">
        <v>202406</v>
      </c>
      <c r="C1193" t="str">
        <f>MID(analisis_productividad__4[[#This Row],[Periodo]],1,4)</f>
        <v>2024</v>
      </c>
      <c r="D1193" t="str">
        <f>MID(analisis_productividad__4[[#This Row],[Periodo]],5,2)</f>
        <v>06</v>
      </c>
      <c r="E1193" t="s">
        <v>16</v>
      </c>
      <c r="F1193" t="s">
        <v>21</v>
      </c>
      <c r="G1193">
        <v>88338</v>
      </c>
      <c r="H1193">
        <v>4895054</v>
      </c>
      <c r="I1193">
        <v>55.412534722222212</v>
      </c>
      <c r="J1193">
        <v>0</v>
      </c>
      <c r="K1193">
        <v>59.5</v>
      </c>
      <c r="L1193">
        <v>55.5</v>
      </c>
      <c r="N1193">
        <v>0</v>
      </c>
    </row>
    <row r="1194" spans="1:14" x14ac:dyDescent="0.35">
      <c r="A1194" t="s">
        <v>41</v>
      </c>
      <c r="B1194">
        <v>202504</v>
      </c>
      <c r="C1194" t="str">
        <f>MID(analisis_productividad__4[[#This Row],[Periodo]],1,4)</f>
        <v>2025</v>
      </c>
      <c r="D1194" t="str">
        <f>MID(analisis_productividad__4[[#This Row],[Periodo]],5,2)</f>
        <v>04</v>
      </c>
      <c r="E1194" t="s">
        <v>16</v>
      </c>
      <c r="F1194" t="s">
        <v>19</v>
      </c>
      <c r="G1194">
        <v>88317</v>
      </c>
      <c r="H1194">
        <v>4768102</v>
      </c>
      <c r="I1194">
        <v>53.988375000000012</v>
      </c>
      <c r="J1194">
        <v>83891.582842215663</v>
      </c>
      <c r="K1194">
        <v>57.5</v>
      </c>
      <c r="L1194">
        <v>56.5</v>
      </c>
      <c r="M1194">
        <v>56.836475823419669</v>
      </c>
      <c r="N1194">
        <v>4585167</v>
      </c>
    </row>
    <row r="1195" spans="1:14" x14ac:dyDescent="0.35">
      <c r="A1195" t="s">
        <v>89</v>
      </c>
      <c r="B1195">
        <v>202605</v>
      </c>
      <c r="C1195" t="str">
        <f>MID(analisis_productividad__4[[#This Row],[Periodo]],1,4)</f>
        <v>2026</v>
      </c>
      <c r="D1195" t="str">
        <f>MID(analisis_productividad__4[[#This Row],[Periodo]],5,2)</f>
        <v>05</v>
      </c>
      <c r="E1195" t="s">
        <v>9</v>
      </c>
      <c r="F1195" t="s">
        <v>9</v>
      </c>
      <c r="G1195">
        <v>88301</v>
      </c>
      <c r="H1195">
        <v>1111855</v>
      </c>
      <c r="I1195">
        <v>12.591673387096812</v>
      </c>
      <c r="J1195">
        <v>66639.257849416317</v>
      </c>
      <c r="K1195">
        <v>17</v>
      </c>
      <c r="L1195">
        <v>13.5</v>
      </c>
      <c r="M1195">
        <v>14.845130740132706</v>
      </c>
      <c r="N1195">
        <v>989268</v>
      </c>
    </row>
    <row r="1196" spans="1:14" x14ac:dyDescent="0.35">
      <c r="A1196" t="s">
        <v>49</v>
      </c>
      <c r="B1196">
        <v>202401</v>
      </c>
      <c r="C1196" t="str">
        <f>MID(analisis_productividad__4[[#This Row],[Periodo]],1,4)</f>
        <v>2024</v>
      </c>
      <c r="D1196" t="str">
        <f>MID(analisis_productividad__4[[#This Row],[Periodo]],5,2)</f>
        <v>01</v>
      </c>
      <c r="E1196" t="s">
        <v>16</v>
      </c>
      <c r="F1196" t="s">
        <v>21</v>
      </c>
      <c r="G1196">
        <v>88298</v>
      </c>
      <c r="H1196">
        <v>5792103</v>
      </c>
      <c r="I1196">
        <v>65.597197580645172</v>
      </c>
      <c r="J1196">
        <v>0</v>
      </c>
      <c r="K1196">
        <v>75.5</v>
      </c>
      <c r="L1196">
        <v>68</v>
      </c>
      <c r="N1196">
        <v>0</v>
      </c>
    </row>
    <row r="1197" spans="1:14" x14ac:dyDescent="0.35">
      <c r="A1197" t="s">
        <v>26</v>
      </c>
      <c r="B1197">
        <v>202407</v>
      </c>
      <c r="C1197" t="str">
        <f>MID(analisis_productividad__4[[#This Row],[Periodo]],1,4)</f>
        <v>2024</v>
      </c>
      <c r="D1197" t="str">
        <f>MID(analisis_productividad__4[[#This Row],[Periodo]],5,2)</f>
        <v>07</v>
      </c>
      <c r="E1197" t="s">
        <v>11</v>
      </c>
      <c r="F1197" t="s">
        <v>12</v>
      </c>
      <c r="G1197">
        <v>88273</v>
      </c>
      <c r="H1197">
        <v>5677827</v>
      </c>
      <c r="I1197">
        <v>64.321579301075289</v>
      </c>
      <c r="J1197">
        <v>0</v>
      </c>
      <c r="K1197">
        <v>65.5</v>
      </c>
      <c r="L1197">
        <v>63</v>
      </c>
      <c r="N1197">
        <v>0</v>
      </c>
    </row>
    <row r="1198" spans="1:14" x14ac:dyDescent="0.35">
      <c r="A1198" t="s">
        <v>44</v>
      </c>
      <c r="B1198">
        <v>202510</v>
      </c>
      <c r="C1198" t="str">
        <f>MID(analisis_productividad__4[[#This Row],[Periodo]],1,4)</f>
        <v>2025</v>
      </c>
      <c r="D1198" t="str">
        <f>MID(analisis_productividad__4[[#This Row],[Periodo]],5,2)</f>
        <v>10</v>
      </c>
      <c r="E1198" t="s">
        <v>11</v>
      </c>
      <c r="F1198" t="s">
        <v>12</v>
      </c>
      <c r="G1198">
        <v>88256</v>
      </c>
      <c r="H1198">
        <v>5194602</v>
      </c>
      <c r="I1198">
        <v>58.858051075268826</v>
      </c>
      <c r="J1198">
        <v>84630.019038687256</v>
      </c>
      <c r="K1198">
        <v>78</v>
      </c>
      <c r="L1198">
        <v>74.5</v>
      </c>
      <c r="M1198">
        <v>61.380131293901407</v>
      </c>
      <c r="N1198">
        <v>5528093</v>
      </c>
    </row>
    <row r="1199" spans="1:14" x14ac:dyDescent="0.35">
      <c r="A1199" t="s">
        <v>76</v>
      </c>
      <c r="B1199">
        <v>202510</v>
      </c>
      <c r="C1199" t="str">
        <f>MID(analisis_productividad__4[[#This Row],[Periodo]],1,4)</f>
        <v>2025</v>
      </c>
      <c r="D1199" t="str">
        <f>MID(analisis_productividad__4[[#This Row],[Periodo]],5,2)</f>
        <v>10</v>
      </c>
      <c r="E1199" t="s">
        <v>11</v>
      </c>
      <c r="F1199" t="s">
        <v>14</v>
      </c>
      <c r="G1199">
        <v>88255</v>
      </c>
      <c r="H1199">
        <v>5785891</v>
      </c>
      <c r="I1199">
        <v>65.558434139784978</v>
      </c>
      <c r="J1199">
        <v>90069.109576340503</v>
      </c>
      <c r="K1199">
        <v>80</v>
      </c>
      <c r="L1199">
        <v>78</v>
      </c>
      <c r="M1199">
        <v>64.238348055345355</v>
      </c>
      <c r="N1199">
        <v>6657644</v>
      </c>
    </row>
    <row r="1200" spans="1:14" x14ac:dyDescent="0.35">
      <c r="A1200" t="s">
        <v>62</v>
      </c>
      <c r="B1200">
        <v>202508</v>
      </c>
      <c r="C1200" t="str">
        <f>MID(analisis_productividad__4[[#This Row],[Periodo]],1,4)</f>
        <v>2025</v>
      </c>
      <c r="D1200" t="str">
        <f>MID(analisis_productividad__4[[#This Row],[Periodo]],5,2)</f>
        <v>08</v>
      </c>
      <c r="E1200" t="s">
        <v>16</v>
      </c>
      <c r="F1200" t="s">
        <v>17</v>
      </c>
      <c r="G1200">
        <v>88242</v>
      </c>
      <c r="H1200">
        <v>2424261</v>
      </c>
      <c r="I1200">
        <v>27.472930107526881</v>
      </c>
      <c r="J1200">
        <v>80719.608774580192</v>
      </c>
      <c r="K1200">
        <v>32.5</v>
      </c>
      <c r="L1200">
        <v>32</v>
      </c>
      <c r="M1200">
        <v>30.033109015308259</v>
      </c>
      <c r="N1200">
        <v>2294199</v>
      </c>
    </row>
    <row r="1201" spans="1:14" x14ac:dyDescent="0.35">
      <c r="A1201" t="s">
        <v>89</v>
      </c>
      <c r="B1201">
        <v>202606</v>
      </c>
      <c r="C1201" t="str">
        <f>MID(analisis_productividad__4[[#This Row],[Periodo]],1,4)</f>
        <v>2026</v>
      </c>
      <c r="D1201" t="str">
        <f>MID(analisis_productividad__4[[#This Row],[Periodo]],5,2)</f>
        <v>06</v>
      </c>
      <c r="E1201" t="s">
        <v>9</v>
      </c>
      <c r="F1201" t="s">
        <v>9</v>
      </c>
      <c r="G1201">
        <v>88238</v>
      </c>
      <c r="H1201">
        <v>991635</v>
      </c>
      <c r="I1201">
        <v>11.238159722222216</v>
      </c>
      <c r="J1201">
        <v>62331.274920905707</v>
      </c>
      <c r="K1201">
        <v>17</v>
      </c>
      <c r="L1201">
        <v>13.5</v>
      </c>
      <c r="M1201">
        <v>14.845130740132706</v>
      </c>
      <c r="N1201">
        <v>925316</v>
      </c>
    </row>
    <row r="1202" spans="1:14" x14ac:dyDescent="0.35">
      <c r="A1202" t="s">
        <v>90</v>
      </c>
      <c r="B1202">
        <v>202605</v>
      </c>
      <c r="C1202" t="str">
        <f>MID(analisis_productividad__4[[#This Row],[Periodo]],1,4)</f>
        <v>2026</v>
      </c>
      <c r="D1202" t="str">
        <f>MID(analisis_productividad__4[[#This Row],[Periodo]],5,2)</f>
        <v>05</v>
      </c>
      <c r="E1202" t="s">
        <v>11</v>
      </c>
      <c r="F1202" t="s">
        <v>14</v>
      </c>
      <c r="G1202">
        <v>88222</v>
      </c>
      <c r="H1202">
        <v>6165922</v>
      </c>
      <c r="I1202">
        <v>69.891283602150736</v>
      </c>
      <c r="J1202">
        <v>84078.134647349085</v>
      </c>
      <c r="K1202">
        <v>84.5</v>
      </c>
      <c r="L1202">
        <v>78.5</v>
      </c>
      <c r="M1202">
        <v>72.494656792343278</v>
      </c>
      <c r="N1202">
        <v>6095216</v>
      </c>
    </row>
    <row r="1203" spans="1:14" x14ac:dyDescent="0.35">
      <c r="A1203" t="s">
        <v>40</v>
      </c>
      <c r="B1203">
        <v>202606</v>
      </c>
      <c r="C1203" t="str">
        <f>MID(analisis_productividad__4[[#This Row],[Periodo]],1,4)</f>
        <v>2026</v>
      </c>
      <c r="D1203" t="str">
        <f>MID(analisis_productividad__4[[#This Row],[Periodo]],5,2)</f>
        <v>06</v>
      </c>
      <c r="E1203" t="s">
        <v>11</v>
      </c>
      <c r="F1203" t="s">
        <v>14</v>
      </c>
      <c r="G1203">
        <v>88182</v>
      </c>
      <c r="H1203">
        <v>5615133</v>
      </c>
      <c r="I1203">
        <v>63.676326388889862</v>
      </c>
      <c r="J1203">
        <v>88230.596093308108</v>
      </c>
      <c r="K1203">
        <v>76.5</v>
      </c>
      <c r="L1203">
        <v>75.5</v>
      </c>
      <c r="M1203">
        <v>67.697971575339096</v>
      </c>
      <c r="N1203">
        <v>5973032</v>
      </c>
    </row>
    <row r="1204" spans="1:14" x14ac:dyDescent="0.35">
      <c r="A1204" t="s">
        <v>75</v>
      </c>
      <c r="B1204">
        <v>202507</v>
      </c>
      <c r="C1204" t="str">
        <f>MID(analisis_productividad__4[[#This Row],[Periodo]],1,4)</f>
        <v>2025</v>
      </c>
      <c r="D1204" t="str">
        <f>MID(analisis_productividad__4[[#This Row],[Periodo]],5,2)</f>
        <v>07</v>
      </c>
      <c r="E1204" t="s">
        <v>11</v>
      </c>
      <c r="F1204" t="s">
        <v>52</v>
      </c>
      <c r="G1204">
        <v>88179</v>
      </c>
      <c r="H1204">
        <v>8891587</v>
      </c>
      <c r="I1204">
        <v>100.83575268817208</v>
      </c>
      <c r="J1204">
        <v>89111.957039488392</v>
      </c>
      <c r="K1204">
        <v>118</v>
      </c>
      <c r="L1204">
        <v>106</v>
      </c>
      <c r="M1204">
        <v>99.779959226569915</v>
      </c>
      <c r="N1204">
        <v>10124985</v>
      </c>
    </row>
    <row r="1205" spans="1:14" x14ac:dyDescent="0.35">
      <c r="A1205" t="s">
        <v>70</v>
      </c>
      <c r="B1205">
        <v>202601</v>
      </c>
      <c r="C1205" t="str">
        <f>MID(analisis_productividad__4[[#This Row],[Periodo]],1,4)</f>
        <v>2026</v>
      </c>
      <c r="D1205" t="str">
        <f>MID(analisis_productividad__4[[#This Row],[Periodo]],5,2)</f>
        <v>01</v>
      </c>
      <c r="E1205" t="s">
        <v>11</v>
      </c>
      <c r="F1205" t="s">
        <v>14</v>
      </c>
      <c r="G1205">
        <v>88172</v>
      </c>
      <c r="H1205">
        <v>5081790</v>
      </c>
      <c r="I1205">
        <v>57.635026881720457</v>
      </c>
      <c r="J1205">
        <v>89598.966710561843</v>
      </c>
      <c r="K1205">
        <v>65</v>
      </c>
      <c r="L1205">
        <v>67.5</v>
      </c>
      <c r="M1205">
        <v>56.772923994003762</v>
      </c>
      <c r="N1205">
        <v>5086795</v>
      </c>
    </row>
    <row r="1206" spans="1:14" x14ac:dyDescent="0.35">
      <c r="A1206" t="s">
        <v>80</v>
      </c>
      <c r="B1206">
        <v>202407</v>
      </c>
      <c r="C1206" t="str">
        <f>MID(analisis_productividad__4[[#This Row],[Periodo]],1,4)</f>
        <v>2024</v>
      </c>
      <c r="D1206" t="str">
        <f>MID(analisis_productividad__4[[#This Row],[Periodo]],5,2)</f>
        <v>07</v>
      </c>
      <c r="E1206" t="s">
        <v>16</v>
      </c>
      <c r="F1206" t="s">
        <v>17</v>
      </c>
      <c r="G1206">
        <v>88160</v>
      </c>
      <c r="H1206">
        <v>5128266</v>
      </c>
      <c r="I1206">
        <v>58.170188172042991</v>
      </c>
      <c r="J1206">
        <v>0</v>
      </c>
      <c r="K1206">
        <v>58</v>
      </c>
      <c r="L1206">
        <v>58.5</v>
      </c>
      <c r="N1206">
        <v>0</v>
      </c>
    </row>
    <row r="1207" spans="1:14" x14ac:dyDescent="0.35">
      <c r="A1207" t="s">
        <v>80</v>
      </c>
      <c r="B1207">
        <v>202411</v>
      </c>
      <c r="C1207" t="str">
        <f>MID(analisis_productividad__4[[#This Row],[Periodo]],1,4)</f>
        <v>2024</v>
      </c>
      <c r="D1207" t="str">
        <f>MID(analisis_productividad__4[[#This Row],[Periodo]],5,2)</f>
        <v>11</v>
      </c>
      <c r="E1207" t="s">
        <v>16</v>
      </c>
      <c r="F1207" t="s">
        <v>17</v>
      </c>
      <c r="G1207">
        <v>88159</v>
      </c>
      <c r="H1207">
        <v>4530477</v>
      </c>
      <c r="I1207">
        <v>51.389868055555574</v>
      </c>
      <c r="J1207">
        <v>0</v>
      </c>
      <c r="K1207">
        <v>58</v>
      </c>
      <c r="L1207">
        <v>58.5</v>
      </c>
      <c r="N1207">
        <v>0</v>
      </c>
    </row>
    <row r="1208" spans="1:14" x14ac:dyDescent="0.35">
      <c r="A1208" t="s">
        <v>55</v>
      </c>
      <c r="B1208">
        <v>202506</v>
      </c>
      <c r="C1208" t="str">
        <f>MID(analisis_productividad__4[[#This Row],[Periodo]],1,4)</f>
        <v>2025</v>
      </c>
      <c r="D1208" t="str">
        <f>MID(analisis_productividad__4[[#This Row],[Periodo]],5,2)</f>
        <v>06</v>
      </c>
      <c r="E1208" t="s">
        <v>16</v>
      </c>
      <c r="F1208" t="s">
        <v>21</v>
      </c>
      <c r="G1208">
        <v>88150</v>
      </c>
      <c r="H1208">
        <v>4328492</v>
      </c>
      <c r="I1208">
        <v>49.103541666666672</v>
      </c>
      <c r="J1208">
        <v>91881.75757339719</v>
      </c>
      <c r="K1208">
        <v>55</v>
      </c>
      <c r="L1208">
        <v>50.5</v>
      </c>
      <c r="M1208">
        <v>47.109377686232264</v>
      </c>
      <c r="N1208">
        <v>4633955</v>
      </c>
    </row>
    <row r="1209" spans="1:14" x14ac:dyDescent="0.35">
      <c r="A1209" t="s">
        <v>87</v>
      </c>
      <c r="B1209">
        <v>202412</v>
      </c>
      <c r="C1209" t="str">
        <f>MID(analisis_productividad__4[[#This Row],[Periodo]],1,4)</f>
        <v>2024</v>
      </c>
      <c r="D1209" t="str">
        <f>MID(analisis_productividad__4[[#This Row],[Periodo]],5,2)</f>
        <v>12</v>
      </c>
      <c r="E1209" t="s">
        <v>9</v>
      </c>
      <c r="F1209" t="s">
        <v>9</v>
      </c>
      <c r="G1209">
        <v>88133</v>
      </c>
      <c r="H1209">
        <v>1195664</v>
      </c>
      <c r="I1209">
        <v>13.56663978494624</v>
      </c>
      <c r="J1209">
        <v>0</v>
      </c>
      <c r="K1209">
        <v>13.5</v>
      </c>
      <c r="L1209">
        <v>12</v>
      </c>
      <c r="N1209">
        <v>0</v>
      </c>
    </row>
    <row r="1210" spans="1:14" x14ac:dyDescent="0.35">
      <c r="A1210" t="s">
        <v>8</v>
      </c>
      <c r="B1210">
        <v>202512</v>
      </c>
      <c r="C1210" t="str">
        <f>MID(analisis_productividad__4[[#This Row],[Periodo]],1,4)</f>
        <v>2025</v>
      </c>
      <c r="D1210" t="str">
        <f>MID(analisis_productividad__4[[#This Row],[Periodo]],5,2)</f>
        <v>12</v>
      </c>
      <c r="E1210" t="s">
        <v>9</v>
      </c>
      <c r="F1210" t="s">
        <v>9</v>
      </c>
      <c r="G1210">
        <v>88112</v>
      </c>
      <c r="H1210">
        <v>1404790</v>
      </c>
      <c r="I1210">
        <v>15.943299731182792</v>
      </c>
      <c r="J1210">
        <v>74280.824902418244</v>
      </c>
      <c r="K1210">
        <v>13.5</v>
      </c>
      <c r="L1210">
        <v>12.5</v>
      </c>
      <c r="M1210">
        <v>18.911875465107642</v>
      </c>
      <c r="N1210">
        <v>1257101</v>
      </c>
    </row>
    <row r="1211" spans="1:14" x14ac:dyDescent="0.35">
      <c r="A1211" t="s">
        <v>68</v>
      </c>
      <c r="B1211">
        <v>202410</v>
      </c>
      <c r="C1211" t="str">
        <f>MID(analisis_productividad__4[[#This Row],[Periodo]],1,4)</f>
        <v>2024</v>
      </c>
      <c r="D1211" t="str">
        <f>MID(analisis_productividad__4[[#This Row],[Periodo]],5,2)</f>
        <v>10</v>
      </c>
      <c r="E1211" t="s">
        <v>11</v>
      </c>
      <c r="F1211" t="s">
        <v>52</v>
      </c>
      <c r="G1211">
        <v>88098</v>
      </c>
      <c r="H1211">
        <v>7583352</v>
      </c>
      <c r="I1211">
        <v>86.078172043010767</v>
      </c>
      <c r="J1211">
        <v>0</v>
      </c>
      <c r="K1211">
        <v>103</v>
      </c>
      <c r="L1211">
        <v>91</v>
      </c>
      <c r="N1211">
        <v>0</v>
      </c>
    </row>
    <row r="1212" spans="1:14" x14ac:dyDescent="0.35">
      <c r="A1212" t="s">
        <v>77</v>
      </c>
      <c r="B1212">
        <v>202508</v>
      </c>
      <c r="C1212" t="str">
        <f>MID(analisis_productividad__4[[#This Row],[Periodo]],1,4)</f>
        <v>2025</v>
      </c>
      <c r="D1212" t="str">
        <f>MID(analisis_productividad__4[[#This Row],[Periodo]],5,2)</f>
        <v>08</v>
      </c>
      <c r="E1212" t="s">
        <v>16</v>
      </c>
      <c r="F1212" t="s">
        <v>21</v>
      </c>
      <c r="G1212">
        <v>88095</v>
      </c>
      <c r="H1212">
        <v>4573501</v>
      </c>
      <c r="I1212">
        <v>51.915584677419361</v>
      </c>
      <c r="J1212">
        <v>84221.908672305537</v>
      </c>
      <c r="K1212">
        <v>60.5</v>
      </c>
      <c r="L1212">
        <v>60.5</v>
      </c>
      <c r="M1212">
        <v>54.302983535967904</v>
      </c>
      <c r="N1212">
        <v>5171181</v>
      </c>
    </row>
    <row r="1213" spans="1:14" x14ac:dyDescent="0.35">
      <c r="A1213" t="s">
        <v>41</v>
      </c>
      <c r="B1213">
        <v>202505</v>
      </c>
      <c r="C1213" t="str">
        <f>MID(analisis_productividad__4[[#This Row],[Periodo]],1,4)</f>
        <v>2025</v>
      </c>
      <c r="D1213" t="str">
        <f>MID(analisis_productividad__4[[#This Row],[Periodo]],5,2)</f>
        <v>05</v>
      </c>
      <c r="E1213" t="s">
        <v>16</v>
      </c>
      <c r="F1213" t="s">
        <v>19</v>
      </c>
      <c r="G1213">
        <v>88083</v>
      </c>
      <c r="H1213">
        <v>4795836</v>
      </c>
      <c r="I1213">
        <v>54.446686827956988</v>
      </c>
      <c r="J1213">
        <v>87849.571491045761</v>
      </c>
      <c r="K1213">
        <v>57.5</v>
      </c>
      <c r="L1213">
        <v>56.5</v>
      </c>
      <c r="M1213">
        <v>54.591458428329666</v>
      </c>
      <c r="N1213">
        <v>4357533</v>
      </c>
    </row>
    <row r="1214" spans="1:14" x14ac:dyDescent="0.35">
      <c r="A1214" t="s">
        <v>90</v>
      </c>
      <c r="B1214">
        <v>202603</v>
      </c>
      <c r="C1214" t="str">
        <f>MID(analisis_productividad__4[[#This Row],[Periodo]],1,4)</f>
        <v>2026</v>
      </c>
      <c r="D1214" t="str">
        <f>MID(analisis_productividad__4[[#This Row],[Periodo]],5,2)</f>
        <v>03</v>
      </c>
      <c r="E1214" t="s">
        <v>11</v>
      </c>
      <c r="F1214" t="s">
        <v>14</v>
      </c>
      <c r="G1214">
        <v>88081</v>
      </c>
      <c r="H1214">
        <v>6404195</v>
      </c>
      <c r="I1214">
        <v>72.708266129032282</v>
      </c>
      <c r="J1214">
        <v>91350.882268049434</v>
      </c>
      <c r="K1214">
        <v>84.5</v>
      </c>
      <c r="L1214">
        <v>78.5</v>
      </c>
      <c r="M1214">
        <v>72.494656792343278</v>
      </c>
      <c r="N1214">
        <v>6622451</v>
      </c>
    </row>
    <row r="1215" spans="1:14" x14ac:dyDescent="0.35">
      <c r="A1215" t="s">
        <v>60</v>
      </c>
      <c r="B1215">
        <v>202505</v>
      </c>
      <c r="C1215" t="str">
        <f>MID(analisis_productividad__4[[#This Row],[Periodo]],1,4)</f>
        <v>2025</v>
      </c>
      <c r="D1215" t="str">
        <f>MID(analisis_productividad__4[[#This Row],[Periodo]],5,2)</f>
        <v>05</v>
      </c>
      <c r="E1215" t="s">
        <v>11</v>
      </c>
      <c r="F1215" t="s">
        <v>14</v>
      </c>
      <c r="G1215">
        <v>88042</v>
      </c>
      <c r="H1215">
        <v>5930508</v>
      </c>
      <c r="I1215">
        <v>67.360087365591411</v>
      </c>
      <c r="J1215">
        <v>88017.757034605122</v>
      </c>
      <c r="K1215">
        <v>75.5</v>
      </c>
      <c r="L1215">
        <v>74</v>
      </c>
      <c r="M1215">
        <v>67.378538374573182</v>
      </c>
      <c r="N1215">
        <v>6405470</v>
      </c>
    </row>
    <row r="1216" spans="1:14" x14ac:dyDescent="0.35">
      <c r="A1216" t="s">
        <v>92</v>
      </c>
      <c r="B1216">
        <v>202412</v>
      </c>
      <c r="C1216" t="str">
        <f>MID(analisis_productividad__4[[#This Row],[Periodo]],1,4)</f>
        <v>2024</v>
      </c>
      <c r="D1216" t="str">
        <f>MID(analisis_productividad__4[[#This Row],[Periodo]],5,2)</f>
        <v>12</v>
      </c>
      <c r="E1216" t="s">
        <v>11</v>
      </c>
      <c r="F1216" t="s">
        <v>14</v>
      </c>
      <c r="G1216">
        <v>88034</v>
      </c>
      <c r="H1216">
        <v>5569000</v>
      </c>
      <c r="I1216">
        <v>63.259489247311812</v>
      </c>
      <c r="J1216">
        <v>0</v>
      </c>
      <c r="K1216">
        <v>63</v>
      </c>
      <c r="L1216">
        <v>59</v>
      </c>
      <c r="N1216">
        <v>0</v>
      </c>
    </row>
    <row r="1217" spans="1:14" x14ac:dyDescent="0.35">
      <c r="A1217" t="s">
        <v>56</v>
      </c>
      <c r="B1217">
        <v>202401</v>
      </c>
      <c r="C1217" t="str">
        <f>MID(analisis_productividad__4[[#This Row],[Periodo]],1,4)</f>
        <v>2024</v>
      </c>
      <c r="D1217" t="str">
        <f>MID(analisis_productividad__4[[#This Row],[Periodo]],5,2)</f>
        <v>01</v>
      </c>
      <c r="E1217" t="s">
        <v>16</v>
      </c>
      <c r="F1217" t="s">
        <v>21</v>
      </c>
      <c r="G1217">
        <v>88032</v>
      </c>
      <c r="H1217">
        <v>5385583</v>
      </c>
      <c r="I1217">
        <v>61.177365591397844</v>
      </c>
      <c r="J1217">
        <v>0</v>
      </c>
      <c r="K1217">
        <v>72.5</v>
      </c>
      <c r="L1217">
        <v>68.5</v>
      </c>
      <c r="N1217">
        <v>0</v>
      </c>
    </row>
    <row r="1218" spans="1:14" x14ac:dyDescent="0.35">
      <c r="A1218" t="s">
        <v>59</v>
      </c>
      <c r="B1218">
        <v>202503</v>
      </c>
      <c r="C1218" t="str">
        <f>MID(analisis_productividad__4[[#This Row],[Periodo]],1,4)</f>
        <v>2025</v>
      </c>
      <c r="D1218" t="str">
        <f>MID(analisis_productividad__4[[#This Row],[Periodo]],5,2)</f>
        <v>03</v>
      </c>
      <c r="E1218" t="s">
        <v>11</v>
      </c>
      <c r="F1218" t="s">
        <v>12</v>
      </c>
      <c r="G1218">
        <v>88006</v>
      </c>
      <c r="H1218">
        <v>7663921</v>
      </c>
      <c r="I1218">
        <v>87.083669354838662</v>
      </c>
      <c r="J1218">
        <v>103032.55834489517</v>
      </c>
      <c r="K1218">
        <v>94.5</v>
      </c>
      <c r="L1218">
        <v>97</v>
      </c>
      <c r="M1218">
        <v>74.383484532583324</v>
      </c>
      <c r="N1218">
        <v>9394613</v>
      </c>
    </row>
    <row r="1219" spans="1:14" x14ac:dyDescent="0.35">
      <c r="A1219" t="s">
        <v>23</v>
      </c>
      <c r="B1219">
        <v>202409</v>
      </c>
      <c r="C1219" t="str">
        <f>MID(analisis_productividad__4[[#This Row],[Periodo]],1,4)</f>
        <v>2024</v>
      </c>
      <c r="D1219" t="str">
        <f>MID(analisis_productividad__4[[#This Row],[Periodo]],5,2)</f>
        <v>09</v>
      </c>
      <c r="E1219" t="s">
        <v>11</v>
      </c>
      <c r="F1219" t="s">
        <v>12</v>
      </c>
      <c r="G1219">
        <v>88001</v>
      </c>
      <c r="H1219">
        <v>5465036</v>
      </c>
      <c r="I1219">
        <v>62.102249999999991</v>
      </c>
      <c r="J1219">
        <v>0</v>
      </c>
      <c r="K1219">
        <v>68.5</v>
      </c>
      <c r="L1219">
        <v>66</v>
      </c>
      <c r="N1219">
        <v>0</v>
      </c>
    </row>
    <row r="1220" spans="1:14" x14ac:dyDescent="0.35">
      <c r="A1220" t="s">
        <v>20</v>
      </c>
      <c r="B1220">
        <v>202405</v>
      </c>
      <c r="C1220" t="str">
        <f>MID(analisis_productividad__4[[#This Row],[Periodo]],1,4)</f>
        <v>2024</v>
      </c>
      <c r="D1220" t="str">
        <f>MID(analisis_productividad__4[[#This Row],[Periodo]],5,2)</f>
        <v>05</v>
      </c>
      <c r="E1220" t="s">
        <v>16</v>
      </c>
      <c r="F1220" t="s">
        <v>21</v>
      </c>
      <c r="G1220">
        <v>87984</v>
      </c>
      <c r="H1220">
        <v>7862064</v>
      </c>
      <c r="I1220">
        <v>89.357399193548375</v>
      </c>
      <c r="J1220">
        <v>0</v>
      </c>
      <c r="K1220">
        <v>96.5</v>
      </c>
      <c r="L1220">
        <v>94</v>
      </c>
      <c r="N1220">
        <v>0</v>
      </c>
    </row>
    <row r="1221" spans="1:14" x14ac:dyDescent="0.35">
      <c r="A1221" t="s">
        <v>57</v>
      </c>
      <c r="B1221">
        <v>202502</v>
      </c>
      <c r="C1221" t="str">
        <f>MID(analisis_productividad__4[[#This Row],[Periodo]],1,4)</f>
        <v>2025</v>
      </c>
      <c r="D1221" t="str">
        <f>MID(analisis_productividad__4[[#This Row],[Periodo]],5,2)</f>
        <v>02</v>
      </c>
      <c r="E1221" t="s">
        <v>16</v>
      </c>
      <c r="F1221" t="s">
        <v>19</v>
      </c>
      <c r="G1221">
        <v>87983</v>
      </c>
      <c r="H1221">
        <v>5505677</v>
      </c>
      <c r="I1221">
        <v>62.576927083333324</v>
      </c>
      <c r="J1221">
        <v>91351.641121312787</v>
      </c>
      <c r="K1221">
        <v>71</v>
      </c>
      <c r="L1221">
        <v>74.5</v>
      </c>
      <c r="M1221">
        <v>60.269058797625696</v>
      </c>
      <c r="N1221">
        <v>5416410</v>
      </c>
    </row>
    <row r="1222" spans="1:14" x14ac:dyDescent="0.35">
      <c r="A1222" t="s">
        <v>98</v>
      </c>
      <c r="B1222">
        <v>202412</v>
      </c>
      <c r="C1222" t="str">
        <f>MID(analisis_productividad__4[[#This Row],[Periodo]],1,4)</f>
        <v>2024</v>
      </c>
      <c r="D1222" t="str">
        <f>MID(analisis_productividad__4[[#This Row],[Periodo]],5,2)</f>
        <v>12</v>
      </c>
      <c r="E1222" t="s">
        <v>11</v>
      </c>
      <c r="F1222" t="s">
        <v>14</v>
      </c>
      <c r="G1222">
        <v>87978</v>
      </c>
      <c r="H1222">
        <v>5173380</v>
      </c>
      <c r="I1222">
        <v>58.803151881720446</v>
      </c>
      <c r="J1222">
        <v>0</v>
      </c>
      <c r="K1222">
        <v>61.5</v>
      </c>
      <c r="L1222">
        <v>56</v>
      </c>
      <c r="N1222">
        <v>0</v>
      </c>
    </row>
    <row r="1223" spans="1:14" x14ac:dyDescent="0.35">
      <c r="A1223" t="s">
        <v>39</v>
      </c>
      <c r="B1223">
        <v>202404</v>
      </c>
      <c r="C1223" t="str">
        <f>MID(analisis_productividad__4[[#This Row],[Periodo]],1,4)</f>
        <v>2024</v>
      </c>
      <c r="D1223" t="str">
        <f>MID(analisis_productividad__4[[#This Row],[Periodo]],5,2)</f>
        <v>04</v>
      </c>
      <c r="E1223" t="s">
        <v>16</v>
      </c>
      <c r="F1223" t="s">
        <v>17</v>
      </c>
      <c r="G1223">
        <v>87964</v>
      </c>
      <c r="H1223">
        <v>7380669</v>
      </c>
      <c r="I1223">
        <v>83.905840277777742</v>
      </c>
      <c r="J1223">
        <v>0</v>
      </c>
      <c r="K1223">
        <v>93.5</v>
      </c>
      <c r="L1223">
        <v>94</v>
      </c>
      <c r="N1223">
        <v>0</v>
      </c>
    </row>
    <row r="1224" spans="1:14" x14ac:dyDescent="0.35">
      <c r="A1224" t="s">
        <v>75</v>
      </c>
      <c r="B1224">
        <v>202510</v>
      </c>
      <c r="C1224" t="str">
        <f>MID(analisis_productividad__4[[#This Row],[Periodo]],1,4)</f>
        <v>2025</v>
      </c>
      <c r="D1224" t="str">
        <f>MID(analisis_productividad__4[[#This Row],[Periodo]],5,2)</f>
        <v>10</v>
      </c>
      <c r="E1224" t="s">
        <v>11</v>
      </c>
      <c r="F1224" t="s">
        <v>52</v>
      </c>
      <c r="G1224">
        <v>87930</v>
      </c>
      <c r="H1224">
        <v>8610763</v>
      </c>
      <c r="I1224">
        <v>97.927506720430117</v>
      </c>
      <c r="J1224">
        <v>93666.505175163606</v>
      </c>
      <c r="K1224">
        <v>118</v>
      </c>
      <c r="L1224">
        <v>106</v>
      </c>
      <c r="M1224">
        <v>91.930016006225543</v>
      </c>
      <c r="N1224">
        <v>10013630</v>
      </c>
    </row>
    <row r="1225" spans="1:14" x14ac:dyDescent="0.35">
      <c r="A1225" t="s">
        <v>60</v>
      </c>
      <c r="B1225">
        <v>202501</v>
      </c>
      <c r="C1225" t="str">
        <f>MID(analisis_productividad__4[[#This Row],[Periodo]],1,4)</f>
        <v>2025</v>
      </c>
      <c r="D1225" t="str">
        <f>MID(analisis_productividad__4[[#This Row],[Periodo]],5,2)</f>
        <v>01</v>
      </c>
      <c r="E1225" t="s">
        <v>11</v>
      </c>
      <c r="F1225" t="s">
        <v>14</v>
      </c>
      <c r="G1225">
        <v>87928</v>
      </c>
      <c r="H1225">
        <v>5757214</v>
      </c>
      <c r="I1225">
        <v>65.476814516129025</v>
      </c>
      <c r="J1225">
        <v>96043.379572619597</v>
      </c>
      <c r="K1225">
        <v>75.5</v>
      </c>
      <c r="L1225">
        <v>74</v>
      </c>
      <c r="M1225">
        <v>59.943891141886553</v>
      </c>
      <c r="N1225">
        <v>6560589</v>
      </c>
    </row>
    <row r="1226" spans="1:14" x14ac:dyDescent="0.35">
      <c r="A1226" t="s">
        <v>97</v>
      </c>
      <c r="B1226">
        <v>202508</v>
      </c>
      <c r="C1226" t="str">
        <f>MID(analisis_productividad__4[[#This Row],[Periodo]],1,4)</f>
        <v>2025</v>
      </c>
      <c r="D1226" t="str">
        <f>MID(analisis_productividad__4[[#This Row],[Periodo]],5,2)</f>
        <v>08</v>
      </c>
      <c r="E1226" t="s">
        <v>11</v>
      </c>
      <c r="F1226" t="s">
        <v>12</v>
      </c>
      <c r="G1226">
        <v>87906</v>
      </c>
      <c r="H1226">
        <v>4453911</v>
      </c>
      <c r="I1226">
        <v>50.666969086021517</v>
      </c>
      <c r="J1226">
        <v>82008.058539540914</v>
      </c>
      <c r="K1226">
        <v>66.5</v>
      </c>
      <c r="L1226">
        <v>63.5</v>
      </c>
      <c r="M1226">
        <v>54.31065372499345</v>
      </c>
      <c r="N1226">
        <v>4914528</v>
      </c>
    </row>
    <row r="1227" spans="1:14" x14ac:dyDescent="0.35">
      <c r="A1227" t="s">
        <v>57</v>
      </c>
      <c r="B1227">
        <v>202510</v>
      </c>
      <c r="C1227" t="str">
        <f>MID(analisis_productividad__4[[#This Row],[Periodo]],1,4)</f>
        <v>2025</v>
      </c>
      <c r="D1227" t="str">
        <f>MID(analisis_productividad__4[[#This Row],[Periodo]],5,2)</f>
        <v>10</v>
      </c>
      <c r="E1227" t="s">
        <v>16</v>
      </c>
      <c r="F1227" t="s">
        <v>19</v>
      </c>
      <c r="G1227">
        <v>87901</v>
      </c>
      <c r="H1227">
        <v>5313793</v>
      </c>
      <c r="I1227">
        <v>60.452244623655886</v>
      </c>
      <c r="J1227">
        <v>88563.211475483724</v>
      </c>
      <c r="K1227">
        <v>71</v>
      </c>
      <c r="L1227">
        <v>74.5</v>
      </c>
      <c r="M1227">
        <v>60.000000581177851</v>
      </c>
      <c r="N1227">
        <v>6094813</v>
      </c>
    </row>
    <row r="1228" spans="1:14" x14ac:dyDescent="0.35">
      <c r="A1228" t="s">
        <v>41</v>
      </c>
      <c r="B1228">
        <v>202508</v>
      </c>
      <c r="C1228" t="str">
        <f>MID(analisis_productividad__4[[#This Row],[Periodo]],1,4)</f>
        <v>2025</v>
      </c>
      <c r="D1228" t="str">
        <f>MID(analisis_productividad__4[[#This Row],[Periodo]],5,2)</f>
        <v>08</v>
      </c>
      <c r="E1228" t="s">
        <v>16</v>
      </c>
      <c r="F1228" t="s">
        <v>19</v>
      </c>
      <c r="G1228">
        <v>87864</v>
      </c>
      <c r="H1228">
        <v>4395962</v>
      </c>
      <c r="I1228">
        <v>50.03127688172043</v>
      </c>
      <c r="J1228">
        <v>94834.93283103974</v>
      </c>
      <c r="K1228">
        <v>57.5</v>
      </c>
      <c r="L1228">
        <v>56.5</v>
      </c>
      <c r="M1228">
        <v>46.353827843501023</v>
      </c>
      <c r="N1228">
        <v>4482008</v>
      </c>
    </row>
    <row r="1229" spans="1:14" x14ac:dyDescent="0.35">
      <c r="A1229" t="s">
        <v>68</v>
      </c>
      <c r="B1229">
        <v>202404</v>
      </c>
      <c r="C1229" t="str">
        <f>MID(analisis_productividad__4[[#This Row],[Periodo]],1,4)</f>
        <v>2024</v>
      </c>
      <c r="D1229" t="str">
        <f>MID(analisis_productividad__4[[#This Row],[Periodo]],5,2)</f>
        <v>04</v>
      </c>
      <c r="E1229" t="s">
        <v>11</v>
      </c>
      <c r="F1229" t="s">
        <v>52</v>
      </c>
      <c r="G1229">
        <v>87862</v>
      </c>
      <c r="H1229">
        <v>7777179</v>
      </c>
      <c r="I1229">
        <v>88.516166666666649</v>
      </c>
      <c r="J1229">
        <v>0</v>
      </c>
      <c r="K1229">
        <v>103</v>
      </c>
      <c r="L1229">
        <v>91</v>
      </c>
      <c r="N1229">
        <v>0</v>
      </c>
    </row>
    <row r="1230" spans="1:14" x14ac:dyDescent="0.35">
      <c r="A1230" t="s">
        <v>91</v>
      </c>
      <c r="B1230">
        <v>202603</v>
      </c>
      <c r="C1230" t="str">
        <f>MID(analisis_productividad__4[[#This Row],[Periodo]],1,4)</f>
        <v>2026</v>
      </c>
      <c r="D1230" t="str">
        <f>MID(analisis_productividad__4[[#This Row],[Periodo]],5,2)</f>
        <v>03</v>
      </c>
      <c r="E1230" t="s">
        <v>11</v>
      </c>
      <c r="F1230" t="s">
        <v>12</v>
      </c>
      <c r="G1230">
        <v>87858</v>
      </c>
      <c r="H1230">
        <v>4898567</v>
      </c>
      <c r="I1230">
        <v>55.755329301075264</v>
      </c>
      <c r="J1230">
        <v>94145.868473673807</v>
      </c>
      <c r="K1230">
        <v>55</v>
      </c>
      <c r="L1230">
        <v>55.5</v>
      </c>
      <c r="M1230">
        <v>48.91205759483401</v>
      </c>
      <c r="N1230">
        <v>4604868</v>
      </c>
    </row>
    <row r="1231" spans="1:14" x14ac:dyDescent="0.35">
      <c r="A1231" t="s">
        <v>92</v>
      </c>
      <c r="B1231">
        <v>202603</v>
      </c>
      <c r="C1231" t="str">
        <f>MID(analisis_productividad__4[[#This Row],[Periodo]],1,4)</f>
        <v>2026</v>
      </c>
      <c r="D1231" t="str">
        <f>MID(analisis_productividad__4[[#This Row],[Periodo]],5,2)</f>
        <v>03</v>
      </c>
      <c r="E1231" t="s">
        <v>11</v>
      </c>
      <c r="F1231" t="s">
        <v>14</v>
      </c>
      <c r="G1231">
        <v>87795</v>
      </c>
      <c r="H1231">
        <v>4720487</v>
      </c>
      <c r="I1231">
        <v>53.767056451612923</v>
      </c>
      <c r="J1231">
        <v>90615.795529805662</v>
      </c>
      <c r="K1231">
        <v>63</v>
      </c>
      <c r="L1231">
        <v>59</v>
      </c>
      <c r="M1231">
        <v>55.026064794188251</v>
      </c>
      <c r="N1231">
        <v>4986231</v>
      </c>
    </row>
    <row r="1232" spans="1:14" x14ac:dyDescent="0.35">
      <c r="A1232" t="s">
        <v>70</v>
      </c>
      <c r="B1232">
        <v>202606</v>
      </c>
      <c r="C1232" t="str">
        <f>MID(analisis_productividad__4[[#This Row],[Periodo]],1,4)</f>
        <v>2026</v>
      </c>
      <c r="D1232" t="str">
        <f>MID(analisis_productividad__4[[#This Row],[Periodo]],5,2)</f>
        <v>06</v>
      </c>
      <c r="E1232" t="s">
        <v>11</v>
      </c>
      <c r="F1232" t="s">
        <v>14</v>
      </c>
      <c r="G1232">
        <v>87789</v>
      </c>
      <c r="H1232">
        <v>5040977</v>
      </c>
      <c r="I1232">
        <v>57.421437500000373</v>
      </c>
      <c r="J1232">
        <v>84371.030484635761</v>
      </c>
      <c r="K1232">
        <v>65</v>
      </c>
      <c r="L1232">
        <v>67.5</v>
      </c>
      <c r="M1232">
        <v>56.772923994003762</v>
      </c>
      <c r="N1232">
        <v>4789990</v>
      </c>
    </row>
    <row r="1233" spans="1:14" x14ac:dyDescent="0.35">
      <c r="A1233" t="s">
        <v>48</v>
      </c>
      <c r="B1233">
        <v>202606</v>
      </c>
      <c r="C1233" t="str">
        <f>MID(analisis_productividad__4[[#This Row],[Periodo]],1,4)</f>
        <v>2026</v>
      </c>
      <c r="D1233" t="str">
        <f>MID(analisis_productividad__4[[#This Row],[Periodo]],5,2)</f>
        <v>06</v>
      </c>
      <c r="E1233" t="s">
        <v>16</v>
      </c>
      <c r="F1233" t="s">
        <v>21</v>
      </c>
      <c r="G1233">
        <v>87725</v>
      </c>
      <c r="H1233">
        <v>4724789</v>
      </c>
      <c r="I1233">
        <v>53.859263888889366</v>
      </c>
      <c r="J1233">
        <v>100178.05887467151</v>
      </c>
      <c r="K1233">
        <v>56</v>
      </c>
      <c r="L1233">
        <v>60</v>
      </c>
      <c r="M1233">
        <v>48.493991244906013</v>
      </c>
      <c r="N1233">
        <v>4858034</v>
      </c>
    </row>
    <row r="1234" spans="1:14" x14ac:dyDescent="0.35">
      <c r="A1234" t="s">
        <v>80</v>
      </c>
      <c r="B1234">
        <v>202604</v>
      </c>
      <c r="C1234" t="str">
        <f>MID(analisis_productividad__4[[#This Row],[Periodo]],1,4)</f>
        <v>2026</v>
      </c>
      <c r="D1234" t="str">
        <f>MID(analisis_productividad__4[[#This Row],[Periodo]],5,2)</f>
        <v>04</v>
      </c>
      <c r="E1234" t="s">
        <v>16</v>
      </c>
      <c r="F1234" t="s">
        <v>17</v>
      </c>
      <c r="G1234">
        <v>87688</v>
      </c>
      <c r="H1234">
        <v>4569013</v>
      </c>
      <c r="I1234">
        <v>52.105180555556011</v>
      </c>
      <c r="J1234">
        <v>86043.52635395751</v>
      </c>
      <c r="K1234">
        <v>58</v>
      </c>
      <c r="L1234">
        <v>58.5</v>
      </c>
      <c r="M1234">
        <v>51.139118040082707</v>
      </c>
      <c r="N1234">
        <v>4400190</v>
      </c>
    </row>
    <row r="1235" spans="1:14" x14ac:dyDescent="0.35">
      <c r="A1235" t="s">
        <v>68</v>
      </c>
      <c r="B1235">
        <v>202402</v>
      </c>
      <c r="C1235" t="str">
        <f>MID(analisis_productividad__4[[#This Row],[Periodo]],1,4)</f>
        <v>2024</v>
      </c>
      <c r="D1235" t="str">
        <f>MID(analisis_productividad__4[[#This Row],[Periodo]],5,2)</f>
        <v>02</v>
      </c>
      <c r="E1235" t="s">
        <v>11</v>
      </c>
      <c r="F1235" t="s">
        <v>52</v>
      </c>
      <c r="G1235">
        <v>87685</v>
      </c>
      <c r="H1235">
        <v>7714247</v>
      </c>
      <c r="I1235">
        <v>87.976875000000049</v>
      </c>
      <c r="J1235">
        <v>0</v>
      </c>
      <c r="K1235">
        <v>103</v>
      </c>
      <c r="L1235">
        <v>91</v>
      </c>
      <c r="N1235">
        <v>0</v>
      </c>
    </row>
    <row r="1236" spans="1:14" x14ac:dyDescent="0.35">
      <c r="A1236" t="s">
        <v>60</v>
      </c>
      <c r="B1236">
        <v>202606</v>
      </c>
      <c r="C1236" t="str">
        <f>MID(analisis_productividad__4[[#This Row],[Periodo]],1,4)</f>
        <v>2026</v>
      </c>
      <c r="D1236" t="str">
        <f>MID(analisis_productividad__4[[#This Row],[Periodo]],5,2)</f>
        <v>06</v>
      </c>
      <c r="E1236" t="s">
        <v>11</v>
      </c>
      <c r="F1236" t="s">
        <v>14</v>
      </c>
      <c r="G1236">
        <v>87675</v>
      </c>
      <c r="H1236">
        <v>5671532</v>
      </c>
      <c r="I1236">
        <v>64.688409722223057</v>
      </c>
      <c r="J1236">
        <v>84392.043132808976</v>
      </c>
      <c r="K1236">
        <v>75.5</v>
      </c>
      <c r="L1236">
        <v>74</v>
      </c>
      <c r="M1236">
        <v>63.845934941054651</v>
      </c>
      <c r="N1236">
        <v>5388089</v>
      </c>
    </row>
    <row r="1237" spans="1:14" x14ac:dyDescent="0.35">
      <c r="A1237" t="s">
        <v>62</v>
      </c>
      <c r="B1237">
        <v>202504</v>
      </c>
      <c r="C1237" t="str">
        <f>MID(analisis_productividad__4[[#This Row],[Periodo]],1,4)</f>
        <v>2025</v>
      </c>
      <c r="D1237" t="str">
        <f>MID(analisis_productividad__4[[#This Row],[Periodo]],5,2)</f>
        <v>04</v>
      </c>
      <c r="E1237" t="s">
        <v>16</v>
      </c>
      <c r="F1237" t="s">
        <v>17</v>
      </c>
      <c r="G1237">
        <v>87671</v>
      </c>
      <c r="H1237">
        <v>2583201</v>
      </c>
      <c r="I1237">
        <v>29.464847222222222</v>
      </c>
      <c r="J1237">
        <v>81258.080494266615</v>
      </c>
      <c r="K1237">
        <v>32.5</v>
      </c>
      <c r="L1237">
        <v>32</v>
      </c>
      <c r="M1237">
        <v>31.79007729800195</v>
      </c>
      <c r="N1237">
        <v>2417364</v>
      </c>
    </row>
    <row r="1238" spans="1:14" x14ac:dyDescent="0.35">
      <c r="A1238" t="s">
        <v>76</v>
      </c>
      <c r="B1238">
        <v>202411</v>
      </c>
      <c r="C1238" t="str">
        <f>MID(analisis_productividad__4[[#This Row],[Periodo]],1,4)</f>
        <v>2024</v>
      </c>
      <c r="D1238" t="str">
        <f>MID(analisis_productividad__4[[#This Row],[Periodo]],5,2)</f>
        <v>11</v>
      </c>
      <c r="E1238" t="s">
        <v>11</v>
      </c>
      <c r="F1238" t="s">
        <v>14</v>
      </c>
      <c r="G1238">
        <v>87669</v>
      </c>
      <c r="H1238">
        <v>6281298</v>
      </c>
      <c r="I1238">
        <v>71.647819444444451</v>
      </c>
      <c r="J1238">
        <v>0</v>
      </c>
      <c r="K1238">
        <v>80</v>
      </c>
      <c r="L1238">
        <v>78</v>
      </c>
      <c r="N1238">
        <v>0</v>
      </c>
    </row>
    <row r="1239" spans="1:14" x14ac:dyDescent="0.35">
      <c r="A1239" t="s">
        <v>64</v>
      </c>
      <c r="B1239">
        <v>202401</v>
      </c>
      <c r="C1239" t="str">
        <f>MID(analisis_productividad__4[[#This Row],[Periodo]],1,4)</f>
        <v>2024</v>
      </c>
      <c r="D1239" t="str">
        <f>MID(analisis_productividad__4[[#This Row],[Periodo]],5,2)</f>
        <v>01</v>
      </c>
      <c r="E1239" t="s">
        <v>16</v>
      </c>
      <c r="F1239" t="s">
        <v>21</v>
      </c>
      <c r="G1239">
        <v>87604</v>
      </c>
      <c r="H1239">
        <v>6447157</v>
      </c>
      <c r="I1239">
        <v>73.594509408602136</v>
      </c>
      <c r="J1239">
        <v>0</v>
      </c>
      <c r="K1239">
        <v>88.5</v>
      </c>
      <c r="L1239">
        <v>92.5</v>
      </c>
      <c r="N1239">
        <v>0</v>
      </c>
    </row>
    <row r="1240" spans="1:14" x14ac:dyDescent="0.35">
      <c r="A1240" t="s">
        <v>87</v>
      </c>
      <c r="B1240">
        <v>202503</v>
      </c>
      <c r="C1240" t="str">
        <f>MID(analisis_productividad__4[[#This Row],[Periodo]],1,4)</f>
        <v>2025</v>
      </c>
      <c r="D1240" t="str">
        <f>MID(analisis_productividad__4[[#This Row],[Periodo]],5,2)</f>
        <v>03</v>
      </c>
      <c r="E1240" t="s">
        <v>9</v>
      </c>
      <c r="F1240" t="s">
        <v>9</v>
      </c>
      <c r="G1240">
        <v>87587</v>
      </c>
      <c r="H1240">
        <v>1000801</v>
      </c>
      <c r="I1240">
        <v>11.426323924731184</v>
      </c>
      <c r="J1240">
        <v>99710.776131367864</v>
      </c>
      <c r="K1240">
        <v>13.5</v>
      </c>
      <c r="L1240">
        <v>12</v>
      </c>
      <c r="M1240">
        <v>10.037041218909534</v>
      </c>
      <c r="N1240">
        <v>1103945</v>
      </c>
    </row>
    <row r="1241" spans="1:14" x14ac:dyDescent="0.35">
      <c r="A1241" t="s">
        <v>80</v>
      </c>
      <c r="B1241">
        <v>202408</v>
      </c>
      <c r="C1241" t="str">
        <f>MID(analisis_productividad__4[[#This Row],[Periodo]],1,4)</f>
        <v>2024</v>
      </c>
      <c r="D1241" t="str">
        <f>MID(analisis_productividad__4[[#This Row],[Periodo]],5,2)</f>
        <v>08</v>
      </c>
      <c r="E1241" t="s">
        <v>16</v>
      </c>
      <c r="F1241" t="s">
        <v>17</v>
      </c>
      <c r="G1241">
        <v>87567</v>
      </c>
      <c r="H1241">
        <v>4830571</v>
      </c>
      <c r="I1241">
        <v>55.164469086021491</v>
      </c>
      <c r="J1241">
        <v>0</v>
      </c>
      <c r="K1241">
        <v>58</v>
      </c>
      <c r="L1241">
        <v>58.5</v>
      </c>
      <c r="N1241">
        <v>0</v>
      </c>
    </row>
    <row r="1242" spans="1:14" x14ac:dyDescent="0.35">
      <c r="A1242" t="s">
        <v>74</v>
      </c>
      <c r="B1242">
        <v>202403</v>
      </c>
      <c r="C1242" t="str">
        <f>MID(analisis_productividad__4[[#This Row],[Periodo]],1,4)</f>
        <v>2024</v>
      </c>
      <c r="D1242" t="str">
        <f>MID(analisis_productividad__4[[#This Row],[Periodo]],5,2)</f>
        <v>03</v>
      </c>
      <c r="E1242" t="s">
        <v>16</v>
      </c>
      <c r="F1242" t="s">
        <v>19</v>
      </c>
      <c r="G1242">
        <v>87566</v>
      </c>
      <c r="H1242">
        <v>4604740</v>
      </c>
      <c r="I1242">
        <v>52.586088709677405</v>
      </c>
      <c r="J1242">
        <v>0</v>
      </c>
      <c r="K1242">
        <v>50.5</v>
      </c>
      <c r="L1242">
        <v>51.5</v>
      </c>
      <c r="N1242">
        <v>0</v>
      </c>
    </row>
    <row r="1243" spans="1:14" x14ac:dyDescent="0.35">
      <c r="A1243" t="s">
        <v>75</v>
      </c>
      <c r="B1243">
        <v>202409</v>
      </c>
      <c r="C1243" t="str">
        <f>MID(analisis_productividad__4[[#This Row],[Periodo]],1,4)</f>
        <v>2024</v>
      </c>
      <c r="D1243" t="str">
        <f>MID(analisis_productividad__4[[#This Row],[Periodo]],5,2)</f>
        <v>09</v>
      </c>
      <c r="E1243" t="s">
        <v>11</v>
      </c>
      <c r="F1243" t="s">
        <v>52</v>
      </c>
      <c r="G1243">
        <v>87553</v>
      </c>
      <c r="H1243">
        <v>9059462</v>
      </c>
      <c r="I1243">
        <v>103.47443750000001</v>
      </c>
      <c r="J1243">
        <v>0</v>
      </c>
      <c r="K1243">
        <v>118</v>
      </c>
      <c r="L1243">
        <v>106</v>
      </c>
      <c r="N1243">
        <v>0</v>
      </c>
    </row>
    <row r="1244" spans="1:14" x14ac:dyDescent="0.35">
      <c r="A1244" t="s">
        <v>75</v>
      </c>
      <c r="B1244">
        <v>202501</v>
      </c>
      <c r="C1244" t="str">
        <f>MID(analisis_productividad__4[[#This Row],[Periodo]],1,4)</f>
        <v>2025</v>
      </c>
      <c r="D1244" t="str">
        <f>MID(analisis_productividad__4[[#This Row],[Periodo]],5,2)</f>
        <v>01</v>
      </c>
      <c r="E1244" t="s">
        <v>11</v>
      </c>
      <c r="F1244" t="s">
        <v>52</v>
      </c>
      <c r="G1244">
        <v>87539</v>
      </c>
      <c r="H1244">
        <v>9150518</v>
      </c>
      <c r="I1244">
        <v>104.53055779569887</v>
      </c>
      <c r="J1244">
        <v>90125.790148887623</v>
      </c>
      <c r="K1244">
        <v>118</v>
      </c>
      <c r="L1244">
        <v>106</v>
      </c>
      <c r="M1244">
        <v>101.53052045239616</v>
      </c>
      <c r="N1244">
        <v>9881997</v>
      </c>
    </row>
    <row r="1245" spans="1:14" x14ac:dyDescent="0.35">
      <c r="A1245" t="s">
        <v>43</v>
      </c>
      <c r="B1245">
        <v>202506</v>
      </c>
      <c r="C1245" t="str">
        <f>MID(analisis_productividad__4[[#This Row],[Periodo]],1,4)</f>
        <v>2025</v>
      </c>
      <c r="D1245" t="str">
        <f>MID(analisis_productividad__4[[#This Row],[Periodo]],5,2)</f>
        <v>06</v>
      </c>
      <c r="E1245" t="s">
        <v>11</v>
      </c>
      <c r="F1245" t="s">
        <v>12</v>
      </c>
      <c r="G1245">
        <v>87528</v>
      </c>
      <c r="H1245">
        <v>6433169</v>
      </c>
      <c r="I1245">
        <v>73.498687500000003</v>
      </c>
      <c r="J1245">
        <v>98506.047163448093</v>
      </c>
      <c r="K1245">
        <v>84.5</v>
      </c>
      <c r="L1245">
        <v>86.5</v>
      </c>
      <c r="M1245">
        <v>65.307350617019864</v>
      </c>
      <c r="N1245">
        <v>7303631</v>
      </c>
    </row>
    <row r="1246" spans="1:14" x14ac:dyDescent="0.35">
      <c r="A1246" t="s">
        <v>24</v>
      </c>
      <c r="B1246">
        <v>202507</v>
      </c>
      <c r="C1246" t="str">
        <f>MID(analisis_productividad__4[[#This Row],[Periodo]],1,4)</f>
        <v>2025</v>
      </c>
      <c r="D1246" t="str">
        <f>MID(analisis_productividad__4[[#This Row],[Periodo]],5,2)</f>
        <v>07</v>
      </c>
      <c r="E1246" t="s">
        <v>16</v>
      </c>
      <c r="F1246" t="s">
        <v>21</v>
      </c>
      <c r="G1246">
        <v>87526</v>
      </c>
      <c r="H1246">
        <v>9455800</v>
      </c>
      <c r="I1246">
        <v>108.03366263440867</v>
      </c>
      <c r="J1246">
        <v>105149.39019121883</v>
      </c>
      <c r="K1246">
        <v>125</v>
      </c>
      <c r="L1246">
        <v>118.5</v>
      </c>
      <c r="M1246">
        <v>89.927289666675293</v>
      </c>
      <c r="N1246">
        <v>10511744</v>
      </c>
    </row>
    <row r="1247" spans="1:14" x14ac:dyDescent="0.35">
      <c r="A1247" t="s">
        <v>55</v>
      </c>
      <c r="B1247">
        <v>202406</v>
      </c>
      <c r="C1247" t="str">
        <f>MID(analisis_productividad__4[[#This Row],[Periodo]],1,4)</f>
        <v>2024</v>
      </c>
      <c r="D1247" t="str">
        <f>MID(analisis_productividad__4[[#This Row],[Periodo]],5,2)</f>
        <v>06</v>
      </c>
      <c r="E1247" t="s">
        <v>16</v>
      </c>
      <c r="F1247" t="s">
        <v>21</v>
      </c>
      <c r="G1247">
        <v>87506</v>
      </c>
      <c r="H1247">
        <v>4696583</v>
      </c>
      <c r="I1247">
        <v>53.671284722222239</v>
      </c>
      <c r="J1247">
        <v>0</v>
      </c>
      <c r="K1247">
        <v>55</v>
      </c>
      <c r="L1247">
        <v>50.5</v>
      </c>
      <c r="N1247">
        <v>0</v>
      </c>
    </row>
    <row r="1248" spans="1:14" x14ac:dyDescent="0.35">
      <c r="A1248" t="s">
        <v>91</v>
      </c>
      <c r="B1248">
        <v>202605</v>
      </c>
      <c r="C1248" t="str">
        <f>MID(analisis_productividad__4[[#This Row],[Periodo]],1,4)</f>
        <v>2026</v>
      </c>
      <c r="D1248" t="str">
        <f>MID(analisis_productividad__4[[#This Row],[Periodo]],5,2)</f>
        <v>05</v>
      </c>
      <c r="E1248" t="s">
        <v>11</v>
      </c>
      <c r="F1248" t="s">
        <v>12</v>
      </c>
      <c r="G1248">
        <v>87496</v>
      </c>
      <c r="H1248">
        <v>4505027</v>
      </c>
      <c r="I1248">
        <v>51.488622311828152</v>
      </c>
      <c r="J1248">
        <v>87314.602795427418</v>
      </c>
      <c r="K1248">
        <v>55</v>
      </c>
      <c r="L1248">
        <v>55.5</v>
      </c>
      <c r="M1248">
        <v>48.91205759483401</v>
      </c>
      <c r="N1248">
        <v>4270737</v>
      </c>
    </row>
    <row r="1249" spans="1:14" x14ac:dyDescent="0.35">
      <c r="A1249" t="s">
        <v>81</v>
      </c>
      <c r="B1249">
        <v>202603</v>
      </c>
      <c r="C1249" t="str">
        <f>MID(analisis_productividad__4[[#This Row],[Periodo]],1,4)</f>
        <v>2026</v>
      </c>
      <c r="D1249" t="str">
        <f>MID(analisis_productividad__4[[#This Row],[Periodo]],5,2)</f>
        <v>03</v>
      </c>
      <c r="E1249" t="s">
        <v>34</v>
      </c>
      <c r="F1249" t="s">
        <v>35</v>
      </c>
      <c r="G1249">
        <v>87492</v>
      </c>
      <c r="H1249">
        <v>8235621</v>
      </c>
      <c r="I1249">
        <v>94.130524193548382</v>
      </c>
      <c r="J1249">
        <v>93859.205990877323</v>
      </c>
      <c r="K1249">
        <v>106</v>
      </c>
      <c r="L1249">
        <v>94.5</v>
      </c>
      <c r="M1249">
        <v>88.413034538205707</v>
      </c>
      <c r="N1249">
        <v>8298377</v>
      </c>
    </row>
    <row r="1250" spans="1:14" x14ac:dyDescent="0.35">
      <c r="A1250" t="s">
        <v>97</v>
      </c>
      <c r="B1250">
        <v>202503</v>
      </c>
      <c r="C1250" t="str">
        <f>MID(analisis_productividad__4[[#This Row],[Periodo]],1,4)</f>
        <v>2025</v>
      </c>
      <c r="D1250" t="str">
        <f>MID(analisis_productividad__4[[#This Row],[Periodo]],5,2)</f>
        <v>03</v>
      </c>
      <c r="E1250" t="s">
        <v>11</v>
      </c>
      <c r="F1250" t="s">
        <v>12</v>
      </c>
      <c r="G1250">
        <v>87425</v>
      </c>
      <c r="H1250">
        <v>5293162</v>
      </c>
      <c r="I1250">
        <v>60.545013440860238</v>
      </c>
      <c r="J1250">
        <v>85277.176250358156</v>
      </c>
      <c r="K1250">
        <v>66.5</v>
      </c>
      <c r="L1250">
        <v>63.5</v>
      </c>
      <c r="M1250">
        <v>62.070089357324036</v>
      </c>
      <c r="N1250">
        <v>5608921</v>
      </c>
    </row>
    <row r="1251" spans="1:14" x14ac:dyDescent="0.35">
      <c r="A1251" t="s">
        <v>66</v>
      </c>
      <c r="B1251">
        <v>202602</v>
      </c>
      <c r="C1251" t="str">
        <f>MID(analisis_productividad__4[[#This Row],[Periodo]],1,4)</f>
        <v>2026</v>
      </c>
      <c r="D1251" t="str">
        <f>MID(analisis_productividad__4[[#This Row],[Periodo]],5,2)</f>
        <v>02</v>
      </c>
      <c r="E1251" t="s">
        <v>11</v>
      </c>
      <c r="F1251" t="s">
        <v>12</v>
      </c>
      <c r="G1251">
        <v>87411</v>
      </c>
      <c r="H1251">
        <v>6261384</v>
      </c>
      <c r="I1251">
        <v>71.631614583333317</v>
      </c>
      <c r="J1251">
        <v>92600.887191461632</v>
      </c>
      <c r="K1251">
        <v>80</v>
      </c>
      <c r="L1251">
        <v>80.5</v>
      </c>
      <c r="M1251">
        <v>67.651321791845987</v>
      </c>
      <c r="N1251">
        <v>6264572</v>
      </c>
    </row>
    <row r="1252" spans="1:14" x14ac:dyDescent="0.35">
      <c r="A1252" t="s">
        <v>18</v>
      </c>
      <c r="B1252">
        <v>202504</v>
      </c>
      <c r="C1252" t="str">
        <f>MID(analisis_productividad__4[[#This Row],[Periodo]],1,4)</f>
        <v>2025</v>
      </c>
      <c r="D1252" t="str">
        <f>MID(analisis_productividad__4[[#This Row],[Periodo]],5,2)</f>
        <v>04</v>
      </c>
      <c r="E1252" t="s">
        <v>16</v>
      </c>
      <c r="F1252" t="s">
        <v>19</v>
      </c>
      <c r="G1252">
        <v>87396</v>
      </c>
      <c r="H1252">
        <v>5536075</v>
      </c>
      <c r="I1252">
        <v>63.344361111111148</v>
      </c>
      <c r="J1252">
        <v>82604.678894560231</v>
      </c>
      <c r="K1252">
        <v>70.5</v>
      </c>
      <c r="L1252">
        <v>69.5</v>
      </c>
      <c r="M1252">
        <v>67.018905636888391</v>
      </c>
      <c r="N1252">
        <v>5428027</v>
      </c>
    </row>
    <row r="1253" spans="1:14" x14ac:dyDescent="0.35">
      <c r="A1253" t="s">
        <v>56</v>
      </c>
      <c r="B1253">
        <v>202506</v>
      </c>
      <c r="C1253" t="str">
        <f>MID(analisis_productividad__4[[#This Row],[Periodo]],1,4)</f>
        <v>2025</v>
      </c>
      <c r="D1253" t="str">
        <f>MID(analisis_productividad__4[[#This Row],[Periodo]],5,2)</f>
        <v>06</v>
      </c>
      <c r="E1253" t="s">
        <v>16</v>
      </c>
      <c r="F1253" t="s">
        <v>21</v>
      </c>
      <c r="G1253">
        <v>87396</v>
      </c>
      <c r="H1253">
        <v>5554799</v>
      </c>
      <c r="I1253">
        <v>63.558638888888893</v>
      </c>
      <c r="J1253">
        <v>94464.08092611593</v>
      </c>
      <c r="K1253">
        <v>72.5</v>
      </c>
      <c r="L1253">
        <v>68.5</v>
      </c>
      <c r="M1253">
        <v>58.803291743711853</v>
      </c>
      <c r="N1253">
        <v>6008003</v>
      </c>
    </row>
    <row r="1254" spans="1:14" x14ac:dyDescent="0.35">
      <c r="A1254" t="s">
        <v>33</v>
      </c>
      <c r="B1254">
        <v>202403</v>
      </c>
      <c r="C1254" t="str">
        <f>MID(analisis_productividad__4[[#This Row],[Periodo]],1,4)</f>
        <v>2024</v>
      </c>
      <c r="D1254" t="str">
        <f>MID(analisis_productividad__4[[#This Row],[Periodo]],5,2)</f>
        <v>03</v>
      </c>
      <c r="E1254" t="s">
        <v>34</v>
      </c>
      <c r="F1254" t="s">
        <v>35</v>
      </c>
      <c r="G1254">
        <v>87374</v>
      </c>
      <c r="H1254">
        <v>1227250</v>
      </c>
      <c r="I1254">
        <v>14.045961021505375</v>
      </c>
      <c r="J1254">
        <v>0</v>
      </c>
      <c r="K1254">
        <v>15</v>
      </c>
      <c r="L1254">
        <v>15</v>
      </c>
      <c r="N1254">
        <v>0</v>
      </c>
    </row>
    <row r="1255" spans="1:14" x14ac:dyDescent="0.35">
      <c r="A1255" t="s">
        <v>74</v>
      </c>
      <c r="B1255">
        <v>202407</v>
      </c>
      <c r="C1255" t="str">
        <f>MID(analisis_productividad__4[[#This Row],[Periodo]],1,4)</f>
        <v>2024</v>
      </c>
      <c r="D1255" t="str">
        <f>MID(analisis_productividad__4[[#This Row],[Periodo]],5,2)</f>
        <v>07</v>
      </c>
      <c r="E1255" t="s">
        <v>16</v>
      </c>
      <c r="F1255" t="s">
        <v>19</v>
      </c>
      <c r="G1255">
        <v>87373</v>
      </c>
      <c r="H1255">
        <v>4416300</v>
      </c>
      <c r="I1255">
        <v>50.545598118279571</v>
      </c>
      <c r="J1255">
        <v>0</v>
      </c>
      <c r="K1255">
        <v>50.5</v>
      </c>
      <c r="L1255">
        <v>51.5</v>
      </c>
      <c r="N1255">
        <v>0</v>
      </c>
    </row>
    <row r="1256" spans="1:14" x14ac:dyDescent="0.35">
      <c r="A1256" t="s">
        <v>56</v>
      </c>
      <c r="B1256">
        <v>202502</v>
      </c>
      <c r="C1256" t="str">
        <f>MID(analisis_productividad__4[[#This Row],[Periodo]],1,4)</f>
        <v>2025</v>
      </c>
      <c r="D1256" t="str">
        <f>MID(analisis_productividad__4[[#This Row],[Periodo]],5,2)</f>
        <v>02</v>
      </c>
      <c r="E1256" t="s">
        <v>16</v>
      </c>
      <c r="F1256" t="s">
        <v>21</v>
      </c>
      <c r="G1256">
        <v>87358</v>
      </c>
      <c r="H1256">
        <v>5427544</v>
      </c>
      <c r="I1256">
        <v>62.129947916666666</v>
      </c>
      <c r="J1256">
        <v>91121.869439858448</v>
      </c>
      <c r="K1256">
        <v>72.5</v>
      </c>
      <c r="L1256">
        <v>68.5</v>
      </c>
      <c r="M1256">
        <v>59.563576047814152</v>
      </c>
      <c r="N1256">
        <v>5718677</v>
      </c>
    </row>
    <row r="1257" spans="1:14" x14ac:dyDescent="0.35">
      <c r="A1257" t="s">
        <v>81</v>
      </c>
      <c r="B1257">
        <v>202508</v>
      </c>
      <c r="C1257" t="str">
        <f>MID(analisis_productividad__4[[#This Row],[Periodo]],1,4)</f>
        <v>2025</v>
      </c>
      <c r="D1257" t="str">
        <f>MID(analisis_productividad__4[[#This Row],[Periodo]],5,2)</f>
        <v>08</v>
      </c>
      <c r="E1257" t="s">
        <v>34</v>
      </c>
      <c r="F1257" t="s">
        <v>35</v>
      </c>
      <c r="G1257">
        <v>87343</v>
      </c>
      <c r="H1257">
        <v>7530769</v>
      </c>
      <c r="I1257">
        <v>86.22071236559141</v>
      </c>
      <c r="J1257">
        <v>86572.720314740698</v>
      </c>
      <c r="K1257">
        <v>106</v>
      </c>
      <c r="L1257">
        <v>94.5</v>
      </c>
      <c r="M1257">
        <v>86.987777588845574</v>
      </c>
      <c r="N1257">
        <v>7661773</v>
      </c>
    </row>
    <row r="1258" spans="1:14" x14ac:dyDescent="0.35">
      <c r="A1258" t="s">
        <v>47</v>
      </c>
      <c r="B1258">
        <v>202509</v>
      </c>
      <c r="C1258" t="str">
        <f>MID(analisis_productividad__4[[#This Row],[Periodo]],1,4)</f>
        <v>2025</v>
      </c>
      <c r="D1258" t="str">
        <f>MID(analisis_productividad__4[[#This Row],[Periodo]],5,2)</f>
        <v>09</v>
      </c>
      <c r="E1258" t="s">
        <v>11</v>
      </c>
      <c r="F1258" t="s">
        <v>14</v>
      </c>
      <c r="G1258">
        <v>87335</v>
      </c>
      <c r="H1258">
        <v>4038238</v>
      </c>
      <c r="I1258">
        <v>46.238256944444473</v>
      </c>
      <c r="J1258">
        <v>83291.305498924368</v>
      </c>
      <c r="K1258">
        <v>61.5</v>
      </c>
      <c r="L1258">
        <v>48.5</v>
      </c>
      <c r="M1258">
        <v>48.483309582080572</v>
      </c>
      <c r="N1258">
        <v>4838014</v>
      </c>
    </row>
    <row r="1259" spans="1:14" x14ac:dyDescent="0.35">
      <c r="A1259" t="s">
        <v>69</v>
      </c>
      <c r="B1259">
        <v>202601</v>
      </c>
      <c r="C1259" t="str">
        <f>MID(analisis_productividad__4[[#This Row],[Periodo]],1,4)</f>
        <v>2026</v>
      </c>
      <c r="D1259" t="str">
        <f>MID(analisis_productividad__4[[#This Row],[Periodo]],5,2)</f>
        <v>01</v>
      </c>
      <c r="E1259" t="s">
        <v>11</v>
      </c>
      <c r="F1259" t="s">
        <v>52</v>
      </c>
      <c r="G1259">
        <v>87330</v>
      </c>
      <c r="H1259">
        <v>4844291</v>
      </c>
      <c r="I1259">
        <v>55.470860215053769</v>
      </c>
      <c r="J1259">
        <v>90386.273826044213</v>
      </c>
      <c r="K1259">
        <v>68</v>
      </c>
      <c r="L1259">
        <v>60.5</v>
      </c>
      <c r="M1259">
        <v>56.717795741490448</v>
      </c>
      <c r="N1259">
        <v>5126510</v>
      </c>
    </row>
    <row r="1260" spans="1:14" x14ac:dyDescent="0.35">
      <c r="A1260" t="s">
        <v>32</v>
      </c>
      <c r="B1260">
        <v>202402</v>
      </c>
      <c r="C1260" t="str">
        <f>MID(analisis_productividad__4[[#This Row],[Periodo]],1,4)</f>
        <v>2024</v>
      </c>
      <c r="D1260" t="str">
        <f>MID(analisis_productividad__4[[#This Row],[Periodo]],5,2)</f>
        <v>02</v>
      </c>
      <c r="E1260" t="s">
        <v>11</v>
      </c>
      <c r="F1260" t="s">
        <v>12</v>
      </c>
      <c r="G1260">
        <v>87322</v>
      </c>
      <c r="H1260">
        <v>5434013</v>
      </c>
      <c r="I1260">
        <v>62.229698275862056</v>
      </c>
      <c r="J1260">
        <v>0</v>
      </c>
      <c r="K1260">
        <v>65.5</v>
      </c>
      <c r="L1260">
        <v>66</v>
      </c>
      <c r="N1260">
        <v>0</v>
      </c>
    </row>
    <row r="1261" spans="1:14" x14ac:dyDescent="0.35">
      <c r="A1261" t="s">
        <v>72</v>
      </c>
      <c r="B1261">
        <v>202504</v>
      </c>
      <c r="C1261" t="str">
        <f>MID(analisis_productividad__4[[#This Row],[Periodo]],1,4)</f>
        <v>2025</v>
      </c>
      <c r="D1261" t="str">
        <f>MID(analisis_productividad__4[[#This Row],[Periodo]],5,2)</f>
        <v>04</v>
      </c>
      <c r="E1261" t="s">
        <v>11</v>
      </c>
      <c r="F1261" t="s">
        <v>14</v>
      </c>
      <c r="G1261">
        <v>87303</v>
      </c>
      <c r="H1261">
        <v>4860857</v>
      </c>
      <c r="I1261">
        <v>55.677999999999997</v>
      </c>
      <c r="J1261">
        <v>78869.770872055917</v>
      </c>
      <c r="K1261">
        <v>66</v>
      </c>
      <c r="L1261">
        <v>64.5</v>
      </c>
      <c r="M1261">
        <v>61.631432629433867</v>
      </c>
      <c r="N1261">
        <v>5200934</v>
      </c>
    </row>
    <row r="1262" spans="1:14" x14ac:dyDescent="0.35">
      <c r="A1262" t="s">
        <v>94</v>
      </c>
      <c r="B1262">
        <v>202503</v>
      </c>
      <c r="C1262" t="str">
        <f>MID(analisis_productividad__4[[#This Row],[Periodo]],1,4)</f>
        <v>2025</v>
      </c>
      <c r="D1262" t="str">
        <f>MID(analisis_productividad__4[[#This Row],[Periodo]],5,2)</f>
        <v>03</v>
      </c>
      <c r="E1262" t="s">
        <v>11</v>
      </c>
      <c r="F1262" t="s">
        <v>52</v>
      </c>
      <c r="G1262">
        <v>87298</v>
      </c>
      <c r="H1262">
        <v>5878384</v>
      </c>
      <c r="I1262">
        <v>67.336989247311834</v>
      </c>
      <c r="J1262">
        <v>79522.2157276199</v>
      </c>
      <c r="K1262">
        <v>75.5</v>
      </c>
      <c r="L1262">
        <v>70.5</v>
      </c>
      <c r="M1262">
        <v>73.921283080625997</v>
      </c>
      <c r="N1262">
        <v>6235173</v>
      </c>
    </row>
    <row r="1263" spans="1:14" x14ac:dyDescent="0.35">
      <c r="A1263" t="s">
        <v>60</v>
      </c>
      <c r="B1263">
        <v>202406</v>
      </c>
      <c r="C1263" t="str">
        <f>MID(analisis_productividad__4[[#This Row],[Periodo]],1,4)</f>
        <v>2024</v>
      </c>
      <c r="D1263" t="str">
        <f>MID(analisis_productividad__4[[#This Row],[Periodo]],5,2)</f>
        <v>06</v>
      </c>
      <c r="E1263" t="s">
        <v>11</v>
      </c>
      <c r="F1263" t="s">
        <v>14</v>
      </c>
      <c r="G1263">
        <v>87298</v>
      </c>
      <c r="H1263">
        <v>6544105</v>
      </c>
      <c r="I1263">
        <v>74.962951388888882</v>
      </c>
      <c r="J1263">
        <v>0</v>
      </c>
      <c r="K1263">
        <v>75.5</v>
      </c>
      <c r="L1263">
        <v>74</v>
      </c>
      <c r="N1263">
        <v>0</v>
      </c>
    </row>
    <row r="1264" spans="1:14" x14ac:dyDescent="0.35">
      <c r="A1264" t="s">
        <v>61</v>
      </c>
      <c r="B1264">
        <v>202404</v>
      </c>
      <c r="C1264" t="str">
        <f>MID(analisis_productividad__4[[#This Row],[Periodo]],1,4)</f>
        <v>2024</v>
      </c>
      <c r="D1264" t="str">
        <f>MID(analisis_productividad__4[[#This Row],[Periodo]],5,2)</f>
        <v>04</v>
      </c>
      <c r="E1264" t="s">
        <v>11</v>
      </c>
      <c r="F1264" t="s">
        <v>52</v>
      </c>
      <c r="G1264">
        <v>87297</v>
      </c>
      <c r="H1264">
        <v>8466780</v>
      </c>
      <c r="I1264">
        <v>96.988159722222207</v>
      </c>
      <c r="J1264">
        <v>0</v>
      </c>
      <c r="K1264">
        <v>104.5</v>
      </c>
      <c r="L1264">
        <v>99</v>
      </c>
      <c r="N1264">
        <v>0</v>
      </c>
    </row>
    <row r="1265" spans="1:14" x14ac:dyDescent="0.35">
      <c r="A1265" t="s">
        <v>77</v>
      </c>
      <c r="B1265">
        <v>202602</v>
      </c>
      <c r="C1265" t="str">
        <f>MID(analisis_productividad__4[[#This Row],[Periodo]],1,4)</f>
        <v>2026</v>
      </c>
      <c r="D1265" t="str">
        <f>MID(analisis_productividad__4[[#This Row],[Periodo]],5,2)</f>
        <v>02</v>
      </c>
      <c r="E1265" t="s">
        <v>16</v>
      </c>
      <c r="F1265" t="s">
        <v>21</v>
      </c>
      <c r="G1265">
        <v>87288</v>
      </c>
      <c r="H1265">
        <v>4656237</v>
      </c>
      <c r="I1265">
        <v>53.343229166666674</v>
      </c>
      <c r="J1265">
        <v>80960.752207412603</v>
      </c>
      <c r="K1265">
        <v>60.5</v>
      </c>
      <c r="L1265">
        <v>60.5</v>
      </c>
      <c r="M1265">
        <v>53.343390369396616</v>
      </c>
      <c r="N1265">
        <v>4318721</v>
      </c>
    </row>
    <row r="1266" spans="1:14" x14ac:dyDescent="0.35">
      <c r="A1266" t="s">
        <v>48</v>
      </c>
      <c r="B1266">
        <v>202507</v>
      </c>
      <c r="C1266" t="str">
        <f>MID(analisis_productividad__4[[#This Row],[Periodo]],1,4)</f>
        <v>2025</v>
      </c>
      <c r="D1266" t="str">
        <f>MID(analisis_productividad__4[[#This Row],[Periodo]],5,2)</f>
        <v>07</v>
      </c>
      <c r="E1266" t="s">
        <v>16</v>
      </c>
      <c r="F1266" t="s">
        <v>21</v>
      </c>
      <c r="G1266">
        <v>87275</v>
      </c>
      <c r="H1266">
        <v>4534973</v>
      </c>
      <c r="I1266">
        <v>51.962157258064529</v>
      </c>
      <c r="J1266">
        <v>86410.718220186798</v>
      </c>
      <c r="K1266">
        <v>56</v>
      </c>
      <c r="L1266">
        <v>60</v>
      </c>
      <c r="M1266">
        <v>52.481602090660154</v>
      </c>
      <c r="N1266">
        <v>5134999</v>
      </c>
    </row>
    <row r="1267" spans="1:14" x14ac:dyDescent="0.35">
      <c r="A1267" t="s">
        <v>67</v>
      </c>
      <c r="B1267">
        <v>202401</v>
      </c>
      <c r="C1267" t="str">
        <f>MID(analisis_productividad__4[[#This Row],[Periodo]],1,4)</f>
        <v>2024</v>
      </c>
      <c r="D1267" t="str">
        <f>MID(analisis_productividad__4[[#This Row],[Periodo]],5,2)</f>
        <v>01</v>
      </c>
      <c r="E1267" t="s">
        <v>16</v>
      </c>
      <c r="F1267" t="s">
        <v>19</v>
      </c>
      <c r="G1267">
        <v>87270</v>
      </c>
      <c r="H1267">
        <v>5763831</v>
      </c>
      <c r="I1267">
        <v>66.046223118279599</v>
      </c>
      <c r="J1267">
        <v>0</v>
      </c>
      <c r="K1267">
        <v>79.5</v>
      </c>
      <c r="L1267">
        <v>81.5</v>
      </c>
      <c r="N1267">
        <v>0</v>
      </c>
    </row>
    <row r="1268" spans="1:14" x14ac:dyDescent="0.35">
      <c r="A1268" t="s">
        <v>83</v>
      </c>
      <c r="B1268">
        <v>202602</v>
      </c>
      <c r="C1268" t="str">
        <f>MID(analisis_productividad__4[[#This Row],[Periodo]],1,4)</f>
        <v>2026</v>
      </c>
      <c r="D1268" t="str">
        <f>MID(analisis_productividad__4[[#This Row],[Periodo]],5,2)</f>
        <v>02</v>
      </c>
      <c r="E1268" t="s">
        <v>16</v>
      </c>
      <c r="F1268" t="s">
        <v>17</v>
      </c>
      <c r="G1268">
        <v>87250</v>
      </c>
      <c r="H1268">
        <v>3532325</v>
      </c>
      <c r="I1268">
        <v>40.485312499999992</v>
      </c>
      <c r="J1268">
        <v>72088.089584617221</v>
      </c>
      <c r="K1268">
        <v>52</v>
      </c>
      <c r="L1268">
        <v>52</v>
      </c>
      <c r="M1268">
        <v>46.517920556956689</v>
      </c>
      <c r="N1268">
        <v>3353388</v>
      </c>
    </row>
    <row r="1269" spans="1:14" x14ac:dyDescent="0.35">
      <c r="A1269" t="s">
        <v>106</v>
      </c>
      <c r="B1269">
        <v>202503</v>
      </c>
      <c r="C1269" t="str">
        <f>MID(analisis_productividad__4[[#This Row],[Periodo]],1,4)</f>
        <v>2025</v>
      </c>
      <c r="D1269" t="str">
        <f>MID(analisis_productividad__4[[#This Row],[Periodo]],5,2)</f>
        <v>03</v>
      </c>
      <c r="E1269" t="s">
        <v>34</v>
      </c>
      <c r="F1269" t="s">
        <v>35</v>
      </c>
      <c r="G1269">
        <v>87246</v>
      </c>
      <c r="H1269">
        <v>3715064</v>
      </c>
      <c r="I1269">
        <v>42.581451612903223</v>
      </c>
      <c r="J1269">
        <v>85995.825190307238</v>
      </c>
      <c r="K1269">
        <v>51</v>
      </c>
      <c r="L1269">
        <v>49</v>
      </c>
      <c r="M1269">
        <v>43.200518650511562</v>
      </c>
      <c r="N1269">
        <v>3717322</v>
      </c>
    </row>
    <row r="1270" spans="1:14" x14ac:dyDescent="0.35">
      <c r="A1270" t="s">
        <v>62</v>
      </c>
      <c r="B1270">
        <v>202411</v>
      </c>
      <c r="C1270" t="str">
        <f>MID(analisis_productividad__4[[#This Row],[Periodo]],1,4)</f>
        <v>2024</v>
      </c>
      <c r="D1270" t="str">
        <f>MID(analisis_productividad__4[[#This Row],[Periodo]],5,2)</f>
        <v>11</v>
      </c>
      <c r="E1270" t="s">
        <v>16</v>
      </c>
      <c r="F1270" t="s">
        <v>17</v>
      </c>
      <c r="G1270">
        <v>87230</v>
      </c>
      <c r="H1270">
        <v>2466822</v>
      </c>
      <c r="I1270">
        <v>28.279465277777778</v>
      </c>
      <c r="J1270">
        <v>0</v>
      </c>
      <c r="K1270">
        <v>32.5</v>
      </c>
      <c r="L1270">
        <v>32</v>
      </c>
      <c r="N1270">
        <v>0</v>
      </c>
    </row>
    <row r="1271" spans="1:14" x14ac:dyDescent="0.35">
      <c r="A1271" t="s">
        <v>53</v>
      </c>
      <c r="B1271">
        <v>202510</v>
      </c>
      <c r="C1271" t="str">
        <f>MID(analisis_productividad__4[[#This Row],[Periodo]],1,4)</f>
        <v>2025</v>
      </c>
      <c r="D1271" t="str">
        <f>MID(analisis_productividad__4[[#This Row],[Periodo]],5,2)</f>
        <v>10</v>
      </c>
      <c r="E1271" t="s">
        <v>11</v>
      </c>
      <c r="F1271" t="s">
        <v>12</v>
      </c>
      <c r="G1271">
        <v>87219</v>
      </c>
      <c r="H1271">
        <v>5980175</v>
      </c>
      <c r="I1271">
        <v>68.564952956989288</v>
      </c>
      <c r="J1271">
        <v>90137.211039756046</v>
      </c>
      <c r="K1271">
        <v>81</v>
      </c>
      <c r="L1271">
        <v>77</v>
      </c>
      <c r="M1271">
        <v>66.345240783657886</v>
      </c>
      <c r="N1271">
        <v>6886414</v>
      </c>
    </row>
    <row r="1272" spans="1:14" x14ac:dyDescent="0.35">
      <c r="A1272" t="s">
        <v>33</v>
      </c>
      <c r="B1272">
        <v>202411</v>
      </c>
      <c r="C1272" t="str">
        <f>MID(analisis_productividad__4[[#This Row],[Periodo]],1,4)</f>
        <v>2024</v>
      </c>
      <c r="D1272" t="str">
        <f>MID(analisis_productividad__4[[#This Row],[Periodo]],5,2)</f>
        <v>11</v>
      </c>
      <c r="E1272" t="s">
        <v>34</v>
      </c>
      <c r="F1272" t="s">
        <v>35</v>
      </c>
      <c r="G1272">
        <v>87208</v>
      </c>
      <c r="H1272">
        <v>1034963</v>
      </c>
      <c r="I1272">
        <v>11.867770833333337</v>
      </c>
      <c r="J1272">
        <v>0</v>
      </c>
      <c r="K1272">
        <v>15</v>
      </c>
      <c r="L1272">
        <v>15</v>
      </c>
      <c r="N1272">
        <v>0</v>
      </c>
    </row>
    <row r="1273" spans="1:14" x14ac:dyDescent="0.35">
      <c r="A1273" t="s">
        <v>48</v>
      </c>
      <c r="B1273">
        <v>202510</v>
      </c>
      <c r="C1273" t="str">
        <f>MID(analisis_productividad__4[[#This Row],[Periodo]],1,4)</f>
        <v>2025</v>
      </c>
      <c r="D1273" t="str">
        <f>MID(analisis_productividad__4[[#This Row],[Periodo]],5,2)</f>
        <v>10</v>
      </c>
      <c r="E1273" t="s">
        <v>16</v>
      </c>
      <c r="F1273" t="s">
        <v>21</v>
      </c>
      <c r="G1273">
        <v>87204</v>
      </c>
      <c r="H1273">
        <v>4547677</v>
      </c>
      <c r="I1273">
        <v>52.149623655913977</v>
      </c>
      <c r="J1273">
        <v>63948.471683267766</v>
      </c>
      <c r="K1273">
        <v>56</v>
      </c>
      <c r="L1273">
        <v>60</v>
      </c>
      <c r="M1273">
        <v>71.114711740482576</v>
      </c>
      <c r="N1273">
        <v>4088628</v>
      </c>
    </row>
    <row r="1274" spans="1:14" x14ac:dyDescent="0.35">
      <c r="A1274" t="s">
        <v>74</v>
      </c>
      <c r="B1274">
        <v>202511</v>
      </c>
      <c r="C1274" t="str">
        <f>MID(analisis_productividad__4[[#This Row],[Periodo]],1,4)</f>
        <v>2025</v>
      </c>
      <c r="D1274" t="str">
        <f>MID(analisis_productividad__4[[#This Row],[Periodo]],5,2)</f>
        <v>11</v>
      </c>
      <c r="E1274" t="s">
        <v>16</v>
      </c>
      <c r="F1274" t="s">
        <v>19</v>
      </c>
      <c r="G1274">
        <v>87188</v>
      </c>
      <c r="H1274">
        <v>3819231</v>
      </c>
      <c r="I1274">
        <v>43.804541666666665</v>
      </c>
      <c r="J1274">
        <v>81064.841904024404</v>
      </c>
      <c r="K1274">
        <v>50.5</v>
      </c>
      <c r="L1274">
        <v>51.5</v>
      </c>
      <c r="M1274">
        <v>47.113290179751743</v>
      </c>
      <c r="N1274">
        <v>3728800</v>
      </c>
    </row>
    <row r="1275" spans="1:14" x14ac:dyDescent="0.35">
      <c r="A1275" t="s">
        <v>54</v>
      </c>
      <c r="B1275">
        <v>202406</v>
      </c>
      <c r="C1275" t="str">
        <f>MID(analisis_productividad__4[[#This Row],[Periodo]],1,4)</f>
        <v>2024</v>
      </c>
      <c r="D1275" t="str">
        <f>MID(analisis_productividad__4[[#This Row],[Periodo]],5,2)</f>
        <v>06</v>
      </c>
      <c r="E1275" t="s">
        <v>11</v>
      </c>
      <c r="F1275" t="s">
        <v>52</v>
      </c>
      <c r="G1275">
        <v>87187</v>
      </c>
      <c r="H1275">
        <v>9076590</v>
      </c>
      <c r="I1275">
        <v>104.10511805555551</v>
      </c>
      <c r="J1275">
        <v>0</v>
      </c>
      <c r="K1275">
        <v>106</v>
      </c>
      <c r="L1275">
        <v>102.5</v>
      </c>
      <c r="N1275">
        <v>0</v>
      </c>
    </row>
    <row r="1276" spans="1:14" x14ac:dyDescent="0.35">
      <c r="A1276" t="s">
        <v>44</v>
      </c>
      <c r="B1276">
        <v>202404</v>
      </c>
      <c r="C1276" t="str">
        <f>MID(analisis_productividad__4[[#This Row],[Periodo]],1,4)</f>
        <v>2024</v>
      </c>
      <c r="D1276" t="str">
        <f>MID(analisis_productividad__4[[#This Row],[Periodo]],5,2)</f>
        <v>04</v>
      </c>
      <c r="E1276" t="s">
        <v>11</v>
      </c>
      <c r="F1276" t="s">
        <v>12</v>
      </c>
      <c r="G1276">
        <v>87187</v>
      </c>
      <c r="H1276">
        <v>5729311</v>
      </c>
      <c r="I1276">
        <v>65.713083333333373</v>
      </c>
      <c r="J1276">
        <v>0</v>
      </c>
      <c r="K1276">
        <v>78</v>
      </c>
      <c r="L1276">
        <v>74.5</v>
      </c>
      <c r="N1276">
        <v>0</v>
      </c>
    </row>
    <row r="1277" spans="1:14" x14ac:dyDescent="0.35">
      <c r="A1277" t="s">
        <v>18</v>
      </c>
      <c r="B1277">
        <v>202401</v>
      </c>
      <c r="C1277" t="str">
        <f>MID(analisis_productividad__4[[#This Row],[Periodo]],1,4)</f>
        <v>2024</v>
      </c>
      <c r="D1277" t="str">
        <f>MID(analisis_productividad__4[[#This Row],[Periodo]],5,2)</f>
        <v>01</v>
      </c>
      <c r="E1277" t="s">
        <v>16</v>
      </c>
      <c r="F1277" t="s">
        <v>19</v>
      </c>
      <c r="G1277">
        <v>87174</v>
      </c>
      <c r="H1277">
        <v>5093762</v>
      </c>
      <c r="I1277">
        <v>58.432311827957001</v>
      </c>
      <c r="J1277">
        <v>0</v>
      </c>
      <c r="K1277">
        <v>70.5</v>
      </c>
      <c r="L1277">
        <v>69.5</v>
      </c>
      <c r="N1277">
        <v>0</v>
      </c>
    </row>
    <row r="1278" spans="1:14" x14ac:dyDescent="0.35">
      <c r="A1278" t="s">
        <v>46</v>
      </c>
      <c r="B1278">
        <v>202510</v>
      </c>
      <c r="C1278" t="str">
        <f>MID(analisis_productividad__4[[#This Row],[Periodo]],1,4)</f>
        <v>2025</v>
      </c>
      <c r="D1278" t="str">
        <f>MID(analisis_productividad__4[[#This Row],[Periodo]],5,2)</f>
        <v>10</v>
      </c>
      <c r="E1278" t="s">
        <v>11</v>
      </c>
      <c r="F1278" t="s">
        <v>14</v>
      </c>
      <c r="G1278">
        <v>87153</v>
      </c>
      <c r="H1278">
        <v>5913473</v>
      </c>
      <c r="I1278">
        <v>67.851592741935505</v>
      </c>
      <c r="J1278">
        <v>95995.860151513451</v>
      </c>
      <c r="K1278">
        <v>77</v>
      </c>
      <c r="L1278">
        <v>79</v>
      </c>
      <c r="M1278">
        <v>61.601331772709486</v>
      </c>
      <c r="N1278">
        <v>6414009</v>
      </c>
    </row>
    <row r="1279" spans="1:14" x14ac:dyDescent="0.35">
      <c r="A1279" t="s">
        <v>43</v>
      </c>
      <c r="B1279">
        <v>202405</v>
      </c>
      <c r="C1279" t="str">
        <f>MID(analisis_productividad__4[[#This Row],[Periodo]],1,4)</f>
        <v>2024</v>
      </c>
      <c r="D1279" t="str">
        <f>MID(analisis_productividad__4[[#This Row],[Periodo]],5,2)</f>
        <v>05</v>
      </c>
      <c r="E1279" t="s">
        <v>11</v>
      </c>
      <c r="F1279" t="s">
        <v>12</v>
      </c>
      <c r="G1279">
        <v>87152</v>
      </c>
      <c r="H1279">
        <v>6620642</v>
      </c>
      <c r="I1279">
        <v>75.966465053763471</v>
      </c>
      <c r="J1279">
        <v>0</v>
      </c>
      <c r="K1279">
        <v>84.5</v>
      </c>
      <c r="L1279">
        <v>86.5</v>
      </c>
      <c r="N1279">
        <v>0</v>
      </c>
    </row>
    <row r="1280" spans="1:14" x14ac:dyDescent="0.35">
      <c r="A1280" t="s">
        <v>24</v>
      </c>
      <c r="B1280">
        <v>202410</v>
      </c>
      <c r="C1280" t="str">
        <f>MID(analisis_productividad__4[[#This Row],[Periodo]],1,4)</f>
        <v>2024</v>
      </c>
      <c r="D1280" t="str">
        <f>MID(analisis_productividad__4[[#This Row],[Periodo]],5,2)</f>
        <v>10</v>
      </c>
      <c r="E1280" t="s">
        <v>16</v>
      </c>
      <c r="F1280" t="s">
        <v>21</v>
      </c>
      <c r="G1280">
        <v>87141</v>
      </c>
      <c r="H1280">
        <v>8555887</v>
      </c>
      <c r="I1280">
        <v>98.183938172042915</v>
      </c>
      <c r="J1280">
        <v>0</v>
      </c>
      <c r="K1280">
        <v>125</v>
      </c>
      <c r="L1280">
        <v>118.5</v>
      </c>
      <c r="N1280">
        <v>0</v>
      </c>
    </row>
    <row r="1281" spans="1:14" x14ac:dyDescent="0.35">
      <c r="A1281" t="s">
        <v>97</v>
      </c>
      <c r="B1281">
        <v>202505</v>
      </c>
      <c r="C1281" t="str">
        <f>MID(analisis_productividad__4[[#This Row],[Periodo]],1,4)</f>
        <v>2025</v>
      </c>
      <c r="D1281" t="str">
        <f>MID(analisis_productividad__4[[#This Row],[Periodo]],5,2)</f>
        <v>05</v>
      </c>
      <c r="E1281" t="s">
        <v>11</v>
      </c>
      <c r="F1281" t="s">
        <v>12</v>
      </c>
      <c r="G1281">
        <v>87126</v>
      </c>
      <c r="H1281">
        <v>4736377</v>
      </c>
      <c r="I1281">
        <v>54.362668010752678</v>
      </c>
      <c r="J1281">
        <v>76325.155710767242</v>
      </c>
      <c r="K1281">
        <v>66.5</v>
      </c>
      <c r="L1281">
        <v>63.5</v>
      </c>
      <c r="M1281">
        <v>62.055261281724924</v>
      </c>
      <c r="N1281">
        <v>5071062</v>
      </c>
    </row>
    <row r="1282" spans="1:14" x14ac:dyDescent="0.35">
      <c r="A1282" t="s">
        <v>70</v>
      </c>
      <c r="B1282">
        <v>202502</v>
      </c>
      <c r="C1282" t="str">
        <f>MID(analisis_productividad__4[[#This Row],[Periodo]],1,4)</f>
        <v>2025</v>
      </c>
      <c r="D1282" t="str">
        <f>MID(analisis_productividad__4[[#This Row],[Periodo]],5,2)</f>
        <v>02</v>
      </c>
      <c r="E1282" t="s">
        <v>11</v>
      </c>
      <c r="F1282" t="s">
        <v>14</v>
      </c>
      <c r="G1282">
        <v>87101</v>
      </c>
      <c r="H1282">
        <v>4835070</v>
      </c>
      <c r="I1282">
        <v>55.511302083333355</v>
      </c>
      <c r="J1282">
        <v>82839.828761386292</v>
      </c>
      <c r="K1282">
        <v>65</v>
      </c>
      <c r="L1282">
        <v>67.5</v>
      </c>
      <c r="M1282">
        <v>58.366483759002477</v>
      </c>
      <c r="N1282">
        <v>4685103</v>
      </c>
    </row>
    <row r="1283" spans="1:14" x14ac:dyDescent="0.35">
      <c r="A1283" t="s">
        <v>32</v>
      </c>
      <c r="B1283">
        <v>202401</v>
      </c>
      <c r="C1283" t="str">
        <f>MID(analisis_productividad__4[[#This Row],[Periodo]],1,4)</f>
        <v>2024</v>
      </c>
      <c r="D1283" t="str">
        <f>MID(analisis_productividad__4[[#This Row],[Periodo]],5,2)</f>
        <v>01</v>
      </c>
      <c r="E1283" t="s">
        <v>11</v>
      </c>
      <c r="F1283" t="s">
        <v>12</v>
      </c>
      <c r="G1283">
        <v>87030</v>
      </c>
      <c r="H1283">
        <v>5218175</v>
      </c>
      <c r="I1283">
        <v>59.958293010752683</v>
      </c>
      <c r="J1283">
        <v>0</v>
      </c>
      <c r="K1283">
        <v>65.5</v>
      </c>
      <c r="L1283">
        <v>66</v>
      </c>
      <c r="N1283">
        <v>0</v>
      </c>
    </row>
    <row r="1284" spans="1:14" x14ac:dyDescent="0.35">
      <c r="A1284" t="s">
        <v>40</v>
      </c>
      <c r="B1284">
        <v>202502</v>
      </c>
      <c r="C1284" t="str">
        <f>MID(analisis_productividad__4[[#This Row],[Periodo]],1,4)</f>
        <v>2025</v>
      </c>
      <c r="D1284" t="str">
        <f>MID(analisis_productividad__4[[#This Row],[Periodo]],5,2)</f>
        <v>02</v>
      </c>
      <c r="E1284" t="s">
        <v>11</v>
      </c>
      <c r="F1284" t="s">
        <v>14</v>
      </c>
      <c r="G1284">
        <v>87024</v>
      </c>
      <c r="H1284">
        <v>5980202</v>
      </c>
      <c r="I1284">
        <v>68.718854166666659</v>
      </c>
      <c r="J1284">
        <v>99203.497821408877</v>
      </c>
      <c r="K1284">
        <v>76.5</v>
      </c>
      <c r="L1284">
        <v>75.5</v>
      </c>
      <c r="M1284">
        <v>60.282173424629242</v>
      </c>
      <c r="N1284">
        <v>6805566</v>
      </c>
    </row>
    <row r="1285" spans="1:14" x14ac:dyDescent="0.35">
      <c r="A1285" t="s">
        <v>70</v>
      </c>
      <c r="B1285">
        <v>202507</v>
      </c>
      <c r="C1285" t="str">
        <f>MID(analisis_productividad__4[[#This Row],[Periodo]],1,4)</f>
        <v>2025</v>
      </c>
      <c r="D1285" t="str">
        <f>MID(analisis_productividad__4[[#This Row],[Periodo]],5,2)</f>
        <v>07</v>
      </c>
      <c r="E1285" t="s">
        <v>11</v>
      </c>
      <c r="F1285" t="s">
        <v>14</v>
      </c>
      <c r="G1285">
        <v>87021</v>
      </c>
      <c r="H1285">
        <v>4899458</v>
      </c>
      <c r="I1285">
        <v>56.301733870967773</v>
      </c>
      <c r="J1285">
        <v>93016.031764996616</v>
      </c>
      <c r="K1285">
        <v>65</v>
      </c>
      <c r="L1285">
        <v>67.5</v>
      </c>
      <c r="M1285">
        <v>52.673260587791944</v>
      </c>
      <c r="N1285">
        <v>5250059</v>
      </c>
    </row>
    <row r="1286" spans="1:14" x14ac:dyDescent="0.35">
      <c r="A1286" t="s">
        <v>83</v>
      </c>
      <c r="B1286">
        <v>202605</v>
      </c>
      <c r="C1286" t="str">
        <f>MID(analisis_productividad__4[[#This Row],[Periodo]],1,4)</f>
        <v>2026</v>
      </c>
      <c r="D1286" t="str">
        <f>MID(analisis_productividad__4[[#This Row],[Periodo]],5,2)</f>
        <v>05</v>
      </c>
      <c r="E1286" t="s">
        <v>16</v>
      </c>
      <c r="F1286" t="s">
        <v>17</v>
      </c>
      <c r="G1286">
        <v>87014</v>
      </c>
      <c r="H1286">
        <v>3902377</v>
      </c>
      <c r="I1286">
        <v>44.847466397849821</v>
      </c>
      <c r="J1286">
        <v>81315.949645008586</v>
      </c>
      <c r="K1286">
        <v>52</v>
      </c>
      <c r="L1286">
        <v>52</v>
      </c>
      <c r="M1286">
        <v>46.517920556956689</v>
      </c>
      <c r="N1286">
        <v>3782649</v>
      </c>
    </row>
    <row r="1287" spans="1:14" x14ac:dyDescent="0.35">
      <c r="A1287" t="s">
        <v>42</v>
      </c>
      <c r="B1287">
        <v>202403</v>
      </c>
      <c r="C1287" t="str">
        <f>MID(analisis_productividad__4[[#This Row],[Periodo]],1,4)</f>
        <v>2024</v>
      </c>
      <c r="D1287" t="str">
        <f>MID(analisis_productividad__4[[#This Row],[Periodo]],5,2)</f>
        <v>03</v>
      </c>
      <c r="E1287" t="s">
        <v>16</v>
      </c>
      <c r="F1287" t="s">
        <v>19</v>
      </c>
      <c r="G1287">
        <v>87008</v>
      </c>
      <c r="H1287">
        <v>5636219</v>
      </c>
      <c r="I1287">
        <v>64.778319892473093</v>
      </c>
      <c r="J1287">
        <v>0</v>
      </c>
      <c r="K1287">
        <v>62</v>
      </c>
      <c r="L1287">
        <v>58</v>
      </c>
      <c r="N1287">
        <v>0</v>
      </c>
    </row>
    <row r="1288" spans="1:14" x14ac:dyDescent="0.35">
      <c r="A1288" t="s">
        <v>65</v>
      </c>
      <c r="B1288">
        <v>202408</v>
      </c>
      <c r="C1288" t="str">
        <f>MID(analisis_productividad__4[[#This Row],[Periodo]],1,4)</f>
        <v>2024</v>
      </c>
      <c r="D1288" t="str">
        <f>MID(analisis_productividad__4[[#This Row],[Periodo]],5,2)</f>
        <v>08</v>
      </c>
      <c r="E1288" t="s">
        <v>16</v>
      </c>
      <c r="F1288" t="s">
        <v>19</v>
      </c>
      <c r="G1288">
        <v>87006</v>
      </c>
      <c r="H1288">
        <v>5302083</v>
      </c>
      <c r="I1288">
        <v>60.939233870967719</v>
      </c>
      <c r="J1288">
        <v>0</v>
      </c>
      <c r="K1288">
        <v>68</v>
      </c>
      <c r="L1288">
        <v>68.5</v>
      </c>
      <c r="N1288">
        <v>0</v>
      </c>
    </row>
    <row r="1289" spans="1:14" x14ac:dyDescent="0.35">
      <c r="A1289" t="s">
        <v>57</v>
      </c>
      <c r="B1289">
        <v>202402</v>
      </c>
      <c r="C1289" t="str">
        <f>MID(analisis_productividad__4[[#This Row],[Periodo]],1,4)</f>
        <v>2024</v>
      </c>
      <c r="D1289" t="str">
        <f>MID(analisis_productividad__4[[#This Row],[Periodo]],5,2)</f>
        <v>02</v>
      </c>
      <c r="E1289" t="s">
        <v>16</v>
      </c>
      <c r="F1289" t="s">
        <v>19</v>
      </c>
      <c r="G1289">
        <v>87002</v>
      </c>
      <c r="H1289">
        <v>5736192</v>
      </c>
      <c r="I1289">
        <v>65.932054597701182</v>
      </c>
      <c r="J1289">
        <v>0</v>
      </c>
      <c r="K1289">
        <v>71</v>
      </c>
      <c r="L1289">
        <v>74.5</v>
      </c>
      <c r="N1289">
        <v>0</v>
      </c>
    </row>
    <row r="1290" spans="1:14" x14ac:dyDescent="0.35">
      <c r="A1290" t="s">
        <v>43</v>
      </c>
      <c r="B1290">
        <v>202410</v>
      </c>
      <c r="C1290" t="str">
        <f>MID(analisis_productividad__4[[#This Row],[Periodo]],1,4)</f>
        <v>2024</v>
      </c>
      <c r="D1290" t="str">
        <f>MID(analisis_productividad__4[[#This Row],[Periodo]],5,2)</f>
        <v>10</v>
      </c>
      <c r="E1290" t="s">
        <v>11</v>
      </c>
      <c r="F1290" t="s">
        <v>12</v>
      </c>
      <c r="G1290">
        <v>87000</v>
      </c>
      <c r="H1290">
        <v>6579000</v>
      </c>
      <c r="I1290">
        <v>75.620416666666642</v>
      </c>
      <c r="J1290">
        <v>0</v>
      </c>
      <c r="K1290">
        <v>84.5</v>
      </c>
      <c r="L1290">
        <v>86.5</v>
      </c>
      <c r="N1290">
        <v>0</v>
      </c>
    </row>
    <row r="1291" spans="1:14" x14ac:dyDescent="0.35">
      <c r="A1291" t="s">
        <v>69</v>
      </c>
      <c r="B1291">
        <v>202510</v>
      </c>
      <c r="C1291" t="str">
        <f>MID(analisis_productividad__4[[#This Row],[Periodo]],1,4)</f>
        <v>2025</v>
      </c>
      <c r="D1291" t="str">
        <f>MID(analisis_productividad__4[[#This Row],[Periodo]],5,2)</f>
        <v>10</v>
      </c>
      <c r="E1291" t="s">
        <v>11</v>
      </c>
      <c r="F1291" t="s">
        <v>52</v>
      </c>
      <c r="G1291">
        <v>86988</v>
      </c>
      <c r="H1291">
        <v>4844242</v>
      </c>
      <c r="I1291">
        <v>55.688481182795705</v>
      </c>
      <c r="J1291">
        <v>84683.092134247956</v>
      </c>
      <c r="K1291">
        <v>68</v>
      </c>
      <c r="L1291">
        <v>60.5</v>
      </c>
      <c r="M1291">
        <v>57.204355059690442</v>
      </c>
      <c r="N1291">
        <v>5471913</v>
      </c>
    </row>
    <row r="1292" spans="1:14" x14ac:dyDescent="0.35">
      <c r="A1292" t="s">
        <v>54</v>
      </c>
      <c r="B1292">
        <v>202410</v>
      </c>
      <c r="C1292" t="str">
        <f>MID(analisis_productividad__4[[#This Row],[Periodo]],1,4)</f>
        <v>2024</v>
      </c>
      <c r="D1292" t="str">
        <f>MID(analisis_productividad__4[[#This Row],[Periodo]],5,2)</f>
        <v>10</v>
      </c>
      <c r="E1292" t="s">
        <v>11</v>
      </c>
      <c r="F1292" t="s">
        <v>52</v>
      </c>
      <c r="G1292">
        <v>86971</v>
      </c>
      <c r="H1292">
        <v>8668246</v>
      </c>
      <c r="I1292">
        <v>99.668380376344089</v>
      </c>
      <c r="J1292">
        <v>0</v>
      </c>
      <c r="K1292">
        <v>106</v>
      </c>
      <c r="L1292">
        <v>102.5</v>
      </c>
      <c r="N1292">
        <v>0</v>
      </c>
    </row>
    <row r="1293" spans="1:14" x14ac:dyDescent="0.35">
      <c r="A1293" t="s">
        <v>22</v>
      </c>
      <c r="B1293">
        <v>202504</v>
      </c>
      <c r="C1293" t="str">
        <f>MID(analisis_productividad__4[[#This Row],[Periodo]],1,4)</f>
        <v>2025</v>
      </c>
      <c r="D1293" t="str">
        <f>MID(analisis_productividad__4[[#This Row],[Periodo]],5,2)</f>
        <v>04</v>
      </c>
      <c r="E1293" t="s">
        <v>16</v>
      </c>
      <c r="F1293" t="s">
        <v>21</v>
      </c>
      <c r="G1293">
        <v>86933</v>
      </c>
      <c r="H1293">
        <v>4984716</v>
      </c>
      <c r="I1293">
        <v>57.339722222222242</v>
      </c>
      <c r="J1293">
        <v>85282.15655474666</v>
      </c>
      <c r="K1293">
        <v>59.5</v>
      </c>
      <c r="L1293">
        <v>55.5</v>
      </c>
      <c r="M1293">
        <v>58.449696177653223</v>
      </c>
      <c r="N1293">
        <v>4894738</v>
      </c>
    </row>
    <row r="1294" spans="1:14" x14ac:dyDescent="0.35">
      <c r="A1294" t="s">
        <v>22</v>
      </c>
      <c r="B1294">
        <v>202401</v>
      </c>
      <c r="C1294" t="str">
        <f>MID(analisis_productividad__4[[#This Row],[Periodo]],1,4)</f>
        <v>2024</v>
      </c>
      <c r="D1294" t="str">
        <f>MID(analisis_productividad__4[[#This Row],[Periodo]],5,2)</f>
        <v>01</v>
      </c>
      <c r="E1294" t="s">
        <v>16</v>
      </c>
      <c r="F1294" t="s">
        <v>21</v>
      </c>
      <c r="G1294">
        <v>86912</v>
      </c>
      <c r="H1294">
        <v>4811763</v>
      </c>
      <c r="I1294">
        <v>55.363413978494627</v>
      </c>
      <c r="J1294">
        <v>0</v>
      </c>
      <c r="K1294">
        <v>59.5</v>
      </c>
      <c r="L1294">
        <v>55.5</v>
      </c>
      <c r="N1294">
        <v>0</v>
      </c>
    </row>
    <row r="1295" spans="1:14" x14ac:dyDescent="0.35">
      <c r="A1295" t="s">
        <v>60</v>
      </c>
      <c r="B1295">
        <v>202601</v>
      </c>
      <c r="C1295" t="str">
        <f>MID(analisis_productividad__4[[#This Row],[Periodo]],1,4)</f>
        <v>2026</v>
      </c>
      <c r="D1295" t="str">
        <f>MID(analisis_productividad__4[[#This Row],[Periodo]],5,2)</f>
        <v>01</v>
      </c>
      <c r="E1295" t="s">
        <v>11</v>
      </c>
      <c r="F1295" t="s">
        <v>14</v>
      </c>
      <c r="G1295">
        <v>86907</v>
      </c>
      <c r="H1295">
        <v>5374283</v>
      </c>
      <c r="I1295">
        <v>61.839637096774183</v>
      </c>
      <c r="J1295">
        <v>100382.99439450784</v>
      </c>
      <c r="K1295">
        <v>75.5</v>
      </c>
      <c r="L1295">
        <v>74</v>
      </c>
      <c r="M1295">
        <v>63.845934941054651</v>
      </c>
      <c r="N1295">
        <v>6409046</v>
      </c>
    </row>
    <row r="1296" spans="1:14" x14ac:dyDescent="0.35">
      <c r="A1296" t="s">
        <v>56</v>
      </c>
      <c r="B1296">
        <v>202410</v>
      </c>
      <c r="C1296" t="str">
        <f>MID(analisis_productividad__4[[#This Row],[Periodo]],1,4)</f>
        <v>2024</v>
      </c>
      <c r="D1296" t="str">
        <f>MID(analisis_productividad__4[[#This Row],[Periodo]],5,2)</f>
        <v>10</v>
      </c>
      <c r="E1296" t="s">
        <v>16</v>
      </c>
      <c r="F1296" t="s">
        <v>21</v>
      </c>
      <c r="G1296">
        <v>86889</v>
      </c>
      <c r="H1296">
        <v>5717119</v>
      </c>
      <c r="I1296">
        <v>65.797836021505347</v>
      </c>
      <c r="J1296">
        <v>0</v>
      </c>
      <c r="K1296">
        <v>72.5</v>
      </c>
      <c r="L1296">
        <v>68.5</v>
      </c>
      <c r="N1296">
        <v>0</v>
      </c>
    </row>
    <row r="1297" spans="1:14" x14ac:dyDescent="0.35">
      <c r="A1297" t="s">
        <v>83</v>
      </c>
      <c r="B1297">
        <v>202601</v>
      </c>
      <c r="C1297" t="str">
        <f>MID(analisis_productividad__4[[#This Row],[Periodo]],1,4)</f>
        <v>2026</v>
      </c>
      <c r="D1297" t="str">
        <f>MID(analisis_productividad__4[[#This Row],[Periodo]],5,2)</f>
        <v>01</v>
      </c>
      <c r="E1297" t="s">
        <v>16</v>
      </c>
      <c r="F1297" t="s">
        <v>17</v>
      </c>
      <c r="G1297">
        <v>86878</v>
      </c>
      <c r="H1297">
        <v>3687231</v>
      </c>
      <c r="I1297">
        <v>42.441545698924742</v>
      </c>
      <c r="J1297">
        <v>79251.514103819311</v>
      </c>
      <c r="K1297">
        <v>52</v>
      </c>
      <c r="L1297">
        <v>52</v>
      </c>
      <c r="M1297">
        <v>46.517920556956689</v>
      </c>
      <c r="N1297">
        <v>3686616</v>
      </c>
    </row>
    <row r="1298" spans="1:14" x14ac:dyDescent="0.35">
      <c r="A1298" t="s">
        <v>62</v>
      </c>
      <c r="B1298">
        <v>202501</v>
      </c>
      <c r="C1298" t="str">
        <f>MID(analisis_productividad__4[[#This Row],[Periodo]],1,4)</f>
        <v>2025</v>
      </c>
      <c r="D1298" t="str">
        <f>MID(analisis_productividad__4[[#This Row],[Periodo]],5,2)</f>
        <v>01</v>
      </c>
      <c r="E1298" t="s">
        <v>16</v>
      </c>
      <c r="F1298" t="s">
        <v>17</v>
      </c>
      <c r="G1298">
        <v>86866</v>
      </c>
      <c r="H1298">
        <v>2428365</v>
      </c>
      <c r="I1298">
        <v>27.9553561827957</v>
      </c>
      <c r="J1298">
        <v>88535.973864775035</v>
      </c>
      <c r="K1298">
        <v>32.5</v>
      </c>
      <c r="L1298">
        <v>32</v>
      </c>
      <c r="M1298">
        <v>27.428005860182338</v>
      </c>
      <c r="N1298">
        <v>2488686</v>
      </c>
    </row>
    <row r="1299" spans="1:14" x14ac:dyDescent="0.35">
      <c r="A1299" t="s">
        <v>26</v>
      </c>
      <c r="B1299">
        <v>202408</v>
      </c>
      <c r="C1299" t="str">
        <f>MID(analisis_productividad__4[[#This Row],[Periodo]],1,4)</f>
        <v>2024</v>
      </c>
      <c r="D1299" t="str">
        <f>MID(analisis_productividad__4[[#This Row],[Periodo]],5,2)</f>
        <v>08</v>
      </c>
      <c r="E1299" t="s">
        <v>11</v>
      </c>
      <c r="F1299" t="s">
        <v>12</v>
      </c>
      <c r="G1299">
        <v>86858</v>
      </c>
      <c r="H1299">
        <v>5419216</v>
      </c>
      <c r="I1299">
        <v>62.39168682795701</v>
      </c>
      <c r="J1299">
        <v>0</v>
      </c>
      <c r="K1299">
        <v>65.5</v>
      </c>
      <c r="L1299">
        <v>63</v>
      </c>
      <c r="N1299">
        <v>0</v>
      </c>
    </row>
    <row r="1300" spans="1:14" x14ac:dyDescent="0.35">
      <c r="A1300" t="s">
        <v>98</v>
      </c>
      <c r="B1300">
        <v>202503</v>
      </c>
      <c r="C1300" t="str">
        <f>MID(analisis_productividad__4[[#This Row],[Periodo]],1,4)</f>
        <v>2025</v>
      </c>
      <c r="D1300" t="str">
        <f>MID(analisis_productividad__4[[#This Row],[Periodo]],5,2)</f>
        <v>03</v>
      </c>
      <c r="E1300" t="s">
        <v>11</v>
      </c>
      <c r="F1300" t="s">
        <v>14</v>
      </c>
      <c r="G1300">
        <v>86853</v>
      </c>
      <c r="H1300">
        <v>4667423</v>
      </c>
      <c r="I1300">
        <v>53.739395161290332</v>
      </c>
      <c r="J1300">
        <v>72865.682798315451</v>
      </c>
      <c r="K1300">
        <v>61.5</v>
      </c>
      <c r="L1300">
        <v>56</v>
      </c>
      <c r="M1300">
        <v>64.055162468166756</v>
      </c>
      <c r="N1300">
        <v>4574810</v>
      </c>
    </row>
    <row r="1301" spans="1:14" x14ac:dyDescent="0.35">
      <c r="A1301" t="s">
        <v>46</v>
      </c>
      <c r="B1301">
        <v>202404</v>
      </c>
      <c r="C1301" t="str">
        <f>MID(analisis_productividad__4[[#This Row],[Periodo]],1,4)</f>
        <v>2024</v>
      </c>
      <c r="D1301" t="str">
        <f>MID(analisis_productividad__4[[#This Row],[Periodo]],5,2)</f>
        <v>04</v>
      </c>
      <c r="E1301" t="s">
        <v>11</v>
      </c>
      <c r="F1301" t="s">
        <v>14</v>
      </c>
      <c r="G1301">
        <v>86847</v>
      </c>
      <c r="H1301">
        <v>5709160</v>
      </c>
      <c r="I1301">
        <v>65.738263888888895</v>
      </c>
      <c r="J1301">
        <v>0</v>
      </c>
      <c r="K1301">
        <v>77</v>
      </c>
      <c r="L1301">
        <v>79</v>
      </c>
      <c r="N1301">
        <v>0</v>
      </c>
    </row>
    <row r="1302" spans="1:14" x14ac:dyDescent="0.35">
      <c r="A1302" t="s">
        <v>20</v>
      </c>
      <c r="B1302">
        <v>202505</v>
      </c>
      <c r="C1302" t="str">
        <f>MID(analisis_productividad__4[[#This Row],[Periodo]],1,4)</f>
        <v>2025</v>
      </c>
      <c r="D1302" t="str">
        <f>MID(analisis_productividad__4[[#This Row],[Periodo]],5,2)</f>
        <v>05</v>
      </c>
      <c r="E1302" t="s">
        <v>16</v>
      </c>
      <c r="F1302" t="s">
        <v>21</v>
      </c>
      <c r="G1302">
        <v>86832</v>
      </c>
      <c r="H1302">
        <v>8278367</v>
      </c>
      <c r="I1302">
        <v>95.337553763440908</v>
      </c>
      <c r="J1302">
        <v>92383.698451420714</v>
      </c>
      <c r="K1302">
        <v>96.5</v>
      </c>
      <c r="L1302">
        <v>94</v>
      </c>
      <c r="M1302">
        <v>89.608520645588982</v>
      </c>
      <c r="N1302">
        <v>8138034</v>
      </c>
    </row>
    <row r="1303" spans="1:14" x14ac:dyDescent="0.35">
      <c r="A1303" t="s">
        <v>25</v>
      </c>
      <c r="B1303">
        <v>202506</v>
      </c>
      <c r="C1303" t="str">
        <f>MID(analisis_productividad__4[[#This Row],[Periodo]],1,4)</f>
        <v>2025</v>
      </c>
      <c r="D1303" t="str">
        <f>MID(analisis_productividad__4[[#This Row],[Periodo]],5,2)</f>
        <v>06</v>
      </c>
      <c r="E1303" t="s">
        <v>16</v>
      </c>
      <c r="F1303" t="s">
        <v>19</v>
      </c>
      <c r="G1303">
        <v>86828</v>
      </c>
      <c r="H1303">
        <v>7601473</v>
      </c>
      <c r="I1303">
        <v>87.546763888888833</v>
      </c>
      <c r="J1303">
        <v>89356.925897739464</v>
      </c>
      <c r="K1303">
        <v>94</v>
      </c>
      <c r="L1303">
        <v>92</v>
      </c>
      <c r="M1303">
        <v>85.068652973795949</v>
      </c>
      <c r="N1303">
        <v>7493596</v>
      </c>
    </row>
    <row r="1304" spans="1:14" x14ac:dyDescent="0.35">
      <c r="A1304" t="s">
        <v>51</v>
      </c>
      <c r="B1304">
        <v>202407</v>
      </c>
      <c r="C1304" t="str">
        <f>MID(analisis_productividad__4[[#This Row],[Periodo]],1,4)</f>
        <v>2024</v>
      </c>
      <c r="D1304" t="str">
        <f>MID(analisis_productividad__4[[#This Row],[Periodo]],5,2)</f>
        <v>07</v>
      </c>
      <c r="E1304" t="s">
        <v>11</v>
      </c>
      <c r="F1304" t="s">
        <v>52</v>
      </c>
      <c r="G1304">
        <v>86826</v>
      </c>
      <c r="H1304">
        <v>9244910</v>
      </c>
      <c r="I1304">
        <v>106.47658602150533</v>
      </c>
      <c r="J1304">
        <v>0</v>
      </c>
      <c r="K1304">
        <v>117.5</v>
      </c>
      <c r="L1304">
        <v>99</v>
      </c>
      <c r="N1304">
        <v>0</v>
      </c>
    </row>
    <row r="1305" spans="1:14" x14ac:dyDescent="0.35">
      <c r="A1305" t="s">
        <v>25</v>
      </c>
      <c r="B1305">
        <v>202405</v>
      </c>
      <c r="C1305" t="str">
        <f>MID(analisis_productividad__4[[#This Row],[Periodo]],1,4)</f>
        <v>2024</v>
      </c>
      <c r="D1305" t="str">
        <f>MID(analisis_productividad__4[[#This Row],[Periodo]],5,2)</f>
        <v>05</v>
      </c>
      <c r="E1305" t="s">
        <v>16</v>
      </c>
      <c r="F1305" t="s">
        <v>19</v>
      </c>
      <c r="G1305">
        <v>86812</v>
      </c>
      <c r="H1305">
        <v>7270711</v>
      </c>
      <c r="I1305">
        <v>83.752553763440886</v>
      </c>
      <c r="J1305">
        <v>0</v>
      </c>
      <c r="K1305">
        <v>94</v>
      </c>
      <c r="L1305">
        <v>92</v>
      </c>
      <c r="N1305">
        <v>0</v>
      </c>
    </row>
    <row r="1306" spans="1:14" x14ac:dyDescent="0.35">
      <c r="A1306" t="s">
        <v>44</v>
      </c>
      <c r="B1306">
        <v>202405</v>
      </c>
      <c r="C1306" t="str">
        <f>MID(analisis_productividad__4[[#This Row],[Periodo]],1,4)</f>
        <v>2024</v>
      </c>
      <c r="D1306" t="str">
        <f>MID(analisis_productividad__4[[#This Row],[Periodo]],5,2)</f>
        <v>05</v>
      </c>
      <c r="E1306" t="s">
        <v>11</v>
      </c>
      <c r="F1306" t="s">
        <v>12</v>
      </c>
      <c r="G1306">
        <v>86807</v>
      </c>
      <c r="H1306">
        <v>5951841</v>
      </c>
      <c r="I1306">
        <v>68.564341397849461</v>
      </c>
      <c r="J1306">
        <v>0</v>
      </c>
      <c r="K1306">
        <v>78</v>
      </c>
      <c r="L1306">
        <v>74.5</v>
      </c>
      <c r="N1306">
        <v>0</v>
      </c>
    </row>
    <row r="1307" spans="1:14" x14ac:dyDescent="0.35">
      <c r="A1307" t="s">
        <v>18</v>
      </c>
      <c r="B1307">
        <v>202402</v>
      </c>
      <c r="C1307" t="str">
        <f>MID(analisis_productividad__4[[#This Row],[Periodo]],1,4)</f>
        <v>2024</v>
      </c>
      <c r="D1307" t="str">
        <f>MID(analisis_productividad__4[[#This Row],[Periodo]],5,2)</f>
        <v>02</v>
      </c>
      <c r="E1307" t="s">
        <v>16</v>
      </c>
      <c r="F1307" t="s">
        <v>19</v>
      </c>
      <c r="G1307">
        <v>86802</v>
      </c>
      <c r="H1307">
        <v>5731416</v>
      </c>
      <c r="I1307">
        <v>66.028807471264372</v>
      </c>
      <c r="J1307">
        <v>0</v>
      </c>
      <c r="K1307">
        <v>70.5</v>
      </c>
      <c r="L1307">
        <v>69.5</v>
      </c>
      <c r="N1307">
        <v>0</v>
      </c>
    </row>
    <row r="1308" spans="1:14" x14ac:dyDescent="0.35">
      <c r="A1308" t="s">
        <v>87</v>
      </c>
      <c r="B1308">
        <v>202501</v>
      </c>
      <c r="C1308" t="str">
        <f>MID(analisis_productividad__4[[#This Row],[Periodo]],1,4)</f>
        <v>2025</v>
      </c>
      <c r="D1308" t="str">
        <f>MID(analisis_productividad__4[[#This Row],[Periodo]],5,2)</f>
        <v>01</v>
      </c>
      <c r="E1308" t="s">
        <v>9</v>
      </c>
      <c r="F1308" t="s">
        <v>9</v>
      </c>
      <c r="G1308">
        <v>86800</v>
      </c>
      <c r="H1308">
        <v>939055</v>
      </c>
      <c r="I1308">
        <v>10.818669354838711</v>
      </c>
      <c r="J1308">
        <v>96488.978956619787</v>
      </c>
      <c r="K1308">
        <v>13.5</v>
      </c>
      <c r="L1308">
        <v>12</v>
      </c>
      <c r="M1308">
        <v>9.7322549181724387</v>
      </c>
      <c r="N1308">
        <v>1063779</v>
      </c>
    </row>
    <row r="1309" spans="1:14" x14ac:dyDescent="0.35">
      <c r="A1309" t="s">
        <v>70</v>
      </c>
      <c r="B1309">
        <v>202410</v>
      </c>
      <c r="C1309" t="str">
        <f>MID(analisis_productividad__4[[#This Row],[Periodo]],1,4)</f>
        <v>2024</v>
      </c>
      <c r="D1309" t="str">
        <f>MID(analisis_productividad__4[[#This Row],[Periodo]],5,2)</f>
        <v>10</v>
      </c>
      <c r="E1309" t="s">
        <v>11</v>
      </c>
      <c r="F1309" t="s">
        <v>14</v>
      </c>
      <c r="G1309">
        <v>86788</v>
      </c>
      <c r="H1309">
        <v>4786584</v>
      </c>
      <c r="I1309">
        <v>55.152708333333344</v>
      </c>
      <c r="J1309">
        <v>0</v>
      </c>
      <c r="K1309">
        <v>65</v>
      </c>
      <c r="L1309">
        <v>67.5</v>
      </c>
      <c r="N1309">
        <v>0</v>
      </c>
    </row>
    <row r="1310" spans="1:14" x14ac:dyDescent="0.35">
      <c r="A1310" t="s">
        <v>85</v>
      </c>
      <c r="B1310">
        <v>202503</v>
      </c>
      <c r="C1310" t="str">
        <f>MID(analisis_productividad__4[[#This Row],[Periodo]],1,4)</f>
        <v>2025</v>
      </c>
      <c r="D1310" t="str">
        <f>MID(analisis_productividad__4[[#This Row],[Periodo]],5,2)</f>
        <v>03</v>
      </c>
      <c r="E1310" t="s">
        <v>11</v>
      </c>
      <c r="F1310" t="s">
        <v>14</v>
      </c>
      <c r="G1310">
        <v>86785</v>
      </c>
      <c r="H1310">
        <v>4826621</v>
      </c>
      <c r="I1310">
        <v>55.615752688172037</v>
      </c>
      <c r="J1310">
        <v>84673.966202722644</v>
      </c>
      <c r="K1310">
        <v>60.5</v>
      </c>
      <c r="L1310">
        <v>57.5</v>
      </c>
      <c r="M1310">
        <v>57.00242384352611</v>
      </c>
      <c r="N1310">
        <v>4440672</v>
      </c>
    </row>
    <row r="1311" spans="1:14" x14ac:dyDescent="0.35">
      <c r="A1311" t="s">
        <v>56</v>
      </c>
      <c r="B1311">
        <v>202402</v>
      </c>
      <c r="C1311" t="str">
        <f>MID(analisis_productividad__4[[#This Row],[Periodo]],1,4)</f>
        <v>2024</v>
      </c>
      <c r="D1311" t="str">
        <f>MID(analisis_productividad__4[[#This Row],[Periodo]],5,2)</f>
        <v>02</v>
      </c>
      <c r="E1311" t="s">
        <v>16</v>
      </c>
      <c r="F1311" t="s">
        <v>21</v>
      </c>
      <c r="G1311">
        <v>86783</v>
      </c>
      <c r="H1311">
        <v>5683238</v>
      </c>
      <c r="I1311">
        <v>65.488117816091972</v>
      </c>
      <c r="J1311">
        <v>0</v>
      </c>
      <c r="K1311">
        <v>72.5</v>
      </c>
      <c r="L1311">
        <v>68.5</v>
      </c>
      <c r="N1311">
        <v>0</v>
      </c>
    </row>
    <row r="1312" spans="1:14" x14ac:dyDescent="0.35">
      <c r="A1312" t="s">
        <v>68</v>
      </c>
      <c r="B1312">
        <v>202411</v>
      </c>
      <c r="C1312" t="str">
        <f>MID(analisis_productividad__4[[#This Row],[Periodo]],1,4)</f>
        <v>2024</v>
      </c>
      <c r="D1312" t="str">
        <f>MID(analisis_productividad__4[[#This Row],[Periodo]],5,2)</f>
        <v>11</v>
      </c>
      <c r="E1312" t="s">
        <v>11</v>
      </c>
      <c r="F1312" t="s">
        <v>52</v>
      </c>
      <c r="G1312">
        <v>86777</v>
      </c>
      <c r="H1312">
        <v>7951338</v>
      </c>
      <c r="I1312">
        <v>91.629465277777797</v>
      </c>
      <c r="J1312">
        <v>0</v>
      </c>
      <c r="K1312">
        <v>103</v>
      </c>
      <c r="L1312">
        <v>91</v>
      </c>
      <c r="N1312">
        <v>0</v>
      </c>
    </row>
    <row r="1313" spans="1:14" x14ac:dyDescent="0.35">
      <c r="A1313" t="s">
        <v>50</v>
      </c>
      <c r="B1313">
        <v>202401</v>
      </c>
      <c r="C1313" t="str">
        <f>MID(analisis_productividad__4[[#This Row],[Periodo]],1,4)</f>
        <v>2024</v>
      </c>
      <c r="D1313" t="str">
        <f>MID(analisis_productividad__4[[#This Row],[Periodo]],5,2)</f>
        <v>01</v>
      </c>
      <c r="E1313" t="s">
        <v>34</v>
      </c>
      <c r="F1313" t="s">
        <v>35</v>
      </c>
      <c r="G1313">
        <v>86772</v>
      </c>
      <c r="H1313">
        <v>5583538</v>
      </c>
      <c r="I1313">
        <v>64.347217741935452</v>
      </c>
      <c r="J1313">
        <v>0</v>
      </c>
      <c r="K1313">
        <v>79.5</v>
      </c>
      <c r="L1313">
        <v>72.5</v>
      </c>
      <c r="N1313">
        <v>0</v>
      </c>
    </row>
    <row r="1314" spans="1:14" x14ac:dyDescent="0.35">
      <c r="A1314" t="s">
        <v>41</v>
      </c>
      <c r="B1314">
        <v>202411</v>
      </c>
      <c r="C1314" t="str">
        <f>MID(analisis_productividad__4[[#This Row],[Periodo]],1,4)</f>
        <v>2024</v>
      </c>
      <c r="D1314" t="str">
        <f>MID(analisis_productividad__4[[#This Row],[Periodo]],5,2)</f>
        <v>11</v>
      </c>
      <c r="E1314" t="s">
        <v>16</v>
      </c>
      <c r="F1314" t="s">
        <v>19</v>
      </c>
      <c r="G1314">
        <v>86764</v>
      </c>
      <c r="H1314">
        <v>4518190</v>
      </c>
      <c r="I1314">
        <v>52.074409722222207</v>
      </c>
      <c r="J1314">
        <v>0</v>
      </c>
      <c r="K1314">
        <v>57.5</v>
      </c>
      <c r="L1314">
        <v>56.5</v>
      </c>
      <c r="N1314">
        <v>0</v>
      </c>
    </row>
    <row r="1315" spans="1:14" x14ac:dyDescent="0.35">
      <c r="A1315" t="s">
        <v>71</v>
      </c>
      <c r="B1315">
        <v>202510</v>
      </c>
      <c r="C1315" t="str">
        <f>MID(analisis_productividad__4[[#This Row],[Periodo]],1,4)</f>
        <v>2025</v>
      </c>
      <c r="D1315" t="str">
        <f>MID(analisis_productividad__4[[#This Row],[Periodo]],5,2)</f>
        <v>10</v>
      </c>
      <c r="E1315" t="s">
        <v>16</v>
      </c>
      <c r="F1315" t="s">
        <v>19</v>
      </c>
      <c r="G1315">
        <v>86756</v>
      </c>
      <c r="H1315">
        <v>2741730</v>
      </c>
      <c r="I1315">
        <v>31.602647849462354</v>
      </c>
      <c r="J1315">
        <v>75546.766338253947</v>
      </c>
      <c r="K1315">
        <v>41.5</v>
      </c>
      <c r="L1315">
        <v>35.5</v>
      </c>
      <c r="M1315">
        <v>36.291826677585988</v>
      </c>
      <c r="N1315">
        <v>2185061</v>
      </c>
    </row>
    <row r="1316" spans="1:14" x14ac:dyDescent="0.35">
      <c r="A1316" t="s">
        <v>106</v>
      </c>
      <c r="B1316">
        <v>202512</v>
      </c>
      <c r="C1316" t="str">
        <f>MID(analisis_productividad__4[[#This Row],[Periodo]],1,4)</f>
        <v>2025</v>
      </c>
      <c r="D1316" t="str">
        <f>MID(analisis_productividad__4[[#This Row],[Periodo]],5,2)</f>
        <v>12</v>
      </c>
      <c r="E1316" t="s">
        <v>34</v>
      </c>
      <c r="F1316" t="s">
        <v>35</v>
      </c>
      <c r="G1316">
        <v>86749</v>
      </c>
      <c r="H1316">
        <v>3901515</v>
      </c>
      <c r="I1316">
        <v>44.974576612903199</v>
      </c>
      <c r="J1316">
        <v>83508.545087170613</v>
      </c>
      <c r="K1316">
        <v>51</v>
      </c>
      <c r="L1316">
        <v>49</v>
      </c>
      <c r="M1316">
        <v>46.719944838308386</v>
      </c>
      <c r="N1316">
        <v>4551462</v>
      </c>
    </row>
    <row r="1317" spans="1:14" x14ac:dyDescent="0.35">
      <c r="A1317" t="s">
        <v>119</v>
      </c>
      <c r="B1317">
        <v>202512</v>
      </c>
      <c r="C1317" t="str">
        <f>MID(analisis_productividad__4[[#This Row],[Periodo]],1,4)</f>
        <v>2025</v>
      </c>
      <c r="D1317" t="str">
        <f>MID(analisis_productividad__4[[#This Row],[Periodo]],5,2)</f>
        <v>12</v>
      </c>
      <c r="E1317" t="s">
        <v>16</v>
      </c>
      <c r="F1317" t="s">
        <v>21</v>
      </c>
      <c r="G1317">
        <v>86712</v>
      </c>
      <c r="H1317">
        <v>4406034</v>
      </c>
      <c r="I1317">
        <v>50.812520161290294</v>
      </c>
      <c r="J1317">
        <v>86898.182095419252</v>
      </c>
      <c r="K1317">
        <v>52.5</v>
      </c>
      <c r="L1317">
        <v>52.5</v>
      </c>
      <c r="M1317">
        <v>50.703413509409415</v>
      </c>
      <c r="N1317">
        <v>5289174</v>
      </c>
    </row>
    <row r="1318" spans="1:14" x14ac:dyDescent="0.35">
      <c r="A1318" t="s">
        <v>64</v>
      </c>
      <c r="B1318">
        <v>202606</v>
      </c>
      <c r="C1318" t="str">
        <f>MID(analisis_productividad__4[[#This Row],[Periodo]],1,4)</f>
        <v>2026</v>
      </c>
      <c r="D1318" t="str">
        <f>MID(analisis_productividad__4[[#This Row],[Periodo]],5,2)</f>
        <v>06</v>
      </c>
      <c r="E1318" t="s">
        <v>16</v>
      </c>
      <c r="F1318" t="s">
        <v>21</v>
      </c>
      <c r="G1318">
        <v>86703</v>
      </c>
      <c r="H1318">
        <v>9178038</v>
      </c>
      <c r="I1318">
        <v>105.8557013888923</v>
      </c>
      <c r="J1318">
        <v>81145.52633860374</v>
      </c>
      <c r="K1318">
        <v>88.5</v>
      </c>
      <c r="L1318">
        <v>92.5</v>
      </c>
      <c r="M1318">
        <v>102.97612103755296</v>
      </c>
      <c r="N1318">
        <v>8356052</v>
      </c>
    </row>
    <row r="1319" spans="1:14" x14ac:dyDescent="0.35">
      <c r="A1319" t="s">
        <v>87</v>
      </c>
      <c r="B1319">
        <v>202507</v>
      </c>
      <c r="C1319" t="str">
        <f>MID(analisis_productividad__4[[#This Row],[Periodo]],1,4)</f>
        <v>2025</v>
      </c>
      <c r="D1319" t="str">
        <f>MID(analisis_productividad__4[[#This Row],[Periodo]],5,2)</f>
        <v>07</v>
      </c>
      <c r="E1319" t="s">
        <v>9</v>
      </c>
      <c r="F1319" t="s">
        <v>9</v>
      </c>
      <c r="G1319">
        <v>86682</v>
      </c>
      <c r="H1319">
        <v>911923</v>
      </c>
      <c r="I1319">
        <v>10.520369623655915</v>
      </c>
      <c r="J1319">
        <v>83909.100013346935</v>
      </c>
      <c r="K1319">
        <v>13.5</v>
      </c>
      <c r="L1319">
        <v>12</v>
      </c>
      <c r="M1319">
        <v>10.867984281263242</v>
      </c>
      <c r="N1319">
        <v>1056507</v>
      </c>
    </row>
    <row r="1320" spans="1:14" x14ac:dyDescent="0.35">
      <c r="A1320" t="s">
        <v>42</v>
      </c>
      <c r="B1320">
        <v>202507</v>
      </c>
      <c r="C1320" t="str">
        <f>MID(analisis_productividad__4[[#This Row],[Periodo]],1,4)</f>
        <v>2025</v>
      </c>
      <c r="D1320" t="str">
        <f>MID(analisis_productividad__4[[#This Row],[Periodo]],5,2)</f>
        <v>07</v>
      </c>
      <c r="E1320" t="s">
        <v>16</v>
      </c>
      <c r="F1320" t="s">
        <v>19</v>
      </c>
      <c r="G1320">
        <v>86677</v>
      </c>
      <c r="H1320">
        <v>5078571</v>
      </c>
      <c r="I1320">
        <v>58.591881720430081</v>
      </c>
      <c r="J1320">
        <v>85654.254346087982</v>
      </c>
      <c r="K1320">
        <v>62</v>
      </c>
      <c r="L1320">
        <v>58</v>
      </c>
      <c r="M1320">
        <v>59.291518311278693</v>
      </c>
      <c r="N1320">
        <v>5403232</v>
      </c>
    </row>
    <row r="1321" spans="1:14" x14ac:dyDescent="0.35">
      <c r="A1321" t="s">
        <v>74</v>
      </c>
      <c r="B1321">
        <v>202507</v>
      </c>
      <c r="C1321" t="str">
        <f>MID(analisis_productividad__4[[#This Row],[Periodo]],1,4)</f>
        <v>2025</v>
      </c>
      <c r="D1321" t="str">
        <f>MID(analisis_productividad__4[[#This Row],[Periodo]],5,2)</f>
        <v>07</v>
      </c>
      <c r="E1321" t="s">
        <v>16</v>
      </c>
      <c r="F1321" t="s">
        <v>19</v>
      </c>
      <c r="G1321">
        <v>86667</v>
      </c>
      <c r="H1321">
        <v>3967619</v>
      </c>
      <c r="I1321">
        <v>45.78018817204299</v>
      </c>
      <c r="J1321">
        <v>91741.22571759636</v>
      </c>
      <c r="K1321">
        <v>50.5</v>
      </c>
      <c r="L1321">
        <v>51.5</v>
      </c>
      <c r="M1321">
        <v>43.247941140587926</v>
      </c>
      <c r="N1321">
        <v>4324454</v>
      </c>
    </row>
    <row r="1322" spans="1:14" x14ac:dyDescent="0.35">
      <c r="A1322" t="s">
        <v>131</v>
      </c>
      <c r="B1322">
        <v>202502</v>
      </c>
      <c r="C1322" t="str">
        <f>MID(analisis_productividad__4[[#This Row],[Periodo]],1,4)</f>
        <v>2025</v>
      </c>
      <c r="D1322" t="str">
        <f>MID(analisis_productividad__4[[#This Row],[Periodo]],5,2)</f>
        <v>02</v>
      </c>
      <c r="E1322" t="s">
        <v>16</v>
      </c>
      <c r="F1322" t="s">
        <v>21</v>
      </c>
      <c r="G1322">
        <v>86662</v>
      </c>
      <c r="H1322">
        <v>9091264</v>
      </c>
      <c r="I1322">
        <v>104.9054166666666</v>
      </c>
      <c r="J1322">
        <v>101264.14446834766</v>
      </c>
      <c r="K1322">
        <v>99</v>
      </c>
      <c r="L1322">
        <v>32.5</v>
      </c>
      <c r="M1322">
        <v>89.777720907341219</v>
      </c>
      <c r="N1322">
        <v>12042986</v>
      </c>
    </row>
    <row r="1323" spans="1:14" x14ac:dyDescent="0.35">
      <c r="A1323" t="s">
        <v>23</v>
      </c>
      <c r="B1323">
        <v>202404</v>
      </c>
      <c r="C1323" t="str">
        <f>MID(analisis_productividad__4[[#This Row],[Periodo]],1,4)</f>
        <v>2024</v>
      </c>
      <c r="D1323" t="str">
        <f>MID(analisis_productividad__4[[#This Row],[Periodo]],5,2)</f>
        <v>04</v>
      </c>
      <c r="E1323" t="s">
        <v>11</v>
      </c>
      <c r="F1323" t="s">
        <v>12</v>
      </c>
      <c r="G1323">
        <v>86647</v>
      </c>
      <c r="H1323">
        <v>5300095</v>
      </c>
      <c r="I1323">
        <v>61.168819444444452</v>
      </c>
      <c r="J1323">
        <v>0</v>
      </c>
      <c r="K1323">
        <v>68.5</v>
      </c>
      <c r="L1323">
        <v>66</v>
      </c>
      <c r="N1323">
        <v>0</v>
      </c>
    </row>
    <row r="1324" spans="1:14" x14ac:dyDescent="0.35">
      <c r="A1324" t="s">
        <v>62</v>
      </c>
      <c r="B1324">
        <v>202407</v>
      </c>
      <c r="C1324" t="str">
        <f>MID(analisis_productividad__4[[#This Row],[Periodo]],1,4)</f>
        <v>2024</v>
      </c>
      <c r="D1324" t="str">
        <f>MID(analisis_productividad__4[[#This Row],[Periodo]],5,2)</f>
        <v>07</v>
      </c>
      <c r="E1324" t="s">
        <v>16</v>
      </c>
      <c r="F1324" t="s">
        <v>17</v>
      </c>
      <c r="G1324">
        <v>86631</v>
      </c>
      <c r="H1324">
        <v>2602457</v>
      </c>
      <c r="I1324">
        <v>30.040678763440862</v>
      </c>
      <c r="J1324">
        <v>0</v>
      </c>
      <c r="K1324">
        <v>32.5</v>
      </c>
      <c r="L1324">
        <v>32</v>
      </c>
      <c r="N1324">
        <v>0</v>
      </c>
    </row>
    <row r="1325" spans="1:14" x14ac:dyDescent="0.35">
      <c r="A1325" t="s">
        <v>46</v>
      </c>
      <c r="B1325">
        <v>202509</v>
      </c>
      <c r="C1325" t="str">
        <f>MID(analisis_productividad__4[[#This Row],[Periodo]],1,4)</f>
        <v>2025</v>
      </c>
      <c r="D1325" t="str">
        <f>MID(analisis_productividad__4[[#This Row],[Periodo]],5,2)</f>
        <v>09</v>
      </c>
      <c r="E1325" t="s">
        <v>11</v>
      </c>
      <c r="F1325" t="s">
        <v>14</v>
      </c>
      <c r="G1325">
        <v>86627</v>
      </c>
      <c r="H1325">
        <v>5791061</v>
      </c>
      <c r="I1325">
        <v>66.850486111111167</v>
      </c>
      <c r="J1325">
        <v>92809.031968778319</v>
      </c>
      <c r="K1325">
        <v>77</v>
      </c>
      <c r="L1325">
        <v>79</v>
      </c>
      <c r="M1325">
        <v>62.397606107433162</v>
      </c>
      <c r="N1325">
        <v>6381448</v>
      </c>
    </row>
    <row r="1326" spans="1:14" x14ac:dyDescent="0.35">
      <c r="A1326" t="s">
        <v>75</v>
      </c>
      <c r="B1326">
        <v>202406</v>
      </c>
      <c r="C1326" t="str">
        <f>MID(analisis_productividad__4[[#This Row],[Periodo]],1,4)</f>
        <v>2024</v>
      </c>
      <c r="D1326" t="str">
        <f>MID(analisis_productividad__4[[#This Row],[Periodo]],5,2)</f>
        <v>06</v>
      </c>
      <c r="E1326" t="s">
        <v>11</v>
      </c>
      <c r="F1326" t="s">
        <v>52</v>
      </c>
      <c r="G1326">
        <v>86621</v>
      </c>
      <c r="H1326">
        <v>9611792</v>
      </c>
      <c r="I1326">
        <v>110.96322222222221</v>
      </c>
      <c r="J1326">
        <v>0</v>
      </c>
      <c r="K1326">
        <v>118</v>
      </c>
      <c r="L1326">
        <v>106</v>
      </c>
      <c r="N1326">
        <v>0</v>
      </c>
    </row>
    <row r="1327" spans="1:14" x14ac:dyDescent="0.35">
      <c r="A1327" t="s">
        <v>41</v>
      </c>
      <c r="B1327">
        <v>202510</v>
      </c>
      <c r="C1327" t="str">
        <f>MID(analisis_productividad__4[[#This Row],[Periodo]],1,4)</f>
        <v>2025</v>
      </c>
      <c r="D1327" t="str">
        <f>MID(analisis_productividad__4[[#This Row],[Periodo]],5,2)</f>
        <v>10</v>
      </c>
      <c r="E1327" t="s">
        <v>16</v>
      </c>
      <c r="F1327" t="s">
        <v>19</v>
      </c>
      <c r="G1327">
        <v>86594</v>
      </c>
      <c r="H1327">
        <v>4167631</v>
      </c>
      <c r="I1327">
        <v>48.128340053763438</v>
      </c>
      <c r="J1327">
        <v>83754.469900287353</v>
      </c>
      <c r="K1327">
        <v>57.5</v>
      </c>
      <c r="L1327">
        <v>56.5</v>
      </c>
      <c r="M1327">
        <v>49.760098117291065</v>
      </c>
      <c r="N1327">
        <v>4081537</v>
      </c>
    </row>
    <row r="1328" spans="1:14" x14ac:dyDescent="0.35">
      <c r="A1328" t="s">
        <v>18</v>
      </c>
      <c r="B1328">
        <v>202601</v>
      </c>
      <c r="C1328" t="str">
        <f>MID(analisis_productividad__4[[#This Row],[Periodo]],1,4)</f>
        <v>2026</v>
      </c>
      <c r="D1328" t="str">
        <f>MID(analisis_productividad__4[[#This Row],[Periodo]],5,2)</f>
        <v>01</v>
      </c>
      <c r="E1328" t="s">
        <v>16</v>
      </c>
      <c r="F1328" t="s">
        <v>19</v>
      </c>
      <c r="G1328">
        <v>86584</v>
      </c>
      <c r="H1328">
        <v>5093224</v>
      </c>
      <c r="I1328">
        <v>58.824086021505352</v>
      </c>
      <c r="J1328">
        <v>82854.243645282841</v>
      </c>
      <c r="K1328">
        <v>70.5</v>
      </c>
      <c r="L1328">
        <v>69.5</v>
      </c>
      <c r="M1328">
        <v>63.576561684054447</v>
      </c>
      <c r="N1328">
        <v>5267588</v>
      </c>
    </row>
    <row r="1329" spans="1:14" x14ac:dyDescent="0.35">
      <c r="A1329" t="s">
        <v>80</v>
      </c>
      <c r="B1329">
        <v>202507</v>
      </c>
      <c r="C1329" t="str">
        <f>MID(analisis_productividad__4[[#This Row],[Periodo]],1,4)</f>
        <v>2025</v>
      </c>
      <c r="D1329" t="str">
        <f>MID(analisis_productividad__4[[#This Row],[Periodo]],5,2)</f>
        <v>07</v>
      </c>
      <c r="E1329" t="s">
        <v>16</v>
      </c>
      <c r="F1329" t="s">
        <v>17</v>
      </c>
      <c r="G1329">
        <v>86572</v>
      </c>
      <c r="H1329">
        <v>4700254</v>
      </c>
      <c r="I1329">
        <v>54.29323252688171</v>
      </c>
      <c r="J1329">
        <v>92567.685213160701</v>
      </c>
      <c r="K1329">
        <v>58</v>
      </c>
      <c r="L1329">
        <v>58.5</v>
      </c>
      <c r="M1329">
        <v>50.77640268498093</v>
      </c>
      <c r="N1329">
        <v>5128144</v>
      </c>
    </row>
    <row r="1330" spans="1:14" x14ac:dyDescent="0.35">
      <c r="A1330" t="s">
        <v>54</v>
      </c>
      <c r="B1330">
        <v>202411</v>
      </c>
      <c r="C1330" t="str">
        <f>MID(analisis_productividad__4[[#This Row],[Periodo]],1,4)</f>
        <v>2024</v>
      </c>
      <c r="D1330" t="str">
        <f>MID(analisis_productividad__4[[#This Row],[Periodo]],5,2)</f>
        <v>11</v>
      </c>
      <c r="E1330" t="s">
        <v>11</v>
      </c>
      <c r="F1330" t="s">
        <v>52</v>
      </c>
      <c r="G1330">
        <v>86545</v>
      </c>
      <c r="H1330">
        <v>8930370</v>
      </c>
      <c r="I1330">
        <v>103.18714583333337</v>
      </c>
      <c r="J1330">
        <v>0</v>
      </c>
      <c r="K1330">
        <v>106</v>
      </c>
      <c r="L1330">
        <v>102.5</v>
      </c>
      <c r="N1330">
        <v>0</v>
      </c>
    </row>
    <row r="1331" spans="1:14" x14ac:dyDescent="0.35">
      <c r="A1331" t="s">
        <v>72</v>
      </c>
      <c r="B1331">
        <v>202407</v>
      </c>
      <c r="C1331" t="str">
        <f>MID(analisis_productividad__4[[#This Row],[Periodo]],1,4)</f>
        <v>2024</v>
      </c>
      <c r="D1331" t="str">
        <f>MID(analisis_productividad__4[[#This Row],[Periodo]],5,2)</f>
        <v>07</v>
      </c>
      <c r="E1331" t="s">
        <v>11</v>
      </c>
      <c r="F1331" t="s">
        <v>14</v>
      </c>
      <c r="G1331">
        <v>86544</v>
      </c>
      <c r="H1331">
        <v>5154914</v>
      </c>
      <c r="I1331">
        <v>59.564025537634407</v>
      </c>
      <c r="J1331">
        <v>0</v>
      </c>
      <c r="K1331">
        <v>66</v>
      </c>
      <c r="L1331">
        <v>64.5</v>
      </c>
      <c r="N1331">
        <v>0</v>
      </c>
    </row>
    <row r="1332" spans="1:14" x14ac:dyDescent="0.35">
      <c r="A1332" t="s">
        <v>56</v>
      </c>
      <c r="B1332">
        <v>202602</v>
      </c>
      <c r="C1332" t="str">
        <f>MID(analisis_productividad__4[[#This Row],[Periodo]],1,4)</f>
        <v>2026</v>
      </c>
      <c r="D1332" t="str">
        <f>MID(analisis_productividad__4[[#This Row],[Periodo]],5,2)</f>
        <v>02</v>
      </c>
      <c r="E1332" t="s">
        <v>16</v>
      </c>
      <c r="F1332" t="s">
        <v>21</v>
      </c>
      <c r="G1332">
        <v>86530</v>
      </c>
      <c r="H1332">
        <v>5792634</v>
      </c>
      <c r="I1332">
        <v>66.943906249999984</v>
      </c>
      <c r="J1332">
        <v>104547.41695117239</v>
      </c>
      <c r="K1332">
        <v>72.5</v>
      </c>
      <c r="L1332">
        <v>68.5</v>
      </c>
      <c r="M1332">
        <v>63.042188618377821</v>
      </c>
      <c r="N1332">
        <v>6590898</v>
      </c>
    </row>
    <row r="1333" spans="1:14" x14ac:dyDescent="0.35">
      <c r="A1333" t="s">
        <v>20</v>
      </c>
      <c r="B1333">
        <v>202404</v>
      </c>
      <c r="C1333" t="str">
        <f>MID(analisis_productividad__4[[#This Row],[Periodo]],1,4)</f>
        <v>2024</v>
      </c>
      <c r="D1333" t="str">
        <f>MID(analisis_productividad__4[[#This Row],[Periodo]],5,2)</f>
        <v>04</v>
      </c>
      <c r="E1333" t="s">
        <v>16</v>
      </c>
      <c r="F1333" t="s">
        <v>21</v>
      </c>
      <c r="G1333">
        <v>86506</v>
      </c>
      <c r="H1333">
        <v>7673415</v>
      </c>
      <c r="I1333">
        <v>88.704048611111105</v>
      </c>
      <c r="J1333">
        <v>0</v>
      </c>
      <c r="K1333">
        <v>96.5</v>
      </c>
      <c r="L1333">
        <v>94</v>
      </c>
      <c r="N1333">
        <v>0</v>
      </c>
    </row>
    <row r="1334" spans="1:14" x14ac:dyDescent="0.35">
      <c r="A1334" t="s">
        <v>93</v>
      </c>
      <c r="B1334">
        <v>202605</v>
      </c>
      <c r="C1334" t="str">
        <f>MID(analisis_productividad__4[[#This Row],[Periodo]],1,4)</f>
        <v>2026</v>
      </c>
      <c r="D1334" t="str">
        <f>MID(analisis_productividad__4[[#This Row],[Periodo]],5,2)</f>
        <v>05</v>
      </c>
      <c r="E1334" t="s">
        <v>16</v>
      </c>
      <c r="F1334" t="s">
        <v>17</v>
      </c>
      <c r="G1334">
        <v>86487</v>
      </c>
      <c r="H1334">
        <v>6172300</v>
      </c>
      <c r="I1334">
        <v>71.366458333333611</v>
      </c>
      <c r="J1334">
        <v>80789.24452619048</v>
      </c>
      <c r="K1334">
        <v>84</v>
      </c>
      <c r="L1334">
        <v>76</v>
      </c>
      <c r="M1334">
        <v>84</v>
      </c>
      <c r="N1334">
        <v>6786297</v>
      </c>
    </row>
    <row r="1335" spans="1:14" x14ac:dyDescent="0.35">
      <c r="A1335" t="s">
        <v>55</v>
      </c>
      <c r="B1335">
        <v>202509</v>
      </c>
      <c r="C1335" t="str">
        <f>MID(analisis_productividad__4[[#This Row],[Periodo]],1,4)</f>
        <v>2025</v>
      </c>
      <c r="D1335" t="str">
        <f>MID(analisis_productividad__4[[#This Row],[Periodo]],5,2)</f>
        <v>09</v>
      </c>
      <c r="E1335" t="s">
        <v>16</v>
      </c>
      <c r="F1335" t="s">
        <v>21</v>
      </c>
      <c r="G1335">
        <v>86471</v>
      </c>
      <c r="H1335">
        <v>4125863</v>
      </c>
      <c r="I1335">
        <v>47.714090277777792</v>
      </c>
      <c r="J1335">
        <v>86378.528260922176</v>
      </c>
      <c r="K1335">
        <v>55</v>
      </c>
      <c r="L1335">
        <v>50.5</v>
      </c>
      <c r="M1335">
        <v>47.764917891829242</v>
      </c>
      <c r="N1335">
        <v>4673929</v>
      </c>
    </row>
    <row r="1336" spans="1:14" x14ac:dyDescent="0.35">
      <c r="A1336" t="s">
        <v>83</v>
      </c>
      <c r="B1336">
        <v>202604</v>
      </c>
      <c r="C1336" t="str">
        <f>MID(analisis_productividad__4[[#This Row],[Periodo]],1,4)</f>
        <v>2026</v>
      </c>
      <c r="D1336" t="str">
        <f>MID(analisis_productividad__4[[#This Row],[Periodo]],5,2)</f>
        <v>04</v>
      </c>
      <c r="E1336" t="s">
        <v>16</v>
      </c>
      <c r="F1336" t="s">
        <v>17</v>
      </c>
      <c r="G1336">
        <v>86460</v>
      </c>
      <c r="H1336">
        <v>3775308</v>
      </c>
      <c r="I1336">
        <v>43.665416666666168</v>
      </c>
      <c r="J1336">
        <v>78147.116009818186</v>
      </c>
      <c r="K1336">
        <v>52</v>
      </c>
      <c r="L1336">
        <v>52</v>
      </c>
      <c r="M1336">
        <v>46.517920556956689</v>
      </c>
      <c r="N1336">
        <v>3635241</v>
      </c>
    </row>
    <row r="1337" spans="1:14" x14ac:dyDescent="0.35">
      <c r="A1337" t="s">
        <v>24</v>
      </c>
      <c r="B1337">
        <v>202409</v>
      </c>
      <c r="C1337" t="str">
        <f>MID(analisis_productividad__4[[#This Row],[Periodo]],1,4)</f>
        <v>2024</v>
      </c>
      <c r="D1337" t="str">
        <f>MID(analisis_productividad__4[[#This Row],[Periodo]],5,2)</f>
        <v>09</v>
      </c>
      <c r="E1337" t="s">
        <v>16</v>
      </c>
      <c r="F1337" t="s">
        <v>21</v>
      </c>
      <c r="G1337">
        <v>86447</v>
      </c>
      <c r="H1337">
        <v>8730314</v>
      </c>
      <c r="I1337">
        <v>100.99021527777782</v>
      </c>
      <c r="J1337">
        <v>0</v>
      </c>
      <c r="K1337">
        <v>125</v>
      </c>
      <c r="L1337">
        <v>118.5</v>
      </c>
      <c r="N1337">
        <v>0</v>
      </c>
    </row>
    <row r="1338" spans="1:14" x14ac:dyDescent="0.35">
      <c r="A1338" t="s">
        <v>81</v>
      </c>
      <c r="B1338">
        <v>202511</v>
      </c>
      <c r="C1338" t="str">
        <f>MID(analisis_productividad__4[[#This Row],[Periodo]],1,4)</f>
        <v>2025</v>
      </c>
      <c r="D1338" t="str">
        <f>MID(analisis_productividad__4[[#This Row],[Periodo]],5,2)</f>
        <v>11</v>
      </c>
      <c r="E1338" t="s">
        <v>34</v>
      </c>
      <c r="F1338" t="s">
        <v>35</v>
      </c>
      <c r="G1338">
        <v>86420</v>
      </c>
      <c r="H1338">
        <v>7524630</v>
      </c>
      <c r="I1338">
        <v>87.070812500000031</v>
      </c>
      <c r="J1338">
        <v>76488.130163010224</v>
      </c>
      <c r="K1338">
        <v>106</v>
      </c>
      <c r="L1338">
        <v>94.5</v>
      </c>
      <c r="M1338">
        <v>98.376434669845366</v>
      </c>
      <c r="N1338">
        <v>7939529</v>
      </c>
    </row>
    <row r="1339" spans="1:14" x14ac:dyDescent="0.35">
      <c r="A1339" t="s">
        <v>8</v>
      </c>
      <c r="B1339">
        <v>202606</v>
      </c>
      <c r="C1339" t="str">
        <f>MID(analisis_productividad__4[[#This Row],[Periodo]],1,4)</f>
        <v>2026</v>
      </c>
      <c r="D1339" t="str">
        <f>MID(analisis_productividad__4[[#This Row],[Periodo]],5,2)</f>
        <v>06</v>
      </c>
      <c r="E1339" t="s">
        <v>9</v>
      </c>
      <c r="F1339" t="s">
        <v>9</v>
      </c>
      <c r="G1339">
        <v>86392</v>
      </c>
      <c r="H1339">
        <v>909515</v>
      </c>
      <c r="I1339">
        <v>10.527708333333319</v>
      </c>
      <c r="J1339">
        <v>85402.564335872477</v>
      </c>
      <c r="K1339">
        <v>13.5</v>
      </c>
      <c r="L1339">
        <v>12.5</v>
      </c>
      <c r="M1339">
        <v>11.712938172043014</v>
      </c>
      <c r="N1339">
        <v>1000315</v>
      </c>
    </row>
    <row r="1340" spans="1:14" x14ac:dyDescent="0.35">
      <c r="A1340" t="s">
        <v>68</v>
      </c>
      <c r="B1340">
        <v>202602</v>
      </c>
      <c r="C1340" t="str">
        <f>MID(analisis_productividad__4[[#This Row],[Periodo]],1,4)</f>
        <v>2026</v>
      </c>
      <c r="D1340" t="str">
        <f>MID(analisis_productividad__4[[#This Row],[Periodo]],5,2)</f>
        <v>02</v>
      </c>
      <c r="E1340" t="s">
        <v>11</v>
      </c>
      <c r="F1340" t="s">
        <v>52</v>
      </c>
      <c r="G1340">
        <v>86383</v>
      </c>
      <c r="H1340">
        <v>7737545</v>
      </c>
      <c r="I1340">
        <v>89.572968750000044</v>
      </c>
      <c r="J1340">
        <v>91121.865633877896</v>
      </c>
      <c r="K1340">
        <v>103</v>
      </c>
      <c r="L1340">
        <v>91</v>
      </c>
      <c r="M1340">
        <v>85.91077884372821</v>
      </c>
      <c r="N1340">
        <v>7828350</v>
      </c>
    </row>
    <row r="1341" spans="1:14" x14ac:dyDescent="0.35">
      <c r="A1341" t="s">
        <v>50</v>
      </c>
      <c r="B1341">
        <v>202409</v>
      </c>
      <c r="C1341" t="str">
        <f>MID(analisis_productividad__4[[#This Row],[Periodo]],1,4)</f>
        <v>2024</v>
      </c>
      <c r="D1341" t="str">
        <f>MID(analisis_productividad__4[[#This Row],[Periodo]],5,2)</f>
        <v>09</v>
      </c>
      <c r="E1341" t="s">
        <v>34</v>
      </c>
      <c r="F1341" t="s">
        <v>35</v>
      </c>
      <c r="G1341">
        <v>86376</v>
      </c>
      <c r="H1341">
        <v>5322138</v>
      </c>
      <c r="I1341">
        <v>61.615750000000013</v>
      </c>
      <c r="J1341">
        <v>0</v>
      </c>
      <c r="K1341">
        <v>79.5</v>
      </c>
      <c r="L1341">
        <v>72.5</v>
      </c>
      <c r="N1341">
        <v>0</v>
      </c>
    </row>
    <row r="1342" spans="1:14" x14ac:dyDescent="0.35">
      <c r="A1342" t="s">
        <v>81</v>
      </c>
      <c r="B1342">
        <v>202510</v>
      </c>
      <c r="C1342" t="str">
        <f>MID(analisis_productividad__4[[#This Row],[Periodo]],1,4)</f>
        <v>2025</v>
      </c>
      <c r="D1342" t="str">
        <f>MID(analisis_productividad__4[[#This Row],[Periodo]],5,2)</f>
        <v>10</v>
      </c>
      <c r="E1342" t="s">
        <v>34</v>
      </c>
      <c r="F1342" t="s">
        <v>35</v>
      </c>
      <c r="G1342">
        <v>86375</v>
      </c>
      <c r="H1342">
        <v>7381591</v>
      </c>
      <c r="I1342">
        <v>85.460073924731219</v>
      </c>
      <c r="J1342">
        <v>83882.683762090339</v>
      </c>
      <c r="K1342">
        <v>106</v>
      </c>
      <c r="L1342">
        <v>94.5</v>
      </c>
      <c r="M1342">
        <v>87.998988455541181</v>
      </c>
      <c r="N1342">
        <v>7919671</v>
      </c>
    </row>
    <row r="1343" spans="1:14" x14ac:dyDescent="0.35">
      <c r="A1343" t="s">
        <v>68</v>
      </c>
      <c r="B1343">
        <v>202406</v>
      </c>
      <c r="C1343" t="str">
        <f>MID(analisis_productividad__4[[#This Row],[Periodo]],1,4)</f>
        <v>2024</v>
      </c>
      <c r="D1343" t="str">
        <f>MID(analisis_productividad__4[[#This Row],[Periodo]],5,2)</f>
        <v>06</v>
      </c>
      <c r="E1343" t="s">
        <v>11</v>
      </c>
      <c r="F1343" t="s">
        <v>52</v>
      </c>
      <c r="G1343">
        <v>86370</v>
      </c>
      <c r="H1343">
        <v>8168455</v>
      </c>
      <c r="I1343">
        <v>94.575104166666748</v>
      </c>
      <c r="J1343">
        <v>0</v>
      </c>
      <c r="K1343">
        <v>103</v>
      </c>
      <c r="L1343">
        <v>91</v>
      </c>
      <c r="N1343">
        <v>0</v>
      </c>
    </row>
    <row r="1344" spans="1:14" x14ac:dyDescent="0.35">
      <c r="A1344" t="s">
        <v>22</v>
      </c>
      <c r="B1344">
        <v>202409</v>
      </c>
      <c r="C1344" t="str">
        <f>MID(analisis_productividad__4[[#This Row],[Periodo]],1,4)</f>
        <v>2024</v>
      </c>
      <c r="D1344" t="str">
        <f>MID(analisis_productividad__4[[#This Row],[Periodo]],5,2)</f>
        <v>09</v>
      </c>
      <c r="E1344" t="s">
        <v>16</v>
      </c>
      <c r="F1344" t="s">
        <v>21</v>
      </c>
      <c r="G1344">
        <v>86334</v>
      </c>
      <c r="H1344">
        <v>4666868</v>
      </c>
      <c r="I1344">
        <v>54.055895833333331</v>
      </c>
      <c r="J1344">
        <v>0</v>
      </c>
      <c r="K1344">
        <v>59.5</v>
      </c>
      <c r="L1344">
        <v>55.5</v>
      </c>
      <c r="N1344">
        <v>0</v>
      </c>
    </row>
    <row r="1345" spans="1:14" x14ac:dyDescent="0.35">
      <c r="A1345" t="s">
        <v>54</v>
      </c>
      <c r="B1345">
        <v>202401</v>
      </c>
      <c r="C1345" t="str">
        <f>MID(analisis_productividad__4[[#This Row],[Periodo]],1,4)</f>
        <v>2024</v>
      </c>
      <c r="D1345" t="str">
        <f>MID(analisis_productividad__4[[#This Row],[Periodo]],5,2)</f>
        <v>01</v>
      </c>
      <c r="E1345" t="s">
        <v>11</v>
      </c>
      <c r="F1345" t="s">
        <v>52</v>
      </c>
      <c r="G1345">
        <v>86328</v>
      </c>
      <c r="H1345">
        <v>8980870</v>
      </c>
      <c r="I1345">
        <v>104.03180779569894</v>
      </c>
      <c r="J1345">
        <v>0</v>
      </c>
      <c r="K1345">
        <v>106</v>
      </c>
      <c r="L1345">
        <v>102.5</v>
      </c>
      <c r="N1345">
        <v>0</v>
      </c>
    </row>
    <row r="1346" spans="1:14" x14ac:dyDescent="0.35">
      <c r="A1346" t="s">
        <v>100</v>
      </c>
      <c r="B1346">
        <v>202512</v>
      </c>
      <c r="C1346" t="str">
        <f>MID(analisis_productividad__4[[#This Row],[Periodo]],1,4)</f>
        <v>2025</v>
      </c>
      <c r="D1346" t="str">
        <f>MID(analisis_productividad__4[[#This Row],[Periodo]],5,2)</f>
        <v>12</v>
      </c>
      <c r="E1346" t="s">
        <v>34</v>
      </c>
      <c r="F1346" t="s">
        <v>35</v>
      </c>
      <c r="G1346">
        <v>86292</v>
      </c>
      <c r="H1346">
        <v>3463835</v>
      </c>
      <c r="I1346">
        <v>40.141048387096745</v>
      </c>
      <c r="J1346">
        <v>84949.929513119656</v>
      </c>
      <c r="K1346">
        <v>44</v>
      </c>
      <c r="L1346">
        <v>40.5</v>
      </c>
      <c r="M1346">
        <v>40.775015822291479</v>
      </c>
      <c r="N1346">
        <v>3829880</v>
      </c>
    </row>
    <row r="1347" spans="1:14" x14ac:dyDescent="0.35">
      <c r="A1347" t="s">
        <v>72</v>
      </c>
      <c r="B1347">
        <v>202511</v>
      </c>
      <c r="C1347" t="str">
        <f>MID(analisis_productividad__4[[#This Row],[Periodo]],1,4)</f>
        <v>2025</v>
      </c>
      <c r="D1347" t="str">
        <f>MID(analisis_productividad__4[[#This Row],[Periodo]],5,2)</f>
        <v>11</v>
      </c>
      <c r="E1347" t="s">
        <v>11</v>
      </c>
      <c r="F1347" t="s">
        <v>14</v>
      </c>
      <c r="G1347">
        <v>86283</v>
      </c>
      <c r="H1347">
        <v>4813689</v>
      </c>
      <c r="I1347">
        <v>55.789416666666689</v>
      </c>
      <c r="J1347">
        <v>89018.293261589046</v>
      </c>
      <c r="K1347">
        <v>66</v>
      </c>
      <c r="L1347">
        <v>64.5</v>
      </c>
      <c r="M1347">
        <v>54.075276705817082</v>
      </c>
      <c r="N1347">
        <v>5354134</v>
      </c>
    </row>
    <row r="1348" spans="1:14" x14ac:dyDescent="0.35">
      <c r="A1348" t="s">
        <v>40</v>
      </c>
      <c r="B1348">
        <v>202601</v>
      </c>
      <c r="C1348" t="str">
        <f>MID(analisis_productividad__4[[#This Row],[Periodo]],1,4)</f>
        <v>2026</v>
      </c>
      <c r="D1348" t="str">
        <f>MID(analisis_productividad__4[[#This Row],[Periodo]],5,2)</f>
        <v>01</v>
      </c>
      <c r="E1348" t="s">
        <v>11</v>
      </c>
      <c r="F1348" t="s">
        <v>14</v>
      </c>
      <c r="G1348">
        <v>86281</v>
      </c>
      <c r="H1348">
        <v>5965605</v>
      </c>
      <c r="I1348">
        <v>69.14155913978496</v>
      </c>
      <c r="J1348">
        <v>89248.215076519991</v>
      </c>
      <c r="K1348">
        <v>76.5</v>
      </c>
      <c r="L1348">
        <v>75.5</v>
      </c>
      <c r="M1348">
        <v>67.697971575339096</v>
      </c>
      <c r="N1348">
        <v>6041923</v>
      </c>
    </row>
    <row r="1349" spans="1:14" x14ac:dyDescent="0.35">
      <c r="A1349" t="s">
        <v>76</v>
      </c>
      <c r="B1349">
        <v>202406</v>
      </c>
      <c r="C1349" t="str">
        <f>MID(analisis_productividad__4[[#This Row],[Periodo]],1,4)</f>
        <v>2024</v>
      </c>
      <c r="D1349" t="str">
        <f>MID(analisis_productividad__4[[#This Row],[Periodo]],5,2)</f>
        <v>06</v>
      </c>
      <c r="E1349" t="s">
        <v>11</v>
      </c>
      <c r="F1349" t="s">
        <v>14</v>
      </c>
      <c r="G1349">
        <v>86278</v>
      </c>
      <c r="H1349">
        <v>6560570</v>
      </c>
      <c r="I1349">
        <v>76.039493055555539</v>
      </c>
      <c r="J1349">
        <v>0</v>
      </c>
      <c r="K1349">
        <v>80</v>
      </c>
      <c r="L1349">
        <v>78</v>
      </c>
      <c r="N1349">
        <v>0</v>
      </c>
    </row>
    <row r="1350" spans="1:14" x14ac:dyDescent="0.35">
      <c r="A1350" t="s">
        <v>47</v>
      </c>
      <c r="B1350">
        <v>202510</v>
      </c>
      <c r="C1350" t="str">
        <f>MID(analisis_productividad__4[[#This Row],[Periodo]],1,4)</f>
        <v>2025</v>
      </c>
      <c r="D1350" t="str">
        <f>MID(analisis_productividad__4[[#This Row],[Periodo]],5,2)</f>
        <v>10</v>
      </c>
      <c r="E1350" t="s">
        <v>11</v>
      </c>
      <c r="F1350" t="s">
        <v>14</v>
      </c>
      <c r="G1350">
        <v>86277</v>
      </c>
      <c r="H1350">
        <v>4139846</v>
      </c>
      <c r="I1350">
        <v>47.982930107526876</v>
      </c>
      <c r="J1350">
        <v>87207.789165371825</v>
      </c>
      <c r="K1350">
        <v>61.5</v>
      </c>
      <c r="L1350">
        <v>48.5</v>
      </c>
      <c r="M1350">
        <v>47.471059748454628</v>
      </c>
      <c r="N1350">
        <v>4828900</v>
      </c>
    </row>
    <row r="1351" spans="1:14" x14ac:dyDescent="0.35">
      <c r="A1351" t="s">
        <v>32</v>
      </c>
      <c r="B1351">
        <v>202411</v>
      </c>
      <c r="C1351" t="str">
        <f>MID(analisis_productividad__4[[#This Row],[Periodo]],1,4)</f>
        <v>2024</v>
      </c>
      <c r="D1351" t="str">
        <f>MID(analisis_productividad__4[[#This Row],[Periodo]],5,2)</f>
        <v>11</v>
      </c>
      <c r="E1351" t="s">
        <v>11</v>
      </c>
      <c r="F1351" t="s">
        <v>12</v>
      </c>
      <c r="G1351">
        <v>86272</v>
      </c>
      <c r="H1351">
        <v>5094279</v>
      </c>
      <c r="I1351">
        <v>59.048888888888882</v>
      </c>
      <c r="J1351">
        <v>0</v>
      </c>
      <c r="K1351">
        <v>65.5</v>
      </c>
      <c r="L1351">
        <v>66</v>
      </c>
      <c r="N1351">
        <v>0</v>
      </c>
    </row>
    <row r="1352" spans="1:14" x14ac:dyDescent="0.35">
      <c r="A1352" t="s">
        <v>67</v>
      </c>
      <c r="B1352">
        <v>202505</v>
      </c>
      <c r="C1352" t="str">
        <f>MID(analisis_productividad__4[[#This Row],[Periodo]],1,4)</f>
        <v>2025</v>
      </c>
      <c r="D1352" t="str">
        <f>MID(analisis_productividad__4[[#This Row],[Periodo]],5,2)</f>
        <v>05</v>
      </c>
      <c r="E1352" t="s">
        <v>16</v>
      </c>
      <c r="F1352" t="s">
        <v>19</v>
      </c>
      <c r="G1352">
        <v>86263</v>
      </c>
      <c r="H1352">
        <v>6207317</v>
      </c>
      <c r="I1352">
        <v>71.957647849462347</v>
      </c>
      <c r="J1352">
        <v>83892.534911035182</v>
      </c>
      <c r="K1352">
        <v>79.5</v>
      </c>
      <c r="L1352">
        <v>81.5</v>
      </c>
      <c r="M1352">
        <v>73.991286907501603</v>
      </c>
      <c r="N1352">
        <v>6110404</v>
      </c>
    </row>
    <row r="1353" spans="1:14" x14ac:dyDescent="0.35">
      <c r="A1353" t="s">
        <v>69</v>
      </c>
      <c r="B1353">
        <v>202408</v>
      </c>
      <c r="C1353" t="str">
        <f>MID(analisis_productividad__4[[#This Row],[Periodo]],1,4)</f>
        <v>2024</v>
      </c>
      <c r="D1353" t="str">
        <f>MID(analisis_productividad__4[[#This Row],[Periodo]],5,2)</f>
        <v>08</v>
      </c>
      <c r="E1353" t="s">
        <v>11</v>
      </c>
      <c r="F1353" t="s">
        <v>52</v>
      </c>
      <c r="G1353">
        <v>86260</v>
      </c>
      <c r="H1353">
        <v>4965345</v>
      </c>
      <c r="I1353">
        <v>57.562768817204301</v>
      </c>
      <c r="J1353">
        <v>0</v>
      </c>
      <c r="K1353">
        <v>68</v>
      </c>
      <c r="L1353">
        <v>60.5</v>
      </c>
      <c r="N1353">
        <v>0</v>
      </c>
    </row>
    <row r="1354" spans="1:14" x14ac:dyDescent="0.35">
      <c r="A1354" t="s">
        <v>77</v>
      </c>
      <c r="B1354">
        <v>202507</v>
      </c>
      <c r="C1354" t="str">
        <f>MID(analisis_productividad__4[[#This Row],[Periodo]],1,4)</f>
        <v>2025</v>
      </c>
      <c r="D1354" t="str">
        <f>MID(analisis_productividad__4[[#This Row],[Periodo]],5,2)</f>
        <v>07</v>
      </c>
      <c r="E1354" t="s">
        <v>16</v>
      </c>
      <c r="F1354" t="s">
        <v>21</v>
      </c>
      <c r="G1354">
        <v>86241</v>
      </c>
      <c r="H1354">
        <v>4789952</v>
      </c>
      <c r="I1354">
        <v>55.541189516129009</v>
      </c>
      <c r="J1354">
        <v>88075.262257103823</v>
      </c>
      <c r="K1354">
        <v>60.5</v>
      </c>
      <c r="L1354">
        <v>60.5</v>
      </c>
      <c r="M1354">
        <v>54.38475818576017</v>
      </c>
      <c r="N1354">
        <v>6123328</v>
      </c>
    </row>
    <row r="1355" spans="1:14" x14ac:dyDescent="0.35">
      <c r="A1355" t="s">
        <v>76</v>
      </c>
      <c r="B1355">
        <v>202506</v>
      </c>
      <c r="C1355" t="str">
        <f>MID(analisis_productividad__4[[#This Row],[Periodo]],1,4)</f>
        <v>2025</v>
      </c>
      <c r="D1355" t="str">
        <f>MID(analisis_productividad__4[[#This Row],[Periodo]],5,2)</f>
        <v>06</v>
      </c>
      <c r="E1355" t="s">
        <v>11</v>
      </c>
      <c r="F1355" t="s">
        <v>14</v>
      </c>
      <c r="G1355">
        <v>86233</v>
      </c>
      <c r="H1355">
        <v>6061446</v>
      </c>
      <c r="I1355">
        <v>70.291715277777769</v>
      </c>
      <c r="J1355">
        <v>90592.371262484521</v>
      </c>
      <c r="K1355">
        <v>80</v>
      </c>
      <c r="L1355">
        <v>78</v>
      </c>
      <c r="M1355">
        <v>66.909008623225262</v>
      </c>
      <c r="N1355">
        <v>6684945</v>
      </c>
    </row>
    <row r="1356" spans="1:14" x14ac:dyDescent="0.35">
      <c r="A1356" t="s">
        <v>72</v>
      </c>
      <c r="B1356">
        <v>202402</v>
      </c>
      <c r="C1356" t="str">
        <f>MID(analisis_productividad__4[[#This Row],[Periodo]],1,4)</f>
        <v>2024</v>
      </c>
      <c r="D1356" t="str">
        <f>MID(analisis_productividad__4[[#This Row],[Periodo]],5,2)</f>
        <v>02</v>
      </c>
      <c r="E1356" t="s">
        <v>11</v>
      </c>
      <c r="F1356" t="s">
        <v>14</v>
      </c>
      <c r="G1356">
        <v>86191</v>
      </c>
      <c r="H1356">
        <v>5536149</v>
      </c>
      <c r="I1356">
        <v>64.231034482758631</v>
      </c>
      <c r="J1356">
        <v>0</v>
      </c>
      <c r="K1356">
        <v>66</v>
      </c>
      <c r="L1356">
        <v>64.5</v>
      </c>
      <c r="N1356">
        <v>0</v>
      </c>
    </row>
    <row r="1357" spans="1:14" x14ac:dyDescent="0.35">
      <c r="A1357" t="s">
        <v>83</v>
      </c>
      <c r="B1357">
        <v>202403</v>
      </c>
      <c r="C1357" t="str">
        <f>MID(analisis_productividad__4[[#This Row],[Periodo]],1,4)</f>
        <v>2024</v>
      </c>
      <c r="D1357" t="str">
        <f>MID(analisis_productividad__4[[#This Row],[Periodo]],5,2)</f>
        <v>03</v>
      </c>
      <c r="E1357" t="s">
        <v>16</v>
      </c>
      <c r="F1357" t="s">
        <v>17</v>
      </c>
      <c r="G1357">
        <v>86186</v>
      </c>
      <c r="H1357">
        <v>4107463</v>
      </c>
      <c r="I1357">
        <v>47.658380376344105</v>
      </c>
      <c r="J1357">
        <v>0</v>
      </c>
      <c r="K1357">
        <v>52</v>
      </c>
      <c r="L1357">
        <v>52</v>
      </c>
      <c r="N1357">
        <v>0</v>
      </c>
    </row>
    <row r="1358" spans="1:14" x14ac:dyDescent="0.35">
      <c r="A1358" t="s">
        <v>51</v>
      </c>
      <c r="B1358">
        <v>202509</v>
      </c>
      <c r="C1358" t="str">
        <f>MID(analisis_productividad__4[[#This Row],[Periodo]],1,4)</f>
        <v>2025</v>
      </c>
      <c r="D1358" t="str">
        <f>MID(analisis_productividad__4[[#This Row],[Periodo]],5,2)</f>
        <v>09</v>
      </c>
      <c r="E1358" t="s">
        <v>11</v>
      </c>
      <c r="F1358" t="s">
        <v>52</v>
      </c>
      <c r="G1358">
        <v>86162</v>
      </c>
      <c r="H1358">
        <v>8523266</v>
      </c>
      <c r="I1358">
        <v>98.921472222222306</v>
      </c>
      <c r="J1358">
        <v>97007.253102296294</v>
      </c>
      <c r="K1358">
        <v>117.5</v>
      </c>
      <c r="L1358">
        <v>99</v>
      </c>
      <c r="M1358">
        <v>87.862149451979917</v>
      </c>
      <c r="N1358">
        <v>9499594</v>
      </c>
    </row>
    <row r="1359" spans="1:14" x14ac:dyDescent="0.35">
      <c r="A1359" t="s">
        <v>72</v>
      </c>
      <c r="B1359">
        <v>202502</v>
      </c>
      <c r="C1359" t="str">
        <f>MID(analisis_productividad__4[[#This Row],[Periodo]],1,4)</f>
        <v>2025</v>
      </c>
      <c r="D1359" t="str">
        <f>MID(analisis_productividad__4[[#This Row],[Periodo]],5,2)</f>
        <v>02</v>
      </c>
      <c r="E1359" t="s">
        <v>11</v>
      </c>
      <c r="F1359" t="s">
        <v>14</v>
      </c>
      <c r="G1359">
        <v>86158</v>
      </c>
      <c r="H1359">
        <v>4948762</v>
      </c>
      <c r="I1359">
        <v>57.43854166666668</v>
      </c>
      <c r="J1359">
        <v>90500.749549041691</v>
      </c>
      <c r="K1359">
        <v>66</v>
      </c>
      <c r="L1359">
        <v>64.5</v>
      </c>
      <c r="M1359">
        <v>54.68199705150839</v>
      </c>
      <c r="N1359">
        <v>5426876</v>
      </c>
    </row>
    <row r="1360" spans="1:14" x14ac:dyDescent="0.35">
      <c r="A1360" t="s">
        <v>87</v>
      </c>
      <c r="B1360">
        <v>202409</v>
      </c>
      <c r="C1360" t="str">
        <f>MID(analisis_productividad__4[[#This Row],[Periodo]],1,4)</f>
        <v>2024</v>
      </c>
      <c r="D1360" t="str">
        <f>MID(analisis_productividad__4[[#This Row],[Periodo]],5,2)</f>
        <v>09</v>
      </c>
      <c r="E1360" t="s">
        <v>9</v>
      </c>
      <c r="F1360" t="s">
        <v>9</v>
      </c>
      <c r="G1360">
        <v>86140</v>
      </c>
      <c r="H1360">
        <v>947306</v>
      </c>
      <c r="I1360">
        <v>10.997243055555554</v>
      </c>
      <c r="J1360">
        <v>0</v>
      </c>
      <c r="K1360">
        <v>13.5</v>
      </c>
      <c r="L1360">
        <v>12</v>
      </c>
      <c r="N1360">
        <v>0</v>
      </c>
    </row>
    <row r="1361" spans="1:14" x14ac:dyDescent="0.35">
      <c r="A1361" t="s">
        <v>49</v>
      </c>
      <c r="B1361">
        <v>202502</v>
      </c>
      <c r="C1361" t="str">
        <f>MID(analisis_productividad__4[[#This Row],[Periodo]],1,4)</f>
        <v>2025</v>
      </c>
      <c r="D1361" t="str">
        <f>MID(analisis_productividad__4[[#This Row],[Periodo]],5,2)</f>
        <v>02</v>
      </c>
      <c r="E1361" t="s">
        <v>16</v>
      </c>
      <c r="F1361" t="s">
        <v>21</v>
      </c>
      <c r="G1361">
        <v>86134</v>
      </c>
      <c r="H1361">
        <v>5729785</v>
      </c>
      <c r="I1361">
        <v>66.521770833333335</v>
      </c>
      <c r="J1361">
        <v>82260.820685552477</v>
      </c>
      <c r="K1361">
        <v>75.5</v>
      </c>
      <c r="L1361">
        <v>68</v>
      </c>
      <c r="M1361">
        <v>69.653870849434952</v>
      </c>
      <c r="N1361">
        <v>5496212</v>
      </c>
    </row>
    <row r="1362" spans="1:14" x14ac:dyDescent="0.35">
      <c r="A1362" t="s">
        <v>40</v>
      </c>
      <c r="B1362">
        <v>202504</v>
      </c>
      <c r="C1362" t="str">
        <f>MID(analisis_productividad__4[[#This Row],[Periodo]],1,4)</f>
        <v>2025</v>
      </c>
      <c r="D1362" t="str">
        <f>MID(analisis_productividad__4[[#This Row],[Periodo]],5,2)</f>
        <v>04</v>
      </c>
      <c r="E1362" t="s">
        <v>11</v>
      </c>
      <c r="F1362" t="s">
        <v>14</v>
      </c>
      <c r="G1362">
        <v>86115</v>
      </c>
      <c r="H1362">
        <v>5860234</v>
      </c>
      <c r="I1362">
        <v>68.051131944444464</v>
      </c>
      <c r="J1362">
        <v>95013.330724818356</v>
      </c>
      <c r="K1362">
        <v>76.5</v>
      </c>
      <c r="L1362">
        <v>75.5</v>
      </c>
      <c r="M1362">
        <v>61.67801933996671</v>
      </c>
      <c r="N1362">
        <v>7042532</v>
      </c>
    </row>
    <row r="1363" spans="1:14" x14ac:dyDescent="0.35">
      <c r="A1363" t="s">
        <v>54</v>
      </c>
      <c r="B1363">
        <v>202501</v>
      </c>
      <c r="C1363" t="str">
        <f>MID(analisis_productividad__4[[#This Row],[Periodo]],1,4)</f>
        <v>2025</v>
      </c>
      <c r="D1363" t="str">
        <f>MID(analisis_productividad__4[[#This Row],[Periodo]],5,2)</f>
        <v>01</v>
      </c>
      <c r="E1363" t="s">
        <v>11</v>
      </c>
      <c r="F1363" t="s">
        <v>52</v>
      </c>
      <c r="G1363">
        <v>86079</v>
      </c>
      <c r="H1363">
        <v>8825586</v>
      </c>
      <c r="I1363">
        <v>102.529065860215</v>
      </c>
      <c r="J1363">
        <v>90644.51896307306</v>
      </c>
      <c r="K1363">
        <v>106</v>
      </c>
      <c r="L1363">
        <v>102.5</v>
      </c>
      <c r="M1363">
        <v>97.364808936714439</v>
      </c>
      <c r="N1363">
        <v>9388104</v>
      </c>
    </row>
    <row r="1364" spans="1:14" x14ac:dyDescent="0.35">
      <c r="A1364" t="s">
        <v>70</v>
      </c>
      <c r="B1364">
        <v>202602</v>
      </c>
      <c r="C1364" t="str">
        <f>MID(analisis_productividad__4[[#This Row],[Periodo]],1,4)</f>
        <v>2026</v>
      </c>
      <c r="D1364" t="str">
        <f>MID(analisis_productividad__4[[#This Row],[Periodo]],5,2)</f>
        <v>02</v>
      </c>
      <c r="E1364" t="s">
        <v>11</v>
      </c>
      <c r="F1364" t="s">
        <v>14</v>
      </c>
      <c r="G1364">
        <v>86074</v>
      </c>
      <c r="H1364">
        <v>5222212</v>
      </c>
      <c r="I1364">
        <v>60.671041666666682</v>
      </c>
      <c r="J1364">
        <v>86874.331715254259</v>
      </c>
      <c r="K1364">
        <v>65</v>
      </c>
      <c r="L1364">
        <v>67.5</v>
      </c>
      <c r="M1364">
        <v>56.772923994003762</v>
      </c>
      <c r="N1364">
        <v>4932110</v>
      </c>
    </row>
    <row r="1365" spans="1:14" x14ac:dyDescent="0.35">
      <c r="A1365" t="s">
        <v>77</v>
      </c>
      <c r="B1365">
        <v>202403</v>
      </c>
      <c r="C1365" t="str">
        <f>MID(analisis_productividad__4[[#This Row],[Periodo]],1,4)</f>
        <v>2024</v>
      </c>
      <c r="D1365" t="str">
        <f>MID(analisis_productividad__4[[#This Row],[Periodo]],5,2)</f>
        <v>03</v>
      </c>
      <c r="E1365" t="s">
        <v>16</v>
      </c>
      <c r="F1365" t="s">
        <v>21</v>
      </c>
      <c r="G1365">
        <v>86071</v>
      </c>
      <c r="H1365">
        <v>5667536</v>
      </c>
      <c r="I1365">
        <v>65.846901881720427</v>
      </c>
      <c r="J1365">
        <v>0</v>
      </c>
      <c r="K1365">
        <v>60.5</v>
      </c>
      <c r="L1365">
        <v>60.5</v>
      </c>
      <c r="N1365">
        <v>0</v>
      </c>
    </row>
    <row r="1366" spans="1:14" x14ac:dyDescent="0.35">
      <c r="A1366" t="s">
        <v>59</v>
      </c>
      <c r="B1366">
        <v>202505</v>
      </c>
      <c r="C1366" t="str">
        <f>MID(analisis_productividad__4[[#This Row],[Periodo]],1,4)</f>
        <v>2025</v>
      </c>
      <c r="D1366" t="str">
        <f>MID(analisis_productividad__4[[#This Row],[Periodo]],5,2)</f>
        <v>05</v>
      </c>
      <c r="E1366" t="s">
        <v>11</v>
      </c>
      <c r="F1366" t="s">
        <v>12</v>
      </c>
      <c r="G1366">
        <v>86067</v>
      </c>
      <c r="H1366">
        <v>7896871</v>
      </c>
      <c r="I1366">
        <v>91.752594086021503</v>
      </c>
      <c r="J1366">
        <v>86388.755822446401</v>
      </c>
      <c r="K1366">
        <v>94.5</v>
      </c>
      <c r="L1366">
        <v>97</v>
      </c>
      <c r="M1366">
        <v>91.410865972306965</v>
      </c>
      <c r="N1366">
        <v>7674858</v>
      </c>
    </row>
    <row r="1367" spans="1:14" x14ac:dyDescent="0.35">
      <c r="A1367" t="s">
        <v>49</v>
      </c>
      <c r="B1367">
        <v>202606</v>
      </c>
      <c r="C1367" t="str">
        <f>MID(analisis_productividad__4[[#This Row],[Periodo]],1,4)</f>
        <v>2026</v>
      </c>
      <c r="D1367" t="str">
        <f>MID(analisis_productividad__4[[#This Row],[Periodo]],5,2)</f>
        <v>06</v>
      </c>
      <c r="E1367" t="s">
        <v>16</v>
      </c>
      <c r="F1367" t="s">
        <v>21</v>
      </c>
      <c r="G1367">
        <v>86063</v>
      </c>
      <c r="H1367">
        <v>5038079</v>
      </c>
      <c r="I1367">
        <v>58.539347222222098</v>
      </c>
      <c r="J1367">
        <v>80314.916931467407</v>
      </c>
      <c r="K1367">
        <v>75.5</v>
      </c>
      <c r="L1367">
        <v>68</v>
      </c>
      <c r="M1367">
        <v>66.56902434528007</v>
      </c>
      <c r="N1367">
        <v>5346486</v>
      </c>
    </row>
    <row r="1368" spans="1:14" x14ac:dyDescent="0.35">
      <c r="A1368" t="s">
        <v>24</v>
      </c>
      <c r="B1368">
        <v>202405</v>
      </c>
      <c r="C1368" t="str">
        <f>MID(analisis_productividad__4[[#This Row],[Periodo]],1,4)</f>
        <v>2024</v>
      </c>
      <c r="D1368" t="str">
        <f>MID(analisis_productividad__4[[#This Row],[Periodo]],5,2)</f>
        <v>05</v>
      </c>
      <c r="E1368" t="s">
        <v>16</v>
      </c>
      <c r="F1368" t="s">
        <v>21</v>
      </c>
      <c r="G1368">
        <v>86056</v>
      </c>
      <c r="H1368">
        <v>9244337</v>
      </c>
      <c r="I1368">
        <v>107.42271505376341</v>
      </c>
      <c r="J1368">
        <v>0</v>
      </c>
      <c r="K1368">
        <v>125</v>
      </c>
      <c r="L1368">
        <v>118.5</v>
      </c>
      <c r="N1368">
        <v>0</v>
      </c>
    </row>
    <row r="1369" spans="1:14" x14ac:dyDescent="0.35">
      <c r="A1369" t="s">
        <v>26</v>
      </c>
      <c r="B1369">
        <v>202410</v>
      </c>
      <c r="C1369" t="str">
        <f>MID(analisis_productividad__4[[#This Row],[Periodo]],1,4)</f>
        <v>2024</v>
      </c>
      <c r="D1369" t="str">
        <f>MID(analisis_productividad__4[[#This Row],[Periodo]],5,2)</f>
        <v>10</v>
      </c>
      <c r="E1369" t="s">
        <v>11</v>
      </c>
      <c r="F1369" t="s">
        <v>12</v>
      </c>
      <c r="G1369">
        <v>86047</v>
      </c>
      <c r="H1369">
        <v>5024947</v>
      </c>
      <c r="I1369">
        <v>58.397452956989241</v>
      </c>
      <c r="J1369">
        <v>0</v>
      </c>
      <c r="K1369">
        <v>65.5</v>
      </c>
      <c r="L1369">
        <v>63</v>
      </c>
      <c r="N1369">
        <v>0</v>
      </c>
    </row>
    <row r="1370" spans="1:14" x14ac:dyDescent="0.35">
      <c r="A1370" t="s">
        <v>40</v>
      </c>
      <c r="B1370">
        <v>202501</v>
      </c>
      <c r="C1370" t="str">
        <f>MID(analisis_productividad__4[[#This Row],[Periodo]],1,4)</f>
        <v>2025</v>
      </c>
      <c r="D1370" t="str">
        <f>MID(analisis_productividad__4[[#This Row],[Periodo]],5,2)</f>
        <v>01</v>
      </c>
      <c r="E1370" t="s">
        <v>11</v>
      </c>
      <c r="F1370" t="s">
        <v>14</v>
      </c>
      <c r="G1370">
        <v>86025</v>
      </c>
      <c r="H1370">
        <v>5844912</v>
      </c>
      <c r="I1370">
        <v>67.944126344086015</v>
      </c>
      <c r="J1370">
        <v>93383.62164372293</v>
      </c>
      <c r="K1370">
        <v>76.5</v>
      </c>
      <c r="L1370">
        <v>75.5</v>
      </c>
      <c r="M1370">
        <v>62.590337867806227</v>
      </c>
      <c r="N1370">
        <v>6455234</v>
      </c>
    </row>
    <row r="1371" spans="1:14" x14ac:dyDescent="0.35">
      <c r="A1371" t="s">
        <v>76</v>
      </c>
      <c r="B1371">
        <v>202408</v>
      </c>
      <c r="C1371" t="str">
        <f>MID(analisis_productividad__4[[#This Row],[Periodo]],1,4)</f>
        <v>2024</v>
      </c>
      <c r="D1371" t="str">
        <f>MID(analisis_productividad__4[[#This Row],[Periodo]],5,2)</f>
        <v>08</v>
      </c>
      <c r="E1371" t="s">
        <v>11</v>
      </c>
      <c r="F1371" t="s">
        <v>14</v>
      </c>
      <c r="G1371">
        <v>86025</v>
      </c>
      <c r="H1371">
        <v>6392978</v>
      </c>
      <c r="I1371">
        <v>74.315490591397861</v>
      </c>
      <c r="J1371">
        <v>0</v>
      </c>
      <c r="K1371">
        <v>80</v>
      </c>
      <c r="L1371">
        <v>78</v>
      </c>
      <c r="N1371">
        <v>0</v>
      </c>
    </row>
    <row r="1372" spans="1:14" x14ac:dyDescent="0.35">
      <c r="A1372" t="s">
        <v>97</v>
      </c>
      <c r="B1372">
        <v>202501</v>
      </c>
      <c r="C1372" t="str">
        <f>MID(analisis_productividad__4[[#This Row],[Periodo]],1,4)</f>
        <v>2025</v>
      </c>
      <c r="D1372" t="str">
        <f>MID(analisis_productividad__4[[#This Row],[Periodo]],5,2)</f>
        <v>01</v>
      </c>
      <c r="E1372" t="s">
        <v>11</v>
      </c>
      <c r="F1372" t="s">
        <v>12</v>
      </c>
      <c r="G1372">
        <v>86019</v>
      </c>
      <c r="H1372">
        <v>4882180</v>
      </c>
      <c r="I1372">
        <v>56.757157258064538</v>
      </c>
      <c r="J1372">
        <v>86355.325255708536</v>
      </c>
      <c r="K1372">
        <v>66.5</v>
      </c>
      <c r="L1372">
        <v>63.5</v>
      </c>
      <c r="M1372">
        <v>56.53594732627402</v>
      </c>
      <c r="N1372">
        <v>5188220</v>
      </c>
    </row>
    <row r="1373" spans="1:14" x14ac:dyDescent="0.35">
      <c r="A1373" t="s">
        <v>84</v>
      </c>
      <c r="B1373">
        <v>202606</v>
      </c>
      <c r="C1373" t="str">
        <f>MID(analisis_productividad__4[[#This Row],[Periodo]],1,4)</f>
        <v>2026</v>
      </c>
      <c r="D1373" t="str">
        <f>MID(analisis_productividad__4[[#This Row],[Periodo]],5,2)</f>
        <v>06</v>
      </c>
      <c r="E1373" t="s">
        <v>11</v>
      </c>
      <c r="F1373" t="s">
        <v>52</v>
      </c>
      <c r="G1373">
        <v>86018</v>
      </c>
      <c r="H1373">
        <v>8668578</v>
      </c>
      <c r="I1373">
        <v>100.7766180555578</v>
      </c>
      <c r="J1373">
        <v>84933.449832551152</v>
      </c>
      <c r="K1373">
        <v>123</v>
      </c>
      <c r="L1373">
        <v>115.5</v>
      </c>
      <c r="M1373">
        <v>102.59248347357834</v>
      </c>
      <c r="N1373">
        <v>8713534</v>
      </c>
    </row>
    <row r="1374" spans="1:14" x14ac:dyDescent="0.35">
      <c r="A1374" t="s">
        <v>65</v>
      </c>
      <c r="B1374">
        <v>202505</v>
      </c>
      <c r="C1374" t="str">
        <f>MID(analisis_productividad__4[[#This Row],[Periodo]],1,4)</f>
        <v>2025</v>
      </c>
      <c r="D1374" t="str">
        <f>MID(analisis_productividad__4[[#This Row],[Periodo]],5,2)</f>
        <v>05</v>
      </c>
      <c r="E1374" t="s">
        <v>16</v>
      </c>
      <c r="F1374" t="s">
        <v>19</v>
      </c>
      <c r="G1374">
        <v>86017</v>
      </c>
      <c r="H1374">
        <v>5587376</v>
      </c>
      <c r="I1374">
        <v>64.956330645161302</v>
      </c>
      <c r="J1374">
        <v>85416.051125392885</v>
      </c>
      <c r="K1374">
        <v>68</v>
      </c>
      <c r="L1374">
        <v>68.5</v>
      </c>
      <c r="M1374">
        <v>65.413652426961221</v>
      </c>
      <c r="N1374">
        <v>5244281</v>
      </c>
    </row>
    <row r="1375" spans="1:14" x14ac:dyDescent="0.35">
      <c r="A1375" t="s">
        <v>67</v>
      </c>
      <c r="B1375">
        <v>202504</v>
      </c>
      <c r="C1375" t="str">
        <f>MID(analisis_productividad__4[[#This Row],[Periodo]],1,4)</f>
        <v>2025</v>
      </c>
      <c r="D1375" t="str">
        <f>MID(analisis_productividad__4[[#This Row],[Periodo]],5,2)</f>
        <v>04</v>
      </c>
      <c r="E1375" t="s">
        <v>16</v>
      </c>
      <c r="F1375" t="s">
        <v>19</v>
      </c>
      <c r="G1375">
        <v>86011</v>
      </c>
      <c r="H1375">
        <v>5906630</v>
      </c>
      <c r="I1375">
        <v>68.673208333333321</v>
      </c>
      <c r="J1375">
        <v>87013.030056821459</v>
      </c>
      <c r="K1375">
        <v>79.5</v>
      </c>
      <c r="L1375">
        <v>81.5</v>
      </c>
      <c r="M1375">
        <v>67.882130482559234</v>
      </c>
      <c r="N1375">
        <v>6113550</v>
      </c>
    </row>
    <row r="1376" spans="1:14" x14ac:dyDescent="0.35">
      <c r="A1376" t="s">
        <v>65</v>
      </c>
      <c r="B1376">
        <v>202406</v>
      </c>
      <c r="C1376" t="str">
        <f>MID(analisis_productividad__4[[#This Row],[Periodo]],1,4)</f>
        <v>2024</v>
      </c>
      <c r="D1376" t="str">
        <f>MID(analisis_productividad__4[[#This Row],[Periodo]],5,2)</f>
        <v>06</v>
      </c>
      <c r="E1376" t="s">
        <v>16</v>
      </c>
      <c r="F1376" t="s">
        <v>19</v>
      </c>
      <c r="G1376">
        <v>85977</v>
      </c>
      <c r="H1376">
        <v>5190719</v>
      </c>
      <c r="I1376">
        <v>60.373006944444441</v>
      </c>
      <c r="J1376">
        <v>0</v>
      </c>
      <c r="K1376">
        <v>68</v>
      </c>
      <c r="L1376">
        <v>68.5</v>
      </c>
      <c r="N1376">
        <v>0</v>
      </c>
    </row>
    <row r="1377" spans="1:14" x14ac:dyDescent="0.35">
      <c r="A1377" t="s">
        <v>84</v>
      </c>
      <c r="B1377">
        <v>202511</v>
      </c>
      <c r="C1377" t="str">
        <f>MID(analisis_productividad__4[[#This Row],[Periodo]],1,4)</f>
        <v>2025</v>
      </c>
      <c r="D1377" t="str">
        <f>MID(analisis_productividad__4[[#This Row],[Periodo]],5,2)</f>
        <v>11</v>
      </c>
      <c r="E1377" t="s">
        <v>11</v>
      </c>
      <c r="F1377" t="s">
        <v>52</v>
      </c>
      <c r="G1377">
        <v>85973</v>
      </c>
      <c r="H1377">
        <v>8786514</v>
      </c>
      <c r="I1377">
        <v>102.20131250000001</v>
      </c>
      <c r="J1377">
        <v>85143.704870263886</v>
      </c>
      <c r="K1377">
        <v>123</v>
      </c>
      <c r="L1377">
        <v>115.5</v>
      </c>
      <c r="M1377">
        <v>103.19628061039019</v>
      </c>
      <c r="N1377">
        <v>9442665</v>
      </c>
    </row>
    <row r="1378" spans="1:14" x14ac:dyDescent="0.35">
      <c r="A1378" t="s">
        <v>84</v>
      </c>
      <c r="B1378">
        <v>202506</v>
      </c>
      <c r="C1378" t="str">
        <f>MID(analisis_productividad__4[[#This Row],[Periodo]],1,4)</f>
        <v>2025</v>
      </c>
      <c r="D1378" t="str">
        <f>MID(analisis_productividad__4[[#This Row],[Periodo]],5,2)</f>
        <v>06</v>
      </c>
      <c r="E1378" t="s">
        <v>11</v>
      </c>
      <c r="F1378" t="s">
        <v>52</v>
      </c>
      <c r="G1378">
        <v>85948</v>
      </c>
      <c r="H1378">
        <v>8592844</v>
      </c>
      <c r="I1378">
        <v>99.977645833333412</v>
      </c>
      <c r="J1378">
        <v>85437.53973379024</v>
      </c>
      <c r="K1378">
        <v>123</v>
      </c>
      <c r="L1378">
        <v>115.5</v>
      </c>
      <c r="M1378">
        <v>100.57456847158674</v>
      </c>
      <c r="N1378">
        <v>9380516</v>
      </c>
    </row>
    <row r="1379" spans="1:14" x14ac:dyDescent="0.35">
      <c r="A1379" t="s">
        <v>70</v>
      </c>
      <c r="B1379">
        <v>202508</v>
      </c>
      <c r="C1379" t="str">
        <f>MID(analisis_productividad__4[[#This Row],[Periodo]],1,4)</f>
        <v>2025</v>
      </c>
      <c r="D1379" t="str">
        <f>MID(analisis_productividad__4[[#This Row],[Periodo]],5,2)</f>
        <v>08</v>
      </c>
      <c r="E1379" t="s">
        <v>11</v>
      </c>
      <c r="F1379" t="s">
        <v>14</v>
      </c>
      <c r="G1379">
        <v>85914</v>
      </c>
      <c r="H1379">
        <v>4831014</v>
      </c>
      <c r="I1379">
        <v>56.230745967741925</v>
      </c>
      <c r="J1379">
        <v>86868.629758484138</v>
      </c>
      <c r="K1379">
        <v>65</v>
      </c>
      <c r="L1379">
        <v>67.5</v>
      </c>
      <c r="M1379">
        <v>55.612875711650915</v>
      </c>
      <c r="N1379">
        <v>5019260</v>
      </c>
    </row>
    <row r="1380" spans="1:14" x14ac:dyDescent="0.35">
      <c r="A1380" t="s">
        <v>84</v>
      </c>
      <c r="B1380">
        <v>202605</v>
      </c>
      <c r="C1380" t="str">
        <f>MID(analisis_productividad__4[[#This Row],[Periodo]],1,4)</f>
        <v>2026</v>
      </c>
      <c r="D1380" t="str">
        <f>MID(analisis_productividad__4[[#This Row],[Periodo]],5,2)</f>
        <v>05</v>
      </c>
      <c r="E1380" t="s">
        <v>11</v>
      </c>
      <c r="F1380" t="s">
        <v>52</v>
      </c>
      <c r="G1380">
        <v>85911</v>
      </c>
      <c r="H1380">
        <v>9451428</v>
      </c>
      <c r="I1380">
        <v>110.01379704300663</v>
      </c>
      <c r="J1380">
        <v>91186.981407944113</v>
      </c>
      <c r="K1380">
        <v>123</v>
      </c>
      <c r="L1380">
        <v>115.5</v>
      </c>
      <c r="M1380">
        <v>102.59248347357834</v>
      </c>
      <c r="N1380">
        <v>9355099</v>
      </c>
    </row>
    <row r="1381" spans="1:14" x14ac:dyDescent="0.35">
      <c r="A1381" t="s">
        <v>8</v>
      </c>
      <c r="B1381">
        <v>202401</v>
      </c>
      <c r="C1381" t="str">
        <f>MID(analisis_productividad__4[[#This Row],[Periodo]],1,4)</f>
        <v>2024</v>
      </c>
      <c r="D1381" t="str">
        <f>MID(analisis_productividad__4[[#This Row],[Periodo]],5,2)</f>
        <v>01</v>
      </c>
      <c r="E1381" t="s">
        <v>9</v>
      </c>
      <c r="F1381" t="s">
        <v>9</v>
      </c>
      <c r="G1381">
        <v>85906</v>
      </c>
      <c r="H1381">
        <v>995737</v>
      </c>
      <c r="I1381">
        <v>11.59097446236559</v>
      </c>
      <c r="J1381">
        <v>0</v>
      </c>
      <c r="K1381">
        <v>13.5</v>
      </c>
      <c r="L1381">
        <v>12.5</v>
      </c>
      <c r="N1381">
        <v>0</v>
      </c>
    </row>
    <row r="1382" spans="1:14" x14ac:dyDescent="0.35">
      <c r="A1382" t="s">
        <v>76</v>
      </c>
      <c r="B1382">
        <v>202403</v>
      </c>
      <c r="C1382" t="str">
        <f>MID(analisis_productividad__4[[#This Row],[Periodo]],1,4)</f>
        <v>2024</v>
      </c>
      <c r="D1382" t="str">
        <f>MID(analisis_productividad__4[[#This Row],[Periodo]],5,2)</f>
        <v>03</v>
      </c>
      <c r="E1382" t="s">
        <v>11</v>
      </c>
      <c r="F1382" t="s">
        <v>14</v>
      </c>
      <c r="G1382">
        <v>85902</v>
      </c>
      <c r="H1382">
        <v>7041902</v>
      </c>
      <c r="I1382">
        <v>81.975551075268854</v>
      </c>
      <c r="J1382">
        <v>0</v>
      </c>
      <c r="K1382">
        <v>80</v>
      </c>
      <c r="L1382">
        <v>78</v>
      </c>
      <c r="N1382">
        <v>0</v>
      </c>
    </row>
    <row r="1383" spans="1:14" x14ac:dyDescent="0.35">
      <c r="A1383" t="s">
        <v>53</v>
      </c>
      <c r="B1383">
        <v>202504</v>
      </c>
      <c r="C1383" t="str">
        <f>MID(analisis_productividad__4[[#This Row],[Periodo]],1,4)</f>
        <v>2025</v>
      </c>
      <c r="D1383" t="str">
        <f>MID(analisis_productividad__4[[#This Row],[Periodo]],5,2)</f>
        <v>04</v>
      </c>
      <c r="E1383" t="s">
        <v>11</v>
      </c>
      <c r="F1383" t="s">
        <v>12</v>
      </c>
      <c r="G1383">
        <v>85898</v>
      </c>
      <c r="H1383">
        <v>5949895</v>
      </c>
      <c r="I1383">
        <v>69.266993055555602</v>
      </c>
      <c r="J1383">
        <v>86934.445837472653</v>
      </c>
      <c r="K1383">
        <v>81</v>
      </c>
      <c r="L1383">
        <v>77</v>
      </c>
      <c r="M1383">
        <v>68.441168545820886</v>
      </c>
      <c r="N1383">
        <v>6756087</v>
      </c>
    </row>
    <row r="1384" spans="1:14" x14ac:dyDescent="0.35">
      <c r="A1384" t="s">
        <v>53</v>
      </c>
      <c r="B1384">
        <v>202509</v>
      </c>
      <c r="C1384" t="str">
        <f>MID(analisis_productividad__4[[#This Row],[Periodo]],1,4)</f>
        <v>2025</v>
      </c>
      <c r="D1384" t="str">
        <f>MID(analisis_productividad__4[[#This Row],[Periodo]],5,2)</f>
        <v>09</v>
      </c>
      <c r="E1384" t="s">
        <v>11</v>
      </c>
      <c r="F1384" t="s">
        <v>12</v>
      </c>
      <c r="G1384">
        <v>85890</v>
      </c>
      <c r="H1384">
        <v>5776221</v>
      </c>
      <c r="I1384">
        <v>67.251527777777795</v>
      </c>
      <c r="J1384">
        <v>89746.901574554169</v>
      </c>
      <c r="K1384">
        <v>81</v>
      </c>
      <c r="L1384">
        <v>77</v>
      </c>
      <c r="M1384">
        <v>64.361230846522346</v>
      </c>
      <c r="N1384">
        <v>6516340</v>
      </c>
    </row>
    <row r="1385" spans="1:14" x14ac:dyDescent="0.35">
      <c r="A1385" t="s">
        <v>22</v>
      </c>
      <c r="B1385">
        <v>202507</v>
      </c>
      <c r="C1385" t="str">
        <f>MID(analisis_productividad__4[[#This Row],[Periodo]],1,4)</f>
        <v>2025</v>
      </c>
      <c r="D1385" t="str">
        <f>MID(analisis_productividad__4[[#This Row],[Periodo]],5,2)</f>
        <v>07</v>
      </c>
      <c r="E1385" t="s">
        <v>16</v>
      </c>
      <c r="F1385" t="s">
        <v>21</v>
      </c>
      <c r="G1385">
        <v>85864</v>
      </c>
      <c r="H1385">
        <v>4907999</v>
      </c>
      <c r="I1385">
        <v>57.160362903225817</v>
      </c>
      <c r="J1385">
        <v>92854.748373665498</v>
      </c>
      <c r="K1385">
        <v>59.5</v>
      </c>
      <c r="L1385">
        <v>55.5</v>
      </c>
      <c r="M1385">
        <v>52.856735880100203</v>
      </c>
      <c r="N1385">
        <v>5329666</v>
      </c>
    </row>
    <row r="1386" spans="1:14" x14ac:dyDescent="0.35">
      <c r="A1386" t="s">
        <v>53</v>
      </c>
      <c r="B1386">
        <v>202410</v>
      </c>
      <c r="C1386" t="str">
        <f>MID(analisis_productividad__4[[#This Row],[Periodo]],1,4)</f>
        <v>2024</v>
      </c>
      <c r="D1386" t="str">
        <f>MID(analisis_productividad__4[[#This Row],[Periodo]],5,2)</f>
        <v>10</v>
      </c>
      <c r="E1386" t="s">
        <v>11</v>
      </c>
      <c r="F1386" t="s">
        <v>12</v>
      </c>
      <c r="G1386">
        <v>85845</v>
      </c>
      <c r="H1386">
        <v>5828748</v>
      </c>
      <c r="I1386">
        <v>67.898541666666659</v>
      </c>
      <c r="J1386">
        <v>0</v>
      </c>
      <c r="K1386">
        <v>81</v>
      </c>
      <c r="L1386">
        <v>77</v>
      </c>
      <c r="N1386">
        <v>0</v>
      </c>
    </row>
    <row r="1387" spans="1:14" x14ac:dyDescent="0.35">
      <c r="A1387" t="s">
        <v>75</v>
      </c>
      <c r="B1387">
        <v>202401</v>
      </c>
      <c r="C1387" t="str">
        <f>MID(analisis_productividad__4[[#This Row],[Periodo]],1,4)</f>
        <v>2024</v>
      </c>
      <c r="D1387" t="str">
        <f>MID(analisis_productividad__4[[#This Row],[Periodo]],5,2)</f>
        <v>01</v>
      </c>
      <c r="E1387" t="s">
        <v>11</v>
      </c>
      <c r="F1387" t="s">
        <v>52</v>
      </c>
      <c r="G1387">
        <v>85834</v>
      </c>
      <c r="H1387">
        <v>9315865</v>
      </c>
      <c r="I1387">
        <v>108.53340053763439</v>
      </c>
      <c r="J1387">
        <v>0</v>
      </c>
      <c r="K1387">
        <v>118</v>
      </c>
      <c r="L1387">
        <v>106</v>
      </c>
      <c r="N1387">
        <v>0</v>
      </c>
    </row>
    <row r="1388" spans="1:14" x14ac:dyDescent="0.35">
      <c r="A1388" t="s">
        <v>79</v>
      </c>
      <c r="B1388">
        <v>202508</v>
      </c>
      <c r="C1388" t="str">
        <f>MID(analisis_productividad__4[[#This Row],[Periodo]],1,4)</f>
        <v>2025</v>
      </c>
      <c r="D1388" t="str">
        <f>MID(analisis_productividad__4[[#This Row],[Periodo]],5,2)</f>
        <v>08</v>
      </c>
      <c r="E1388" t="s">
        <v>11</v>
      </c>
      <c r="F1388" t="s">
        <v>12</v>
      </c>
      <c r="G1388">
        <v>85821</v>
      </c>
      <c r="H1388">
        <v>4831472</v>
      </c>
      <c r="I1388">
        <v>56.296888440860208</v>
      </c>
      <c r="J1388">
        <v>86665.751641768948</v>
      </c>
      <c r="K1388">
        <v>64.5</v>
      </c>
      <c r="L1388">
        <v>64</v>
      </c>
      <c r="M1388">
        <v>55.748339205212062</v>
      </c>
      <c r="N1388">
        <v>5167104</v>
      </c>
    </row>
    <row r="1389" spans="1:14" x14ac:dyDescent="0.35">
      <c r="A1389" t="s">
        <v>87</v>
      </c>
      <c r="B1389">
        <v>202411</v>
      </c>
      <c r="C1389" t="str">
        <f>MID(analisis_productividad__4[[#This Row],[Periodo]],1,4)</f>
        <v>2024</v>
      </c>
      <c r="D1389" t="str">
        <f>MID(analisis_productividad__4[[#This Row],[Periodo]],5,2)</f>
        <v>11</v>
      </c>
      <c r="E1389" t="s">
        <v>9</v>
      </c>
      <c r="F1389" t="s">
        <v>9</v>
      </c>
      <c r="G1389">
        <v>85795</v>
      </c>
      <c r="H1389">
        <v>933840</v>
      </c>
      <c r="I1389">
        <v>10.884562499999999</v>
      </c>
      <c r="J1389">
        <v>0</v>
      </c>
      <c r="K1389">
        <v>13.5</v>
      </c>
      <c r="L1389">
        <v>12</v>
      </c>
      <c r="N1389">
        <v>0</v>
      </c>
    </row>
    <row r="1390" spans="1:14" x14ac:dyDescent="0.35">
      <c r="A1390" t="s">
        <v>76</v>
      </c>
      <c r="B1390">
        <v>202410</v>
      </c>
      <c r="C1390" t="str">
        <f>MID(analisis_productividad__4[[#This Row],[Periodo]],1,4)</f>
        <v>2024</v>
      </c>
      <c r="D1390" t="str">
        <f>MID(analisis_productividad__4[[#This Row],[Periodo]],5,2)</f>
        <v>10</v>
      </c>
      <c r="E1390" t="s">
        <v>11</v>
      </c>
      <c r="F1390" t="s">
        <v>14</v>
      </c>
      <c r="G1390">
        <v>85780</v>
      </c>
      <c r="H1390">
        <v>6022940</v>
      </c>
      <c r="I1390">
        <v>70.213716397849481</v>
      </c>
      <c r="J1390">
        <v>0</v>
      </c>
      <c r="K1390">
        <v>80</v>
      </c>
      <c r="L1390">
        <v>78</v>
      </c>
      <c r="N1390">
        <v>0</v>
      </c>
    </row>
    <row r="1391" spans="1:14" x14ac:dyDescent="0.35">
      <c r="A1391" t="s">
        <v>76</v>
      </c>
      <c r="B1391">
        <v>202407</v>
      </c>
      <c r="C1391" t="str">
        <f>MID(analisis_productividad__4[[#This Row],[Periodo]],1,4)</f>
        <v>2024</v>
      </c>
      <c r="D1391" t="str">
        <f>MID(analisis_productividad__4[[#This Row],[Periodo]],5,2)</f>
        <v>07</v>
      </c>
      <c r="E1391" t="s">
        <v>11</v>
      </c>
      <c r="F1391" t="s">
        <v>14</v>
      </c>
      <c r="G1391">
        <v>85775</v>
      </c>
      <c r="H1391">
        <v>6598063</v>
      </c>
      <c r="I1391">
        <v>76.922849462365534</v>
      </c>
      <c r="J1391">
        <v>0</v>
      </c>
      <c r="K1391">
        <v>80</v>
      </c>
      <c r="L1391">
        <v>78</v>
      </c>
      <c r="N1391">
        <v>0</v>
      </c>
    </row>
    <row r="1392" spans="1:14" x14ac:dyDescent="0.35">
      <c r="A1392" t="s">
        <v>76</v>
      </c>
      <c r="B1392">
        <v>202507</v>
      </c>
      <c r="C1392" t="str">
        <f>MID(analisis_productividad__4[[#This Row],[Periodo]],1,4)</f>
        <v>2025</v>
      </c>
      <c r="D1392" t="str">
        <f>MID(analisis_productividad__4[[#This Row],[Periodo]],5,2)</f>
        <v>07</v>
      </c>
      <c r="E1392" t="s">
        <v>11</v>
      </c>
      <c r="F1392" t="s">
        <v>14</v>
      </c>
      <c r="G1392">
        <v>85732</v>
      </c>
      <c r="H1392">
        <v>6114560</v>
      </c>
      <c r="I1392">
        <v>71.322190860215031</v>
      </c>
      <c r="J1392">
        <v>90063.827496269558</v>
      </c>
      <c r="K1392">
        <v>80</v>
      </c>
      <c r="L1392">
        <v>78</v>
      </c>
      <c r="M1392">
        <v>67.891412234876043</v>
      </c>
      <c r="N1392">
        <v>6858479</v>
      </c>
    </row>
    <row r="1393" spans="1:14" x14ac:dyDescent="0.35">
      <c r="A1393" t="s">
        <v>22</v>
      </c>
      <c r="B1393">
        <v>202505</v>
      </c>
      <c r="C1393" t="str">
        <f>MID(analisis_productividad__4[[#This Row],[Periodo]],1,4)</f>
        <v>2025</v>
      </c>
      <c r="D1393" t="str">
        <f>MID(analisis_productividad__4[[#This Row],[Periodo]],5,2)</f>
        <v>05</v>
      </c>
      <c r="E1393" t="s">
        <v>16</v>
      </c>
      <c r="F1393" t="s">
        <v>21</v>
      </c>
      <c r="G1393">
        <v>85706</v>
      </c>
      <c r="H1393">
        <v>5002160</v>
      </c>
      <c r="I1393">
        <v>58.364005376344089</v>
      </c>
      <c r="J1393">
        <v>88209.136581879939</v>
      </c>
      <c r="K1393">
        <v>59.5</v>
      </c>
      <c r="L1393">
        <v>55.5</v>
      </c>
      <c r="M1393">
        <v>56.707959898879118</v>
      </c>
      <c r="N1393">
        <v>4930152</v>
      </c>
    </row>
    <row r="1394" spans="1:14" x14ac:dyDescent="0.35">
      <c r="A1394" t="s">
        <v>121</v>
      </c>
      <c r="B1394">
        <v>202512</v>
      </c>
      <c r="C1394" t="str">
        <f>MID(analisis_productividad__4[[#This Row],[Periodo]],1,4)</f>
        <v>2025</v>
      </c>
      <c r="D1394" t="str">
        <f>MID(analisis_productividad__4[[#This Row],[Periodo]],5,2)</f>
        <v>12</v>
      </c>
      <c r="E1394" t="s">
        <v>11</v>
      </c>
      <c r="F1394" t="s">
        <v>14</v>
      </c>
      <c r="G1394">
        <v>85693</v>
      </c>
      <c r="H1394">
        <v>3062310</v>
      </c>
      <c r="I1394">
        <v>35.736034946236543</v>
      </c>
      <c r="J1394">
        <v>83347.183395083703</v>
      </c>
      <c r="K1394">
        <v>36</v>
      </c>
      <c r="L1394">
        <v>35</v>
      </c>
      <c r="M1394">
        <v>36.741616516109325</v>
      </c>
      <c r="N1394">
        <v>3360743</v>
      </c>
    </row>
    <row r="1395" spans="1:14" x14ac:dyDescent="0.35">
      <c r="A1395" t="s">
        <v>67</v>
      </c>
      <c r="B1395">
        <v>202509</v>
      </c>
      <c r="C1395" t="str">
        <f>MID(analisis_productividad__4[[#This Row],[Periodo]],1,4)</f>
        <v>2025</v>
      </c>
      <c r="D1395" t="str">
        <f>MID(analisis_productividad__4[[#This Row],[Periodo]],5,2)</f>
        <v>09</v>
      </c>
      <c r="E1395" t="s">
        <v>16</v>
      </c>
      <c r="F1395" t="s">
        <v>19</v>
      </c>
      <c r="G1395">
        <v>85674</v>
      </c>
      <c r="H1395">
        <v>5798838</v>
      </c>
      <c r="I1395">
        <v>67.685236111111124</v>
      </c>
      <c r="J1395">
        <v>87161.693968208987</v>
      </c>
      <c r="K1395">
        <v>79.5</v>
      </c>
      <c r="L1395">
        <v>81.5</v>
      </c>
      <c r="M1395">
        <v>66.529667058961067</v>
      </c>
      <c r="N1395">
        <v>6204278</v>
      </c>
    </row>
    <row r="1396" spans="1:14" x14ac:dyDescent="0.35">
      <c r="A1396" t="s">
        <v>62</v>
      </c>
      <c r="B1396">
        <v>202606</v>
      </c>
      <c r="C1396" t="str">
        <f>MID(analisis_productividad__4[[#This Row],[Periodo]],1,4)</f>
        <v>2026</v>
      </c>
      <c r="D1396" t="str">
        <f>MID(analisis_productividad__4[[#This Row],[Periodo]],5,2)</f>
        <v>06</v>
      </c>
      <c r="E1396" t="s">
        <v>16</v>
      </c>
      <c r="F1396" t="s">
        <v>17</v>
      </c>
      <c r="G1396">
        <v>85667</v>
      </c>
      <c r="H1396">
        <v>2573810</v>
      </c>
      <c r="I1396">
        <v>30.044388888888847</v>
      </c>
      <c r="J1396">
        <v>84195.760312297032</v>
      </c>
      <c r="K1396">
        <v>32.5</v>
      </c>
      <c r="L1396">
        <v>32</v>
      </c>
      <c r="M1396">
        <v>29.073700348097926</v>
      </c>
      <c r="N1396">
        <v>2447882</v>
      </c>
    </row>
    <row r="1397" spans="1:14" x14ac:dyDescent="0.35">
      <c r="A1397" t="s">
        <v>87</v>
      </c>
      <c r="B1397">
        <v>202603</v>
      </c>
      <c r="C1397" t="str">
        <f>MID(analisis_productividad__4[[#This Row],[Periodo]],1,4)</f>
        <v>2026</v>
      </c>
      <c r="D1397" t="str">
        <f>MID(analisis_productividad__4[[#This Row],[Periodo]],5,2)</f>
        <v>03</v>
      </c>
      <c r="E1397" t="s">
        <v>9</v>
      </c>
      <c r="F1397" t="s">
        <v>9</v>
      </c>
      <c r="G1397">
        <v>85657</v>
      </c>
      <c r="H1397">
        <v>1000551</v>
      </c>
      <c r="I1397">
        <v>11.680873655913979</v>
      </c>
      <c r="J1397">
        <v>88788.684404030995</v>
      </c>
      <c r="K1397">
        <v>13.5</v>
      </c>
      <c r="L1397">
        <v>12</v>
      </c>
      <c r="M1397">
        <v>11.788780293634797</v>
      </c>
      <c r="N1397">
        <v>1046710</v>
      </c>
    </row>
    <row r="1398" spans="1:14" x14ac:dyDescent="0.35">
      <c r="A1398" t="s">
        <v>41</v>
      </c>
      <c r="B1398">
        <v>202402</v>
      </c>
      <c r="C1398" t="str">
        <f>MID(analisis_productividad__4[[#This Row],[Periodo]],1,4)</f>
        <v>2024</v>
      </c>
      <c r="D1398" t="str">
        <f>MID(analisis_productividad__4[[#This Row],[Periodo]],5,2)</f>
        <v>02</v>
      </c>
      <c r="E1398" t="s">
        <v>16</v>
      </c>
      <c r="F1398" t="s">
        <v>19</v>
      </c>
      <c r="G1398">
        <v>85655</v>
      </c>
      <c r="H1398">
        <v>4724006</v>
      </c>
      <c r="I1398">
        <v>55.151551724137931</v>
      </c>
      <c r="J1398">
        <v>0</v>
      </c>
      <c r="K1398">
        <v>57.5</v>
      </c>
      <c r="L1398">
        <v>56.5</v>
      </c>
      <c r="N1398">
        <v>0</v>
      </c>
    </row>
    <row r="1399" spans="1:14" x14ac:dyDescent="0.35">
      <c r="A1399" t="s">
        <v>72</v>
      </c>
      <c r="B1399">
        <v>202606</v>
      </c>
      <c r="C1399" t="str">
        <f>MID(analisis_productividad__4[[#This Row],[Periodo]],1,4)</f>
        <v>2026</v>
      </c>
      <c r="D1399" t="str">
        <f>MID(analisis_productividad__4[[#This Row],[Periodo]],5,2)</f>
        <v>06</v>
      </c>
      <c r="E1399" t="s">
        <v>11</v>
      </c>
      <c r="F1399" t="s">
        <v>14</v>
      </c>
      <c r="G1399">
        <v>85645</v>
      </c>
      <c r="H1399">
        <v>4731533</v>
      </c>
      <c r="I1399">
        <v>55.246041666666571</v>
      </c>
      <c r="J1399">
        <v>83074.651099494833</v>
      </c>
      <c r="K1399">
        <v>66</v>
      </c>
      <c r="L1399">
        <v>64.5</v>
      </c>
      <c r="M1399">
        <v>56.772923994003754</v>
      </c>
      <c r="N1399">
        <v>4716391</v>
      </c>
    </row>
    <row r="1400" spans="1:14" x14ac:dyDescent="0.35">
      <c r="A1400" t="s">
        <v>42</v>
      </c>
      <c r="B1400">
        <v>202504</v>
      </c>
      <c r="C1400" t="str">
        <f>MID(analisis_productividad__4[[#This Row],[Periodo]],1,4)</f>
        <v>2025</v>
      </c>
      <c r="D1400" t="str">
        <f>MID(analisis_productividad__4[[#This Row],[Periodo]],5,2)</f>
        <v>04</v>
      </c>
      <c r="E1400" t="s">
        <v>16</v>
      </c>
      <c r="F1400" t="s">
        <v>19</v>
      </c>
      <c r="G1400">
        <v>85618</v>
      </c>
      <c r="H1400">
        <v>4857724</v>
      </c>
      <c r="I1400">
        <v>56.737479166666674</v>
      </c>
      <c r="J1400">
        <v>76238.081899143814</v>
      </c>
      <c r="K1400">
        <v>62</v>
      </c>
      <c r="L1400">
        <v>58</v>
      </c>
      <c r="M1400">
        <v>63.717812397567073</v>
      </c>
      <c r="N1400">
        <v>4930542</v>
      </c>
    </row>
    <row r="1401" spans="1:14" x14ac:dyDescent="0.35">
      <c r="A1401" t="s">
        <v>78</v>
      </c>
      <c r="B1401">
        <v>202606</v>
      </c>
      <c r="C1401" t="str">
        <f>MID(analisis_productividad__4[[#This Row],[Periodo]],1,4)</f>
        <v>2026</v>
      </c>
      <c r="D1401" t="str">
        <f>MID(analisis_productividad__4[[#This Row],[Periodo]],5,2)</f>
        <v>06</v>
      </c>
      <c r="E1401" t="s">
        <v>11</v>
      </c>
      <c r="F1401" t="s">
        <v>14</v>
      </c>
      <c r="G1401">
        <v>85600</v>
      </c>
      <c r="H1401">
        <v>5174230</v>
      </c>
      <c r="I1401">
        <v>60.446604166667804</v>
      </c>
      <c r="J1401">
        <v>74635.249119469692</v>
      </c>
      <c r="K1401">
        <v>79.5</v>
      </c>
      <c r="L1401">
        <v>67</v>
      </c>
      <c r="M1401">
        <v>68.682661472657543</v>
      </c>
      <c r="N1401">
        <v>5126148</v>
      </c>
    </row>
    <row r="1402" spans="1:14" x14ac:dyDescent="0.35">
      <c r="A1402" t="s">
        <v>94</v>
      </c>
      <c r="B1402">
        <v>202605</v>
      </c>
      <c r="C1402" t="str">
        <f>MID(analisis_productividad__4[[#This Row],[Periodo]],1,4)</f>
        <v>2026</v>
      </c>
      <c r="D1402" t="str">
        <f>MID(analisis_productividad__4[[#This Row],[Periodo]],5,2)</f>
        <v>05</v>
      </c>
      <c r="E1402" t="s">
        <v>11</v>
      </c>
      <c r="F1402" t="s">
        <v>52</v>
      </c>
      <c r="G1402">
        <v>85576</v>
      </c>
      <c r="H1402">
        <v>5343017</v>
      </c>
      <c r="I1402">
        <v>62.435672043010861</v>
      </c>
      <c r="J1402">
        <v>83878.596145783144</v>
      </c>
      <c r="K1402">
        <v>75.5</v>
      </c>
      <c r="L1402">
        <v>70.5</v>
      </c>
      <c r="M1402">
        <v>63.423114179855602</v>
      </c>
      <c r="N1402">
        <v>5319842</v>
      </c>
    </row>
    <row r="1403" spans="1:14" x14ac:dyDescent="0.35">
      <c r="A1403" t="s">
        <v>93</v>
      </c>
      <c r="B1403">
        <v>202606</v>
      </c>
      <c r="C1403" t="str">
        <f>MID(analisis_productividad__4[[#This Row],[Periodo]],1,4)</f>
        <v>2026</v>
      </c>
      <c r="D1403" t="str">
        <f>MID(analisis_productividad__4[[#This Row],[Periodo]],5,2)</f>
        <v>06</v>
      </c>
      <c r="E1403" t="s">
        <v>16</v>
      </c>
      <c r="F1403" t="s">
        <v>17</v>
      </c>
      <c r="G1403">
        <v>85531</v>
      </c>
      <c r="H1403">
        <v>5945118</v>
      </c>
      <c r="I1403">
        <v>69.508590277778993</v>
      </c>
      <c r="J1403">
        <v>81379.791638095237</v>
      </c>
      <c r="K1403">
        <v>84</v>
      </c>
      <c r="L1403">
        <v>76</v>
      </c>
      <c r="M1403">
        <v>84</v>
      </c>
      <c r="N1403">
        <v>6835902</v>
      </c>
    </row>
    <row r="1404" spans="1:14" x14ac:dyDescent="0.35">
      <c r="A1404" t="s">
        <v>23</v>
      </c>
      <c r="B1404">
        <v>202402</v>
      </c>
      <c r="C1404" t="str">
        <f>MID(analisis_productividad__4[[#This Row],[Periodo]],1,4)</f>
        <v>2024</v>
      </c>
      <c r="D1404" t="str">
        <f>MID(analisis_productividad__4[[#This Row],[Periodo]],5,2)</f>
        <v>02</v>
      </c>
      <c r="E1404" t="s">
        <v>11</v>
      </c>
      <c r="F1404" t="s">
        <v>12</v>
      </c>
      <c r="G1404">
        <v>85482</v>
      </c>
      <c r="H1404">
        <v>5552803</v>
      </c>
      <c r="I1404">
        <v>64.95899425287358</v>
      </c>
      <c r="J1404">
        <v>0</v>
      </c>
      <c r="K1404">
        <v>68.5</v>
      </c>
      <c r="L1404">
        <v>66</v>
      </c>
      <c r="N1404">
        <v>0</v>
      </c>
    </row>
    <row r="1405" spans="1:14" x14ac:dyDescent="0.35">
      <c r="A1405" t="s">
        <v>53</v>
      </c>
      <c r="B1405">
        <v>202409</v>
      </c>
      <c r="C1405" t="str">
        <f>MID(analisis_productividad__4[[#This Row],[Periodo]],1,4)</f>
        <v>2024</v>
      </c>
      <c r="D1405" t="str">
        <f>MID(analisis_productividad__4[[#This Row],[Periodo]],5,2)</f>
        <v>09</v>
      </c>
      <c r="E1405" t="s">
        <v>11</v>
      </c>
      <c r="F1405" t="s">
        <v>12</v>
      </c>
      <c r="G1405">
        <v>85473</v>
      </c>
      <c r="H1405">
        <v>5914628</v>
      </c>
      <c r="I1405">
        <v>69.19859722222229</v>
      </c>
      <c r="J1405">
        <v>0</v>
      </c>
      <c r="K1405">
        <v>81</v>
      </c>
      <c r="L1405">
        <v>77</v>
      </c>
      <c r="N1405">
        <v>0</v>
      </c>
    </row>
    <row r="1406" spans="1:14" x14ac:dyDescent="0.35">
      <c r="A1406" t="s">
        <v>74</v>
      </c>
      <c r="B1406">
        <v>202602</v>
      </c>
      <c r="C1406" t="str">
        <f>MID(analisis_productividad__4[[#This Row],[Periodo]],1,4)</f>
        <v>2026</v>
      </c>
      <c r="D1406" t="str">
        <f>MID(analisis_productividad__4[[#This Row],[Periodo]],5,2)</f>
        <v>02</v>
      </c>
      <c r="E1406" t="s">
        <v>16</v>
      </c>
      <c r="F1406" t="s">
        <v>19</v>
      </c>
      <c r="G1406">
        <v>85439</v>
      </c>
      <c r="H1406">
        <v>4109009</v>
      </c>
      <c r="I1406">
        <v>48.092864583333338</v>
      </c>
      <c r="J1406">
        <v>88469.294435659118</v>
      </c>
      <c r="K1406">
        <v>50.5</v>
      </c>
      <c r="L1406">
        <v>51.5</v>
      </c>
      <c r="M1406">
        <v>44.728769766304502</v>
      </c>
      <c r="N1406">
        <v>3957123</v>
      </c>
    </row>
    <row r="1407" spans="1:14" x14ac:dyDescent="0.35">
      <c r="A1407" t="s">
        <v>60</v>
      </c>
      <c r="B1407">
        <v>202408</v>
      </c>
      <c r="C1407" t="str">
        <f>MID(analisis_productividad__4[[#This Row],[Periodo]],1,4)</f>
        <v>2024</v>
      </c>
      <c r="D1407" t="str">
        <f>MID(analisis_productividad__4[[#This Row],[Periodo]],5,2)</f>
        <v>08</v>
      </c>
      <c r="E1407" t="s">
        <v>11</v>
      </c>
      <c r="F1407" t="s">
        <v>14</v>
      </c>
      <c r="G1407">
        <v>85438</v>
      </c>
      <c r="H1407">
        <v>6211508</v>
      </c>
      <c r="I1407">
        <v>72.702338709677448</v>
      </c>
      <c r="J1407">
        <v>0</v>
      </c>
      <c r="K1407">
        <v>75.5</v>
      </c>
      <c r="L1407">
        <v>74</v>
      </c>
      <c r="N1407">
        <v>0</v>
      </c>
    </row>
    <row r="1408" spans="1:14" x14ac:dyDescent="0.35">
      <c r="A1408" t="s">
        <v>53</v>
      </c>
      <c r="B1408">
        <v>202501</v>
      </c>
      <c r="C1408" t="str">
        <f>MID(analisis_productividad__4[[#This Row],[Periodo]],1,4)</f>
        <v>2025</v>
      </c>
      <c r="D1408" t="str">
        <f>MID(analisis_productividad__4[[#This Row],[Periodo]],5,2)</f>
        <v>01</v>
      </c>
      <c r="E1408" t="s">
        <v>11</v>
      </c>
      <c r="F1408" t="s">
        <v>12</v>
      </c>
      <c r="G1408">
        <v>85416</v>
      </c>
      <c r="H1408">
        <v>6365361</v>
      </c>
      <c r="I1408">
        <v>74.522291666666618</v>
      </c>
      <c r="J1408">
        <v>99255.260493468319</v>
      </c>
      <c r="K1408">
        <v>81</v>
      </c>
      <c r="L1408">
        <v>77</v>
      </c>
      <c r="M1408">
        <v>64.131216505334592</v>
      </c>
      <c r="N1408">
        <v>6746822</v>
      </c>
    </row>
    <row r="1409" spans="1:14" x14ac:dyDescent="0.35">
      <c r="A1409" t="s">
        <v>80</v>
      </c>
      <c r="B1409">
        <v>202605</v>
      </c>
      <c r="C1409" t="str">
        <f>MID(analisis_productividad__4[[#This Row],[Periodo]],1,4)</f>
        <v>2026</v>
      </c>
      <c r="D1409" t="str">
        <f>MID(analisis_productividad__4[[#This Row],[Periodo]],5,2)</f>
        <v>05</v>
      </c>
      <c r="E1409" t="s">
        <v>16</v>
      </c>
      <c r="F1409" t="s">
        <v>17</v>
      </c>
      <c r="G1409">
        <v>85389</v>
      </c>
      <c r="H1409">
        <v>4642006</v>
      </c>
      <c r="I1409">
        <v>54.363044354838998</v>
      </c>
      <c r="J1409">
        <v>92412.722558020017</v>
      </c>
      <c r="K1409">
        <v>58</v>
      </c>
      <c r="L1409">
        <v>58.5</v>
      </c>
      <c r="M1409">
        <v>51.139118040082707</v>
      </c>
      <c r="N1409">
        <v>4725905</v>
      </c>
    </row>
    <row r="1410" spans="1:14" x14ac:dyDescent="0.35">
      <c r="A1410" t="s">
        <v>40</v>
      </c>
      <c r="B1410">
        <v>202411</v>
      </c>
      <c r="C1410" t="str">
        <f>MID(analisis_productividad__4[[#This Row],[Periodo]],1,4)</f>
        <v>2024</v>
      </c>
      <c r="D1410" t="str">
        <f>MID(analisis_productividad__4[[#This Row],[Periodo]],5,2)</f>
        <v>11</v>
      </c>
      <c r="E1410" t="s">
        <v>11</v>
      </c>
      <c r="F1410" t="s">
        <v>14</v>
      </c>
      <c r="G1410">
        <v>85358</v>
      </c>
      <c r="H1410">
        <v>6006843</v>
      </c>
      <c r="I1410">
        <v>70.372312499999978</v>
      </c>
      <c r="J1410">
        <v>0</v>
      </c>
      <c r="K1410">
        <v>76.5</v>
      </c>
      <c r="L1410">
        <v>75.5</v>
      </c>
      <c r="N1410">
        <v>0</v>
      </c>
    </row>
    <row r="1411" spans="1:14" x14ac:dyDescent="0.35">
      <c r="A1411" t="s">
        <v>72</v>
      </c>
      <c r="B1411">
        <v>202505</v>
      </c>
      <c r="C1411" t="str">
        <f>MID(analisis_productividad__4[[#This Row],[Periodo]],1,4)</f>
        <v>2025</v>
      </c>
      <c r="D1411" t="str">
        <f>MID(analisis_productividad__4[[#This Row],[Periodo]],5,2)</f>
        <v>05</v>
      </c>
      <c r="E1411" t="s">
        <v>11</v>
      </c>
      <c r="F1411" t="s">
        <v>14</v>
      </c>
      <c r="G1411">
        <v>85349</v>
      </c>
      <c r="H1411">
        <v>4961382</v>
      </c>
      <c r="I1411">
        <v>58.130295698924726</v>
      </c>
      <c r="J1411">
        <v>79636.90567189685</v>
      </c>
      <c r="K1411">
        <v>66</v>
      </c>
      <c r="L1411">
        <v>64.5</v>
      </c>
      <c r="M1411">
        <v>62.300034740687188</v>
      </c>
      <c r="N1411">
        <v>5262384</v>
      </c>
    </row>
    <row r="1412" spans="1:14" x14ac:dyDescent="0.35">
      <c r="A1412" t="s">
        <v>33</v>
      </c>
      <c r="B1412">
        <v>202504</v>
      </c>
      <c r="C1412" t="str">
        <f>MID(analisis_productividad__4[[#This Row],[Periodo]],1,4)</f>
        <v>2025</v>
      </c>
      <c r="D1412" t="str">
        <f>MID(analisis_productividad__4[[#This Row],[Periodo]],5,2)</f>
        <v>04</v>
      </c>
      <c r="E1412" t="s">
        <v>34</v>
      </c>
      <c r="F1412" t="s">
        <v>35</v>
      </c>
      <c r="G1412">
        <v>85315</v>
      </c>
      <c r="H1412">
        <v>1044238</v>
      </c>
      <c r="I1412">
        <v>12.239791666666669</v>
      </c>
      <c r="J1412">
        <v>77987.59576363457</v>
      </c>
      <c r="K1412">
        <v>15</v>
      </c>
      <c r="L1412">
        <v>15</v>
      </c>
      <c r="M1412">
        <v>13.38979782329597</v>
      </c>
      <c r="N1412">
        <v>1046718</v>
      </c>
    </row>
    <row r="1413" spans="1:14" x14ac:dyDescent="0.35">
      <c r="A1413" t="s">
        <v>78</v>
      </c>
      <c r="B1413">
        <v>202412</v>
      </c>
      <c r="C1413" t="str">
        <f>MID(analisis_productividad__4[[#This Row],[Periodo]],1,4)</f>
        <v>2024</v>
      </c>
      <c r="D1413" t="str">
        <f>MID(analisis_productividad__4[[#This Row],[Periodo]],5,2)</f>
        <v>12</v>
      </c>
      <c r="E1413" t="s">
        <v>11</v>
      </c>
      <c r="F1413" t="s">
        <v>14</v>
      </c>
      <c r="G1413">
        <v>85305</v>
      </c>
      <c r="H1413">
        <v>7093370</v>
      </c>
      <c r="I1413">
        <v>83.152567204301079</v>
      </c>
      <c r="J1413">
        <v>0</v>
      </c>
      <c r="K1413">
        <v>79.5</v>
      </c>
      <c r="L1413">
        <v>67</v>
      </c>
      <c r="N1413">
        <v>0</v>
      </c>
    </row>
    <row r="1414" spans="1:14" x14ac:dyDescent="0.35">
      <c r="A1414" t="s">
        <v>32</v>
      </c>
      <c r="B1414">
        <v>202409</v>
      </c>
      <c r="C1414" t="str">
        <f>MID(analisis_productividad__4[[#This Row],[Periodo]],1,4)</f>
        <v>2024</v>
      </c>
      <c r="D1414" t="str">
        <f>MID(analisis_productividad__4[[#This Row],[Periodo]],5,2)</f>
        <v>09</v>
      </c>
      <c r="E1414" t="s">
        <v>11</v>
      </c>
      <c r="F1414" t="s">
        <v>12</v>
      </c>
      <c r="G1414">
        <v>85268</v>
      </c>
      <c r="H1414">
        <v>5032237</v>
      </c>
      <c r="I1414">
        <v>59.016999999999996</v>
      </c>
      <c r="J1414">
        <v>0</v>
      </c>
      <c r="K1414">
        <v>65.5</v>
      </c>
      <c r="L1414">
        <v>66</v>
      </c>
      <c r="N1414">
        <v>0</v>
      </c>
    </row>
    <row r="1415" spans="1:14" x14ac:dyDescent="0.35">
      <c r="A1415" t="s">
        <v>80</v>
      </c>
      <c r="B1415">
        <v>202602</v>
      </c>
      <c r="C1415" t="str">
        <f>MID(analisis_productividad__4[[#This Row],[Periodo]],1,4)</f>
        <v>2026</v>
      </c>
      <c r="D1415" t="str">
        <f>MID(analisis_productividad__4[[#This Row],[Periodo]],5,2)</f>
        <v>02</v>
      </c>
      <c r="E1415" t="s">
        <v>16</v>
      </c>
      <c r="F1415" t="s">
        <v>17</v>
      </c>
      <c r="G1415">
        <v>85216</v>
      </c>
      <c r="H1415">
        <v>4566035</v>
      </c>
      <c r="I1415">
        <v>53.581666666666656</v>
      </c>
      <c r="J1415">
        <v>78919.725859110127</v>
      </c>
      <c r="K1415">
        <v>58</v>
      </c>
      <c r="L1415">
        <v>58.5</v>
      </c>
      <c r="M1415">
        <v>51.139118040082707</v>
      </c>
      <c r="N1415">
        <v>4035885</v>
      </c>
    </row>
    <row r="1416" spans="1:14" x14ac:dyDescent="0.35">
      <c r="A1416" t="s">
        <v>73</v>
      </c>
      <c r="B1416">
        <v>202602</v>
      </c>
      <c r="C1416" t="str">
        <f>MID(analisis_productividad__4[[#This Row],[Periodo]],1,4)</f>
        <v>2026</v>
      </c>
      <c r="D1416" t="str">
        <f>MID(analisis_productividad__4[[#This Row],[Periodo]],5,2)</f>
        <v>02</v>
      </c>
      <c r="E1416" t="s">
        <v>16</v>
      </c>
      <c r="F1416" t="s">
        <v>21</v>
      </c>
      <c r="G1416">
        <v>85216</v>
      </c>
      <c r="H1416">
        <v>3154591</v>
      </c>
      <c r="I1416">
        <v>37.018645833333331</v>
      </c>
      <c r="J1416">
        <v>83887.643432057477</v>
      </c>
      <c r="K1416">
        <v>43.5</v>
      </c>
      <c r="L1416">
        <v>41</v>
      </c>
      <c r="M1416">
        <v>38.914029696684921</v>
      </c>
      <c r="N1416">
        <v>3264406</v>
      </c>
    </row>
    <row r="1417" spans="1:14" x14ac:dyDescent="0.35">
      <c r="A1417" t="s">
        <v>20</v>
      </c>
      <c r="B1417">
        <v>202508</v>
      </c>
      <c r="C1417" t="str">
        <f>MID(analisis_productividad__4[[#This Row],[Periodo]],1,4)</f>
        <v>2025</v>
      </c>
      <c r="D1417" t="str">
        <f>MID(analisis_productividad__4[[#This Row],[Periodo]],5,2)</f>
        <v>08</v>
      </c>
      <c r="E1417" t="s">
        <v>16</v>
      </c>
      <c r="F1417" t="s">
        <v>21</v>
      </c>
      <c r="G1417">
        <v>85212</v>
      </c>
      <c r="H1417">
        <v>7795474</v>
      </c>
      <c r="I1417">
        <v>91.483366935483872</v>
      </c>
      <c r="J1417">
        <v>98546.041429934572</v>
      </c>
      <c r="K1417">
        <v>96.5</v>
      </c>
      <c r="L1417">
        <v>94</v>
      </c>
      <c r="M1417">
        <v>79.104890535278543</v>
      </c>
      <c r="N1417">
        <v>8110563</v>
      </c>
    </row>
    <row r="1418" spans="1:14" x14ac:dyDescent="0.35">
      <c r="A1418" t="s">
        <v>49</v>
      </c>
      <c r="B1418">
        <v>202405</v>
      </c>
      <c r="C1418" t="str">
        <f>MID(analisis_productividad__4[[#This Row],[Periodo]],1,4)</f>
        <v>2024</v>
      </c>
      <c r="D1418" t="str">
        <f>MID(analisis_productividad__4[[#This Row],[Periodo]],5,2)</f>
        <v>05</v>
      </c>
      <c r="E1418" t="s">
        <v>16</v>
      </c>
      <c r="F1418" t="s">
        <v>21</v>
      </c>
      <c r="G1418">
        <v>85205</v>
      </c>
      <c r="H1418">
        <v>5572631</v>
      </c>
      <c r="I1418">
        <v>65.402580645161308</v>
      </c>
      <c r="J1418">
        <v>0</v>
      </c>
      <c r="K1418">
        <v>75.5</v>
      </c>
      <c r="L1418">
        <v>68</v>
      </c>
      <c r="N1418">
        <v>0</v>
      </c>
    </row>
    <row r="1419" spans="1:14" x14ac:dyDescent="0.35">
      <c r="A1419" t="s">
        <v>70</v>
      </c>
      <c r="B1419">
        <v>202411</v>
      </c>
      <c r="C1419" t="str">
        <f>MID(analisis_productividad__4[[#This Row],[Periodo]],1,4)</f>
        <v>2024</v>
      </c>
      <c r="D1419" t="str">
        <f>MID(analisis_productividad__4[[#This Row],[Periodo]],5,2)</f>
        <v>11</v>
      </c>
      <c r="E1419" t="s">
        <v>11</v>
      </c>
      <c r="F1419" t="s">
        <v>14</v>
      </c>
      <c r="G1419">
        <v>85192</v>
      </c>
      <c r="H1419">
        <v>4882893</v>
      </c>
      <c r="I1419">
        <v>57.316340277777769</v>
      </c>
      <c r="J1419">
        <v>0</v>
      </c>
      <c r="K1419">
        <v>65</v>
      </c>
      <c r="L1419">
        <v>67.5</v>
      </c>
      <c r="N1419">
        <v>0</v>
      </c>
    </row>
    <row r="1420" spans="1:14" x14ac:dyDescent="0.35">
      <c r="A1420" t="s">
        <v>32</v>
      </c>
      <c r="B1420">
        <v>202410</v>
      </c>
      <c r="C1420" t="str">
        <f>MID(analisis_productividad__4[[#This Row],[Periodo]],1,4)</f>
        <v>2024</v>
      </c>
      <c r="D1420" t="str">
        <f>MID(analisis_productividad__4[[#This Row],[Periodo]],5,2)</f>
        <v>10</v>
      </c>
      <c r="E1420" t="s">
        <v>11</v>
      </c>
      <c r="F1420" t="s">
        <v>12</v>
      </c>
      <c r="G1420">
        <v>85185</v>
      </c>
      <c r="H1420">
        <v>4996150</v>
      </c>
      <c r="I1420">
        <v>58.650403225806421</v>
      </c>
      <c r="J1420">
        <v>0</v>
      </c>
      <c r="K1420">
        <v>65.5</v>
      </c>
      <c r="L1420">
        <v>66</v>
      </c>
      <c r="N1420">
        <v>0</v>
      </c>
    </row>
    <row r="1421" spans="1:14" x14ac:dyDescent="0.35">
      <c r="A1421" t="s">
        <v>82</v>
      </c>
      <c r="B1421">
        <v>202407</v>
      </c>
      <c r="C1421" t="str">
        <f>MID(analisis_productividad__4[[#This Row],[Periodo]],1,4)</f>
        <v>2024</v>
      </c>
      <c r="D1421" t="str">
        <f>MID(analisis_productividad__4[[#This Row],[Periodo]],5,2)</f>
        <v>07</v>
      </c>
      <c r="E1421" t="s">
        <v>11</v>
      </c>
      <c r="F1421" t="s">
        <v>12</v>
      </c>
      <c r="G1421">
        <v>85177</v>
      </c>
      <c r="H1421">
        <v>4646734</v>
      </c>
      <c r="I1421">
        <v>54.553756720430094</v>
      </c>
      <c r="J1421">
        <v>0</v>
      </c>
      <c r="K1421">
        <v>53.5</v>
      </c>
      <c r="L1421">
        <v>54</v>
      </c>
      <c r="N1421">
        <v>0</v>
      </c>
    </row>
    <row r="1422" spans="1:14" x14ac:dyDescent="0.35">
      <c r="A1422" t="s">
        <v>64</v>
      </c>
      <c r="B1422">
        <v>202501</v>
      </c>
      <c r="C1422" t="str">
        <f>MID(analisis_productividad__4[[#This Row],[Periodo]],1,4)</f>
        <v>2025</v>
      </c>
      <c r="D1422" t="str">
        <f>MID(analisis_productividad__4[[#This Row],[Periodo]],5,2)</f>
        <v>01</v>
      </c>
      <c r="E1422" t="s">
        <v>16</v>
      </c>
      <c r="F1422" t="s">
        <v>21</v>
      </c>
      <c r="G1422">
        <v>85167</v>
      </c>
      <c r="H1422">
        <v>6602095</v>
      </c>
      <c r="I1422">
        <v>77.519260752688155</v>
      </c>
      <c r="J1422">
        <v>91983.971404920347</v>
      </c>
      <c r="K1422">
        <v>88.5</v>
      </c>
      <c r="L1422">
        <v>92.5</v>
      </c>
      <c r="M1422">
        <v>71.774406879401653</v>
      </c>
      <c r="N1422">
        <v>6656625</v>
      </c>
    </row>
    <row r="1423" spans="1:14" x14ac:dyDescent="0.35">
      <c r="A1423" t="s">
        <v>70</v>
      </c>
      <c r="B1423">
        <v>202504</v>
      </c>
      <c r="C1423" t="str">
        <f>MID(analisis_productividad__4[[#This Row],[Periodo]],1,4)</f>
        <v>2025</v>
      </c>
      <c r="D1423" t="str">
        <f>MID(analisis_productividad__4[[#This Row],[Periodo]],5,2)</f>
        <v>04</v>
      </c>
      <c r="E1423" t="s">
        <v>11</v>
      </c>
      <c r="F1423" t="s">
        <v>14</v>
      </c>
      <c r="G1423">
        <v>85130</v>
      </c>
      <c r="H1423">
        <v>4828770</v>
      </c>
      <c r="I1423">
        <v>56.722604166666663</v>
      </c>
      <c r="J1423">
        <v>87863.138701619449</v>
      </c>
      <c r="K1423">
        <v>65</v>
      </c>
      <c r="L1423">
        <v>67.5</v>
      </c>
      <c r="M1423">
        <v>54.957859704948113</v>
      </c>
      <c r="N1423">
        <v>5052109</v>
      </c>
    </row>
    <row r="1424" spans="1:14" x14ac:dyDescent="0.35">
      <c r="A1424" t="s">
        <v>72</v>
      </c>
      <c r="B1424">
        <v>202510</v>
      </c>
      <c r="C1424" t="str">
        <f>MID(analisis_productividad__4[[#This Row],[Periodo]],1,4)</f>
        <v>2025</v>
      </c>
      <c r="D1424" t="str">
        <f>MID(analisis_productividad__4[[#This Row],[Periodo]],5,2)</f>
        <v>10</v>
      </c>
      <c r="E1424" t="s">
        <v>11</v>
      </c>
      <c r="F1424" t="s">
        <v>14</v>
      </c>
      <c r="G1424">
        <v>85121</v>
      </c>
      <c r="H1424">
        <v>4377216</v>
      </c>
      <c r="I1424">
        <v>51.423185483870952</v>
      </c>
      <c r="J1424">
        <v>88727.21641042296</v>
      </c>
      <c r="K1424">
        <v>66</v>
      </c>
      <c r="L1424">
        <v>64.5</v>
      </c>
      <c r="M1424">
        <v>49.333411743161591</v>
      </c>
      <c r="N1424">
        <v>5411236</v>
      </c>
    </row>
    <row r="1425" spans="1:14" x14ac:dyDescent="0.35">
      <c r="A1425" t="s">
        <v>95</v>
      </c>
      <c r="B1425">
        <v>202606</v>
      </c>
      <c r="C1425" t="str">
        <f>MID(analisis_productividad__4[[#This Row],[Periodo]],1,4)</f>
        <v>2026</v>
      </c>
      <c r="D1425" t="str">
        <f>MID(analisis_productividad__4[[#This Row],[Periodo]],5,2)</f>
        <v>06</v>
      </c>
      <c r="E1425" t="s">
        <v>9</v>
      </c>
      <c r="F1425" t="s">
        <v>9</v>
      </c>
      <c r="G1425">
        <v>85114</v>
      </c>
      <c r="H1425">
        <v>673473</v>
      </c>
      <c r="I1425">
        <v>7.9126250000000073</v>
      </c>
      <c r="J1425">
        <v>59220.215998492633</v>
      </c>
      <c r="K1425">
        <v>11</v>
      </c>
      <c r="L1425">
        <v>11</v>
      </c>
      <c r="M1425">
        <v>10.04229432420742</v>
      </c>
      <c r="N1425">
        <v>594707</v>
      </c>
    </row>
    <row r="1426" spans="1:14" x14ac:dyDescent="0.35">
      <c r="A1426" t="s">
        <v>25</v>
      </c>
      <c r="B1426">
        <v>202406</v>
      </c>
      <c r="C1426" t="str">
        <f>MID(analisis_productividad__4[[#This Row],[Periodo]],1,4)</f>
        <v>2024</v>
      </c>
      <c r="D1426" t="str">
        <f>MID(analisis_productividad__4[[#This Row],[Periodo]],5,2)</f>
        <v>06</v>
      </c>
      <c r="E1426" t="s">
        <v>16</v>
      </c>
      <c r="F1426" t="s">
        <v>19</v>
      </c>
      <c r="G1426">
        <v>85102</v>
      </c>
      <c r="H1426">
        <v>7278647</v>
      </c>
      <c r="I1426">
        <v>85.528673611111117</v>
      </c>
      <c r="J1426">
        <v>0</v>
      </c>
      <c r="K1426">
        <v>94</v>
      </c>
      <c r="L1426">
        <v>92</v>
      </c>
      <c r="N1426">
        <v>0</v>
      </c>
    </row>
    <row r="1427" spans="1:14" x14ac:dyDescent="0.35">
      <c r="A1427" t="s">
        <v>88</v>
      </c>
      <c r="B1427">
        <v>202605</v>
      </c>
      <c r="C1427" t="str">
        <f>MID(analisis_productividad__4[[#This Row],[Periodo]],1,4)</f>
        <v>2026</v>
      </c>
      <c r="D1427" t="str">
        <f>MID(analisis_productividad__4[[#This Row],[Periodo]],5,2)</f>
        <v>05</v>
      </c>
      <c r="E1427" t="s">
        <v>34</v>
      </c>
      <c r="F1427" t="s">
        <v>35</v>
      </c>
      <c r="G1427">
        <v>85039</v>
      </c>
      <c r="H1427">
        <v>1263592</v>
      </c>
      <c r="I1427">
        <v>14.859005376344063</v>
      </c>
      <c r="J1427">
        <v>76118.497816267685</v>
      </c>
      <c r="K1427">
        <v>15.5</v>
      </c>
      <c r="L1427">
        <v>14.5</v>
      </c>
      <c r="M1427">
        <v>13.971887755419019</v>
      </c>
      <c r="N1427">
        <v>1063519</v>
      </c>
    </row>
    <row r="1428" spans="1:14" x14ac:dyDescent="0.35">
      <c r="A1428" t="s">
        <v>22</v>
      </c>
      <c r="B1428">
        <v>202509</v>
      </c>
      <c r="C1428" t="str">
        <f>MID(analisis_productividad__4[[#This Row],[Periodo]],1,4)</f>
        <v>2025</v>
      </c>
      <c r="D1428" t="str">
        <f>MID(analisis_productividad__4[[#This Row],[Periodo]],5,2)</f>
        <v>09</v>
      </c>
      <c r="E1428" t="s">
        <v>16</v>
      </c>
      <c r="F1428" t="s">
        <v>21</v>
      </c>
      <c r="G1428">
        <v>85007</v>
      </c>
      <c r="H1428">
        <v>4410946</v>
      </c>
      <c r="I1428">
        <v>51.889055555555558</v>
      </c>
      <c r="J1428">
        <v>90650.819636926724</v>
      </c>
      <c r="K1428">
        <v>59.5</v>
      </c>
      <c r="L1428">
        <v>55.5</v>
      </c>
      <c r="M1428">
        <v>48.658643988732294</v>
      </c>
      <c r="N1428">
        <v>4713786</v>
      </c>
    </row>
    <row r="1429" spans="1:14" x14ac:dyDescent="0.35">
      <c r="A1429" t="s">
        <v>79</v>
      </c>
      <c r="B1429">
        <v>202403</v>
      </c>
      <c r="C1429" t="str">
        <f>MID(analisis_productividad__4[[#This Row],[Periodo]],1,4)</f>
        <v>2024</v>
      </c>
      <c r="D1429" t="str">
        <f>MID(analisis_productividad__4[[#This Row],[Periodo]],5,2)</f>
        <v>03</v>
      </c>
      <c r="E1429" t="s">
        <v>11</v>
      </c>
      <c r="F1429" t="s">
        <v>12</v>
      </c>
      <c r="G1429">
        <v>85002</v>
      </c>
      <c r="H1429">
        <v>5991175</v>
      </c>
      <c r="I1429">
        <v>70.482755376344059</v>
      </c>
      <c r="J1429">
        <v>0</v>
      </c>
      <c r="K1429">
        <v>64.5</v>
      </c>
      <c r="L1429">
        <v>64</v>
      </c>
      <c r="N1429">
        <v>0</v>
      </c>
    </row>
    <row r="1430" spans="1:14" x14ac:dyDescent="0.35">
      <c r="A1430" t="s">
        <v>65</v>
      </c>
      <c r="B1430">
        <v>202401</v>
      </c>
      <c r="C1430" t="str">
        <f>MID(analisis_productividad__4[[#This Row],[Periodo]],1,4)</f>
        <v>2024</v>
      </c>
      <c r="D1430" t="str">
        <f>MID(analisis_productividad__4[[#This Row],[Periodo]],5,2)</f>
        <v>01</v>
      </c>
      <c r="E1430" t="s">
        <v>16</v>
      </c>
      <c r="F1430" t="s">
        <v>19</v>
      </c>
      <c r="G1430">
        <v>84978</v>
      </c>
      <c r="H1430">
        <v>4874827</v>
      </c>
      <c r="I1430">
        <v>57.365940860215062</v>
      </c>
      <c r="J1430">
        <v>0</v>
      </c>
      <c r="K1430">
        <v>68</v>
      </c>
      <c r="L1430">
        <v>68.5</v>
      </c>
      <c r="N1430">
        <v>0</v>
      </c>
    </row>
    <row r="1431" spans="1:14" x14ac:dyDescent="0.35">
      <c r="A1431" t="s">
        <v>90</v>
      </c>
      <c r="B1431">
        <v>202508</v>
      </c>
      <c r="C1431" t="str">
        <f>MID(analisis_productividad__4[[#This Row],[Periodo]],1,4)</f>
        <v>2025</v>
      </c>
      <c r="D1431" t="str">
        <f>MID(analisis_productividad__4[[#This Row],[Periodo]],5,2)</f>
        <v>08</v>
      </c>
      <c r="E1431" t="s">
        <v>11</v>
      </c>
      <c r="F1431" t="s">
        <v>14</v>
      </c>
      <c r="G1431">
        <v>84977</v>
      </c>
      <c r="H1431">
        <v>5584172</v>
      </c>
      <c r="I1431">
        <v>65.713629032258112</v>
      </c>
      <c r="J1431">
        <v>83944.98359334562</v>
      </c>
      <c r="K1431">
        <v>84.5</v>
      </c>
      <c r="L1431">
        <v>78.5</v>
      </c>
      <c r="M1431">
        <v>66.521806080174898</v>
      </c>
      <c r="N1431">
        <v>6047621</v>
      </c>
    </row>
    <row r="1432" spans="1:14" x14ac:dyDescent="0.35">
      <c r="A1432" t="s">
        <v>54</v>
      </c>
      <c r="B1432">
        <v>202409</v>
      </c>
      <c r="C1432" t="str">
        <f>MID(analisis_productividad__4[[#This Row],[Periodo]],1,4)</f>
        <v>2024</v>
      </c>
      <c r="D1432" t="str">
        <f>MID(analisis_productividad__4[[#This Row],[Periodo]],5,2)</f>
        <v>09</v>
      </c>
      <c r="E1432" t="s">
        <v>11</v>
      </c>
      <c r="F1432" t="s">
        <v>52</v>
      </c>
      <c r="G1432">
        <v>84966</v>
      </c>
      <c r="H1432">
        <v>8512318</v>
      </c>
      <c r="I1432">
        <v>100.18443749999996</v>
      </c>
      <c r="J1432">
        <v>0</v>
      </c>
      <c r="K1432">
        <v>106</v>
      </c>
      <c r="L1432">
        <v>102.5</v>
      </c>
      <c r="N1432">
        <v>0</v>
      </c>
    </row>
    <row r="1433" spans="1:14" x14ac:dyDescent="0.35">
      <c r="A1433" t="s">
        <v>94</v>
      </c>
      <c r="B1433">
        <v>202604</v>
      </c>
      <c r="C1433" t="str">
        <f>MID(analisis_productividad__4[[#This Row],[Periodo]],1,4)</f>
        <v>2026</v>
      </c>
      <c r="D1433" t="str">
        <f>MID(analisis_productividad__4[[#This Row],[Periodo]],5,2)</f>
        <v>04</v>
      </c>
      <c r="E1433" t="s">
        <v>11</v>
      </c>
      <c r="F1433" t="s">
        <v>52</v>
      </c>
      <c r="G1433">
        <v>84966</v>
      </c>
      <c r="H1433">
        <v>5189960</v>
      </c>
      <c r="I1433">
        <v>61.082729166667548</v>
      </c>
      <c r="J1433">
        <v>80374.05681853267</v>
      </c>
      <c r="K1433">
        <v>75.5</v>
      </c>
      <c r="L1433">
        <v>70.5</v>
      </c>
      <c r="M1433">
        <v>63.423114179855602</v>
      </c>
      <c r="N1433">
        <v>5097573</v>
      </c>
    </row>
    <row r="1434" spans="1:14" x14ac:dyDescent="0.35">
      <c r="A1434" t="s">
        <v>96</v>
      </c>
      <c r="B1434">
        <v>202605</v>
      </c>
      <c r="C1434" t="str">
        <f>MID(analisis_productividad__4[[#This Row],[Periodo]],1,4)</f>
        <v>2026</v>
      </c>
      <c r="D1434" t="str">
        <f>MID(analisis_productividad__4[[#This Row],[Periodo]],5,2)</f>
        <v>05</v>
      </c>
      <c r="E1434" t="s">
        <v>16</v>
      </c>
      <c r="F1434" t="s">
        <v>17</v>
      </c>
      <c r="G1434">
        <v>84942</v>
      </c>
      <c r="H1434">
        <v>5822326</v>
      </c>
      <c r="I1434">
        <v>68.544489247312427</v>
      </c>
      <c r="J1434">
        <v>63624.533322619056</v>
      </c>
      <c r="K1434">
        <v>84</v>
      </c>
      <c r="L1434">
        <v>76.5</v>
      </c>
      <c r="M1434">
        <v>84</v>
      </c>
      <c r="N1434">
        <v>5344461</v>
      </c>
    </row>
    <row r="1435" spans="1:14" x14ac:dyDescent="0.35">
      <c r="A1435" t="s">
        <v>59</v>
      </c>
      <c r="B1435">
        <v>202411</v>
      </c>
      <c r="C1435" t="str">
        <f>MID(analisis_productividad__4[[#This Row],[Periodo]],1,4)</f>
        <v>2024</v>
      </c>
      <c r="D1435" t="str">
        <f>MID(analisis_productividad__4[[#This Row],[Periodo]],5,2)</f>
        <v>11</v>
      </c>
      <c r="E1435" t="s">
        <v>11</v>
      </c>
      <c r="F1435" t="s">
        <v>12</v>
      </c>
      <c r="G1435">
        <v>84895</v>
      </c>
      <c r="H1435">
        <v>7769904</v>
      </c>
      <c r="I1435">
        <v>91.523736111111219</v>
      </c>
      <c r="J1435">
        <v>0</v>
      </c>
      <c r="K1435">
        <v>94.5</v>
      </c>
      <c r="L1435">
        <v>97</v>
      </c>
      <c r="N1435">
        <v>0</v>
      </c>
    </row>
    <row r="1436" spans="1:14" x14ac:dyDescent="0.35">
      <c r="A1436" t="s">
        <v>32</v>
      </c>
      <c r="B1436">
        <v>202506</v>
      </c>
      <c r="C1436" t="str">
        <f>MID(analisis_productividad__4[[#This Row],[Periodo]],1,4)</f>
        <v>2025</v>
      </c>
      <c r="D1436" t="str">
        <f>MID(analisis_productividad__4[[#This Row],[Periodo]],5,2)</f>
        <v>06</v>
      </c>
      <c r="E1436" t="s">
        <v>11</v>
      </c>
      <c r="F1436" t="s">
        <v>12</v>
      </c>
      <c r="G1436">
        <v>84892</v>
      </c>
      <c r="H1436">
        <v>5005931</v>
      </c>
      <c r="I1436">
        <v>58.968291666666687</v>
      </c>
      <c r="J1436">
        <v>97165.792200439813</v>
      </c>
      <c r="K1436">
        <v>65.5</v>
      </c>
      <c r="L1436">
        <v>66</v>
      </c>
      <c r="M1436">
        <v>51.519476418958682</v>
      </c>
      <c r="N1436">
        <v>5651981</v>
      </c>
    </row>
    <row r="1437" spans="1:14" x14ac:dyDescent="0.35">
      <c r="A1437" t="s">
        <v>75</v>
      </c>
      <c r="B1437">
        <v>202407</v>
      </c>
      <c r="C1437" t="str">
        <f>MID(analisis_productividad__4[[#This Row],[Periodo]],1,4)</f>
        <v>2024</v>
      </c>
      <c r="D1437" t="str">
        <f>MID(analisis_productividad__4[[#This Row],[Periodo]],5,2)</f>
        <v>07</v>
      </c>
      <c r="E1437" t="s">
        <v>11</v>
      </c>
      <c r="F1437" t="s">
        <v>52</v>
      </c>
      <c r="G1437">
        <v>84869</v>
      </c>
      <c r="H1437">
        <v>9574233</v>
      </c>
      <c r="I1437">
        <v>112.81252688172042</v>
      </c>
      <c r="J1437">
        <v>0</v>
      </c>
      <c r="K1437">
        <v>118</v>
      </c>
      <c r="L1437">
        <v>106</v>
      </c>
      <c r="N1437">
        <v>0</v>
      </c>
    </row>
    <row r="1438" spans="1:14" x14ac:dyDescent="0.35">
      <c r="A1438" t="s">
        <v>43</v>
      </c>
      <c r="B1438">
        <v>202401</v>
      </c>
      <c r="C1438" t="str">
        <f>MID(analisis_productividad__4[[#This Row],[Periodo]],1,4)</f>
        <v>2024</v>
      </c>
      <c r="D1438" t="str">
        <f>MID(analisis_productividad__4[[#This Row],[Periodo]],5,2)</f>
        <v>01</v>
      </c>
      <c r="E1438" t="s">
        <v>11</v>
      </c>
      <c r="F1438" t="s">
        <v>12</v>
      </c>
      <c r="G1438">
        <v>84860</v>
      </c>
      <c r="H1438">
        <v>6257670</v>
      </c>
      <c r="I1438">
        <v>73.741189516129012</v>
      </c>
      <c r="J1438">
        <v>0</v>
      </c>
      <c r="K1438">
        <v>84.5</v>
      </c>
      <c r="L1438">
        <v>86.5</v>
      </c>
      <c r="N1438">
        <v>0</v>
      </c>
    </row>
    <row r="1439" spans="1:14" x14ac:dyDescent="0.35">
      <c r="A1439" t="s">
        <v>96</v>
      </c>
      <c r="B1439">
        <v>202512</v>
      </c>
      <c r="C1439" t="str">
        <f>MID(analisis_productividad__4[[#This Row],[Periodo]],1,4)</f>
        <v>2025</v>
      </c>
      <c r="D1439" t="str">
        <f>MID(analisis_productividad__4[[#This Row],[Periodo]],5,2)</f>
        <v>12</v>
      </c>
      <c r="E1439" t="s">
        <v>16</v>
      </c>
      <c r="F1439" t="s">
        <v>17</v>
      </c>
      <c r="G1439">
        <v>84857</v>
      </c>
      <c r="H1439">
        <v>8978173</v>
      </c>
      <c r="I1439">
        <v>105.80302419354831</v>
      </c>
      <c r="J1439">
        <v>0</v>
      </c>
      <c r="K1439">
        <v>84</v>
      </c>
      <c r="L1439">
        <v>76.5</v>
      </c>
    </row>
    <row r="1440" spans="1:14" x14ac:dyDescent="0.35">
      <c r="A1440" t="s">
        <v>84</v>
      </c>
      <c r="B1440">
        <v>202407</v>
      </c>
      <c r="C1440" t="str">
        <f>MID(analisis_productividad__4[[#This Row],[Periodo]],1,4)</f>
        <v>2024</v>
      </c>
      <c r="D1440" t="str">
        <f>MID(analisis_productividad__4[[#This Row],[Periodo]],5,2)</f>
        <v>07</v>
      </c>
      <c r="E1440" t="s">
        <v>11</v>
      </c>
      <c r="F1440" t="s">
        <v>52</v>
      </c>
      <c r="G1440">
        <v>84854</v>
      </c>
      <c r="H1440">
        <v>9270103</v>
      </c>
      <c r="I1440">
        <v>109.2475134408602</v>
      </c>
      <c r="J1440">
        <v>0</v>
      </c>
      <c r="K1440">
        <v>123</v>
      </c>
      <c r="L1440">
        <v>115.5</v>
      </c>
      <c r="N1440">
        <v>0</v>
      </c>
    </row>
    <row r="1441" spans="1:14" x14ac:dyDescent="0.35">
      <c r="A1441" t="s">
        <v>40</v>
      </c>
      <c r="B1441">
        <v>202510</v>
      </c>
      <c r="C1441" t="str">
        <f>MID(analisis_productividad__4[[#This Row],[Periodo]],1,4)</f>
        <v>2025</v>
      </c>
      <c r="D1441" t="str">
        <f>MID(analisis_productividad__4[[#This Row],[Periodo]],5,2)</f>
        <v>10</v>
      </c>
      <c r="E1441" t="s">
        <v>11</v>
      </c>
      <c r="F1441" t="s">
        <v>14</v>
      </c>
      <c r="G1441">
        <v>84823</v>
      </c>
      <c r="H1441">
        <v>5076873</v>
      </c>
      <c r="I1441">
        <v>59.852728494623655</v>
      </c>
      <c r="J1441">
        <v>81817.412221505016</v>
      </c>
      <c r="K1441">
        <v>76.5</v>
      </c>
      <c r="L1441">
        <v>75.5</v>
      </c>
      <c r="M1441">
        <v>62.05125317646732</v>
      </c>
      <c r="N1441">
        <v>6358087</v>
      </c>
    </row>
    <row r="1442" spans="1:14" x14ac:dyDescent="0.35">
      <c r="A1442" t="s">
        <v>67</v>
      </c>
      <c r="B1442">
        <v>202508</v>
      </c>
      <c r="C1442" t="str">
        <f>MID(analisis_productividad__4[[#This Row],[Periodo]],1,4)</f>
        <v>2025</v>
      </c>
      <c r="D1442" t="str">
        <f>MID(analisis_productividad__4[[#This Row],[Periodo]],5,2)</f>
        <v>08</v>
      </c>
      <c r="E1442" t="s">
        <v>16</v>
      </c>
      <c r="F1442" t="s">
        <v>19</v>
      </c>
      <c r="G1442">
        <v>84817</v>
      </c>
      <c r="H1442">
        <v>6021073</v>
      </c>
      <c r="I1442">
        <v>70.989267473118275</v>
      </c>
      <c r="J1442">
        <v>88337.369544092915</v>
      </c>
      <c r="K1442">
        <v>79.5</v>
      </c>
      <c r="L1442">
        <v>81.5</v>
      </c>
      <c r="M1442">
        <v>68.159981229627022</v>
      </c>
      <c r="N1442">
        <v>6415387</v>
      </c>
    </row>
    <row r="1443" spans="1:14" x14ac:dyDescent="0.35">
      <c r="A1443" t="s">
        <v>72</v>
      </c>
      <c r="B1443">
        <v>202411</v>
      </c>
      <c r="C1443" t="str">
        <f>MID(analisis_productividad__4[[#This Row],[Periodo]],1,4)</f>
        <v>2024</v>
      </c>
      <c r="D1443" t="str">
        <f>MID(analisis_productividad__4[[#This Row],[Periodo]],5,2)</f>
        <v>11</v>
      </c>
      <c r="E1443" t="s">
        <v>11</v>
      </c>
      <c r="F1443" t="s">
        <v>14</v>
      </c>
      <c r="G1443">
        <v>84779</v>
      </c>
      <c r="H1443">
        <v>4892623</v>
      </c>
      <c r="I1443">
        <v>57.710090277777766</v>
      </c>
      <c r="J1443">
        <v>0</v>
      </c>
      <c r="K1443">
        <v>66</v>
      </c>
      <c r="L1443">
        <v>64.5</v>
      </c>
      <c r="N1443">
        <v>0</v>
      </c>
    </row>
    <row r="1444" spans="1:14" x14ac:dyDescent="0.35">
      <c r="A1444" t="s">
        <v>60</v>
      </c>
      <c r="B1444">
        <v>202507</v>
      </c>
      <c r="C1444" t="str">
        <f>MID(analisis_productividad__4[[#This Row],[Periodo]],1,4)</f>
        <v>2025</v>
      </c>
      <c r="D1444" t="str">
        <f>MID(analisis_productividad__4[[#This Row],[Periodo]],5,2)</f>
        <v>07</v>
      </c>
      <c r="E1444" t="s">
        <v>11</v>
      </c>
      <c r="F1444" t="s">
        <v>14</v>
      </c>
      <c r="G1444">
        <v>84735</v>
      </c>
      <c r="H1444">
        <v>5559738</v>
      </c>
      <c r="I1444">
        <v>65.613051075268842</v>
      </c>
      <c r="J1444">
        <v>94097.902357347761</v>
      </c>
      <c r="K1444">
        <v>75.5</v>
      </c>
      <c r="L1444">
        <v>74</v>
      </c>
      <c r="M1444">
        <v>59.084613266789368</v>
      </c>
      <c r="N1444">
        <v>6745545</v>
      </c>
    </row>
    <row r="1445" spans="1:14" x14ac:dyDescent="0.35">
      <c r="A1445" t="s">
        <v>97</v>
      </c>
      <c r="B1445">
        <v>202603</v>
      </c>
      <c r="C1445" t="str">
        <f>MID(analisis_productividad__4[[#This Row],[Periodo]],1,4)</f>
        <v>2026</v>
      </c>
      <c r="D1445" t="str">
        <f>MID(analisis_productividad__4[[#This Row],[Periodo]],5,2)</f>
        <v>03</v>
      </c>
      <c r="E1445" t="s">
        <v>11</v>
      </c>
      <c r="F1445" t="s">
        <v>12</v>
      </c>
      <c r="G1445">
        <v>84718</v>
      </c>
      <c r="H1445">
        <v>5245370</v>
      </c>
      <c r="I1445">
        <v>61.915376344086056</v>
      </c>
      <c r="J1445">
        <v>115249.71206746089</v>
      </c>
      <c r="K1445">
        <v>66.5</v>
      </c>
      <c r="L1445">
        <v>63.5</v>
      </c>
      <c r="M1445">
        <v>54.652141241039438</v>
      </c>
      <c r="N1445">
        <v>6298644</v>
      </c>
    </row>
    <row r="1446" spans="1:14" x14ac:dyDescent="0.35">
      <c r="A1446" t="s">
        <v>75</v>
      </c>
      <c r="B1446">
        <v>202405</v>
      </c>
      <c r="C1446" t="str">
        <f>MID(analisis_productividad__4[[#This Row],[Periodo]],1,4)</f>
        <v>2024</v>
      </c>
      <c r="D1446" t="str">
        <f>MID(analisis_productividad__4[[#This Row],[Periodo]],5,2)</f>
        <v>05</v>
      </c>
      <c r="E1446" t="s">
        <v>11</v>
      </c>
      <c r="F1446" t="s">
        <v>52</v>
      </c>
      <c r="G1446">
        <v>84691</v>
      </c>
      <c r="H1446">
        <v>9366916</v>
      </c>
      <c r="I1446">
        <v>110.60079973118272</v>
      </c>
      <c r="J1446">
        <v>0</v>
      </c>
      <c r="K1446">
        <v>118</v>
      </c>
      <c r="L1446">
        <v>106</v>
      </c>
      <c r="N1446">
        <v>0</v>
      </c>
    </row>
    <row r="1447" spans="1:14" x14ac:dyDescent="0.35">
      <c r="A1447" t="s">
        <v>56</v>
      </c>
      <c r="B1447">
        <v>202405</v>
      </c>
      <c r="C1447" t="str">
        <f>MID(analisis_productividad__4[[#This Row],[Periodo]],1,4)</f>
        <v>2024</v>
      </c>
      <c r="D1447" t="str">
        <f>MID(analisis_productividad__4[[#This Row],[Periodo]],5,2)</f>
        <v>05</v>
      </c>
      <c r="E1447" t="s">
        <v>16</v>
      </c>
      <c r="F1447" t="s">
        <v>21</v>
      </c>
      <c r="G1447">
        <v>84685</v>
      </c>
      <c r="H1447">
        <v>5456124</v>
      </c>
      <c r="I1447">
        <v>64.428555107526876</v>
      </c>
      <c r="J1447">
        <v>0</v>
      </c>
      <c r="K1447">
        <v>72.5</v>
      </c>
      <c r="L1447">
        <v>68.5</v>
      </c>
      <c r="N1447">
        <v>0</v>
      </c>
    </row>
    <row r="1448" spans="1:14" x14ac:dyDescent="0.35">
      <c r="A1448" t="s">
        <v>54</v>
      </c>
      <c r="B1448">
        <v>202502</v>
      </c>
      <c r="C1448" t="str">
        <f>MID(analisis_productividad__4[[#This Row],[Periodo]],1,4)</f>
        <v>2025</v>
      </c>
      <c r="D1448" t="str">
        <f>MID(analisis_productividad__4[[#This Row],[Periodo]],5,2)</f>
        <v>02</v>
      </c>
      <c r="E1448" t="s">
        <v>11</v>
      </c>
      <c r="F1448" t="s">
        <v>52</v>
      </c>
      <c r="G1448">
        <v>84677</v>
      </c>
      <c r="H1448">
        <v>8443155</v>
      </c>
      <c r="I1448">
        <v>99.709895833333306</v>
      </c>
      <c r="J1448">
        <v>83804.933764046975</v>
      </c>
      <c r="K1448">
        <v>106</v>
      </c>
      <c r="L1448">
        <v>102.5</v>
      </c>
      <c r="M1448">
        <v>100.74770458946638</v>
      </c>
      <c r="N1448">
        <v>8793993</v>
      </c>
    </row>
    <row r="1449" spans="1:14" x14ac:dyDescent="0.35">
      <c r="A1449" t="s">
        <v>90</v>
      </c>
      <c r="B1449">
        <v>202503</v>
      </c>
      <c r="C1449" t="str">
        <f>MID(analisis_productividad__4[[#This Row],[Periodo]],1,4)</f>
        <v>2025</v>
      </c>
      <c r="D1449" t="str">
        <f>MID(analisis_productividad__4[[#This Row],[Periodo]],5,2)</f>
        <v>03</v>
      </c>
      <c r="E1449" t="s">
        <v>11</v>
      </c>
      <c r="F1449" t="s">
        <v>14</v>
      </c>
      <c r="G1449">
        <v>84663</v>
      </c>
      <c r="H1449">
        <v>6510177</v>
      </c>
      <c r="I1449">
        <v>76.894952956989243</v>
      </c>
      <c r="J1449">
        <v>78823.093919353327</v>
      </c>
      <c r="K1449">
        <v>84.5</v>
      </c>
      <c r="L1449">
        <v>78.5</v>
      </c>
      <c r="M1449">
        <v>82.592260291898583</v>
      </c>
      <c r="N1449">
        <v>6492837</v>
      </c>
    </row>
    <row r="1450" spans="1:14" x14ac:dyDescent="0.35">
      <c r="A1450" t="s">
        <v>47</v>
      </c>
      <c r="B1450">
        <v>202505</v>
      </c>
      <c r="C1450" t="str">
        <f>MID(analisis_productividad__4[[#This Row],[Periodo]],1,4)</f>
        <v>2025</v>
      </c>
      <c r="D1450" t="str">
        <f>MID(analisis_productividad__4[[#This Row],[Periodo]],5,2)</f>
        <v>05</v>
      </c>
      <c r="E1450" t="s">
        <v>11</v>
      </c>
      <c r="F1450" t="s">
        <v>14</v>
      </c>
      <c r="G1450">
        <v>84637</v>
      </c>
      <c r="H1450">
        <v>4542065</v>
      </c>
      <c r="I1450">
        <v>53.665349462365604</v>
      </c>
      <c r="J1450">
        <v>75112.829755307568</v>
      </c>
      <c r="K1450">
        <v>61.5</v>
      </c>
      <c r="L1450">
        <v>48.5</v>
      </c>
      <c r="M1450">
        <v>60.469894221753123</v>
      </c>
      <c r="N1450">
        <v>4769879</v>
      </c>
    </row>
    <row r="1451" spans="1:14" x14ac:dyDescent="0.35">
      <c r="A1451" t="s">
        <v>73</v>
      </c>
      <c r="B1451">
        <v>202403</v>
      </c>
      <c r="C1451" t="str">
        <f>MID(analisis_productividad__4[[#This Row],[Periodo]],1,4)</f>
        <v>2024</v>
      </c>
      <c r="D1451" t="str">
        <f>MID(analisis_productividad__4[[#This Row],[Periodo]],5,2)</f>
        <v>03</v>
      </c>
      <c r="E1451" t="s">
        <v>16</v>
      </c>
      <c r="F1451" t="s">
        <v>21</v>
      </c>
      <c r="G1451">
        <v>84617</v>
      </c>
      <c r="H1451">
        <v>3582979</v>
      </c>
      <c r="I1451">
        <v>42.343649193548373</v>
      </c>
      <c r="J1451">
        <v>0</v>
      </c>
      <c r="K1451">
        <v>43.5</v>
      </c>
      <c r="L1451">
        <v>41</v>
      </c>
      <c r="N1451">
        <v>0</v>
      </c>
    </row>
    <row r="1452" spans="1:14" x14ac:dyDescent="0.35">
      <c r="A1452" t="s">
        <v>67</v>
      </c>
      <c r="B1452">
        <v>202407</v>
      </c>
      <c r="C1452" t="str">
        <f>MID(analisis_productividad__4[[#This Row],[Periodo]],1,4)</f>
        <v>2024</v>
      </c>
      <c r="D1452" t="str">
        <f>MID(analisis_productividad__4[[#This Row],[Periodo]],5,2)</f>
        <v>07</v>
      </c>
      <c r="E1452" t="s">
        <v>16</v>
      </c>
      <c r="F1452" t="s">
        <v>19</v>
      </c>
      <c r="G1452">
        <v>84597</v>
      </c>
      <c r="H1452">
        <v>6500272</v>
      </c>
      <c r="I1452">
        <v>76.838407258064478</v>
      </c>
      <c r="J1452">
        <v>0</v>
      </c>
      <c r="K1452">
        <v>79.5</v>
      </c>
      <c r="L1452">
        <v>81.5</v>
      </c>
      <c r="N1452">
        <v>0</v>
      </c>
    </row>
    <row r="1453" spans="1:14" x14ac:dyDescent="0.35">
      <c r="A1453" t="s">
        <v>56</v>
      </c>
      <c r="B1453">
        <v>202509</v>
      </c>
      <c r="C1453" t="str">
        <f>MID(analisis_productividad__4[[#This Row],[Periodo]],1,4)</f>
        <v>2025</v>
      </c>
      <c r="D1453" t="str">
        <f>MID(analisis_productividad__4[[#This Row],[Periodo]],5,2)</f>
        <v>09</v>
      </c>
      <c r="E1453" t="s">
        <v>16</v>
      </c>
      <c r="F1453" t="s">
        <v>21</v>
      </c>
      <c r="G1453">
        <v>84586</v>
      </c>
      <c r="H1453">
        <v>4868481</v>
      </c>
      <c r="I1453">
        <v>57.556770833333339</v>
      </c>
      <c r="J1453">
        <v>95769.418091802159</v>
      </c>
      <c r="K1453">
        <v>72.5</v>
      </c>
      <c r="L1453">
        <v>68.5</v>
      </c>
      <c r="M1453">
        <v>50.83544973963604</v>
      </c>
      <c r="N1453">
        <v>5095602</v>
      </c>
    </row>
    <row r="1454" spans="1:14" x14ac:dyDescent="0.35">
      <c r="A1454" t="s">
        <v>62</v>
      </c>
      <c r="B1454">
        <v>202406</v>
      </c>
      <c r="C1454" t="str">
        <f>MID(analisis_productividad__4[[#This Row],[Periodo]],1,4)</f>
        <v>2024</v>
      </c>
      <c r="D1454" t="str">
        <f>MID(analisis_productividad__4[[#This Row],[Periodo]],5,2)</f>
        <v>06</v>
      </c>
      <c r="E1454" t="s">
        <v>16</v>
      </c>
      <c r="F1454" t="s">
        <v>17</v>
      </c>
      <c r="G1454">
        <v>84550</v>
      </c>
      <c r="H1454">
        <v>2257866</v>
      </c>
      <c r="I1454">
        <v>26.704659722222228</v>
      </c>
      <c r="J1454">
        <v>0</v>
      </c>
      <c r="K1454">
        <v>32.5</v>
      </c>
      <c r="L1454">
        <v>32</v>
      </c>
      <c r="N1454">
        <v>0</v>
      </c>
    </row>
    <row r="1455" spans="1:14" x14ac:dyDescent="0.35">
      <c r="A1455" t="s">
        <v>81</v>
      </c>
      <c r="B1455">
        <v>202509</v>
      </c>
      <c r="C1455" t="str">
        <f>MID(analisis_productividad__4[[#This Row],[Periodo]],1,4)</f>
        <v>2025</v>
      </c>
      <c r="D1455" t="str">
        <f>MID(analisis_productividad__4[[#This Row],[Periodo]],5,2)</f>
        <v>09</v>
      </c>
      <c r="E1455" t="s">
        <v>34</v>
      </c>
      <c r="F1455" t="s">
        <v>35</v>
      </c>
      <c r="G1455">
        <v>84527</v>
      </c>
      <c r="H1455">
        <v>7195548</v>
      </c>
      <c r="I1455">
        <v>85.127486111111082</v>
      </c>
      <c r="J1455">
        <v>87336.940686409711</v>
      </c>
      <c r="K1455">
        <v>106</v>
      </c>
      <c r="L1455">
        <v>94.5</v>
      </c>
      <c r="M1455">
        <v>82.388363542938734</v>
      </c>
      <c r="N1455">
        <v>7658667</v>
      </c>
    </row>
    <row r="1456" spans="1:14" x14ac:dyDescent="0.35">
      <c r="A1456" t="s">
        <v>72</v>
      </c>
      <c r="B1456">
        <v>202410</v>
      </c>
      <c r="C1456" t="str">
        <f>MID(analisis_productividad__4[[#This Row],[Periodo]],1,4)</f>
        <v>2024</v>
      </c>
      <c r="D1456" t="str">
        <f>MID(analisis_productividad__4[[#This Row],[Periodo]],5,2)</f>
        <v>10</v>
      </c>
      <c r="E1456" t="s">
        <v>11</v>
      </c>
      <c r="F1456" t="s">
        <v>14</v>
      </c>
      <c r="G1456">
        <v>84502</v>
      </c>
      <c r="H1456">
        <v>4797288</v>
      </c>
      <c r="I1456">
        <v>56.771223118279565</v>
      </c>
      <c r="J1456">
        <v>0</v>
      </c>
      <c r="K1456">
        <v>66</v>
      </c>
      <c r="L1456">
        <v>64.5</v>
      </c>
      <c r="N1456">
        <v>0</v>
      </c>
    </row>
    <row r="1457" spans="1:14" x14ac:dyDescent="0.35">
      <c r="A1457" t="s">
        <v>67</v>
      </c>
      <c r="B1457">
        <v>202411</v>
      </c>
      <c r="C1457" t="str">
        <f>MID(analisis_productividad__4[[#This Row],[Periodo]],1,4)</f>
        <v>2024</v>
      </c>
      <c r="D1457" t="str">
        <f>MID(analisis_productividad__4[[#This Row],[Periodo]],5,2)</f>
        <v>11</v>
      </c>
      <c r="E1457" t="s">
        <v>16</v>
      </c>
      <c r="F1457" t="s">
        <v>19</v>
      </c>
      <c r="G1457">
        <v>84471</v>
      </c>
      <c r="H1457">
        <v>6074998</v>
      </c>
      <c r="I1457">
        <v>71.917756944444477</v>
      </c>
      <c r="J1457">
        <v>0</v>
      </c>
      <c r="K1457">
        <v>79.5</v>
      </c>
      <c r="L1457">
        <v>81.5</v>
      </c>
      <c r="N1457">
        <v>0</v>
      </c>
    </row>
    <row r="1458" spans="1:14" x14ac:dyDescent="0.35">
      <c r="A1458" t="s">
        <v>102</v>
      </c>
      <c r="B1458">
        <v>202512</v>
      </c>
      <c r="C1458" t="str">
        <f>MID(analisis_productividad__4[[#This Row],[Periodo]],1,4)</f>
        <v>2025</v>
      </c>
      <c r="D1458" t="str">
        <f>MID(analisis_productividad__4[[#This Row],[Periodo]],5,2)</f>
        <v>12</v>
      </c>
      <c r="E1458" t="s">
        <v>11</v>
      </c>
      <c r="F1458" t="s">
        <v>12</v>
      </c>
      <c r="G1458">
        <v>84468</v>
      </c>
      <c r="H1458">
        <v>2672423</v>
      </c>
      <c r="I1458">
        <v>31.638165322580623</v>
      </c>
      <c r="J1458">
        <v>80358.84754660973</v>
      </c>
      <c r="K1458">
        <v>34</v>
      </c>
      <c r="L1458">
        <v>34</v>
      </c>
      <c r="M1458">
        <v>33.256117920928901</v>
      </c>
      <c r="N1458">
        <v>2957685</v>
      </c>
    </row>
    <row r="1459" spans="1:14" x14ac:dyDescent="0.35">
      <c r="A1459" t="s">
        <v>48</v>
      </c>
      <c r="B1459">
        <v>202601</v>
      </c>
      <c r="C1459" t="str">
        <f>MID(analisis_productividad__4[[#This Row],[Periodo]],1,4)</f>
        <v>2026</v>
      </c>
      <c r="D1459" t="str">
        <f>MID(analisis_productividad__4[[#This Row],[Periodo]],5,2)</f>
        <v>01</v>
      </c>
      <c r="E1459" t="s">
        <v>16</v>
      </c>
      <c r="F1459" t="s">
        <v>21</v>
      </c>
      <c r="G1459">
        <v>84445</v>
      </c>
      <c r="H1459">
        <v>4507405</v>
      </c>
      <c r="I1459">
        <v>53.376693548387088</v>
      </c>
      <c r="J1459">
        <v>106820.09593599169</v>
      </c>
      <c r="K1459">
        <v>56</v>
      </c>
      <c r="L1459">
        <v>60</v>
      </c>
      <c r="M1459">
        <v>48.493991244906013</v>
      </c>
      <c r="N1459">
        <v>5180133</v>
      </c>
    </row>
    <row r="1460" spans="1:14" x14ac:dyDescent="0.35">
      <c r="A1460" t="s">
        <v>91</v>
      </c>
      <c r="B1460">
        <v>202503</v>
      </c>
      <c r="C1460" t="str">
        <f>MID(analisis_productividad__4[[#This Row],[Periodo]],1,4)</f>
        <v>2025</v>
      </c>
      <c r="D1460" t="str">
        <f>MID(analisis_productividad__4[[#This Row],[Periodo]],5,2)</f>
        <v>03</v>
      </c>
      <c r="E1460" t="s">
        <v>11</v>
      </c>
      <c r="F1460" t="s">
        <v>12</v>
      </c>
      <c r="G1460">
        <v>84438</v>
      </c>
      <c r="H1460">
        <v>4531729</v>
      </c>
      <c r="I1460">
        <v>53.669583333333343</v>
      </c>
      <c r="J1460">
        <v>77226.908339083093</v>
      </c>
      <c r="K1460">
        <v>55</v>
      </c>
      <c r="L1460">
        <v>55.5</v>
      </c>
      <c r="M1460">
        <v>58.680697537474465</v>
      </c>
      <c r="N1460">
        <v>4478394</v>
      </c>
    </row>
    <row r="1461" spans="1:14" x14ac:dyDescent="0.35">
      <c r="A1461" t="s">
        <v>87</v>
      </c>
      <c r="B1461">
        <v>202402</v>
      </c>
      <c r="C1461" t="str">
        <f>MID(analisis_productividad__4[[#This Row],[Periodo]],1,4)</f>
        <v>2024</v>
      </c>
      <c r="D1461" t="str">
        <f>MID(analisis_productividad__4[[#This Row],[Periodo]],5,2)</f>
        <v>02</v>
      </c>
      <c r="E1461" t="s">
        <v>9</v>
      </c>
      <c r="F1461" t="s">
        <v>9</v>
      </c>
      <c r="G1461">
        <v>84436</v>
      </c>
      <c r="H1461">
        <v>998879</v>
      </c>
      <c r="I1461">
        <v>11.830050287356322</v>
      </c>
      <c r="J1461">
        <v>0</v>
      </c>
      <c r="K1461">
        <v>13.5</v>
      </c>
      <c r="L1461">
        <v>12</v>
      </c>
      <c r="N1461">
        <v>0</v>
      </c>
    </row>
    <row r="1462" spans="1:14" x14ac:dyDescent="0.35">
      <c r="A1462" t="s">
        <v>49</v>
      </c>
      <c r="B1462">
        <v>202510</v>
      </c>
      <c r="C1462" t="str">
        <f>MID(analisis_productividad__4[[#This Row],[Periodo]],1,4)</f>
        <v>2025</v>
      </c>
      <c r="D1462" t="str">
        <f>MID(analisis_productividad__4[[#This Row],[Periodo]],5,2)</f>
        <v>10</v>
      </c>
      <c r="E1462" t="s">
        <v>16</v>
      </c>
      <c r="F1462" t="s">
        <v>21</v>
      </c>
      <c r="G1462">
        <v>84399</v>
      </c>
      <c r="H1462">
        <v>5115495</v>
      </c>
      <c r="I1462">
        <v>60.61082661290321</v>
      </c>
      <c r="J1462">
        <v>88415.469092654239</v>
      </c>
      <c r="K1462">
        <v>75.5</v>
      </c>
      <c r="L1462">
        <v>68</v>
      </c>
      <c r="M1462">
        <v>57.857464677807258</v>
      </c>
      <c r="N1462">
        <v>6014943</v>
      </c>
    </row>
    <row r="1463" spans="1:14" x14ac:dyDescent="0.35">
      <c r="A1463" t="s">
        <v>84</v>
      </c>
      <c r="B1463">
        <v>202505</v>
      </c>
      <c r="C1463" t="str">
        <f>MID(analisis_productividad__4[[#This Row],[Periodo]],1,4)</f>
        <v>2025</v>
      </c>
      <c r="D1463" t="str">
        <f>MID(analisis_productividad__4[[#This Row],[Periodo]],5,2)</f>
        <v>05</v>
      </c>
      <c r="E1463" t="s">
        <v>11</v>
      </c>
      <c r="F1463" t="s">
        <v>52</v>
      </c>
      <c r="G1463">
        <v>84392</v>
      </c>
      <c r="H1463">
        <v>9042337</v>
      </c>
      <c r="I1463">
        <v>107.14657258064513</v>
      </c>
      <c r="J1463">
        <v>80539.147445212642</v>
      </c>
      <c r="K1463">
        <v>123</v>
      </c>
      <c r="L1463">
        <v>115.5</v>
      </c>
      <c r="M1463">
        <v>112.27257100220878</v>
      </c>
      <c r="N1463">
        <v>9459712</v>
      </c>
    </row>
    <row r="1464" spans="1:14" x14ac:dyDescent="0.35">
      <c r="A1464" t="s">
        <v>97</v>
      </c>
      <c r="B1464">
        <v>202605</v>
      </c>
      <c r="C1464" t="str">
        <f>MID(analisis_productividad__4[[#This Row],[Periodo]],1,4)</f>
        <v>2026</v>
      </c>
      <c r="D1464" t="str">
        <f>MID(analisis_productividad__4[[#This Row],[Periodo]],5,2)</f>
        <v>05</v>
      </c>
      <c r="E1464" t="s">
        <v>11</v>
      </c>
      <c r="F1464" t="s">
        <v>12</v>
      </c>
      <c r="G1464">
        <v>84391</v>
      </c>
      <c r="H1464">
        <v>4588627</v>
      </c>
      <c r="I1464">
        <v>54.373205645161192</v>
      </c>
      <c r="J1464">
        <v>0.89401803644813105</v>
      </c>
      <c r="K1464">
        <v>66.5</v>
      </c>
      <c r="L1464">
        <v>63.5</v>
      </c>
      <c r="M1464">
        <v>54.652141241039438</v>
      </c>
      <c r="N1464">
        <v>49</v>
      </c>
    </row>
    <row r="1465" spans="1:14" x14ac:dyDescent="0.35">
      <c r="A1465" t="s">
        <v>44</v>
      </c>
      <c r="B1465">
        <v>202508</v>
      </c>
      <c r="C1465" t="str">
        <f>MID(analisis_productividad__4[[#This Row],[Periodo]],1,4)</f>
        <v>2025</v>
      </c>
      <c r="D1465" t="str">
        <f>MID(analisis_productividad__4[[#This Row],[Periodo]],5,2)</f>
        <v>08</v>
      </c>
      <c r="E1465" t="s">
        <v>11</v>
      </c>
      <c r="F1465" t="s">
        <v>12</v>
      </c>
      <c r="G1465">
        <v>84354</v>
      </c>
      <c r="H1465">
        <v>5538620</v>
      </c>
      <c r="I1465">
        <v>65.659435483870979</v>
      </c>
      <c r="J1465">
        <v>100909.3772828916</v>
      </c>
      <c r="K1465">
        <v>78</v>
      </c>
      <c r="L1465">
        <v>74.5</v>
      </c>
      <c r="M1465">
        <v>54.887066981623626</v>
      </c>
      <c r="N1465">
        <v>5824418</v>
      </c>
    </row>
    <row r="1466" spans="1:14" x14ac:dyDescent="0.35">
      <c r="A1466" t="s">
        <v>57</v>
      </c>
      <c r="B1466">
        <v>202410</v>
      </c>
      <c r="C1466" t="str">
        <f>MID(analisis_productividad__4[[#This Row],[Periodo]],1,4)</f>
        <v>2024</v>
      </c>
      <c r="D1466" t="str">
        <f>MID(analisis_productividad__4[[#This Row],[Periodo]],5,2)</f>
        <v>10</v>
      </c>
      <c r="E1466" t="s">
        <v>16</v>
      </c>
      <c r="F1466" t="s">
        <v>19</v>
      </c>
      <c r="G1466">
        <v>84346</v>
      </c>
      <c r="H1466">
        <v>5547545</v>
      </c>
      <c r="I1466">
        <v>65.771350806451608</v>
      </c>
      <c r="J1466">
        <v>0</v>
      </c>
      <c r="K1466">
        <v>71</v>
      </c>
      <c r="L1466">
        <v>74.5</v>
      </c>
      <c r="N1466">
        <v>0</v>
      </c>
    </row>
    <row r="1467" spans="1:14" x14ac:dyDescent="0.35">
      <c r="A1467" t="s">
        <v>70</v>
      </c>
      <c r="B1467">
        <v>202505</v>
      </c>
      <c r="C1467" t="str">
        <f>MID(analisis_productividad__4[[#This Row],[Periodo]],1,4)</f>
        <v>2025</v>
      </c>
      <c r="D1467" t="str">
        <f>MID(analisis_productividad__4[[#This Row],[Periodo]],5,2)</f>
        <v>05</v>
      </c>
      <c r="E1467" t="s">
        <v>11</v>
      </c>
      <c r="F1467" t="s">
        <v>14</v>
      </c>
      <c r="G1467">
        <v>84320</v>
      </c>
      <c r="H1467">
        <v>4904568</v>
      </c>
      <c r="I1467">
        <v>58.165813172043002</v>
      </c>
      <c r="J1467">
        <v>88374.525347740608</v>
      </c>
      <c r="K1467">
        <v>65</v>
      </c>
      <c r="L1467">
        <v>67.5</v>
      </c>
      <c r="M1467">
        <v>55.497530885753051</v>
      </c>
      <c r="N1467">
        <v>5001512</v>
      </c>
    </row>
    <row r="1468" spans="1:14" x14ac:dyDescent="0.35">
      <c r="A1468" t="s">
        <v>62</v>
      </c>
      <c r="B1468">
        <v>202401</v>
      </c>
      <c r="C1468" t="str">
        <f>MID(analisis_productividad__4[[#This Row],[Periodo]],1,4)</f>
        <v>2024</v>
      </c>
      <c r="D1468" t="str">
        <f>MID(analisis_productividad__4[[#This Row],[Periodo]],5,2)</f>
        <v>01</v>
      </c>
      <c r="E1468" t="s">
        <v>16</v>
      </c>
      <c r="F1468" t="s">
        <v>17</v>
      </c>
      <c r="G1468">
        <v>84320</v>
      </c>
      <c r="H1468">
        <v>2450372</v>
      </c>
      <c r="I1468">
        <v>29.060396505376346</v>
      </c>
      <c r="J1468">
        <v>0</v>
      </c>
      <c r="K1468">
        <v>32.5</v>
      </c>
      <c r="L1468">
        <v>32</v>
      </c>
      <c r="N1468">
        <v>0</v>
      </c>
    </row>
    <row r="1469" spans="1:14" x14ac:dyDescent="0.35">
      <c r="A1469" t="s">
        <v>65</v>
      </c>
      <c r="B1469">
        <v>202509</v>
      </c>
      <c r="C1469" t="str">
        <f>MID(analisis_productividad__4[[#This Row],[Periodo]],1,4)</f>
        <v>2025</v>
      </c>
      <c r="D1469" t="str">
        <f>MID(analisis_productividad__4[[#This Row],[Periodo]],5,2)</f>
        <v>09</v>
      </c>
      <c r="E1469" t="s">
        <v>16</v>
      </c>
      <c r="F1469" t="s">
        <v>19</v>
      </c>
      <c r="G1469">
        <v>84237</v>
      </c>
      <c r="H1469">
        <v>5101105</v>
      </c>
      <c r="I1469">
        <v>60.556708333333361</v>
      </c>
      <c r="J1469">
        <v>80932.090177640654</v>
      </c>
      <c r="K1469">
        <v>68</v>
      </c>
      <c r="L1469">
        <v>68.5</v>
      </c>
      <c r="M1469">
        <v>63.029453320721188</v>
      </c>
      <c r="N1469">
        <v>5124671</v>
      </c>
    </row>
    <row r="1470" spans="1:14" x14ac:dyDescent="0.35">
      <c r="A1470" t="s">
        <v>76</v>
      </c>
      <c r="B1470">
        <v>202401</v>
      </c>
      <c r="C1470" t="str">
        <f>MID(analisis_productividad__4[[#This Row],[Periodo]],1,4)</f>
        <v>2024</v>
      </c>
      <c r="D1470" t="str">
        <f>MID(analisis_productividad__4[[#This Row],[Periodo]],5,2)</f>
        <v>01</v>
      </c>
      <c r="E1470" t="s">
        <v>11</v>
      </c>
      <c r="F1470" t="s">
        <v>14</v>
      </c>
      <c r="G1470">
        <v>84230</v>
      </c>
      <c r="H1470">
        <v>6236234</v>
      </c>
      <c r="I1470">
        <v>74.038548387096768</v>
      </c>
      <c r="J1470">
        <v>0</v>
      </c>
      <c r="K1470">
        <v>80</v>
      </c>
      <c r="L1470">
        <v>78</v>
      </c>
      <c r="N1470">
        <v>0</v>
      </c>
    </row>
    <row r="1471" spans="1:14" x14ac:dyDescent="0.35">
      <c r="A1471" t="s">
        <v>59</v>
      </c>
      <c r="B1471">
        <v>202510</v>
      </c>
      <c r="C1471" t="str">
        <f>MID(analisis_productividad__4[[#This Row],[Periodo]],1,4)</f>
        <v>2025</v>
      </c>
      <c r="D1471" t="str">
        <f>MID(analisis_productividad__4[[#This Row],[Periodo]],5,2)</f>
        <v>10</v>
      </c>
      <c r="E1471" t="s">
        <v>11</v>
      </c>
      <c r="F1471" t="s">
        <v>12</v>
      </c>
      <c r="G1471">
        <v>84227</v>
      </c>
      <c r="H1471">
        <v>7023880</v>
      </c>
      <c r="I1471">
        <v>83.392674731182822</v>
      </c>
      <c r="J1471">
        <v>83093.469953421169</v>
      </c>
      <c r="K1471">
        <v>94.5</v>
      </c>
      <c r="L1471">
        <v>97</v>
      </c>
      <c r="M1471">
        <v>84.529865390593287</v>
      </c>
      <c r="N1471">
        <v>7194923</v>
      </c>
    </row>
    <row r="1472" spans="1:14" x14ac:dyDescent="0.35">
      <c r="A1472" t="s">
        <v>84</v>
      </c>
      <c r="B1472">
        <v>202507</v>
      </c>
      <c r="C1472" t="str">
        <f>MID(analisis_productividad__4[[#This Row],[Periodo]],1,4)</f>
        <v>2025</v>
      </c>
      <c r="D1472" t="str">
        <f>MID(analisis_productividad__4[[#This Row],[Periodo]],5,2)</f>
        <v>07</v>
      </c>
      <c r="E1472" t="s">
        <v>11</v>
      </c>
      <c r="F1472" t="s">
        <v>52</v>
      </c>
      <c r="G1472">
        <v>84225</v>
      </c>
      <c r="H1472">
        <v>8659436</v>
      </c>
      <c r="I1472">
        <v>102.81273521505378</v>
      </c>
      <c r="J1472">
        <v>89096.842481171596</v>
      </c>
      <c r="K1472">
        <v>123</v>
      </c>
      <c r="L1472">
        <v>115.5</v>
      </c>
      <c r="M1472">
        <v>97.191277141274171</v>
      </c>
      <c r="N1472">
        <v>9827263</v>
      </c>
    </row>
    <row r="1473" spans="1:14" x14ac:dyDescent="0.35">
      <c r="A1473" t="s">
        <v>25</v>
      </c>
      <c r="B1473">
        <v>202409</v>
      </c>
      <c r="C1473" t="str">
        <f>MID(analisis_productividad__4[[#This Row],[Periodo]],1,4)</f>
        <v>2024</v>
      </c>
      <c r="D1473" t="str">
        <f>MID(analisis_productividad__4[[#This Row],[Periodo]],5,2)</f>
        <v>09</v>
      </c>
      <c r="E1473" t="s">
        <v>16</v>
      </c>
      <c r="F1473" t="s">
        <v>19</v>
      </c>
      <c r="G1473">
        <v>84219</v>
      </c>
      <c r="H1473">
        <v>7446307</v>
      </c>
      <c r="I1473">
        <v>88.415881944444493</v>
      </c>
      <c r="J1473">
        <v>0</v>
      </c>
      <c r="K1473">
        <v>94</v>
      </c>
      <c r="L1473">
        <v>92</v>
      </c>
      <c r="N1473">
        <v>0</v>
      </c>
    </row>
    <row r="1474" spans="1:14" x14ac:dyDescent="0.35">
      <c r="A1474" t="s">
        <v>49</v>
      </c>
      <c r="B1474">
        <v>202410</v>
      </c>
      <c r="C1474" t="str">
        <f>MID(analisis_productividad__4[[#This Row],[Periodo]],1,4)</f>
        <v>2024</v>
      </c>
      <c r="D1474" t="str">
        <f>MID(analisis_productividad__4[[#This Row],[Periodo]],5,2)</f>
        <v>10</v>
      </c>
      <c r="E1474" t="s">
        <v>16</v>
      </c>
      <c r="F1474" t="s">
        <v>21</v>
      </c>
      <c r="G1474">
        <v>84205</v>
      </c>
      <c r="H1474">
        <v>5200291</v>
      </c>
      <c r="I1474">
        <v>61.757358870967707</v>
      </c>
      <c r="J1474">
        <v>0</v>
      </c>
      <c r="K1474">
        <v>75.5</v>
      </c>
      <c r="L1474">
        <v>68</v>
      </c>
      <c r="N1474">
        <v>0</v>
      </c>
    </row>
    <row r="1475" spans="1:14" x14ac:dyDescent="0.35">
      <c r="A1475" t="s">
        <v>24</v>
      </c>
      <c r="B1475">
        <v>202509</v>
      </c>
      <c r="C1475" t="str">
        <f>MID(analisis_productividad__4[[#This Row],[Periodo]],1,4)</f>
        <v>2025</v>
      </c>
      <c r="D1475" t="str">
        <f>MID(analisis_productividad__4[[#This Row],[Periodo]],5,2)</f>
        <v>09</v>
      </c>
      <c r="E1475" t="s">
        <v>16</v>
      </c>
      <c r="F1475" t="s">
        <v>21</v>
      </c>
      <c r="G1475">
        <v>84193</v>
      </c>
      <c r="H1475">
        <v>8571950</v>
      </c>
      <c r="I1475">
        <v>101.81310416666672</v>
      </c>
      <c r="J1475">
        <v>90769.48516038165</v>
      </c>
      <c r="K1475">
        <v>125</v>
      </c>
      <c r="L1475">
        <v>118.5</v>
      </c>
      <c r="M1475">
        <v>94.43647283945829</v>
      </c>
      <c r="N1475">
        <v>9392897</v>
      </c>
    </row>
    <row r="1476" spans="1:14" x14ac:dyDescent="0.35">
      <c r="A1476" t="s">
        <v>89</v>
      </c>
      <c r="B1476">
        <v>202512</v>
      </c>
      <c r="C1476" t="str">
        <f>MID(analisis_productividad__4[[#This Row],[Periodo]],1,4)</f>
        <v>2025</v>
      </c>
      <c r="D1476" t="str">
        <f>MID(analisis_productividad__4[[#This Row],[Periodo]],5,2)</f>
        <v>12</v>
      </c>
      <c r="E1476" t="s">
        <v>9</v>
      </c>
      <c r="F1476" t="s">
        <v>9</v>
      </c>
      <c r="G1476">
        <v>84171</v>
      </c>
      <c r="H1476">
        <v>1262117</v>
      </c>
      <c r="I1476">
        <v>14.994771505376326</v>
      </c>
      <c r="J1476">
        <v>96874.096650367792</v>
      </c>
      <c r="K1476">
        <v>17</v>
      </c>
      <c r="L1476">
        <v>13.5</v>
      </c>
      <c r="M1476">
        <v>13.028430546869091</v>
      </c>
      <c r="N1476">
        <v>1380484</v>
      </c>
    </row>
    <row r="1477" spans="1:14" x14ac:dyDescent="0.35">
      <c r="A1477" t="s">
        <v>76</v>
      </c>
      <c r="B1477">
        <v>202509</v>
      </c>
      <c r="C1477" t="str">
        <f>MID(analisis_productividad__4[[#This Row],[Periodo]],1,4)</f>
        <v>2025</v>
      </c>
      <c r="D1477" t="str">
        <f>MID(analisis_productividad__4[[#This Row],[Periodo]],5,2)</f>
        <v>09</v>
      </c>
      <c r="E1477" t="s">
        <v>11</v>
      </c>
      <c r="F1477" t="s">
        <v>14</v>
      </c>
      <c r="G1477">
        <v>84167</v>
      </c>
      <c r="H1477">
        <v>5637850</v>
      </c>
      <c r="I1477">
        <v>66.984458333333365</v>
      </c>
      <c r="J1477">
        <v>85950.329099111783</v>
      </c>
      <c r="K1477">
        <v>80</v>
      </c>
      <c r="L1477">
        <v>78</v>
      </c>
      <c r="M1477">
        <v>65.594275194674765</v>
      </c>
      <c r="N1477">
        <v>6490060</v>
      </c>
    </row>
    <row r="1478" spans="1:14" x14ac:dyDescent="0.35">
      <c r="A1478" t="s">
        <v>70</v>
      </c>
      <c r="B1478">
        <v>202405</v>
      </c>
      <c r="C1478" t="str">
        <f>MID(analisis_productividad__4[[#This Row],[Periodo]],1,4)</f>
        <v>2024</v>
      </c>
      <c r="D1478" t="str">
        <f>MID(analisis_productividad__4[[#This Row],[Periodo]],5,2)</f>
        <v>05</v>
      </c>
      <c r="E1478" t="s">
        <v>11</v>
      </c>
      <c r="F1478" t="s">
        <v>14</v>
      </c>
      <c r="G1478">
        <v>84166</v>
      </c>
      <c r="H1478">
        <v>4713019</v>
      </c>
      <c r="I1478">
        <v>55.996565860215036</v>
      </c>
      <c r="J1478">
        <v>0</v>
      </c>
      <c r="K1478">
        <v>65</v>
      </c>
      <c r="L1478">
        <v>67.5</v>
      </c>
      <c r="N1478">
        <v>0</v>
      </c>
    </row>
    <row r="1479" spans="1:14" x14ac:dyDescent="0.35">
      <c r="A1479" t="s">
        <v>71</v>
      </c>
      <c r="B1479">
        <v>202508</v>
      </c>
      <c r="C1479" t="str">
        <f>MID(analisis_productividad__4[[#This Row],[Periodo]],1,4)</f>
        <v>2025</v>
      </c>
      <c r="D1479" t="str">
        <f>MID(analisis_productividad__4[[#This Row],[Periodo]],5,2)</f>
        <v>08</v>
      </c>
      <c r="E1479" t="s">
        <v>16</v>
      </c>
      <c r="F1479" t="s">
        <v>19</v>
      </c>
      <c r="G1479">
        <v>84165</v>
      </c>
      <c r="H1479">
        <v>2720054</v>
      </c>
      <c r="I1479">
        <v>32.318030913978504</v>
      </c>
      <c r="J1479">
        <v>82704.83823656317</v>
      </c>
      <c r="K1479">
        <v>41.5</v>
      </c>
      <c r="L1479">
        <v>35.5</v>
      </c>
      <c r="M1479">
        <v>32.888695607139034</v>
      </c>
      <c r="N1479">
        <v>2876928</v>
      </c>
    </row>
    <row r="1480" spans="1:14" x14ac:dyDescent="0.35">
      <c r="A1480" t="s">
        <v>54</v>
      </c>
      <c r="B1480">
        <v>202407</v>
      </c>
      <c r="C1480" t="str">
        <f>MID(analisis_productividad__4[[#This Row],[Periodo]],1,4)</f>
        <v>2024</v>
      </c>
      <c r="D1480" t="str">
        <f>MID(analisis_productividad__4[[#This Row],[Periodo]],5,2)</f>
        <v>07</v>
      </c>
      <c r="E1480" t="s">
        <v>11</v>
      </c>
      <c r="F1480" t="s">
        <v>52</v>
      </c>
      <c r="G1480">
        <v>84147</v>
      </c>
      <c r="H1480">
        <v>9075663</v>
      </c>
      <c r="I1480">
        <v>107.85504032258062</v>
      </c>
      <c r="J1480">
        <v>0</v>
      </c>
      <c r="K1480">
        <v>106</v>
      </c>
      <c r="L1480">
        <v>102.5</v>
      </c>
      <c r="N1480">
        <v>0</v>
      </c>
    </row>
    <row r="1481" spans="1:14" x14ac:dyDescent="0.35">
      <c r="A1481" t="s">
        <v>67</v>
      </c>
      <c r="B1481">
        <v>202408</v>
      </c>
      <c r="C1481" t="str">
        <f>MID(analisis_productividad__4[[#This Row],[Periodo]],1,4)</f>
        <v>2024</v>
      </c>
      <c r="D1481" t="str">
        <f>MID(analisis_productividad__4[[#This Row],[Periodo]],5,2)</f>
        <v>08</v>
      </c>
      <c r="E1481" t="s">
        <v>16</v>
      </c>
      <c r="F1481" t="s">
        <v>19</v>
      </c>
      <c r="G1481">
        <v>84131</v>
      </c>
      <c r="H1481">
        <v>6067036</v>
      </c>
      <c r="I1481">
        <v>72.114301075268827</v>
      </c>
      <c r="J1481">
        <v>0</v>
      </c>
      <c r="K1481">
        <v>79.5</v>
      </c>
      <c r="L1481">
        <v>81.5</v>
      </c>
      <c r="N1481">
        <v>0</v>
      </c>
    </row>
    <row r="1482" spans="1:14" x14ac:dyDescent="0.35">
      <c r="A1482" t="s">
        <v>70</v>
      </c>
      <c r="B1482">
        <v>202511</v>
      </c>
      <c r="C1482" t="str">
        <f>MID(analisis_productividad__4[[#This Row],[Periodo]],1,4)</f>
        <v>2025</v>
      </c>
      <c r="D1482" t="str">
        <f>MID(analisis_productividad__4[[#This Row],[Periodo]],5,2)</f>
        <v>11</v>
      </c>
      <c r="E1482" t="s">
        <v>11</v>
      </c>
      <c r="F1482" t="s">
        <v>14</v>
      </c>
      <c r="G1482">
        <v>84126</v>
      </c>
      <c r="H1482">
        <v>4963985</v>
      </c>
      <c r="I1482">
        <v>59.00640277777778</v>
      </c>
      <c r="J1482">
        <v>89451.59063981293</v>
      </c>
      <c r="K1482">
        <v>65</v>
      </c>
      <c r="L1482">
        <v>67.5</v>
      </c>
      <c r="M1482">
        <v>55.493537616206901</v>
      </c>
      <c r="N1482">
        <v>4870645</v>
      </c>
    </row>
    <row r="1483" spans="1:14" x14ac:dyDescent="0.35">
      <c r="A1483" t="s">
        <v>8</v>
      </c>
      <c r="B1483">
        <v>202605</v>
      </c>
      <c r="C1483" t="str">
        <f>MID(analisis_productividad__4[[#This Row],[Periodo]],1,4)</f>
        <v>2026</v>
      </c>
      <c r="D1483" t="str">
        <f>MID(analisis_productividad__4[[#This Row],[Periodo]],5,2)</f>
        <v>05</v>
      </c>
      <c r="E1483" t="s">
        <v>9</v>
      </c>
      <c r="F1483" t="s">
        <v>9</v>
      </c>
      <c r="G1483">
        <v>84108</v>
      </c>
      <c r="H1483">
        <v>990495</v>
      </c>
      <c r="I1483">
        <v>11.7764180107527</v>
      </c>
      <c r="J1483">
        <v>99416.536627793932</v>
      </c>
      <c r="K1483">
        <v>13.5</v>
      </c>
      <c r="L1483">
        <v>12.5</v>
      </c>
      <c r="M1483">
        <v>11.712938172043014</v>
      </c>
      <c r="N1483">
        <v>1164460</v>
      </c>
    </row>
    <row r="1484" spans="1:14" x14ac:dyDescent="0.35">
      <c r="A1484" t="s">
        <v>57</v>
      </c>
      <c r="B1484">
        <v>202506</v>
      </c>
      <c r="C1484" t="str">
        <f>MID(analisis_productividad__4[[#This Row],[Periodo]],1,4)</f>
        <v>2025</v>
      </c>
      <c r="D1484" t="str">
        <f>MID(analisis_productividad__4[[#This Row],[Periodo]],5,2)</f>
        <v>06</v>
      </c>
      <c r="E1484" t="s">
        <v>16</v>
      </c>
      <c r="F1484" t="s">
        <v>19</v>
      </c>
      <c r="G1484">
        <v>84102</v>
      </c>
      <c r="H1484">
        <v>5403075</v>
      </c>
      <c r="I1484">
        <v>64.243958333333367</v>
      </c>
      <c r="J1484">
        <v>99609.445283505003</v>
      </c>
      <c r="K1484">
        <v>71</v>
      </c>
      <c r="L1484">
        <v>74.5</v>
      </c>
      <c r="M1484">
        <v>54.242598024935816</v>
      </c>
      <c r="N1484">
        <v>5714107</v>
      </c>
    </row>
    <row r="1485" spans="1:14" x14ac:dyDescent="0.35">
      <c r="A1485" t="s">
        <v>67</v>
      </c>
      <c r="B1485">
        <v>202501</v>
      </c>
      <c r="C1485" t="str">
        <f>MID(analisis_productividad__4[[#This Row],[Periodo]],1,4)</f>
        <v>2025</v>
      </c>
      <c r="D1485" t="str">
        <f>MID(analisis_productividad__4[[#This Row],[Periodo]],5,2)</f>
        <v>01</v>
      </c>
      <c r="E1485" t="s">
        <v>16</v>
      </c>
      <c r="F1485" t="s">
        <v>19</v>
      </c>
      <c r="G1485">
        <v>84090</v>
      </c>
      <c r="H1485">
        <v>5863078</v>
      </c>
      <c r="I1485">
        <v>69.72418682795697</v>
      </c>
      <c r="J1485">
        <v>91633.131461002253</v>
      </c>
      <c r="K1485">
        <v>79.5</v>
      </c>
      <c r="L1485">
        <v>81.5</v>
      </c>
      <c r="M1485">
        <v>63.984255001644698</v>
      </c>
      <c r="N1485">
        <v>6068550</v>
      </c>
    </row>
    <row r="1486" spans="1:14" x14ac:dyDescent="0.35">
      <c r="A1486" t="s">
        <v>33</v>
      </c>
      <c r="B1486">
        <v>202410</v>
      </c>
      <c r="C1486" t="str">
        <f>MID(analisis_productividad__4[[#This Row],[Periodo]],1,4)</f>
        <v>2024</v>
      </c>
      <c r="D1486" t="str">
        <f>MID(analisis_productividad__4[[#This Row],[Periodo]],5,2)</f>
        <v>10</v>
      </c>
      <c r="E1486" t="s">
        <v>34</v>
      </c>
      <c r="F1486" t="s">
        <v>35</v>
      </c>
      <c r="G1486">
        <v>84064</v>
      </c>
      <c r="H1486">
        <v>992317</v>
      </c>
      <c r="I1486">
        <v>11.804267473118282</v>
      </c>
      <c r="J1486">
        <v>0</v>
      </c>
      <c r="K1486">
        <v>15</v>
      </c>
      <c r="L1486">
        <v>15</v>
      </c>
      <c r="N1486">
        <v>0</v>
      </c>
    </row>
    <row r="1487" spans="1:14" x14ac:dyDescent="0.35">
      <c r="A1487" t="s">
        <v>80</v>
      </c>
      <c r="B1487">
        <v>202509</v>
      </c>
      <c r="C1487" t="str">
        <f>MID(analisis_productividad__4[[#This Row],[Periodo]],1,4)</f>
        <v>2025</v>
      </c>
      <c r="D1487" t="str">
        <f>MID(analisis_productividad__4[[#This Row],[Periodo]],5,2)</f>
        <v>09</v>
      </c>
      <c r="E1487" t="s">
        <v>16</v>
      </c>
      <c r="F1487" t="s">
        <v>17</v>
      </c>
      <c r="G1487">
        <v>84045</v>
      </c>
      <c r="H1487">
        <v>4138034</v>
      </c>
      <c r="I1487">
        <v>49.236104166666678</v>
      </c>
      <c r="J1487">
        <v>85581.648541806804</v>
      </c>
      <c r="K1487">
        <v>58</v>
      </c>
      <c r="L1487">
        <v>58.5</v>
      </c>
      <c r="M1487">
        <v>48.351882097463481</v>
      </c>
      <c r="N1487">
        <v>4477539</v>
      </c>
    </row>
    <row r="1488" spans="1:14" x14ac:dyDescent="0.35">
      <c r="A1488" t="s">
        <v>22</v>
      </c>
      <c r="B1488">
        <v>202405</v>
      </c>
      <c r="C1488" t="str">
        <f>MID(analisis_productividad__4[[#This Row],[Periodo]],1,4)</f>
        <v>2024</v>
      </c>
      <c r="D1488" t="str">
        <f>MID(analisis_productividad__4[[#This Row],[Periodo]],5,2)</f>
        <v>05</v>
      </c>
      <c r="E1488" t="s">
        <v>16</v>
      </c>
      <c r="F1488" t="s">
        <v>21</v>
      </c>
      <c r="G1488">
        <v>84009</v>
      </c>
      <c r="H1488">
        <v>4861094</v>
      </c>
      <c r="I1488">
        <v>57.864173387096756</v>
      </c>
      <c r="J1488">
        <v>0</v>
      </c>
      <c r="K1488">
        <v>59.5</v>
      </c>
      <c r="L1488">
        <v>55.5</v>
      </c>
      <c r="N1488">
        <v>0</v>
      </c>
    </row>
    <row r="1489" spans="1:14" x14ac:dyDescent="0.35">
      <c r="A1489" t="s">
        <v>93</v>
      </c>
      <c r="B1489">
        <v>202604</v>
      </c>
      <c r="C1489" t="str">
        <f>MID(analisis_productividad__4[[#This Row],[Periodo]],1,4)</f>
        <v>2026</v>
      </c>
      <c r="D1489" t="str">
        <f>MID(analisis_productividad__4[[#This Row],[Periodo]],5,2)</f>
        <v>04</v>
      </c>
      <c r="E1489" t="s">
        <v>16</v>
      </c>
      <c r="F1489" t="s">
        <v>17</v>
      </c>
      <c r="G1489">
        <v>84003</v>
      </c>
      <c r="H1489">
        <v>6011149</v>
      </c>
      <c r="I1489">
        <v>71.558326388889981</v>
      </c>
      <c r="J1489">
        <v>78786.790186904749</v>
      </c>
      <c r="K1489">
        <v>84</v>
      </c>
      <c r="L1489">
        <v>76</v>
      </c>
      <c r="M1489">
        <v>84</v>
      </c>
      <c r="N1489">
        <v>6618090</v>
      </c>
    </row>
    <row r="1490" spans="1:14" x14ac:dyDescent="0.35">
      <c r="A1490" t="s">
        <v>33</v>
      </c>
      <c r="B1490">
        <v>202511</v>
      </c>
      <c r="C1490" t="str">
        <f>MID(analisis_productividad__4[[#This Row],[Periodo]],1,4)</f>
        <v>2025</v>
      </c>
      <c r="D1490" t="str">
        <f>MID(analisis_productividad__4[[#This Row],[Periodo]],5,2)</f>
        <v>11</v>
      </c>
      <c r="E1490" t="s">
        <v>34</v>
      </c>
      <c r="F1490" t="s">
        <v>35</v>
      </c>
      <c r="G1490">
        <v>83977</v>
      </c>
      <c r="H1490">
        <v>1116659</v>
      </c>
      <c r="I1490">
        <v>13.297131944444441</v>
      </c>
      <c r="J1490">
        <v>91568.257658609684</v>
      </c>
      <c r="K1490">
        <v>15</v>
      </c>
      <c r="L1490">
        <v>15</v>
      </c>
      <c r="M1490">
        <v>12.194822950144953</v>
      </c>
      <c r="N1490">
        <v>1049934</v>
      </c>
    </row>
    <row r="1491" spans="1:14" x14ac:dyDescent="0.35">
      <c r="A1491" t="s">
        <v>78</v>
      </c>
      <c r="B1491">
        <v>202602</v>
      </c>
      <c r="C1491" t="str">
        <f>MID(analisis_productividad__4[[#This Row],[Periodo]],1,4)</f>
        <v>2026</v>
      </c>
      <c r="D1491" t="str">
        <f>MID(analisis_productividad__4[[#This Row],[Periodo]],5,2)</f>
        <v>02</v>
      </c>
      <c r="E1491" t="s">
        <v>11</v>
      </c>
      <c r="F1491" t="s">
        <v>14</v>
      </c>
      <c r="G1491">
        <v>83968</v>
      </c>
      <c r="H1491">
        <v>5578523</v>
      </c>
      <c r="I1491">
        <v>66.43640624999999</v>
      </c>
      <c r="J1491">
        <v>72539.500661071608</v>
      </c>
      <c r="K1491">
        <v>79.5</v>
      </c>
      <c r="L1491">
        <v>67</v>
      </c>
      <c r="M1491">
        <v>68.682661472657543</v>
      </c>
      <c r="N1491">
        <v>4982206</v>
      </c>
    </row>
    <row r="1492" spans="1:14" x14ac:dyDescent="0.35">
      <c r="A1492" t="s">
        <v>22</v>
      </c>
      <c r="B1492">
        <v>202502</v>
      </c>
      <c r="C1492" t="str">
        <f>MID(analisis_productividad__4[[#This Row],[Periodo]],1,4)</f>
        <v>2025</v>
      </c>
      <c r="D1492" t="str">
        <f>MID(analisis_productividad__4[[#This Row],[Periodo]],5,2)</f>
        <v>02</v>
      </c>
      <c r="E1492" t="s">
        <v>16</v>
      </c>
      <c r="F1492" t="s">
        <v>21</v>
      </c>
      <c r="G1492">
        <v>83961</v>
      </c>
      <c r="H1492">
        <v>4883197</v>
      </c>
      <c r="I1492">
        <v>58.160052083333333</v>
      </c>
      <c r="J1492">
        <v>88046.965055600362</v>
      </c>
      <c r="K1492">
        <v>59.5</v>
      </c>
      <c r="L1492">
        <v>55.5</v>
      </c>
      <c r="M1492">
        <v>55.461274978828996</v>
      </c>
      <c r="N1492">
        <v>4706234</v>
      </c>
    </row>
    <row r="1493" spans="1:14" x14ac:dyDescent="0.35">
      <c r="A1493" t="s">
        <v>94</v>
      </c>
      <c r="B1493">
        <v>202505</v>
      </c>
      <c r="C1493" t="str">
        <f>MID(analisis_productividad__4[[#This Row],[Periodo]],1,4)</f>
        <v>2025</v>
      </c>
      <c r="D1493" t="str">
        <f>MID(analisis_productividad__4[[#This Row],[Periodo]],5,2)</f>
        <v>05</v>
      </c>
      <c r="E1493" t="s">
        <v>11</v>
      </c>
      <c r="F1493" t="s">
        <v>52</v>
      </c>
      <c r="G1493">
        <v>83948</v>
      </c>
      <c r="H1493">
        <v>5157024</v>
      </c>
      <c r="I1493">
        <v>61.431444892473102</v>
      </c>
      <c r="J1493">
        <v>74348.584377296123</v>
      </c>
      <c r="K1493">
        <v>75.5</v>
      </c>
      <c r="L1493">
        <v>70.5</v>
      </c>
      <c r="M1493">
        <v>69.362777828151962</v>
      </c>
      <c r="N1493">
        <v>5628473</v>
      </c>
    </row>
    <row r="1494" spans="1:14" x14ac:dyDescent="0.35">
      <c r="A1494" t="s">
        <v>61</v>
      </c>
      <c r="B1494">
        <v>202502</v>
      </c>
      <c r="C1494" t="str">
        <f>MID(analisis_productividad__4[[#This Row],[Periodo]],1,4)</f>
        <v>2025</v>
      </c>
      <c r="D1494" t="str">
        <f>MID(analisis_productividad__4[[#This Row],[Periodo]],5,2)</f>
        <v>02</v>
      </c>
      <c r="E1494" t="s">
        <v>11</v>
      </c>
      <c r="F1494" t="s">
        <v>52</v>
      </c>
      <c r="G1494">
        <v>83940</v>
      </c>
      <c r="H1494">
        <v>7402521</v>
      </c>
      <c r="I1494">
        <v>88.188697916666669</v>
      </c>
      <c r="J1494">
        <v>86701.253013005742</v>
      </c>
      <c r="K1494">
        <v>104.5</v>
      </c>
      <c r="L1494">
        <v>99</v>
      </c>
      <c r="M1494">
        <v>85.379633197337697</v>
      </c>
      <c r="N1494">
        <v>8392096</v>
      </c>
    </row>
    <row r="1495" spans="1:14" x14ac:dyDescent="0.35">
      <c r="A1495" t="s">
        <v>77</v>
      </c>
      <c r="B1495">
        <v>202510</v>
      </c>
      <c r="C1495" t="str">
        <f>MID(analisis_productividad__4[[#This Row],[Periodo]],1,4)</f>
        <v>2025</v>
      </c>
      <c r="D1495" t="str">
        <f>MID(analisis_productividad__4[[#This Row],[Periodo]],5,2)</f>
        <v>10</v>
      </c>
      <c r="E1495" t="s">
        <v>16</v>
      </c>
      <c r="F1495" t="s">
        <v>21</v>
      </c>
      <c r="G1495">
        <v>83927</v>
      </c>
      <c r="H1495">
        <v>4122597</v>
      </c>
      <c r="I1495">
        <v>49.121135752688176</v>
      </c>
      <c r="J1495">
        <v>71246.34385777422</v>
      </c>
      <c r="K1495">
        <v>60.5</v>
      </c>
      <c r="L1495">
        <v>60.5</v>
      </c>
      <c r="M1495">
        <v>57.86398412569423</v>
      </c>
      <c r="N1495">
        <v>4785139</v>
      </c>
    </row>
    <row r="1496" spans="1:14" x14ac:dyDescent="0.35">
      <c r="A1496" t="s">
        <v>25</v>
      </c>
      <c r="B1496">
        <v>202402</v>
      </c>
      <c r="C1496" t="str">
        <f>MID(analisis_productividad__4[[#This Row],[Periodo]],1,4)</f>
        <v>2024</v>
      </c>
      <c r="D1496" t="str">
        <f>MID(analisis_productividad__4[[#This Row],[Periodo]],5,2)</f>
        <v>02</v>
      </c>
      <c r="E1496" t="s">
        <v>16</v>
      </c>
      <c r="F1496" t="s">
        <v>19</v>
      </c>
      <c r="G1496">
        <v>83927</v>
      </c>
      <c r="H1496">
        <v>6940195</v>
      </c>
      <c r="I1496">
        <v>82.693635057471283</v>
      </c>
      <c r="J1496">
        <v>0</v>
      </c>
      <c r="K1496">
        <v>94</v>
      </c>
      <c r="L1496">
        <v>92</v>
      </c>
      <c r="N1496">
        <v>0</v>
      </c>
    </row>
    <row r="1497" spans="1:14" x14ac:dyDescent="0.35">
      <c r="A1497" t="s">
        <v>77</v>
      </c>
      <c r="B1497">
        <v>202407</v>
      </c>
      <c r="C1497" t="str">
        <f>MID(analisis_productividad__4[[#This Row],[Periodo]],1,4)</f>
        <v>2024</v>
      </c>
      <c r="D1497" t="str">
        <f>MID(analisis_productividad__4[[#This Row],[Periodo]],5,2)</f>
        <v>07</v>
      </c>
      <c r="E1497" t="s">
        <v>16</v>
      </c>
      <c r="F1497" t="s">
        <v>21</v>
      </c>
      <c r="G1497">
        <v>83881</v>
      </c>
      <c r="H1497">
        <v>5464249</v>
      </c>
      <c r="I1497">
        <v>65.142715053763439</v>
      </c>
      <c r="J1497">
        <v>0</v>
      </c>
      <c r="K1497">
        <v>60.5</v>
      </c>
      <c r="L1497">
        <v>60.5</v>
      </c>
      <c r="N1497">
        <v>0</v>
      </c>
    </row>
    <row r="1498" spans="1:14" x14ac:dyDescent="0.35">
      <c r="A1498" t="s">
        <v>22</v>
      </c>
      <c r="B1498">
        <v>202402</v>
      </c>
      <c r="C1498" t="str">
        <f>MID(analisis_productividad__4[[#This Row],[Periodo]],1,4)</f>
        <v>2024</v>
      </c>
      <c r="D1498" t="str">
        <f>MID(analisis_productividad__4[[#This Row],[Periodo]],5,2)</f>
        <v>02</v>
      </c>
      <c r="E1498" t="s">
        <v>16</v>
      </c>
      <c r="F1498" t="s">
        <v>21</v>
      </c>
      <c r="G1498">
        <v>83854</v>
      </c>
      <c r="H1498">
        <v>5117021</v>
      </c>
      <c r="I1498">
        <v>61.022801724137921</v>
      </c>
      <c r="J1498">
        <v>0</v>
      </c>
      <c r="K1498">
        <v>59.5</v>
      </c>
      <c r="L1498">
        <v>55.5</v>
      </c>
      <c r="N1498">
        <v>0</v>
      </c>
    </row>
    <row r="1499" spans="1:14" x14ac:dyDescent="0.35">
      <c r="A1499" t="s">
        <v>60</v>
      </c>
      <c r="B1499">
        <v>202405</v>
      </c>
      <c r="C1499" t="str">
        <f>MID(analisis_productividad__4[[#This Row],[Periodo]],1,4)</f>
        <v>2024</v>
      </c>
      <c r="D1499" t="str">
        <f>MID(analisis_productividad__4[[#This Row],[Periodo]],5,2)</f>
        <v>05</v>
      </c>
      <c r="E1499" t="s">
        <v>11</v>
      </c>
      <c r="F1499" t="s">
        <v>14</v>
      </c>
      <c r="G1499">
        <v>83826</v>
      </c>
      <c r="H1499">
        <v>6404637</v>
      </c>
      <c r="I1499">
        <v>76.403541666666698</v>
      </c>
      <c r="J1499">
        <v>0</v>
      </c>
      <c r="K1499">
        <v>75.5</v>
      </c>
      <c r="L1499">
        <v>74</v>
      </c>
      <c r="N1499">
        <v>0</v>
      </c>
    </row>
    <row r="1500" spans="1:14" x14ac:dyDescent="0.35">
      <c r="A1500" t="s">
        <v>49</v>
      </c>
      <c r="B1500">
        <v>202501</v>
      </c>
      <c r="C1500" t="str">
        <f>MID(analisis_productividad__4[[#This Row],[Periodo]],1,4)</f>
        <v>2025</v>
      </c>
      <c r="D1500" t="str">
        <f>MID(analisis_productividad__4[[#This Row],[Periodo]],5,2)</f>
        <v>01</v>
      </c>
      <c r="E1500" t="s">
        <v>16</v>
      </c>
      <c r="F1500" t="s">
        <v>21</v>
      </c>
      <c r="G1500">
        <v>83798</v>
      </c>
      <c r="H1500">
        <v>5500316</v>
      </c>
      <c r="I1500">
        <v>65.637607526881695</v>
      </c>
      <c r="J1500">
        <v>92712.928140308853</v>
      </c>
      <c r="K1500">
        <v>75.5</v>
      </c>
      <c r="L1500">
        <v>68</v>
      </c>
      <c r="M1500">
        <v>59.326311231115405</v>
      </c>
      <c r="N1500">
        <v>6033033</v>
      </c>
    </row>
    <row r="1501" spans="1:14" x14ac:dyDescent="0.35">
      <c r="A1501" t="s">
        <v>70</v>
      </c>
      <c r="B1501">
        <v>202406</v>
      </c>
      <c r="C1501" t="str">
        <f>MID(analisis_productividad__4[[#This Row],[Periodo]],1,4)</f>
        <v>2024</v>
      </c>
      <c r="D1501" t="str">
        <f>MID(analisis_productividad__4[[#This Row],[Periodo]],5,2)</f>
        <v>06</v>
      </c>
      <c r="E1501" t="s">
        <v>11</v>
      </c>
      <c r="F1501" t="s">
        <v>14</v>
      </c>
      <c r="G1501">
        <v>83762</v>
      </c>
      <c r="H1501">
        <v>4816981</v>
      </c>
      <c r="I1501">
        <v>57.507819444444472</v>
      </c>
      <c r="J1501">
        <v>0</v>
      </c>
      <c r="K1501">
        <v>65</v>
      </c>
      <c r="L1501">
        <v>67.5</v>
      </c>
      <c r="N1501">
        <v>0</v>
      </c>
    </row>
    <row r="1502" spans="1:14" x14ac:dyDescent="0.35">
      <c r="A1502" t="s">
        <v>65</v>
      </c>
      <c r="B1502">
        <v>202507</v>
      </c>
      <c r="C1502" t="str">
        <f>MID(analisis_productividad__4[[#This Row],[Periodo]],1,4)</f>
        <v>2025</v>
      </c>
      <c r="D1502" t="str">
        <f>MID(analisis_productividad__4[[#This Row],[Periodo]],5,2)</f>
        <v>07</v>
      </c>
      <c r="E1502" t="s">
        <v>16</v>
      </c>
      <c r="F1502" t="s">
        <v>19</v>
      </c>
      <c r="G1502">
        <v>83753</v>
      </c>
      <c r="H1502">
        <v>5577281</v>
      </c>
      <c r="I1502">
        <v>66.592392473118309</v>
      </c>
      <c r="J1502">
        <v>96013.290942260413</v>
      </c>
      <c r="K1502">
        <v>68</v>
      </c>
      <c r="L1502">
        <v>68.5</v>
      </c>
      <c r="M1502">
        <v>58.088634867791519</v>
      </c>
      <c r="N1502">
        <v>5648055</v>
      </c>
    </row>
    <row r="1503" spans="1:14" x14ac:dyDescent="0.35">
      <c r="A1503" t="s">
        <v>89</v>
      </c>
      <c r="B1503">
        <v>202604</v>
      </c>
      <c r="C1503" t="str">
        <f>MID(analisis_productividad__4[[#This Row],[Periodo]],1,4)</f>
        <v>2026</v>
      </c>
      <c r="D1503" t="str">
        <f>MID(analisis_productividad__4[[#This Row],[Periodo]],5,2)</f>
        <v>04</v>
      </c>
      <c r="E1503" t="s">
        <v>9</v>
      </c>
      <c r="F1503" t="s">
        <v>9</v>
      </c>
      <c r="G1503">
        <v>83744</v>
      </c>
      <c r="H1503">
        <v>998781</v>
      </c>
      <c r="I1503">
        <v>11.92663888888889</v>
      </c>
      <c r="J1503">
        <v>70382.088160084459</v>
      </c>
      <c r="K1503">
        <v>17</v>
      </c>
      <c r="L1503">
        <v>13.5</v>
      </c>
      <c r="M1503">
        <v>14.845130740132706</v>
      </c>
      <c r="N1503">
        <v>1044831</v>
      </c>
    </row>
    <row r="1504" spans="1:14" x14ac:dyDescent="0.35">
      <c r="A1504" t="s">
        <v>75</v>
      </c>
      <c r="B1504">
        <v>202509</v>
      </c>
      <c r="C1504" t="str">
        <f>MID(analisis_productividad__4[[#This Row],[Periodo]],1,4)</f>
        <v>2025</v>
      </c>
      <c r="D1504" t="str">
        <f>MID(analisis_productividad__4[[#This Row],[Periodo]],5,2)</f>
        <v>09</v>
      </c>
      <c r="E1504" t="s">
        <v>11</v>
      </c>
      <c r="F1504" t="s">
        <v>52</v>
      </c>
      <c r="G1504">
        <v>83742</v>
      </c>
      <c r="H1504">
        <v>8482124</v>
      </c>
      <c r="I1504">
        <v>101.2888333333334</v>
      </c>
      <c r="J1504">
        <v>91930.287062444811</v>
      </c>
      <c r="K1504">
        <v>118</v>
      </c>
      <c r="L1504">
        <v>106</v>
      </c>
      <c r="M1504">
        <v>92.266918455703404</v>
      </c>
      <c r="N1504">
        <v>9768815</v>
      </c>
    </row>
    <row r="1505" spans="1:14" x14ac:dyDescent="0.35">
      <c r="A1505" t="s">
        <v>79</v>
      </c>
      <c r="B1505">
        <v>202406</v>
      </c>
      <c r="C1505" t="str">
        <f>MID(analisis_productividad__4[[#This Row],[Periodo]],1,4)</f>
        <v>2024</v>
      </c>
      <c r="D1505" t="str">
        <f>MID(analisis_productividad__4[[#This Row],[Periodo]],5,2)</f>
        <v>06</v>
      </c>
      <c r="E1505" t="s">
        <v>11</v>
      </c>
      <c r="F1505" t="s">
        <v>12</v>
      </c>
      <c r="G1505">
        <v>83724</v>
      </c>
      <c r="H1505">
        <v>5387389</v>
      </c>
      <c r="I1505">
        <v>64.34701388888891</v>
      </c>
      <c r="J1505">
        <v>0</v>
      </c>
      <c r="K1505">
        <v>64.5</v>
      </c>
      <c r="L1505">
        <v>64</v>
      </c>
      <c r="N1505">
        <v>0</v>
      </c>
    </row>
    <row r="1506" spans="1:14" x14ac:dyDescent="0.35">
      <c r="A1506" t="s">
        <v>81</v>
      </c>
      <c r="B1506">
        <v>202504</v>
      </c>
      <c r="C1506" t="str">
        <f>MID(analisis_productividad__4[[#This Row],[Periodo]],1,4)</f>
        <v>2025</v>
      </c>
      <c r="D1506" t="str">
        <f>MID(analisis_productividad__4[[#This Row],[Periodo]],5,2)</f>
        <v>04</v>
      </c>
      <c r="E1506" t="s">
        <v>34</v>
      </c>
      <c r="F1506" t="s">
        <v>35</v>
      </c>
      <c r="G1506">
        <v>83716</v>
      </c>
      <c r="H1506">
        <v>7379575</v>
      </c>
      <c r="I1506">
        <v>88.149638888888902</v>
      </c>
      <c r="J1506">
        <v>86927.199603515342</v>
      </c>
      <c r="K1506">
        <v>106</v>
      </c>
      <c r="L1506">
        <v>94.5</v>
      </c>
      <c r="M1506">
        <v>84.893744577750908</v>
      </c>
      <c r="N1506">
        <v>7920347</v>
      </c>
    </row>
    <row r="1507" spans="1:14" x14ac:dyDescent="0.35">
      <c r="A1507" t="s">
        <v>82</v>
      </c>
      <c r="B1507">
        <v>202502</v>
      </c>
      <c r="C1507" t="str">
        <f>MID(analisis_productividad__4[[#This Row],[Periodo]],1,4)</f>
        <v>2025</v>
      </c>
      <c r="D1507" t="str">
        <f>MID(analisis_productividad__4[[#This Row],[Periodo]],5,2)</f>
        <v>02</v>
      </c>
      <c r="E1507" t="s">
        <v>11</v>
      </c>
      <c r="F1507" t="s">
        <v>12</v>
      </c>
      <c r="G1507">
        <v>83693</v>
      </c>
      <c r="H1507">
        <v>4369312</v>
      </c>
      <c r="I1507">
        <v>52.206718750000007</v>
      </c>
      <c r="J1507">
        <v>66996.5188634972</v>
      </c>
      <c r="K1507">
        <v>53.5</v>
      </c>
      <c r="L1507">
        <v>54</v>
      </c>
      <c r="M1507">
        <v>65.216993123214394</v>
      </c>
      <c r="N1507">
        <v>3609392</v>
      </c>
    </row>
    <row r="1508" spans="1:14" x14ac:dyDescent="0.35">
      <c r="A1508" t="s">
        <v>77</v>
      </c>
      <c r="B1508">
        <v>202505</v>
      </c>
      <c r="C1508" t="str">
        <f>MID(analisis_productividad__4[[#This Row],[Periodo]],1,4)</f>
        <v>2025</v>
      </c>
      <c r="D1508" t="str">
        <f>MID(analisis_productividad__4[[#This Row],[Periodo]],5,2)</f>
        <v>05</v>
      </c>
      <c r="E1508" t="s">
        <v>16</v>
      </c>
      <c r="F1508" t="s">
        <v>21</v>
      </c>
      <c r="G1508">
        <v>83680</v>
      </c>
      <c r="H1508">
        <v>4730881</v>
      </c>
      <c r="I1508">
        <v>56.535490591397839</v>
      </c>
      <c r="J1508">
        <v>74692.639583243552</v>
      </c>
      <c r="K1508">
        <v>60.5</v>
      </c>
      <c r="L1508">
        <v>60.5</v>
      </c>
      <c r="M1508">
        <v>63.337986130849231</v>
      </c>
      <c r="N1508">
        <v>4855369</v>
      </c>
    </row>
    <row r="1509" spans="1:14" x14ac:dyDescent="0.35">
      <c r="A1509" t="s">
        <v>70</v>
      </c>
      <c r="B1509">
        <v>202404</v>
      </c>
      <c r="C1509" t="str">
        <f>MID(analisis_productividad__4[[#This Row],[Periodo]],1,4)</f>
        <v>2024</v>
      </c>
      <c r="D1509" t="str">
        <f>MID(analisis_productividad__4[[#This Row],[Periodo]],5,2)</f>
        <v>04</v>
      </c>
      <c r="E1509" t="s">
        <v>11</v>
      </c>
      <c r="F1509" t="s">
        <v>14</v>
      </c>
      <c r="G1509">
        <v>83679</v>
      </c>
      <c r="H1509">
        <v>4704473</v>
      </c>
      <c r="I1509">
        <v>56.220354166666652</v>
      </c>
      <c r="J1509">
        <v>0</v>
      </c>
      <c r="K1509">
        <v>65</v>
      </c>
      <c r="L1509">
        <v>67.5</v>
      </c>
      <c r="N1509">
        <v>0</v>
      </c>
    </row>
    <row r="1510" spans="1:14" x14ac:dyDescent="0.35">
      <c r="A1510" t="s">
        <v>41</v>
      </c>
      <c r="B1510">
        <v>202405</v>
      </c>
      <c r="C1510" t="str">
        <f>MID(analisis_productividad__4[[#This Row],[Periodo]],1,4)</f>
        <v>2024</v>
      </c>
      <c r="D1510" t="str">
        <f>MID(analisis_productividad__4[[#This Row],[Periodo]],5,2)</f>
        <v>05</v>
      </c>
      <c r="E1510" t="s">
        <v>16</v>
      </c>
      <c r="F1510" t="s">
        <v>19</v>
      </c>
      <c r="G1510">
        <v>83666</v>
      </c>
      <c r="H1510">
        <v>4240836</v>
      </c>
      <c r="I1510">
        <v>50.687526881720409</v>
      </c>
      <c r="J1510">
        <v>0</v>
      </c>
      <c r="K1510">
        <v>57.5</v>
      </c>
      <c r="L1510">
        <v>56.5</v>
      </c>
      <c r="N1510">
        <v>0</v>
      </c>
    </row>
    <row r="1511" spans="1:14" x14ac:dyDescent="0.35">
      <c r="A1511" t="s">
        <v>54</v>
      </c>
      <c r="B1511">
        <v>202405</v>
      </c>
      <c r="C1511" t="str">
        <f>MID(analisis_productividad__4[[#This Row],[Periodo]],1,4)</f>
        <v>2024</v>
      </c>
      <c r="D1511" t="str">
        <f>MID(analisis_productividad__4[[#This Row],[Periodo]],5,2)</f>
        <v>05</v>
      </c>
      <c r="E1511" t="s">
        <v>11</v>
      </c>
      <c r="F1511" t="s">
        <v>52</v>
      </c>
      <c r="G1511">
        <v>83651</v>
      </c>
      <c r="H1511">
        <v>9055426</v>
      </c>
      <c r="I1511">
        <v>108.25198924731184</v>
      </c>
      <c r="J1511">
        <v>0</v>
      </c>
      <c r="K1511">
        <v>106</v>
      </c>
      <c r="L1511">
        <v>102.5</v>
      </c>
      <c r="N1511">
        <v>0</v>
      </c>
    </row>
    <row r="1512" spans="1:14" x14ac:dyDescent="0.35">
      <c r="A1512" t="s">
        <v>18</v>
      </c>
      <c r="B1512">
        <v>202507</v>
      </c>
      <c r="C1512" t="str">
        <f>MID(analisis_productividad__4[[#This Row],[Periodo]],1,4)</f>
        <v>2025</v>
      </c>
      <c r="D1512" t="str">
        <f>MID(analisis_productividad__4[[#This Row],[Periodo]],5,2)</f>
        <v>07</v>
      </c>
      <c r="E1512" t="s">
        <v>16</v>
      </c>
      <c r="F1512" t="s">
        <v>19</v>
      </c>
      <c r="G1512">
        <v>83630</v>
      </c>
      <c r="H1512">
        <v>5459845</v>
      </c>
      <c r="I1512">
        <v>65.286055107526877</v>
      </c>
      <c r="J1512">
        <v>97391.092342918913</v>
      </c>
      <c r="K1512">
        <v>70.5</v>
      </c>
      <c r="L1512">
        <v>69.5</v>
      </c>
      <c r="M1512">
        <v>56.061031852642259</v>
      </c>
      <c r="N1512">
        <v>5773022</v>
      </c>
    </row>
    <row r="1513" spans="1:14" x14ac:dyDescent="0.35">
      <c r="A1513" t="s">
        <v>71</v>
      </c>
      <c r="B1513">
        <v>202407</v>
      </c>
      <c r="C1513" t="str">
        <f>MID(analisis_productividad__4[[#This Row],[Periodo]],1,4)</f>
        <v>2024</v>
      </c>
      <c r="D1513" t="str">
        <f>MID(analisis_productividad__4[[#This Row],[Periodo]],5,2)</f>
        <v>07</v>
      </c>
      <c r="E1513" t="s">
        <v>16</v>
      </c>
      <c r="F1513" t="s">
        <v>19</v>
      </c>
      <c r="G1513">
        <v>83623</v>
      </c>
      <c r="H1513">
        <v>2662927</v>
      </c>
      <c r="I1513">
        <v>31.844543010752684</v>
      </c>
      <c r="J1513">
        <v>0</v>
      </c>
      <c r="K1513">
        <v>41.5</v>
      </c>
      <c r="L1513">
        <v>35.5</v>
      </c>
      <c r="N1513">
        <v>0</v>
      </c>
    </row>
    <row r="1514" spans="1:14" x14ac:dyDescent="0.35">
      <c r="A1514" t="s">
        <v>87</v>
      </c>
      <c r="B1514">
        <v>202408</v>
      </c>
      <c r="C1514" t="str">
        <f>MID(analisis_productividad__4[[#This Row],[Periodo]],1,4)</f>
        <v>2024</v>
      </c>
      <c r="D1514" t="str">
        <f>MID(analisis_productividad__4[[#This Row],[Periodo]],5,2)</f>
        <v>08</v>
      </c>
      <c r="E1514" t="s">
        <v>9</v>
      </c>
      <c r="F1514" t="s">
        <v>9</v>
      </c>
      <c r="G1514">
        <v>83622</v>
      </c>
      <c r="H1514">
        <v>995305</v>
      </c>
      <c r="I1514">
        <v>11.902399193548387</v>
      </c>
      <c r="J1514">
        <v>0</v>
      </c>
      <c r="K1514">
        <v>13.5</v>
      </c>
      <c r="L1514">
        <v>12</v>
      </c>
      <c r="N1514">
        <v>0</v>
      </c>
    </row>
    <row r="1515" spans="1:14" x14ac:dyDescent="0.35">
      <c r="A1515" t="s">
        <v>44</v>
      </c>
      <c r="B1515">
        <v>202509</v>
      </c>
      <c r="C1515" t="str">
        <f>MID(analisis_productividad__4[[#This Row],[Periodo]],1,4)</f>
        <v>2025</v>
      </c>
      <c r="D1515" t="str">
        <f>MID(analisis_productividad__4[[#This Row],[Periodo]],5,2)</f>
        <v>09</v>
      </c>
      <c r="E1515" t="s">
        <v>11</v>
      </c>
      <c r="F1515" t="s">
        <v>12</v>
      </c>
      <c r="G1515">
        <v>83618</v>
      </c>
      <c r="H1515">
        <v>5043713</v>
      </c>
      <c r="I1515">
        <v>60.318416666666693</v>
      </c>
      <c r="J1515">
        <v>81267.06156466523</v>
      </c>
      <c r="K1515">
        <v>78</v>
      </c>
      <c r="L1515">
        <v>74.5</v>
      </c>
      <c r="M1515">
        <v>62.063436808117558</v>
      </c>
      <c r="N1515">
        <v>5453078</v>
      </c>
    </row>
    <row r="1516" spans="1:14" x14ac:dyDescent="0.35">
      <c r="A1516" t="s">
        <v>106</v>
      </c>
      <c r="B1516">
        <v>202504</v>
      </c>
      <c r="C1516" t="str">
        <f>MID(analisis_productividad__4[[#This Row],[Periodo]],1,4)</f>
        <v>2025</v>
      </c>
      <c r="D1516" t="str">
        <f>MID(analisis_productividad__4[[#This Row],[Periodo]],5,2)</f>
        <v>04</v>
      </c>
      <c r="E1516" t="s">
        <v>34</v>
      </c>
      <c r="F1516" t="s">
        <v>35</v>
      </c>
      <c r="G1516">
        <v>83616</v>
      </c>
      <c r="H1516">
        <v>3347309</v>
      </c>
      <c r="I1516">
        <v>40.031784722222227</v>
      </c>
      <c r="J1516">
        <v>72247.864010093064</v>
      </c>
      <c r="K1516">
        <v>51</v>
      </c>
      <c r="L1516">
        <v>49</v>
      </c>
      <c r="M1516">
        <v>46.330900101522431</v>
      </c>
      <c r="N1516">
        <v>3603619</v>
      </c>
    </row>
    <row r="1517" spans="1:14" x14ac:dyDescent="0.35">
      <c r="A1517" t="s">
        <v>84</v>
      </c>
      <c r="B1517">
        <v>202409</v>
      </c>
      <c r="C1517" t="str">
        <f>MID(analisis_productividad__4[[#This Row],[Periodo]],1,4)</f>
        <v>2024</v>
      </c>
      <c r="D1517" t="str">
        <f>MID(analisis_productividad__4[[#This Row],[Periodo]],5,2)</f>
        <v>09</v>
      </c>
      <c r="E1517" t="s">
        <v>11</v>
      </c>
      <c r="F1517" t="s">
        <v>52</v>
      </c>
      <c r="G1517">
        <v>83558</v>
      </c>
      <c r="H1517">
        <v>8376053</v>
      </c>
      <c r="I1517">
        <v>100.24238194444446</v>
      </c>
      <c r="J1517">
        <v>0</v>
      </c>
      <c r="K1517">
        <v>123</v>
      </c>
      <c r="L1517">
        <v>115.5</v>
      </c>
      <c r="N1517">
        <v>0</v>
      </c>
    </row>
    <row r="1518" spans="1:14" x14ac:dyDescent="0.35">
      <c r="A1518" t="s">
        <v>62</v>
      </c>
      <c r="B1518">
        <v>202505</v>
      </c>
      <c r="C1518" t="str">
        <f>MID(analisis_productividad__4[[#This Row],[Periodo]],1,4)</f>
        <v>2025</v>
      </c>
      <c r="D1518" t="str">
        <f>MID(analisis_productividad__4[[#This Row],[Periodo]],5,2)</f>
        <v>05</v>
      </c>
      <c r="E1518" t="s">
        <v>16</v>
      </c>
      <c r="F1518" t="s">
        <v>17</v>
      </c>
      <c r="G1518">
        <v>83544</v>
      </c>
      <c r="H1518">
        <v>2531584</v>
      </c>
      <c r="I1518">
        <v>30.302473118279575</v>
      </c>
      <c r="J1518">
        <v>81931.44772072116</v>
      </c>
      <c r="K1518">
        <v>32.5</v>
      </c>
      <c r="L1518">
        <v>32</v>
      </c>
      <c r="M1518">
        <v>30.898803089985439</v>
      </c>
      <c r="N1518">
        <v>2313521</v>
      </c>
    </row>
    <row r="1519" spans="1:14" x14ac:dyDescent="0.35">
      <c r="A1519" t="s">
        <v>78</v>
      </c>
      <c r="B1519">
        <v>202511</v>
      </c>
      <c r="C1519" t="str">
        <f>MID(analisis_productividad__4[[#This Row],[Periodo]],1,4)</f>
        <v>2025</v>
      </c>
      <c r="D1519" t="str">
        <f>MID(analisis_productividad__4[[#This Row],[Periodo]],5,2)</f>
        <v>11</v>
      </c>
      <c r="E1519" t="s">
        <v>11</v>
      </c>
      <c r="F1519" t="s">
        <v>14</v>
      </c>
      <c r="G1519">
        <v>83453</v>
      </c>
      <c r="H1519">
        <v>5785599</v>
      </c>
      <c r="I1519">
        <v>69.327756944444474</v>
      </c>
      <c r="J1519">
        <v>81267.163621597516</v>
      </c>
      <c r="K1519">
        <v>79.5</v>
      </c>
      <c r="L1519">
        <v>67</v>
      </c>
      <c r="M1519">
        <v>71.192339220049035</v>
      </c>
      <c r="N1519">
        <v>5478116</v>
      </c>
    </row>
    <row r="1520" spans="1:14" x14ac:dyDescent="0.35">
      <c r="A1520" t="s">
        <v>88</v>
      </c>
      <c r="B1520">
        <v>202504</v>
      </c>
      <c r="C1520" t="str">
        <f>MID(analisis_productividad__4[[#This Row],[Periodo]],1,4)</f>
        <v>2025</v>
      </c>
      <c r="D1520" t="str">
        <f>MID(analisis_productividad__4[[#This Row],[Periodo]],5,2)</f>
        <v>04</v>
      </c>
      <c r="E1520" t="s">
        <v>34</v>
      </c>
      <c r="F1520" t="s">
        <v>35</v>
      </c>
      <c r="G1520">
        <v>83437</v>
      </c>
      <c r="H1520">
        <v>1067306</v>
      </c>
      <c r="I1520">
        <v>12.791770833333338</v>
      </c>
      <c r="J1520">
        <v>75319.781652543796</v>
      </c>
      <c r="K1520">
        <v>15.5</v>
      </c>
      <c r="L1520">
        <v>14.5</v>
      </c>
      <c r="M1520">
        <v>14.17033037779596</v>
      </c>
      <c r="N1520">
        <v>1103430</v>
      </c>
    </row>
    <row r="1521" spans="1:14" x14ac:dyDescent="0.35">
      <c r="A1521" t="s">
        <v>47</v>
      </c>
      <c r="B1521">
        <v>202507</v>
      </c>
      <c r="C1521" t="str">
        <f>MID(analisis_productividad__4[[#This Row],[Periodo]],1,4)</f>
        <v>2025</v>
      </c>
      <c r="D1521" t="str">
        <f>MID(analisis_productividad__4[[#This Row],[Periodo]],5,2)</f>
        <v>07</v>
      </c>
      <c r="E1521" t="s">
        <v>11</v>
      </c>
      <c r="F1521" t="s">
        <v>14</v>
      </c>
      <c r="G1521">
        <v>83429</v>
      </c>
      <c r="H1521">
        <v>4351436</v>
      </c>
      <c r="I1521">
        <v>52.157432795698938</v>
      </c>
      <c r="J1521">
        <v>81883.782471539904</v>
      </c>
      <c r="K1521">
        <v>61.5</v>
      </c>
      <c r="L1521">
        <v>48.5</v>
      </c>
      <c r="M1521">
        <v>53.141609103272877</v>
      </c>
      <c r="N1521">
        <v>5021707</v>
      </c>
    </row>
    <row r="1522" spans="1:14" x14ac:dyDescent="0.35">
      <c r="A1522" t="s">
        <v>90</v>
      </c>
      <c r="B1522">
        <v>202606</v>
      </c>
      <c r="C1522" t="str">
        <f>MID(analisis_productividad__4[[#This Row],[Periodo]],1,4)</f>
        <v>2026</v>
      </c>
      <c r="D1522" t="str">
        <f>MID(analisis_productividad__4[[#This Row],[Periodo]],5,2)</f>
        <v>06</v>
      </c>
      <c r="E1522" t="s">
        <v>11</v>
      </c>
      <c r="F1522" t="s">
        <v>14</v>
      </c>
      <c r="G1522">
        <v>83423</v>
      </c>
      <c r="H1522">
        <v>5600587</v>
      </c>
      <c r="I1522">
        <v>67.134423611113036</v>
      </c>
      <c r="J1522">
        <v>78218.877983555023</v>
      </c>
      <c r="K1522">
        <v>84.5</v>
      </c>
      <c r="L1522">
        <v>78.5</v>
      </c>
      <c r="M1522">
        <v>72.494656792343278</v>
      </c>
      <c r="N1522">
        <v>5670451</v>
      </c>
    </row>
    <row r="1523" spans="1:14" x14ac:dyDescent="0.35">
      <c r="A1523" t="s">
        <v>80</v>
      </c>
      <c r="B1523">
        <v>202505</v>
      </c>
      <c r="C1523" t="str">
        <f>MID(analisis_productividad__4[[#This Row],[Periodo]],1,4)</f>
        <v>2025</v>
      </c>
      <c r="D1523" t="str">
        <f>MID(analisis_productividad__4[[#This Row],[Periodo]],5,2)</f>
        <v>05</v>
      </c>
      <c r="E1523" t="s">
        <v>16</v>
      </c>
      <c r="F1523" t="s">
        <v>17</v>
      </c>
      <c r="G1523">
        <v>83413</v>
      </c>
      <c r="H1523">
        <v>4525870</v>
      </c>
      <c r="I1523">
        <v>54.258514784946222</v>
      </c>
      <c r="J1523">
        <v>81219.438779492397</v>
      </c>
      <c r="K1523">
        <v>58</v>
      </c>
      <c r="L1523">
        <v>58.5</v>
      </c>
      <c r="M1523">
        <v>55.72396938481144</v>
      </c>
      <c r="N1523">
        <v>4567169</v>
      </c>
    </row>
    <row r="1524" spans="1:14" x14ac:dyDescent="0.35">
      <c r="A1524" t="s">
        <v>64</v>
      </c>
      <c r="B1524">
        <v>202408</v>
      </c>
      <c r="C1524" t="str">
        <f>MID(analisis_productividad__4[[#This Row],[Periodo]],1,4)</f>
        <v>2024</v>
      </c>
      <c r="D1524" t="str">
        <f>MID(analisis_productividad__4[[#This Row],[Periodo]],5,2)</f>
        <v>08</v>
      </c>
      <c r="E1524" t="s">
        <v>16</v>
      </c>
      <c r="F1524" t="s">
        <v>21</v>
      </c>
      <c r="G1524">
        <v>83403</v>
      </c>
      <c r="H1524">
        <v>6353841</v>
      </c>
      <c r="I1524">
        <v>76.182439516129079</v>
      </c>
      <c r="J1524">
        <v>0</v>
      </c>
      <c r="K1524">
        <v>88.5</v>
      </c>
      <c r="L1524">
        <v>92.5</v>
      </c>
      <c r="N1524">
        <v>0</v>
      </c>
    </row>
    <row r="1525" spans="1:14" x14ac:dyDescent="0.35">
      <c r="A1525" t="s">
        <v>84</v>
      </c>
      <c r="B1525">
        <v>202601</v>
      </c>
      <c r="C1525" t="str">
        <f>MID(analisis_productividad__4[[#This Row],[Periodo]],1,4)</f>
        <v>2026</v>
      </c>
      <c r="D1525" t="str">
        <f>MID(analisis_productividad__4[[#This Row],[Periodo]],5,2)</f>
        <v>01</v>
      </c>
      <c r="E1525" t="s">
        <v>11</v>
      </c>
      <c r="F1525" t="s">
        <v>52</v>
      </c>
      <c r="G1525">
        <v>83388</v>
      </c>
      <c r="H1525">
        <v>8650247</v>
      </c>
      <c r="I1525">
        <v>103.73444892473121</v>
      </c>
      <c r="J1525">
        <v>90924.202243357999</v>
      </c>
      <c r="K1525">
        <v>123</v>
      </c>
      <c r="L1525">
        <v>115.5</v>
      </c>
      <c r="M1525">
        <v>102.59248347357834</v>
      </c>
      <c r="N1525">
        <v>9328140</v>
      </c>
    </row>
    <row r="1526" spans="1:14" x14ac:dyDescent="0.35">
      <c r="A1526" t="s">
        <v>49</v>
      </c>
      <c r="B1526">
        <v>202411</v>
      </c>
      <c r="C1526" t="str">
        <f>MID(analisis_productividad__4[[#This Row],[Periodo]],1,4)</f>
        <v>2024</v>
      </c>
      <c r="D1526" t="str">
        <f>MID(analisis_productividad__4[[#This Row],[Periodo]],5,2)</f>
        <v>11</v>
      </c>
      <c r="E1526" t="s">
        <v>16</v>
      </c>
      <c r="F1526" t="s">
        <v>21</v>
      </c>
      <c r="G1526">
        <v>83385</v>
      </c>
      <c r="H1526">
        <v>5500090</v>
      </c>
      <c r="I1526">
        <v>65.960125000000019</v>
      </c>
      <c r="J1526">
        <v>0</v>
      </c>
      <c r="K1526">
        <v>75.5</v>
      </c>
      <c r="L1526">
        <v>68</v>
      </c>
      <c r="N1526">
        <v>0</v>
      </c>
    </row>
    <row r="1527" spans="1:14" x14ac:dyDescent="0.35">
      <c r="A1527" t="s">
        <v>43</v>
      </c>
      <c r="B1527">
        <v>202402</v>
      </c>
      <c r="C1527" t="str">
        <f>MID(analisis_productividad__4[[#This Row],[Periodo]],1,4)</f>
        <v>2024</v>
      </c>
      <c r="D1527" t="str">
        <f>MID(analisis_productividad__4[[#This Row],[Periodo]],5,2)</f>
        <v>02</v>
      </c>
      <c r="E1527" t="s">
        <v>11</v>
      </c>
      <c r="F1527" t="s">
        <v>12</v>
      </c>
      <c r="G1527">
        <v>83364</v>
      </c>
      <c r="H1527">
        <v>6422747</v>
      </c>
      <c r="I1527">
        <v>77.044554597701193</v>
      </c>
      <c r="J1527">
        <v>0</v>
      </c>
      <c r="K1527">
        <v>84.5</v>
      </c>
      <c r="L1527">
        <v>86.5</v>
      </c>
      <c r="N1527">
        <v>0</v>
      </c>
    </row>
    <row r="1528" spans="1:14" x14ac:dyDescent="0.35">
      <c r="A1528" t="s">
        <v>87</v>
      </c>
      <c r="B1528">
        <v>202410</v>
      </c>
      <c r="C1528" t="str">
        <f>MID(analisis_productividad__4[[#This Row],[Periodo]],1,4)</f>
        <v>2024</v>
      </c>
      <c r="D1528" t="str">
        <f>MID(analisis_productividad__4[[#This Row],[Periodo]],5,2)</f>
        <v>10</v>
      </c>
      <c r="E1528" t="s">
        <v>9</v>
      </c>
      <c r="F1528" t="s">
        <v>9</v>
      </c>
      <c r="G1528">
        <v>83361</v>
      </c>
      <c r="H1528">
        <v>947365</v>
      </c>
      <c r="I1528">
        <v>11.364556451612906</v>
      </c>
      <c r="J1528">
        <v>0</v>
      </c>
      <c r="K1528">
        <v>13.5</v>
      </c>
      <c r="L1528">
        <v>12</v>
      </c>
      <c r="N1528">
        <v>0</v>
      </c>
    </row>
    <row r="1529" spans="1:14" x14ac:dyDescent="0.35">
      <c r="A1529" t="s">
        <v>60</v>
      </c>
      <c r="B1529">
        <v>202511</v>
      </c>
      <c r="C1529" t="str">
        <f>MID(analisis_productividad__4[[#This Row],[Periodo]],1,4)</f>
        <v>2025</v>
      </c>
      <c r="D1529" t="str">
        <f>MID(analisis_productividad__4[[#This Row],[Periodo]],5,2)</f>
        <v>11</v>
      </c>
      <c r="E1529" t="s">
        <v>11</v>
      </c>
      <c r="F1529" t="s">
        <v>14</v>
      </c>
      <c r="G1529">
        <v>83352</v>
      </c>
      <c r="H1529">
        <v>5352897</v>
      </c>
      <c r="I1529">
        <v>64.220625000000041</v>
      </c>
      <c r="J1529">
        <v>83111.323801670878</v>
      </c>
      <c r="K1529">
        <v>75.5</v>
      </c>
      <c r="L1529">
        <v>74</v>
      </c>
      <c r="M1529">
        <v>64.406353733140591</v>
      </c>
      <c r="N1529">
        <v>6568616</v>
      </c>
    </row>
    <row r="1530" spans="1:14" x14ac:dyDescent="0.35">
      <c r="A1530" t="s">
        <v>75</v>
      </c>
      <c r="B1530">
        <v>202404</v>
      </c>
      <c r="C1530" t="str">
        <f>MID(analisis_productividad__4[[#This Row],[Periodo]],1,4)</f>
        <v>2024</v>
      </c>
      <c r="D1530" t="str">
        <f>MID(analisis_productividad__4[[#This Row],[Periodo]],5,2)</f>
        <v>04</v>
      </c>
      <c r="E1530" t="s">
        <v>11</v>
      </c>
      <c r="F1530" t="s">
        <v>52</v>
      </c>
      <c r="G1530">
        <v>83350</v>
      </c>
      <c r="H1530">
        <v>9258741</v>
      </c>
      <c r="I1530">
        <v>111.0826597222222</v>
      </c>
      <c r="J1530">
        <v>0</v>
      </c>
      <c r="K1530">
        <v>118</v>
      </c>
      <c r="L1530">
        <v>106</v>
      </c>
      <c r="N1530">
        <v>0</v>
      </c>
    </row>
    <row r="1531" spans="1:14" x14ac:dyDescent="0.35">
      <c r="A1531" t="s">
        <v>78</v>
      </c>
      <c r="B1531">
        <v>202407</v>
      </c>
      <c r="C1531" t="str">
        <f>MID(analisis_productividad__4[[#This Row],[Periodo]],1,4)</f>
        <v>2024</v>
      </c>
      <c r="D1531" t="str">
        <f>MID(analisis_productividad__4[[#This Row],[Periodo]],5,2)</f>
        <v>07</v>
      </c>
      <c r="E1531" t="s">
        <v>11</v>
      </c>
      <c r="F1531" t="s">
        <v>14</v>
      </c>
      <c r="G1531">
        <v>83349</v>
      </c>
      <c r="H1531">
        <v>5919367</v>
      </c>
      <c r="I1531">
        <v>71.018857526881689</v>
      </c>
      <c r="J1531">
        <v>0</v>
      </c>
      <c r="K1531">
        <v>79.5</v>
      </c>
      <c r="L1531">
        <v>67</v>
      </c>
      <c r="N1531">
        <v>0</v>
      </c>
    </row>
    <row r="1532" spans="1:14" x14ac:dyDescent="0.35">
      <c r="A1532" t="s">
        <v>47</v>
      </c>
      <c r="B1532">
        <v>202403</v>
      </c>
      <c r="C1532" t="str">
        <f>MID(analisis_productividad__4[[#This Row],[Periodo]],1,4)</f>
        <v>2024</v>
      </c>
      <c r="D1532" t="str">
        <f>MID(analisis_productividad__4[[#This Row],[Periodo]],5,2)</f>
        <v>03</v>
      </c>
      <c r="E1532" t="s">
        <v>11</v>
      </c>
      <c r="F1532" t="s">
        <v>14</v>
      </c>
      <c r="G1532">
        <v>83338</v>
      </c>
      <c r="H1532">
        <v>5179219</v>
      </c>
      <c r="I1532">
        <v>62.147063172043026</v>
      </c>
      <c r="J1532">
        <v>0</v>
      </c>
      <c r="K1532">
        <v>61.5</v>
      </c>
      <c r="L1532">
        <v>48.5</v>
      </c>
      <c r="N1532">
        <v>0</v>
      </c>
    </row>
    <row r="1533" spans="1:14" x14ac:dyDescent="0.35">
      <c r="A1533" t="s">
        <v>79</v>
      </c>
      <c r="B1533">
        <v>202604</v>
      </c>
      <c r="C1533" t="str">
        <f>MID(analisis_productividad__4[[#This Row],[Periodo]],1,4)</f>
        <v>2026</v>
      </c>
      <c r="D1533" t="str">
        <f>MID(analisis_productividad__4[[#This Row],[Periodo]],5,2)</f>
        <v>04</v>
      </c>
      <c r="E1533" t="s">
        <v>11</v>
      </c>
      <c r="F1533" t="s">
        <v>12</v>
      </c>
      <c r="G1533">
        <v>83337</v>
      </c>
      <c r="H1533">
        <v>4981514</v>
      </c>
      <c r="I1533">
        <v>59.775868055556003</v>
      </c>
      <c r="J1533">
        <v>91886.337945352978</v>
      </c>
      <c r="K1533">
        <v>64.5</v>
      </c>
      <c r="L1533">
        <v>64</v>
      </c>
      <c r="M1533">
        <v>54.966698955874868</v>
      </c>
      <c r="N1533">
        <v>5050689</v>
      </c>
    </row>
    <row r="1534" spans="1:14" x14ac:dyDescent="0.35">
      <c r="A1534" t="s">
        <v>59</v>
      </c>
      <c r="B1534">
        <v>202501</v>
      </c>
      <c r="C1534" t="str">
        <f>MID(analisis_productividad__4[[#This Row],[Periodo]],1,4)</f>
        <v>2025</v>
      </c>
      <c r="D1534" t="str">
        <f>MID(analisis_productividad__4[[#This Row],[Periodo]],5,2)</f>
        <v>01</v>
      </c>
      <c r="E1534" t="s">
        <v>11</v>
      </c>
      <c r="F1534" t="s">
        <v>12</v>
      </c>
      <c r="G1534">
        <v>83327</v>
      </c>
      <c r="H1534">
        <v>7348758</v>
      </c>
      <c r="I1534">
        <v>88.192237903225745</v>
      </c>
      <c r="J1534">
        <v>77578.849470206114</v>
      </c>
      <c r="K1534">
        <v>94.5</v>
      </c>
      <c r="L1534">
        <v>97</v>
      </c>
      <c r="M1534">
        <v>94.726309170417181</v>
      </c>
      <c r="N1534">
        <v>7071595</v>
      </c>
    </row>
    <row r="1535" spans="1:14" x14ac:dyDescent="0.35">
      <c r="A1535" t="s">
        <v>58</v>
      </c>
      <c r="B1535">
        <v>202511</v>
      </c>
      <c r="C1535" t="str">
        <f>MID(analisis_productividad__4[[#This Row],[Periodo]],1,4)</f>
        <v>2025</v>
      </c>
      <c r="D1535" t="str">
        <f>MID(analisis_productividad__4[[#This Row],[Periodo]],5,2)</f>
        <v>11</v>
      </c>
      <c r="E1535" t="s">
        <v>34</v>
      </c>
      <c r="F1535" t="s">
        <v>35</v>
      </c>
      <c r="G1535">
        <v>83321</v>
      </c>
      <c r="H1535">
        <v>3340989</v>
      </c>
      <c r="I1535">
        <v>40.097652777777775</v>
      </c>
      <c r="J1535">
        <v>77701.260130593335</v>
      </c>
      <c r="K1535">
        <v>53.5</v>
      </c>
      <c r="L1535">
        <v>52</v>
      </c>
      <c r="M1535">
        <v>42.997876924837065</v>
      </c>
      <c r="N1535">
        <v>3310494</v>
      </c>
    </row>
    <row r="1536" spans="1:14" x14ac:dyDescent="0.35">
      <c r="A1536" t="s">
        <v>93</v>
      </c>
      <c r="B1536">
        <v>202603</v>
      </c>
      <c r="C1536" t="str">
        <f>MID(analisis_productividad__4[[#This Row],[Periodo]],1,4)</f>
        <v>2026</v>
      </c>
      <c r="D1536" t="str">
        <f>MID(analisis_productividad__4[[#This Row],[Periodo]],5,2)</f>
        <v>03</v>
      </c>
      <c r="E1536" t="s">
        <v>16</v>
      </c>
      <c r="F1536" t="s">
        <v>17</v>
      </c>
      <c r="G1536">
        <v>83320</v>
      </c>
      <c r="H1536">
        <v>6998675</v>
      </c>
      <c r="I1536">
        <v>83.997130376344103</v>
      </c>
      <c r="J1536">
        <v>109173.94922738092</v>
      </c>
      <c r="K1536">
        <v>84</v>
      </c>
      <c r="L1536">
        <v>76</v>
      </c>
      <c r="M1536">
        <v>84</v>
      </c>
      <c r="N1536">
        <v>9170612</v>
      </c>
    </row>
    <row r="1537" spans="1:14" x14ac:dyDescent="0.35">
      <c r="A1537" t="s">
        <v>78</v>
      </c>
      <c r="B1537">
        <v>202507</v>
      </c>
      <c r="C1537" t="str">
        <f>MID(analisis_productividad__4[[#This Row],[Periodo]],1,4)</f>
        <v>2025</v>
      </c>
      <c r="D1537" t="str">
        <f>MID(analisis_productividad__4[[#This Row],[Periodo]],5,2)</f>
        <v>07</v>
      </c>
      <c r="E1537" t="s">
        <v>11</v>
      </c>
      <c r="F1537" t="s">
        <v>14</v>
      </c>
      <c r="G1537">
        <v>83320</v>
      </c>
      <c r="H1537">
        <v>5814139</v>
      </c>
      <c r="I1537">
        <v>69.780685483870968</v>
      </c>
      <c r="J1537">
        <v>87516.693269071577</v>
      </c>
      <c r="K1537">
        <v>79.5</v>
      </c>
      <c r="L1537">
        <v>67</v>
      </c>
      <c r="M1537">
        <v>66.434626044705894</v>
      </c>
      <c r="N1537">
        <v>6432024</v>
      </c>
    </row>
    <row r="1538" spans="1:14" x14ac:dyDescent="0.35">
      <c r="A1538" t="s">
        <v>24</v>
      </c>
      <c r="B1538">
        <v>202502</v>
      </c>
      <c r="C1538" t="str">
        <f>MID(analisis_productividad__4[[#This Row],[Periodo]],1,4)</f>
        <v>2025</v>
      </c>
      <c r="D1538" t="str">
        <f>MID(analisis_productividad__4[[#This Row],[Periodo]],5,2)</f>
        <v>02</v>
      </c>
      <c r="E1538" t="s">
        <v>16</v>
      </c>
      <c r="F1538" t="s">
        <v>21</v>
      </c>
      <c r="G1538">
        <v>83319</v>
      </c>
      <c r="H1538">
        <v>8959163</v>
      </c>
      <c r="I1538">
        <v>107.52843749999994</v>
      </c>
      <c r="J1538">
        <v>97871.097572226834</v>
      </c>
      <c r="K1538">
        <v>125</v>
      </c>
      <c r="L1538">
        <v>118.5</v>
      </c>
      <c r="M1538">
        <v>91.540435452747644</v>
      </c>
      <c r="N1538">
        <v>9793410</v>
      </c>
    </row>
    <row r="1539" spans="1:14" x14ac:dyDescent="0.35">
      <c r="A1539" t="s">
        <v>66</v>
      </c>
      <c r="B1539">
        <v>202408</v>
      </c>
      <c r="C1539" t="str">
        <f>MID(analisis_productividad__4[[#This Row],[Periodo]],1,4)</f>
        <v>2024</v>
      </c>
      <c r="D1539" t="str">
        <f>MID(analisis_productividad__4[[#This Row],[Periodo]],5,2)</f>
        <v>08</v>
      </c>
      <c r="E1539" t="s">
        <v>11</v>
      </c>
      <c r="F1539" t="s">
        <v>12</v>
      </c>
      <c r="G1539">
        <v>83288</v>
      </c>
      <c r="H1539">
        <v>6001845</v>
      </c>
      <c r="I1539">
        <v>72.0612365591398</v>
      </c>
      <c r="J1539">
        <v>0</v>
      </c>
      <c r="K1539">
        <v>80</v>
      </c>
      <c r="L1539">
        <v>80.5</v>
      </c>
      <c r="N1539">
        <v>0</v>
      </c>
    </row>
    <row r="1540" spans="1:14" x14ac:dyDescent="0.35">
      <c r="A1540" t="s">
        <v>65</v>
      </c>
      <c r="B1540">
        <v>202602</v>
      </c>
      <c r="C1540" t="str">
        <f>MID(analisis_productividad__4[[#This Row],[Periodo]],1,4)</f>
        <v>2026</v>
      </c>
      <c r="D1540" t="str">
        <f>MID(analisis_productividad__4[[#This Row],[Periodo]],5,2)</f>
        <v>02</v>
      </c>
      <c r="E1540" t="s">
        <v>16</v>
      </c>
      <c r="F1540" t="s">
        <v>19</v>
      </c>
      <c r="G1540">
        <v>83272</v>
      </c>
      <c r="H1540">
        <v>5364219</v>
      </c>
      <c r="I1540">
        <v>64.418281250000007</v>
      </c>
      <c r="J1540">
        <v>81713.429644091666</v>
      </c>
      <c r="K1540">
        <v>68</v>
      </c>
      <c r="L1540">
        <v>68.5</v>
      </c>
      <c r="M1540">
        <v>60.397061823201135</v>
      </c>
      <c r="N1540">
        <v>4935251</v>
      </c>
    </row>
    <row r="1541" spans="1:14" x14ac:dyDescent="0.35">
      <c r="A1541" t="s">
        <v>88</v>
      </c>
      <c r="B1541">
        <v>202503</v>
      </c>
      <c r="C1541" t="str">
        <f>MID(analisis_productividad__4[[#This Row],[Periodo]],1,4)</f>
        <v>2025</v>
      </c>
      <c r="D1541" t="str">
        <f>MID(analisis_productividad__4[[#This Row],[Periodo]],5,2)</f>
        <v>03</v>
      </c>
      <c r="E1541" t="s">
        <v>34</v>
      </c>
      <c r="F1541" t="s">
        <v>35</v>
      </c>
      <c r="G1541">
        <v>83243</v>
      </c>
      <c r="H1541">
        <v>1183693</v>
      </c>
      <c r="I1541">
        <v>14.219737903225809</v>
      </c>
      <c r="J1541">
        <v>92980.813698111684</v>
      </c>
      <c r="K1541">
        <v>15.5</v>
      </c>
      <c r="L1541">
        <v>14.5</v>
      </c>
      <c r="M1541">
        <v>12.730509154750912</v>
      </c>
      <c r="N1541">
        <v>1225194</v>
      </c>
    </row>
    <row r="1542" spans="1:14" x14ac:dyDescent="0.35">
      <c r="A1542" t="s">
        <v>69</v>
      </c>
      <c r="B1542">
        <v>202409</v>
      </c>
      <c r="C1542" t="str">
        <f>MID(analisis_productividad__4[[#This Row],[Periodo]],1,4)</f>
        <v>2024</v>
      </c>
      <c r="D1542" t="str">
        <f>MID(analisis_productividad__4[[#This Row],[Periodo]],5,2)</f>
        <v>09</v>
      </c>
      <c r="E1542" t="s">
        <v>11</v>
      </c>
      <c r="F1542" t="s">
        <v>52</v>
      </c>
      <c r="G1542">
        <v>83214</v>
      </c>
      <c r="H1542">
        <v>4751858</v>
      </c>
      <c r="I1542">
        <v>57.103812500000018</v>
      </c>
      <c r="J1542">
        <v>0</v>
      </c>
      <c r="K1542">
        <v>68</v>
      </c>
      <c r="L1542">
        <v>60.5</v>
      </c>
      <c r="N1542">
        <v>0</v>
      </c>
    </row>
    <row r="1543" spans="1:14" x14ac:dyDescent="0.35">
      <c r="A1543" t="s">
        <v>26</v>
      </c>
      <c r="B1543">
        <v>202403</v>
      </c>
      <c r="C1543" t="str">
        <f>MID(analisis_productividad__4[[#This Row],[Periodo]],1,4)</f>
        <v>2024</v>
      </c>
      <c r="D1543" t="str">
        <f>MID(analisis_productividad__4[[#This Row],[Periodo]],5,2)</f>
        <v>03</v>
      </c>
      <c r="E1543" t="s">
        <v>11</v>
      </c>
      <c r="F1543" t="s">
        <v>12</v>
      </c>
      <c r="G1543">
        <v>83214</v>
      </c>
      <c r="H1543">
        <v>5991172</v>
      </c>
      <c r="I1543">
        <v>71.997163978494612</v>
      </c>
      <c r="J1543">
        <v>0</v>
      </c>
      <c r="K1543">
        <v>65.5</v>
      </c>
      <c r="L1543">
        <v>63</v>
      </c>
      <c r="N1543">
        <v>0</v>
      </c>
    </row>
    <row r="1544" spans="1:14" x14ac:dyDescent="0.35">
      <c r="A1544" t="s">
        <v>47</v>
      </c>
      <c r="B1544">
        <v>202506</v>
      </c>
      <c r="C1544" t="str">
        <f>MID(analisis_productividad__4[[#This Row],[Periodo]],1,4)</f>
        <v>2025</v>
      </c>
      <c r="D1544" t="str">
        <f>MID(analisis_productividad__4[[#This Row],[Periodo]],5,2)</f>
        <v>06</v>
      </c>
      <c r="E1544" t="s">
        <v>11</v>
      </c>
      <c r="F1544" t="s">
        <v>14</v>
      </c>
      <c r="G1544">
        <v>83205</v>
      </c>
      <c r="H1544">
        <v>4249639</v>
      </c>
      <c r="I1544">
        <v>51.074187499999994</v>
      </c>
      <c r="J1544">
        <v>77212.09073406519</v>
      </c>
      <c r="K1544">
        <v>61.5</v>
      </c>
      <c r="L1544">
        <v>48.5</v>
      </c>
      <c r="M1544">
        <v>55.038513652436336</v>
      </c>
      <c r="N1544">
        <v>4697127</v>
      </c>
    </row>
    <row r="1545" spans="1:14" x14ac:dyDescent="0.35">
      <c r="A1545" t="s">
        <v>10</v>
      </c>
      <c r="B1545">
        <v>202401</v>
      </c>
      <c r="C1545" t="str">
        <f>MID(analisis_productividad__4[[#This Row],[Periodo]],1,4)</f>
        <v>2024</v>
      </c>
      <c r="D1545" t="str">
        <f>MID(analisis_productividad__4[[#This Row],[Periodo]],5,2)</f>
        <v>01</v>
      </c>
      <c r="E1545" t="s">
        <v>11</v>
      </c>
      <c r="F1545" t="s">
        <v>12</v>
      </c>
      <c r="G1545">
        <v>83191</v>
      </c>
      <c r="H1545">
        <v>7832898</v>
      </c>
      <c r="I1545">
        <v>94.155598118279556</v>
      </c>
      <c r="J1545">
        <v>0</v>
      </c>
      <c r="K1545">
        <v>98.5</v>
      </c>
      <c r="L1545">
        <v>96.5</v>
      </c>
      <c r="N1545">
        <v>0</v>
      </c>
    </row>
    <row r="1546" spans="1:14" x14ac:dyDescent="0.35">
      <c r="A1546" t="s">
        <v>81</v>
      </c>
      <c r="B1546">
        <v>202409</v>
      </c>
      <c r="C1546" t="str">
        <f>MID(analisis_productividad__4[[#This Row],[Periodo]],1,4)</f>
        <v>2024</v>
      </c>
      <c r="D1546" t="str">
        <f>MID(analisis_productividad__4[[#This Row],[Periodo]],5,2)</f>
        <v>09</v>
      </c>
      <c r="E1546" t="s">
        <v>34</v>
      </c>
      <c r="F1546" t="s">
        <v>35</v>
      </c>
      <c r="G1546">
        <v>83178</v>
      </c>
      <c r="H1546">
        <v>7183019</v>
      </c>
      <c r="I1546">
        <v>86.357152777777785</v>
      </c>
      <c r="J1546">
        <v>0</v>
      </c>
      <c r="K1546">
        <v>106</v>
      </c>
      <c r="L1546">
        <v>94.5</v>
      </c>
      <c r="N1546">
        <v>0</v>
      </c>
    </row>
    <row r="1547" spans="1:14" x14ac:dyDescent="0.35">
      <c r="A1547" t="s">
        <v>98</v>
      </c>
      <c r="B1547">
        <v>202603</v>
      </c>
      <c r="C1547" t="str">
        <f>MID(analisis_productividad__4[[#This Row],[Periodo]],1,4)</f>
        <v>2026</v>
      </c>
      <c r="D1547" t="str">
        <f>MID(analisis_productividad__4[[#This Row],[Periodo]],5,2)</f>
        <v>03</v>
      </c>
      <c r="E1547" t="s">
        <v>11</v>
      </c>
      <c r="F1547" t="s">
        <v>14</v>
      </c>
      <c r="G1547">
        <v>83164</v>
      </c>
      <c r="H1547">
        <v>4709095</v>
      </c>
      <c r="I1547">
        <v>56.624213709677413</v>
      </c>
      <c r="J1547">
        <v>83035.19119245281</v>
      </c>
      <c r="K1547">
        <v>61.5</v>
      </c>
      <c r="L1547">
        <v>56</v>
      </c>
      <c r="M1547">
        <v>52.842490794418893</v>
      </c>
      <c r="N1547">
        <v>4387786</v>
      </c>
    </row>
    <row r="1548" spans="1:14" x14ac:dyDescent="0.35">
      <c r="A1548" t="s">
        <v>72</v>
      </c>
      <c r="B1548">
        <v>202602</v>
      </c>
      <c r="C1548" t="str">
        <f>MID(analisis_productividad__4[[#This Row],[Periodo]],1,4)</f>
        <v>2026</v>
      </c>
      <c r="D1548" t="str">
        <f>MID(analisis_productividad__4[[#This Row],[Periodo]],5,2)</f>
        <v>02</v>
      </c>
      <c r="E1548" t="s">
        <v>11</v>
      </c>
      <c r="F1548" t="s">
        <v>14</v>
      </c>
      <c r="G1548">
        <v>83153</v>
      </c>
      <c r="H1548">
        <v>5167632</v>
      </c>
      <c r="I1548">
        <v>62.145833333333314</v>
      </c>
      <c r="J1548">
        <v>94243.151393173015</v>
      </c>
      <c r="K1548">
        <v>66</v>
      </c>
      <c r="L1548">
        <v>64.5</v>
      </c>
      <c r="M1548">
        <v>56.772923994003754</v>
      </c>
      <c r="N1548">
        <v>5350459</v>
      </c>
    </row>
    <row r="1549" spans="1:14" x14ac:dyDescent="0.35">
      <c r="A1549" t="s">
        <v>84</v>
      </c>
      <c r="B1549">
        <v>202604</v>
      </c>
      <c r="C1549" t="str">
        <f>MID(analisis_productividad__4[[#This Row],[Periodo]],1,4)</f>
        <v>2026</v>
      </c>
      <c r="D1549" t="str">
        <f>MID(analisis_productividad__4[[#This Row],[Periodo]],5,2)</f>
        <v>04</v>
      </c>
      <c r="E1549" t="s">
        <v>11</v>
      </c>
      <c r="F1549" t="s">
        <v>52</v>
      </c>
      <c r="G1549">
        <v>83121</v>
      </c>
      <c r="H1549">
        <v>9083748</v>
      </c>
      <c r="I1549">
        <v>109.2834166666689</v>
      </c>
      <c r="J1549">
        <v>87640.210678939271</v>
      </c>
      <c r="K1549">
        <v>123</v>
      </c>
      <c r="L1549">
        <v>115.5</v>
      </c>
      <c r="M1549">
        <v>102.59248347357834</v>
      </c>
      <c r="N1549">
        <v>8991227</v>
      </c>
    </row>
    <row r="1550" spans="1:14" x14ac:dyDescent="0.35">
      <c r="A1550" t="s">
        <v>66</v>
      </c>
      <c r="B1550">
        <v>202507</v>
      </c>
      <c r="C1550" t="str">
        <f>MID(analisis_productividad__4[[#This Row],[Periodo]],1,4)</f>
        <v>2025</v>
      </c>
      <c r="D1550" t="str">
        <f>MID(analisis_productividad__4[[#This Row],[Periodo]],5,2)</f>
        <v>07</v>
      </c>
      <c r="E1550" t="s">
        <v>11</v>
      </c>
      <c r="F1550" t="s">
        <v>12</v>
      </c>
      <c r="G1550">
        <v>83089</v>
      </c>
      <c r="H1550">
        <v>5782490</v>
      </c>
      <c r="I1550">
        <v>69.594301075268831</v>
      </c>
      <c r="J1550">
        <v>80493.869488451732</v>
      </c>
      <c r="K1550">
        <v>80</v>
      </c>
      <c r="L1550">
        <v>80.5</v>
      </c>
      <c r="M1550">
        <v>71.837643248466279</v>
      </c>
      <c r="N1550">
        <v>6458121</v>
      </c>
    </row>
    <row r="1551" spans="1:14" x14ac:dyDescent="0.35">
      <c r="A1551" t="s">
        <v>108</v>
      </c>
      <c r="B1551">
        <v>202412</v>
      </c>
      <c r="C1551" t="str">
        <f>MID(analisis_productividad__4[[#This Row],[Periodo]],1,4)</f>
        <v>2024</v>
      </c>
      <c r="D1551" t="str">
        <f>MID(analisis_productividad__4[[#This Row],[Periodo]],5,2)</f>
        <v>12</v>
      </c>
      <c r="E1551" t="s">
        <v>11</v>
      </c>
      <c r="F1551" t="s">
        <v>14</v>
      </c>
      <c r="G1551">
        <v>83086</v>
      </c>
      <c r="H1551">
        <v>4248272</v>
      </c>
      <c r="I1551">
        <v>51.131048387096776</v>
      </c>
      <c r="J1551">
        <v>0</v>
      </c>
      <c r="K1551">
        <v>47.5</v>
      </c>
      <c r="L1551">
        <v>43</v>
      </c>
      <c r="N1551">
        <v>0</v>
      </c>
    </row>
    <row r="1552" spans="1:14" x14ac:dyDescent="0.35">
      <c r="A1552" t="s">
        <v>33</v>
      </c>
      <c r="B1552">
        <v>202503</v>
      </c>
      <c r="C1552" t="str">
        <f>MID(analisis_productividad__4[[#This Row],[Periodo]],1,4)</f>
        <v>2025</v>
      </c>
      <c r="D1552" t="str">
        <f>MID(analisis_productividad__4[[#This Row],[Periodo]],5,2)</f>
        <v>03</v>
      </c>
      <c r="E1552" t="s">
        <v>34</v>
      </c>
      <c r="F1552" t="s">
        <v>35</v>
      </c>
      <c r="G1552">
        <v>83055</v>
      </c>
      <c r="H1552">
        <v>1158814</v>
      </c>
      <c r="I1552">
        <v>13.952298387096777</v>
      </c>
      <c r="J1552">
        <v>91742.544638066582</v>
      </c>
      <c r="K1552">
        <v>15</v>
      </c>
      <c r="L1552">
        <v>15</v>
      </c>
      <c r="M1552">
        <v>12.631150188515434</v>
      </c>
      <c r="N1552">
        <v>1214725</v>
      </c>
    </row>
    <row r="1553" spans="1:14" x14ac:dyDescent="0.35">
      <c r="A1553" t="s">
        <v>47</v>
      </c>
      <c r="B1553">
        <v>202410</v>
      </c>
      <c r="C1553" t="str">
        <f>MID(analisis_productividad__4[[#This Row],[Periodo]],1,4)</f>
        <v>2024</v>
      </c>
      <c r="D1553" t="str">
        <f>MID(analisis_productividad__4[[#This Row],[Periodo]],5,2)</f>
        <v>10</v>
      </c>
      <c r="E1553" t="s">
        <v>11</v>
      </c>
      <c r="F1553" t="s">
        <v>14</v>
      </c>
      <c r="G1553">
        <v>83055</v>
      </c>
      <c r="H1553">
        <v>4347679</v>
      </c>
      <c r="I1553">
        <v>52.346969086021502</v>
      </c>
      <c r="J1553">
        <v>0</v>
      </c>
      <c r="K1553">
        <v>61.5</v>
      </c>
      <c r="L1553">
        <v>48.5</v>
      </c>
      <c r="N1553">
        <v>0</v>
      </c>
    </row>
    <row r="1554" spans="1:14" x14ac:dyDescent="0.35">
      <c r="A1554" t="s">
        <v>67</v>
      </c>
      <c r="B1554">
        <v>202409</v>
      </c>
      <c r="C1554" t="str">
        <f>MID(analisis_productividad__4[[#This Row],[Periodo]],1,4)</f>
        <v>2024</v>
      </c>
      <c r="D1554" t="str">
        <f>MID(analisis_productividad__4[[#This Row],[Periodo]],5,2)</f>
        <v>09</v>
      </c>
      <c r="E1554" t="s">
        <v>16</v>
      </c>
      <c r="F1554" t="s">
        <v>19</v>
      </c>
      <c r="G1554">
        <v>83011</v>
      </c>
      <c r="H1554">
        <v>5919038</v>
      </c>
      <c r="I1554">
        <v>71.304138888888886</v>
      </c>
      <c r="J1554">
        <v>0</v>
      </c>
      <c r="K1554">
        <v>79.5</v>
      </c>
      <c r="L1554">
        <v>81.5</v>
      </c>
      <c r="N1554">
        <v>0</v>
      </c>
    </row>
    <row r="1555" spans="1:14" x14ac:dyDescent="0.35">
      <c r="A1555" t="s">
        <v>83</v>
      </c>
      <c r="B1555">
        <v>202507</v>
      </c>
      <c r="C1555" t="str">
        <f>MID(analisis_productividad__4[[#This Row],[Periodo]],1,4)</f>
        <v>2025</v>
      </c>
      <c r="D1555" t="str">
        <f>MID(analisis_productividad__4[[#This Row],[Periodo]],5,2)</f>
        <v>07</v>
      </c>
      <c r="E1555" t="s">
        <v>16</v>
      </c>
      <c r="F1555" t="s">
        <v>17</v>
      </c>
      <c r="G1555">
        <v>83005</v>
      </c>
      <c r="H1555">
        <v>3625685</v>
      </c>
      <c r="I1555">
        <v>43.680094086021519</v>
      </c>
      <c r="J1555">
        <v>81774.644073545671</v>
      </c>
      <c r="K1555">
        <v>52</v>
      </c>
      <c r="L1555">
        <v>52</v>
      </c>
      <c r="M1555">
        <v>44.337525293771591</v>
      </c>
      <c r="N1555">
        <v>3668121</v>
      </c>
    </row>
    <row r="1556" spans="1:14" x14ac:dyDescent="0.35">
      <c r="A1556" t="s">
        <v>47</v>
      </c>
      <c r="B1556">
        <v>202401</v>
      </c>
      <c r="C1556" t="str">
        <f>MID(analisis_productividad__4[[#This Row],[Periodo]],1,4)</f>
        <v>2024</v>
      </c>
      <c r="D1556" t="str">
        <f>MID(analisis_productividad__4[[#This Row],[Periodo]],5,2)</f>
        <v>01</v>
      </c>
      <c r="E1556" t="s">
        <v>11</v>
      </c>
      <c r="F1556" t="s">
        <v>14</v>
      </c>
      <c r="G1556">
        <v>82999</v>
      </c>
      <c r="H1556">
        <v>4512361</v>
      </c>
      <c r="I1556">
        <v>54.366619623655914</v>
      </c>
      <c r="J1556">
        <v>0</v>
      </c>
      <c r="K1556">
        <v>61.5</v>
      </c>
      <c r="L1556">
        <v>48.5</v>
      </c>
      <c r="N1556">
        <v>0</v>
      </c>
    </row>
    <row r="1557" spans="1:14" x14ac:dyDescent="0.35">
      <c r="A1557" t="s">
        <v>20</v>
      </c>
      <c r="B1557">
        <v>202510</v>
      </c>
      <c r="C1557" t="str">
        <f>MID(analisis_productividad__4[[#This Row],[Periodo]],1,4)</f>
        <v>2025</v>
      </c>
      <c r="D1557" t="str">
        <f>MID(analisis_productividad__4[[#This Row],[Periodo]],5,2)</f>
        <v>10</v>
      </c>
      <c r="E1557" t="s">
        <v>16</v>
      </c>
      <c r="F1557" t="s">
        <v>21</v>
      </c>
      <c r="G1557">
        <v>82968</v>
      </c>
      <c r="H1557">
        <v>7357129</v>
      </c>
      <c r="I1557">
        <v>88.674287634408628</v>
      </c>
      <c r="J1557">
        <v>94220.193369613713</v>
      </c>
      <c r="K1557">
        <v>96.5</v>
      </c>
      <c r="L1557">
        <v>94</v>
      </c>
      <c r="M1557">
        <v>78.084416693340131</v>
      </c>
      <c r="N1557">
        <v>8568750</v>
      </c>
    </row>
    <row r="1558" spans="1:14" x14ac:dyDescent="0.35">
      <c r="A1558" t="s">
        <v>80</v>
      </c>
      <c r="B1558">
        <v>202410</v>
      </c>
      <c r="C1558" t="str">
        <f>MID(analisis_productividad__4[[#This Row],[Periodo]],1,4)</f>
        <v>2024</v>
      </c>
      <c r="D1558" t="str">
        <f>MID(analisis_productividad__4[[#This Row],[Periodo]],5,2)</f>
        <v>10</v>
      </c>
      <c r="E1558" t="s">
        <v>16</v>
      </c>
      <c r="F1558" t="s">
        <v>17</v>
      </c>
      <c r="G1558">
        <v>82962</v>
      </c>
      <c r="H1558">
        <v>4105187</v>
      </c>
      <c r="I1558">
        <v>49.482520161290324</v>
      </c>
      <c r="J1558">
        <v>0</v>
      </c>
      <c r="K1558">
        <v>58</v>
      </c>
      <c r="L1558">
        <v>58.5</v>
      </c>
      <c r="N1558">
        <v>0</v>
      </c>
    </row>
    <row r="1559" spans="1:14" x14ac:dyDescent="0.35">
      <c r="A1559" t="s">
        <v>106</v>
      </c>
      <c r="B1559">
        <v>202505</v>
      </c>
      <c r="C1559" t="str">
        <f>MID(analisis_productividad__4[[#This Row],[Periodo]],1,4)</f>
        <v>2025</v>
      </c>
      <c r="D1559" t="str">
        <f>MID(analisis_productividad__4[[#This Row],[Periodo]],5,2)</f>
        <v>05</v>
      </c>
      <c r="E1559" t="s">
        <v>34</v>
      </c>
      <c r="F1559" t="s">
        <v>35</v>
      </c>
      <c r="G1559">
        <v>82954</v>
      </c>
      <c r="H1559">
        <v>3356932</v>
      </c>
      <c r="I1559">
        <v>40.467244623655901</v>
      </c>
      <c r="J1559">
        <v>76563.636448859557</v>
      </c>
      <c r="K1559">
        <v>51</v>
      </c>
      <c r="L1559">
        <v>49</v>
      </c>
      <c r="M1559">
        <v>43.844992162072295</v>
      </c>
      <c r="N1559">
        <v>3592786</v>
      </c>
    </row>
    <row r="1560" spans="1:14" x14ac:dyDescent="0.35">
      <c r="A1560" t="s">
        <v>81</v>
      </c>
      <c r="B1560">
        <v>202503</v>
      </c>
      <c r="C1560" t="str">
        <f>MID(analisis_productividad__4[[#This Row],[Periodo]],1,4)</f>
        <v>2025</v>
      </c>
      <c r="D1560" t="str">
        <f>MID(analisis_productividad__4[[#This Row],[Periodo]],5,2)</f>
        <v>03</v>
      </c>
      <c r="E1560" t="s">
        <v>34</v>
      </c>
      <c r="F1560" t="s">
        <v>35</v>
      </c>
      <c r="G1560">
        <v>82909</v>
      </c>
      <c r="H1560">
        <v>8049567</v>
      </c>
      <c r="I1560">
        <v>97.089059139784879</v>
      </c>
      <c r="J1560">
        <v>93563.884366873011</v>
      </c>
      <c r="K1560">
        <v>106</v>
      </c>
      <c r="L1560">
        <v>94.5</v>
      </c>
      <c r="M1560">
        <v>86.032846054540329</v>
      </c>
      <c r="N1560">
        <v>7987725</v>
      </c>
    </row>
    <row r="1561" spans="1:14" x14ac:dyDescent="0.35">
      <c r="A1561" t="s">
        <v>73</v>
      </c>
      <c r="B1561">
        <v>202511</v>
      </c>
      <c r="C1561" t="str">
        <f>MID(analisis_productividad__4[[#This Row],[Periodo]],1,4)</f>
        <v>2025</v>
      </c>
      <c r="D1561" t="str">
        <f>MID(analisis_productividad__4[[#This Row],[Periodo]],5,2)</f>
        <v>11</v>
      </c>
      <c r="E1561" t="s">
        <v>16</v>
      </c>
      <c r="F1561" t="s">
        <v>21</v>
      </c>
      <c r="G1561">
        <v>82900</v>
      </c>
      <c r="H1561">
        <v>2866358</v>
      </c>
      <c r="I1561">
        <v>34.576159722222222</v>
      </c>
      <c r="J1561">
        <v>74818.750965332845</v>
      </c>
      <c r="K1561">
        <v>43.5</v>
      </c>
      <c r="L1561">
        <v>41</v>
      </c>
      <c r="M1561">
        <v>38.310696623739716</v>
      </c>
      <c r="N1561">
        <v>2992590</v>
      </c>
    </row>
    <row r="1562" spans="1:14" x14ac:dyDescent="0.35">
      <c r="A1562" t="s">
        <v>67</v>
      </c>
      <c r="B1562">
        <v>202404</v>
      </c>
      <c r="C1562" t="str">
        <f>MID(analisis_productividad__4[[#This Row],[Periodo]],1,4)</f>
        <v>2024</v>
      </c>
      <c r="D1562" t="str">
        <f>MID(analisis_productividad__4[[#This Row],[Periodo]],5,2)</f>
        <v>04</v>
      </c>
      <c r="E1562" t="s">
        <v>16</v>
      </c>
      <c r="F1562" t="s">
        <v>19</v>
      </c>
      <c r="G1562">
        <v>82870</v>
      </c>
      <c r="H1562">
        <v>6103388</v>
      </c>
      <c r="I1562">
        <v>73.65054861111112</v>
      </c>
      <c r="J1562">
        <v>0</v>
      </c>
      <c r="K1562">
        <v>79.5</v>
      </c>
      <c r="L1562">
        <v>81.5</v>
      </c>
      <c r="N1562">
        <v>0</v>
      </c>
    </row>
    <row r="1563" spans="1:14" x14ac:dyDescent="0.35">
      <c r="A1563" t="s">
        <v>82</v>
      </c>
      <c r="B1563">
        <v>202511</v>
      </c>
      <c r="C1563" t="str">
        <f>MID(analisis_productividad__4[[#This Row],[Periodo]],1,4)</f>
        <v>2025</v>
      </c>
      <c r="D1563" t="str">
        <f>MID(analisis_productividad__4[[#This Row],[Periodo]],5,2)</f>
        <v>11</v>
      </c>
      <c r="E1563" t="s">
        <v>11</v>
      </c>
      <c r="F1563" t="s">
        <v>12</v>
      </c>
      <c r="G1563">
        <v>82810</v>
      </c>
      <c r="H1563">
        <v>4063942</v>
      </c>
      <c r="I1563">
        <v>49.075541666666673</v>
      </c>
      <c r="J1563">
        <v>78546.549505573799</v>
      </c>
      <c r="K1563">
        <v>53.5</v>
      </c>
      <c r="L1563">
        <v>54</v>
      </c>
      <c r="M1563">
        <v>51.73928333683984</v>
      </c>
      <c r="N1563">
        <v>4018926</v>
      </c>
    </row>
    <row r="1564" spans="1:14" x14ac:dyDescent="0.35">
      <c r="A1564" t="s">
        <v>53</v>
      </c>
      <c r="B1564">
        <v>202404</v>
      </c>
      <c r="C1564" t="str">
        <f>MID(analisis_productividad__4[[#This Row],[Periodo]],1,4)</f>
        <v>2024</v>
      </c>
      <c r="D1564" t="str">
        <f>MID(analisis_productividad__4[[#This Row],[Periodo]],5,2)</f>
        <v>04</v>
      </c>
      <c r="E1564" t="s">
        <v>11</v>
      </c>
      <c r="F1564" t="s">
        <v>12</v>
      </c>
      <c r="G1564">
        <v>82795</v>
      </c>
      <c r="H1564">
        <v>6129607</v>
      </c>
      <c r="I1564">
        <v>74.033798611111152</v>
      </c>
      <c r="J1564">
        <v>0</v>
      </c>
      <c r="K1564">
        <v>81</v>
      </c>
      <c r="L1564">
        <v>77</v>
      </c>
      <c r="N1564">
        <v>0</v>
      </c>
    </row>
    <row r="1565" spans="1:14" x14ac:dyDescent="0.35">
      <c r="A1565" t="s">
        <v>33</v>
      </c>
      <c r="B1565">
        <v>202507</v>
      </c>
      <c r="C1565" t="str">
        <f>MID(analisis_productividad__4[[#This Row],[Periodo]],1,4)</f>
        <v>2025</v>
      </c>
      <c r="D1565" t="str">
        <f>MID(analisis_productividad__4[[#This Row],[Periodo]],5,2)</f>
        <v>07</v>
      </c>
      <c r="E1565" t="s">
        <v>34</v>
      </c>
      <c r="F1565" t="s">
        <v>35</v>
      </c>
      <c r="G1565">
        <v>82792</v>
      </c>
      <c r="H1565">
        <v>1138983</v>
      </c>
      <c r="I1565">
        <v>13.757163978494619</v>
      </c>
      <c r="J1565">
        <v>80605.230916687156</v>
      </c>
      <c r="K1565">
        <v>15</v>
      </c>
      <c r="L1565">
        <v>15</v>
      </c>
      <c r="M1565">
        <v>14.130384555032693</v>
      </c>
      <c r="N1565">
        <v>1106615</v>
      </c>
    </row>
    <row r="1566" spans="1:14" x14ac:dyDescent="0.35">
      <c r="A1566" t="s">
        <v>81</v>
      </c>
      <c r="B1566">
        <v>202404</v>
      </c>
      <c r="C1566" t="str">
        <f>MID(analisis_productividad__4[[#This Row],[Periodo]],1,4)</f>
        <v>2024</v>
      </c>
      <c r="D1566" t="str">
        <f>MID(analisis_productividad__4[[#This Row],[Periodo]],5,2)</f>
        <v>04</v>
      </c>
      <c r="E1566" t="s">
        <v>34</v>
      </c>
      <c r="F1566" t="s">
        <v>35</v>
      </c>
      <c r="G1566">
        <v>82788</v>
      </c>
      <c r="H1566">
        <v>7559886</v>
      </c>
      <c r="I1566">
        <v>91.316409722222261</v>
      </c>
      <c r="J1566">
        <v>0</v>
      </c>
      <c r="K1566">
        <v>106</v>
      </c>
      <c r="L1566">
        <v>94.5</v>
      </c>
      <c r="N1566">
        <v>0</v>
      </c>
    </row>
    <row r="1567" spans="1:14" x14ac:dyDescent="0.35">
      <c r="A1567" t="s">
        <v>55</v>
      </c>
      <c r="B1567">
        <v>202404</v>
      </c>
      <c r="C1567" t="str">
        <f>MID(analisis_productividad__4[[#This Row],[Periodo]],1,4)</f>
        <v>2024</v>
      </c>
      <c r="D1567" t="str">
        <f>MID(analisis_productividad__4[[#This Row],[Periodo]],5,2)</f>
        <v>04</v>
      </c>
      <c r="E1567" t="s">
        <v>16</v>
      </c>
      <c r="F1567" t="s">
        <v>21</v>
      </c>
      <c r="G1567">
        <v>82785</v>
      </c>
      <c r="H1567">
        <v>4323405</v>
      </c>
      <c r="I1567">
        <v>52.224229166666667</v>
      </c>
      <c r="J1567">
        <v>0</v>
      </c>
      <c r="K1567">
        <v>55</v>
      </c>
      <c r="L1567">
        <v>50.5</v>
      </c>
      <c r="N1567">
        <v>0</v>
      </c>
    </row>
    <row r="1568" spans="1:14" x14ac:dyDescent="0.35">
      <c r="A1568" t="s">
        <v>69</v>
      </c>
      <c r="B1568">
        <v>202406</v>
      </c>
      <c r="C1568" t="str">
        <f>MID(analisis_productividad__4[[#This Row],[Periodo]],1,4)</f>
        <v>2024</v>
      </c>
      <c r="D1568" t="str">
        <f>MID(analisis_productividad__4[[#This Row],[Periodo]],5,2)</f>
        <v>06</v>
      </c>
      <c r="E1568" t="s">
        <v>11</v>
      </c>
      <c r="F1568" t="s">
        <v>52</v>
      </c>
      <c r="G1568">
        <v>82783</v>
      </c>
      <c r="H1568">
        <v>4902840</v>
      </c>
      <c r="I1568">
        <v>59.225104166666675</v>
      </c>
      <c r="J1568">
        <v>0</v>
      </c>
      <c r="K1568">
        <v>68</v>
      </c>
      <c r="L1568">
        <v>60.5</v>
      </c>
      <c r="N1568">
        <v>0</v>
      </c>
    </row>
    <row r="1569" spans="1:14" x14ac:dyDescent="0.35">
      <c r="A1569" t="s">
        <v>81</v>
      </c>
      <c r="B1569">
        <v>202412</v>
      </c>
      <c r="C1569" t="str">
        <f>MID(analisis_productividad__4[[#This Row],[Periodo]],1,4)</f>
        <v>2024</v>
      </c>
      <c r="D1569" t="str">
        <f>MID(analisis_productividad__4[[#This Row],[Periodo]],5,2)</f>
        <v>12</v>
      </c>
      <c r="E1569" t="s">
        <v>34</v>
      </c>
      <c r="F1569" t="s">
        <v>35</v>
      </c>
      <c r="G1569">
        <v>82774</v>
      </c>
      <c r="H1569">
        <v>8836998</v>
      </c>
      <c r="I1569">
        <v>106.76053763440856</v>
      </c>
      <c r="J1569">
        <v>0</v>
      </c>
      <c r="K1569">
        <v>106</v>
      </c>
      <c r="L1569">
        <v>94.5</v>
      </c>
      <c r="N1569">
        <v>0</v>
      </c>
    </row>
    <row r="1570" spans="1:14" x14ac:dyDescent="0.35">
      <c r="A1570" t="s">
        <v>119</v>
      </c>
      <c r="B1570">
        <v>202412</v>
      </c>
      <c r="C1570" t="str">
        <f>MID(analisis_productividad__4[[#This Row],[Periodo]],1,4)</f>
        <v>2024</v>
      </c>
      <c r="D1570" t="str">
        <f>MID(analisis_productividad__4[[#This Row],[Periodo]],5,2)</f>
        <v>12</v>
      </c>
      <c r="E1570" t="s">
        <v>16</v>
      </c>
      <c r="F1570" t="s">
        <v>21</v>
      </c>
      <c r="G1570">
        <v>82760</v>
      </c>
      <c r="H1570">
        <v>4421295</v>
      </c>
      <c r="I1570">
        <v>53.422983870967734</v>
      </c>
      <c r="J1570">
        <v>0</v>
      </c>
      <c r="K1570">
        <v>52.5</v>
      </c>
      <c r="L1570">
        <v>52.5</v>
      </c>
      <c r="N1570">
        <v>0</v>
      </c>
    </row>
    <row r="1571" spans="1:14" x14ac:dyDescent="0.35">
      <c r="A1571" t="s">
        <v>88</v>
      </c>
      <c r="B1571">
        <v>202601</v>
      </c>
      <c r="C1571" t="str">
        <f>MID(analisis_productividad__4[[#This Row],[Periodo]],1,4)</f>
        <v>2026</v>
      </c>
      <c r="D1571" t="str">
        <f>MID(analisis_productividad__4[[#This Row],[Periodo]],5,2)</f>
        <v>01</v>
      </c>
      <c r="E1571" t="s">
        <v>34</v>
      </c>
      <c r="F1571" t="s">
        <v>35</v>
      </c>
      <c r="G1571">
        <v>82734</v>
      </c>
      <c r="H1571">
        <v>1059777</v>
      </c>
      <c r="I1571">
        <v>12.809388440860216</v>
      </c>
      <c r="J1571">
        <v>83871.148953762575</v>
      </c>
      <c r="K1571">
        <v>15.5</v>
      </c>
      <c r="L1571">
        <v>14.5</v>
      </c>
      <c r="M1571">
        <v>13.971887755419019</v>
      </c>
      <c r="N1571">
        <v>1171838</v>
      </c>
    </row>
    <row r="1572" spans="1:14" x14ac:dyDescent="0.35">
      <c r="A1572" t="s">
        <v>47</v>
      </c>
      <c r="B1572">
        <v>202501</v>
      </c>
      <c r="C1572" t="str">
        <f>MID(analisis_productividad__4[[#This Row],[Periodo]],1,4)</f>
        <v>2025</v>
      </c>
      <c r="D1572" t="str">
        <f>MID(analisis_productividad__4[[#This Row],[Periodo]],5,2)</f>
        <v>01</v>
      </c>
      <c r="E1572" t="s">
        <v>11</v>
      </c>
      <c r="F1572" t="s">
        <v>14</v>
      </c>
      <c r="G1572">
        <v>82734</v>
      </c>
      <c r="H1572">
        <v>4451525</v>
      </c>
      <c r="I1572">
        <v>53.805067204301032</v>
      </c>
      <c r="J1572">
        <v>87148.685752358608</v>
      </c>
      <c r="K1572">
        <v>61.5</v>
      </c>
      <c r="L1572">
        <v>48.5</v>
      </c>
      <c r="M1572">
        <v>51.079661862594669</v>
      </c>
      <c r="N1572">
        <v>4604822</v>
      </c>
    </row>
    <row r="1573" spans="1:14" x14ac:dyDescent="0.35">
      <c r="A1573" t="s">
        <v>70</v>
      </c>
      <c r="B1573">
        <v>202408</v>
      </c>
      <c r="C1573" t="str">
        <f>MID(analisis_productividad__4[[#This Row],[Periodo]],1,4)</f>
        <v>2024</v>
      </c>
      <c r="D1573" t="str">
        <f>MID(analisis_productividad__4[[#This Row],[Periodo]],5,2)</f>
        <v>08</v>
      </c>
      <c r="E1573" t="s">
        <v>11</v>
      </c>
      <c r="F1573" t="s">
        <v>14</v>
      </c>
      <c r="G1573">
        <v>82732</v>
      </c>
      <c r="H1573">
        <v>4880347</v>
      </c>
      <c r="I1573">
        <v>58.989818548387099</v>
      </c>
      <c r="J1573">
        <v>0</v>
      </c>
      <c r="K1573">
        <v>65</v>
      </c>
      <c r="L1573">
        <v>67.5</v>
      </c>
      <c r="N1573">
        <v>0</v>
      </c>
    </row>
    <row r="1574" spans="1:14" x14ac:dyDescent="0.35">
      <c r="A1574" t="s">
        <v>88</v>
      </c>
      <c r="B1574">
        <v>202408</v>
      </c>
      <c r="C1574" t="str">
        <f>MID(analisis_productividad__4[[#This Row],[Periodo]],1,4)</f>
        <v>2024</v>
      </c>
      <c r="D1574" t="str">
        <f>MID(analisis_productividad__4[[#This Row],[Periodo]],5,2)</f>
        <v>08</v>
      </c>
      <c r="E1574" t="s">
        <v>34</v>
      </c>
      <c r="F1574" t="s">
        <v>35</v>
      </c>
      <c r="G1574">
        <v>82705</v>
      </c>
      <c r="H1574">
        <v>1061839</v>
      </c>
      <c r="I1574">
        <v>12.838931451612906</v>
      </c>
      <c r="J1574">
        <v>0</v>
      </c>
      <c r="K1574">
        <v>15.5</v>
      </c>
      <c r="L1574">
        <v>14.5</v>
      </c>
      <c r="N1574">
        <v>0</v>
      </c>
    </row>
    <row r="1575" spans="1:14" x14ac:dyDescent="0.35">
      <c r="A1575" t="s">
        <v>47</v>
      </c>
      <c r="B1575">
        <v>202408</v>
      </c>
      <c r="C1575" t="str">
        <f>MID(analisis_productividad__4[[#This Row],[Periodo]],1,4)</f>
        <v>2024</v>
      </c>
      <c r="D1575" t="str">
        <f>MID(analisis_productividad__4[[#This Row],[Periodo]],5,2)</f>
        <v>08</v>
      </c>
      <c r="E1575" t="s">
        <v>11</v>
      </c>
      <c r="F1575" t="s">
        <v>14</v>
      </c>
      <c r="G1575">
        <v>82704</v>
      </c>
      <c r="H1575">
        <v>4726187</v>
      </c>
      <c r="I1575">
        <v>57.145544354838698</v>
      </c>
      <c r="J1575">
        <v>0</v>
      </c>
      <c r="K1575">
        <v>61.5</v>
      </c>
      <c r="L1575">
        <v>48.5</v>
      </c>
      <c r="N1575">
        <v>0</v>
      </c>
    </row>
    <row r="1576" spans="1:14" x14ac:dyDescent="0.35">
      <c r="A1576" t="s">
        <v>74</v>
      </c>
      <c r="B1576">
        <v>202408</v>
      </c>
      <c r="C1576" t="str">
        <f>MID(analisis_productividad__4[[#This Row],[Periodo]],1,4)</f>
        <v>2024</v>
      </c>
      <c r="D1576" t="str">
        <f>MID(analisis_productividad__4[[#This Row],[Periodo]],5,2)</f>
        <v>08</v>
      </c>
      <c r="E1576" t="s">
        <v>16</v>
      </c>
      <c r="F1576" t="s">
        <v>19</v>
      </c>
      <c r="G1576">
        <v>82667</v>
      </c>
      <c r="H1576">
        <v>4025000</v>
      </c>
      <c r="I1576">
        <v>48.689516129032256</v>
      </c>
      <c r="J1576">
        <v>0</v>
      </c>
      <c r="K1576">
        <v>50.5</v>
      </c>
      <c r="L1576">
        <v>51.5</v>
      </c>
      <c r="N1576">
        <v>0</v>
      </c>
    </row>
    <row r="1577" spans="1:14" x14ac:dyDescent="0.35">
      <c r="A1577" t="s">
        <v>26</v>
      </c>
      <c r="B1577">
        <v>202409</v>
      </c>
      <c r="C1577" t="str">
        <f>MID(analisis_productividad__4[[#This Row],[Periodo]],1,4)</f>
        <v>2024</v>
      </c>
      <c r="D1577" t="str">
        <f>MID(analisis_productividad__4[[#This Row],[Periodo]],5,2)</f>
        <v>09</v>
      </c>
      <c r="E1577" t="s">
        <v>11</v>
      </c>
      <c r="F1577" t="s">
        <v>12</v>
      </c>
      <c r="G1577">
        <v>82629</v>
      </c>
      <c r="H1577">
        <v>4890619</v>
      </c>
      <c r="I1577">
        <v>59.187819444444436</v>
      </c>
      <c r="J1577">
        <v>0</v>
      </c>
      <c r="K1577">
        <v>65.5</v>
      </c>
      <c r="L1577">
        <v>63</v>
      </c>
      <c r="N1577">
        <v>0</v>
      </c>
    </row>
    <row r="1578" spans="1:14" x14ac:dyDescent="0.35">
      <c r="A1578" t="s">
        <v>74</v>
      </c>
      <c r="B1578">
        <v>202504</v>
      </c>
      <c r="C1578" t="str">
        <f>MID(analisis_productividad__4[[#This Row],[Periodo]],1,4)</f>
        <v>2025</v>
      </c>
      <c r="D1578" t="str">
        <f>MID(analisis_productividad__4[[#This Row],[Periodo]],5,2)</f>
        <v>04</v>
      </c>
      <c r="E1578" t="s">
        <v>16</v>
      </c>
      <c r="F1578" t="s">
        <v>19</v>
      </c>
      <c r="G1578">
        <v>82618</v>
      </c>
      <c r="H1578">
        <v>3876235</v>
      </c>
      <c r="I1578">
        <v>46.917840277777778</v>
      </c>
      <c r="J1578">
        <v>74600.822083449326</v>
      </c>
      <c r="K1578">
        <v>50.5</v>
      </c>
      <c r="L1578">
        <v>51.5</v>
      </c>
      <c r="M1578">
        <v>51.959687865959424</v>
      </c>
      <c r="N1578">
        <v>3930808</v>
      </c>
    </row>
    <row r="1579" spans="1:14" x14ac:dyDescent="0.35">
      <c r="A1579" t="s">
        <v>88</v>
      </c>
      <c r="B1579">
        <v>202401</v>
      </c>
      <c r="C1579" t="str">
        <f>MID(analisis_productividad__4[[#This Row],[Periodo]],1,4)</f>
        <v>2024</v>
      </c>
      <c r="D1579" t="str">
        <f>MID(analisis_productividad__4[[#This Row],[Periodo]],5,2)</f>
        <v>01</v>
      </c>
      <c r="E1579" t="s">
        <v>34</v>
      </c>
      <c r="F1579" t="s">
        <v>35</v>
      </c>
      <c r="G1579">
        <v>82607</v>
      </c>
      <c r="H1579">
        <v>1083018</v>
      </c>
      <c r="I1579">
        <v>13.110416666666667</v>
      </c>
      <c r="J1579">
        <v>0</v>
      </c>
      <c r="K1579">
        <v>15.5</v>
      </c>
      <c r="L1579">
        <v>14.5</v>
      </c>
      <c r="N1579">
        <v>0</v>
      </c>
    </row>
    <row r="1580" spans="1:14" x14ac:dyDescent="0.35">
      <c r="A1580" t="s">
        <v>79</v>
      </c>
      <c r="B1580">
        <v>202505</v>
      </c>
      <c r="C1580" t="str">
        <f>MID(analisis_productividad__4[[#This Row],[Periodo]],1,4)</f>
        <v>2025</v>
      </c>
      <c r="D1580" t="str">
        <f>MID(analisis_productividad__4[[#This Row],[Periodo]],5,2)</f>
        <v>05</v>
      </c>
      <c r="E1580" t="s">
        <v>11</v>
      </c>
      <c r="F1580" t="s">
        <v>12</v>
      </c>
      <c r="G1580">
        <v>82591</v>
      </c>
      <c r="H1580">
        <v>5100384</v>
      </c>
      <c r="I1580">
        <v>61.754912634408598</v>
      </c>
      <c r="J1580">
        <v>79434.317707487804</v>
      </c>
      <c r="K1580">
        <v>64.5</v>
      </c>
      <c r="L1580">
        <v>64</v>
      </c>
      <c r="M1580">
        <v>64.208826577725077</v>
      </c>
      <c r="N1580">
        <v>5411686</v>
      </c>
    </row>
    <row r="1581" spans="1:14" x14ac:dyDescent="0.35">
      <c r="A1581" t="s">
        <v>91</v>
      </c>
      <c r="B1581">
        <v>202604</v>
      </c>
      <c r="C1581" t="str">
        <f>MID(analisis_productividad__4[[#This Row],[Periodo]],1,4)</f>
        <v>2026</v>
      </c>
      <c r="D1581" t="str">
        <f>MID(analisis_productividad__4[[#This Row],[Periodo]],5,2)</f>
        <v>04</v>
      </c>
      <c r="E1581" t="s">
        <v>11</v>
      </c>
      <c r="F1581" t="s">
        <v>12</v>
      </c>
      <c r="G1581">
        <v>82588</v>
      </c>
      <c r="H1581">
        <v>4232125</v>
      </c>
      <c r="I1581">
        <v>51.24369444444423</v>
      </c>
      <c r="J1581">
        <v>80289.308193298624</v>
      </c>
      <c r="K1581">
        <v>55</v>
      </c>
      <c r="L1581">
        <v>55.5</v>
      </c>
      <c r="M1581">
        <v>48.91205759483401</v>
      </c>
      <c r="N1581">
        <v>3927115</v>
      </c>
    </row>
    <row r="1582" spans="1:14" x14ac:dyDescent="0.35">
      <c r="A1582" t="s">
        <v>61</v>
      </c>
      <c r="B1582">
        <v>202402</v>
      </c>
      <c r="C1582" t="str">
        <f>MID(analisis_productividad__4[[#This Row],[Periodo]],1,4)</f>
        <v>2024</v>
      </c>
      <c r="D1582" t="str">
        <f>MID(analisis_productividad__4[[#This Row],[Periodo]],5,2)</f>
        <v>02</v>
      </c>
      <c r="E1582" t="s">
        <v>11</v>
      </c>
      <c r="F1582" t="s">
        <v>52</v>
      </c>
      <c r="G1582">
        <v>82573</v>
      </c>
      <c r="H1582">
        <v>8526445</v>
      </c>
      <c r="I1582">
        <v>103.25995689655176</v>
      </c>
      <c r="J1582">
        <v>0</v>
      </c>
      <c r="K1582">
        <v>104.5</v>
      </c>
      <c r="L1582">
        <v>99</v>
      </c>
      <c r="N1582">
        <v>0</v>
      </c>
    </row>
    <row r="1583" spans="1:14" x14ac:dyDescent="0.35">
      <c r="A1583" t="s">
        <v>98</v>
      </c>
      <c r="B1583">
        <v>202512</v>
      </c>
      <c r="C1583" t="str">
        <f>MID(analisis_productividad__4[[#This Row],[Periodo]],1,4)</f>
        <v>2025</v>
      </c>
      <c r="D1583" t="str">
        <f>MID(analisis_productividad__4[[#This Row],[Periodo]],5,2)</f>
        <v>12</v>
      </c>
      <c r="E1583" t="s">
        <v>11</v>
      </c>
      <c r="F1583" t="s">
        <v>14</v>
      </c>
      <c r="G1583">
        <v>82547</v>
      </c>
      <c r="H1583">
        <v>4945108</v>
      </c>
      <c r="I1583">
        <v>59.906733870967727</v>
      </c>
      <c r="J1583">
        <v>92376.837034625118</v>
      </c>
      <c r="K1583">
        <v>61.5</v>
      </c>
      <c r="L1583">
        <v>56</v>
      </c>
      <c r="M1583">
        <v>53.531905819057783</v>
      </c>
      <c r="N1583">
        <v>5240448</v>
      </c>
    </row>
    <row r="1584" spans="1:14" x14ac:dyDescent="0.35">
      <c r="A1584" t="s">
        <v>51</v>
      </c>
      <c r="B1584">
        <v>202502</v>
      </c>
      <c r="C1584" t="str">
        <f>MID(analisis_productividad__4[[#This Row],[Periodo]],1,4)</f>
        <v>2025</v>
      </c>
      <c r="D1584" t="str">
        <f>MID(analisis_productividad__4[[#This Row],[Periodo]],5,2)</f>
        <v>02</v>
      </c>
      <c r="E1584" t="s">
        <v>11</v>
      </c>
      <c r="F1584" t="s">
        <v>52</v>
      </c>
      <c r="G1584">
        <v>82545</v>
      </c>
      <c r="H1584">
        <v>9052197</v>
      </c>
      <c r="I1584">
        <v>109.66369791666669</v>
      </c>
      <c r="J1584">
        <v>98608.318261243156</v>
      </c>
      <c r="K1584">
        <v>117.5</v>
      </c>
      <c r="L1584">
        <v>99</v>
      </c>
      <c r="M1584">
        <v>91.799531820611719</v>
      </c>
      <c r="N1584">
        <v>8834998</v>
      </c>
    </row>
    <row r="1585" spans="1:14" x14ac:dyDescent="0.35">
      <c r="A1585" t="s">
        <v>84</v>
      </c>
      <c r="B1585">
        <v>202403</v>
      </c>
      <c r="C1585" t="str">
        <f>MID(analisis_productividad__4[[#This Row],[Periodo]],1,4)</f>
        <v>2024</v>
      </c>
      <c r="D1585" t="str">
        <f>MID(analisis_productividad__4[[#This Row],[Periodo]],5,2)</f>
        <v>03</v>
      </c>
      <c r="E1585" t="s">
        <v>11</v>
      </c>
      <c r="F1585" t="s">
        <v>52</v>
      </c>
      <c r="G1585">
        <v>82539</v>
      </c>
      <c r="H1585">
        <v>10379742</v>
      </c>
      <c r="I1585">
        <v>125.75518817204305</v>
      </c>
      <c r="J1585">
        <v>0</v>
      </c>
      <c r="K1585">
        <v>123</v>
      </c>
      <c r="L1585">
        <v>115.5</v>
      </c>
      <c r="N1585">
        <v>0</v>
      </c>
    </row>
    <row r="1586" spans="1:14" x14ac:dyDescent="0.35">
      <c r="A1586" t="s">
        <v>79</v>
      </c>
      <c r="B1586">
        <v>202408</v>
      </c>
      <c r="C1586" t="str">
        <f>MID(analisis_productividad__4[[#This Row],[Periodo]],1,4)</f>
        <v>2024</v>
      </c>
      <c r="D1586" t="str">
        <f>MID(analisis_productividad__4[[#This Row],[Periodo]],5,2)</f>
        <v>08</v>
      </c>
      <c r="E1586" t="s">
        <v>11</v>
      </c>
      <c r="F1586" t="s">
        <v>12</v>
      </c>
      <c r="G1586">
        <v>82539</v>
      </c>
      <c r="H1586">
        <v>5043007</v>
      </c>
      <c r="I1586">
        <v>61.098615591397859</v>
      </c>
      <c r="J1586">
        <v>0</v>
      </c>
      <c r="K1586">
        <v>64.5</v>
      </c>
      <c r="L1586">
        <v>64</v>
      </c>
      <c r="N1586">
        <v>0</v>
      </c>
    </row>
    <row r="1587" spans="1:14" x14ac:dyDescent="0.35">
      <c r="A1587" t="s">
        <v>42</v>
      </c>
      <c r="B1587">
        <v>202505</v>
      </c>
      <c r="C1587" t="str">
        <f>MID(analisis_productividad__4[[#This Row],[Periodo]],1,4)</f>
        <v>2025</v>
      </c>
      <c r="D1587" t="str">
        <f>MID(analisis_productividad__4[[#This Row],[Periodo]],5,2)</f>
        <v>05</v>
      </c>
      <c r="E1587" t="s">
        <v>16</v>
      </c>
      <c r="F1587" t="s">
        <v>19</v>
      </c>
      <c r="G1587">
        <v>82521</v>
      </c>
      <c r="H1587">
        <v>4774168</v>
      </c>
      <c r="I1587">
        <v>57.853776881720421</v>
      </c>
      <c r="J1587">
        <v>80838.667346788628</v>
      </c>
      <c r="K1587">
        <v>62</v>
      </c>
      <c r="L1587">
        <v>58</v>
      </c>
      <c r="M1587">
        <v>59.057975801597109</v>
      </c>
      <c r="N1587">
        <v>4913941</v>
      </c>
    </row>
    <row r="1588" spans="1:14" x14ac:dyDescent="0.35">
      <c r="A1588" t="s">
        <v>78</v>
      </c>
      <c r="B1588">
        <v>202403</v>
      </c>
      <c r="C1588" t="str">
        <f>MID(analisis_productividad__4[[#This Row],[Periodo]],1,4)</f>
        <v>2024</v>
      </c>
      <c r="D1588" t="str">
        <f>MID(analisis_productividad__4[[#This Row],[Periodo]],5,2)</f>
        <v>03</v>
      </c>
      <c r="E1588" t="s">
        <v>11</v>
      </c>
      <c r="F1588" t="s">
        <v>14</v>
      </c>
      <c r="G1588">
        <v>82514</v>
      </c>
      <c r="H1588">
        <v>6000433</v>
      </c>
      <c r="I1588">
        <v>72.72040322580645</v>
      </c>
      <c r="J1588">
        <v>0</v>
      </c>
      <c r="K1588">
        <v>79.5</v>
      </c>
      <c r="L1588">
        <v>67</v>
      </c>
      <c r="N1588">
        <v>0</v>
      </c>
    </row>
    <row r="1589" spans="1:14" x14ac:dyDescent="0.35">
      <c r="A1589" t="s">
        <v>33</v>
      </c>
      <c r="B1589">
        <v>202402</v>
      </c>
      <c r="C1589" t="str">
        <f>MID(analisis_productividad__4[[#This Row],[Periodo]],1,4)</f>
        <v>2024</v>
      </c>
      <c r="D1589" t="str">
        <f>MID(analisis_productividad__4[[#This Row],[Periodo]],5,2)</f>
        <v>02</v>
      </c>
      <c r="E1589" t="s">
        <v>34</v>
      </c>
      <c r="F1589" t="s">
        <v>35</v>
      </c>
      <c r="G1589">
        <v>82459</v>
      </c>
      <c r="H1589">
        <v>1154601</v>
      </c>
      <c r="I1589">
        <v>14.002162356321842</v>
      </c>
      <c r="J1589">
        <v>0</v>
      </c>
      <c r="K1589">
        <v>15</v>
      </c>
      <c r="L1589">
        <v>15</v>
      </c>
      <c r="N1589">
        <v>0</v>
      </c>
    </row>
    <row r="1590" spans="1:14" x14ac:dyDescent="0.35">
      <c r="A1590" t="s">
        <v>80</v>
      </c>
      <c r="B1590">
        <v>202403</v>
      </c>
      <c r="C1590" t="str">
        <f>MID(analisis_productividad__4[[#This Row],[Periodo]],1,4)</f>
        <v>2024</v>
      </c>
      <c r="D1590" t="str">
        <f>MID(analisis_productividad__4[[#This Row],[Periodo]],5,2)</f>
        <v>03</v>
      </c>
      <c r="E1590" t="s">
        <v>16</v>
      </c>
      <c r="F1590" t="s">
        <v>17</v>
      </c>
      <c r="G1590">
        <v>82453</v>
      </c>
      <c r="H1590">
        <v>4962226</v>
      </c>
      <c r="I1590">
        <v>60.182170698924701</v>
      </c>
      <c r="J1590">
        <v>0</v>
      </c>
      <c r="K1590">
        <v>58</v>
      </c>
      <c r="L1590">
        <v>58.5</v>
      </c>
      <c r="N1590">
        <v>0</v>
      </c>
    </row>
    <row r="1591" spans="1:14" x14ac:dyDescent="0.35">
      <c r="A1591" t="s">
        <v>81</v>
      </c>
      <c r="B1591">
        <v>202408</v>
      </c>
      <c r="C1591" t="str">
        <f>MID(analisis_productividad__4[[#This Row],[Periodo]],1,4)</f>
        <v>2024</v>
      </c>
      <c r="D1591" t="str">
        <f>MID(analisis_productividad__4[[#This Row],[Periodo]],5,2)</f>
        <v>08</v>
      </c>
      <c r="E1591" t="s">
        <v>34</v>
      </c>
      <c r="F1591" t="s">
        <v>35</v>
      </c>
      <c r="G1591">
        <v>82450</v>
      </c>
      <c r="H1591">
        <v>7278753</v>
      </c>
      <c r="I1591">
        <v>88.280584677419284</v>
      </c>
      <c r="J1591">
        <v>0</v>
      </c>
      <c r="K1591">
        <v>106</v>
      </c>
      <c r="L1591">
        <v>94.5</v>
      </c>
      <c r="N1591">
        <v>0</v>
      </c>
    </row>
    <row r="1592" spans="1:14" x14ac:dyDescent="0.35">
      <c r="A1592" t="s">
        <v>73</v>
      </c>
      <c r="B1592">
        <v>202407</v>
      </c>
      <c r="C1592" t="str">
        <f>MID(analisis_productividad__4[[#This Row],[Periodo]],1,4)</f>
        <v>2024</v>
      </c>
      <c r="D1592" t="str">
        <f>MID(analisis_productividad__4[[#This Row],[Periodo]],5,2)</f>
        <v>07</v>
      </c>
      <c r="E1592" t="s">
        <v>16</v>
      </c>
      <c r="F1592" t="s">
        <v>21</v>
      </c>
      <c r="G1592">
        <v>82447</v>
      </c>
      <c r="H1592">
        <v>3262373</v>
      </c>
      <c r="I1592">
        <v>39.569193548387105</v>
      </c>
      <c r="J1592">
        <v>0</v>
      </c>
      <c r="K1592">
        <v>43.5</v>
      </c>
      <c r="L1592">
        <v>41</v>
      </c>
      <c r="N1592">
        <v>0</v>
      </c>
    </row>
    <row r="1593" spans="1:14" x14ac:dyDescent="0.35">
      <c r="A1593" t="s">
        <v>24</v>
      </c>
      <c r="B1593">
        <v>202401</v>
      </c>
      <c r="C1593" t="str">
        <f>MID(analisis_productividad__4[[#This Row],[Periodo]],1,4)</f>
        <v>2024</v>
      </c>
      <c r="D1593" t="str">
        <f>MID(analisis_productividad__4[[#This Row],[Periodo]],5,2)</f>
        <v>01</v>
      </c>
      <c r="E1593" t="s">
        <v>16</v>
      </c>
      <c r="F1593" t="s">
        <v>21</v>
      </c>
      <c r="G1593">
        <v>82418</v>
      </c>
      <c r="H1593">
        <v>8994815</v>
      </c>
      <c r="I1593">
        <v>109.13691532258068</v>
      </c>
      <c r="J1593">
        <v>0</v>
      </c>
      <c r="K1593">
        <v>125</v>
      </c>
      <c r="L1593">
        <v>118.5</v>
      </c>
      <c r="N1593">
        <v>0</v>
      </c>
    </row>
    <row r="1594" spans="1:14" x14ac:dyDescent="0.35">
      <c r="A1594" t="s">
        <v>60</v>
      </c>
      <c r="B1594">
        <v>202404</v>
      </c>
      <c r="C1594" t="str">
        <f>MID(analisis_productividad__4[[#This Row],[Periodo]],1,4)</f>
        <v>2024</v>
      </c>
      <c r="D1594" t="str">
        <f>MID(analisis_productividad__4[[#This Row],[Periodo]],5,2)</f>
        <v>04</v>
      </c>
      <c r="E1594" t="s">
        <v>11</v>
      </c>
      <c r="F1594" t="s">
        <v>14</v>
      </c>
      <c r="G1594">
        <v>82382</v>
      </c>
      <c r="H1594">
        <v>6128055</v>
      </c>
      <c r="I1594">
        <v>74.38608333333336</v>
      </c>
      <c r="J1594">
        <v>0</v>
      </c>
      <c r="K1594">
        <v>75.5</v>
      </c>
      <c r="L1594">
        <v>74</v>
      </c>
      <c r="N1594">
        <v>0</v>
      </c>
    </row>
    <row r="1595" spans="1:14" x14ac:dyDescent="0.35">
      <c r="A1595" t="s">
        <v>43</v>
      </c>
      <c r="B1595">
        <v>202404</v>
      </c>
      <c r="C1595" t="str">
        <f>MID(analisis_productividad__4[[#This Row],[Periodo]],1,4)</f>
        <v>2024</v>
      </c>
      <c r="D1595" t="str">
        <f>MID(analisis_productividad__4[[#This Row],[Periodo]],5,2)</f>
        <v>04</v>
      </c>
      <c r="E1595" t="s">
        <v>11</v>
      </c>
      <c r="F1595" t="s">
        <v>12</v>
      </c>
      <c r="G1595">
        <v>82319</v>
      </c>
      <c r="H1595">
        <v>6179626</v>
      </c>
      <c r="I1595">
        <v>75.069361111111121</v>
      </c>
      <c r="J1595">
        <v>0</v>
      </c>
      <c r="K1595">
        <v>84.5</v>
      </c>
      <c r="L1595">
        <v>86.5</v>
      </c>
      <c r="N1595">
        <v>0</v>
      </c>
    </row>
    <row r="1596" spans="1:14" x14ac:dyDescent="0.35">
      <c r="A1596" t="s">
        <v>33</v>
      </c>
      <c r="B1596">
        <v>202602</v>
      </c>
      <c r="C1596" t="str">
        <f>MID(analisis_productividad__4[[#This Row],[Periodo]],1,4)</f>
        <v>2026</v>
      </c>
      <c r="D1596" t="str">
        <f>MID(analisis_productividad__4[[#This Row],[Periodo]],5,2)</f>
        <v>02</v>
      </c>
      <c r="E1596" t="s">
        <v>34</v>
      </c>
      <c r="F1596" t="s">
        <v>35</v>
      </c>
      <c r="G1596">
        <v>82298</v>
      </c>
      <c r="H1596">
        <v>1053961</v>
      </c>
      <c r="I1596">
        <v>12.806666666666667</v>
      </c>
      <c r="J1596">
        <v>82599.217865344879</v>
      </c>
      <c r="K1596">
        <v>15</v>
      </c>
      <c r="L1596">
        <v>15</v>
      </c>
      <c r="M1596">
        <v>13.971887755419019</v>
      </c>
      <c r="N1596">
        <v>1154067</v>
      </c>
    </row>
    <row r="1597" spans="1:14" x14ac:dyDescent="0.35">
      <c r="A1597" t="s">
        <v>48</v>
      </c>
      <c r="B1597">
        <v>202407</v>
      </c>
      <c r="C1597" t="str">
        <f>MID(analisis_productividad__4[[#This Row],[Periodo]],1,4)</f>
        <v>2024</v>
      </c>
      <c r="D1597" t="str">
        <f>MID(analisis_productividad__4[[#This Row],[Periodo]],5,2)</f>
        <v>07</v>
      </c>
      <c r="E1597" t="s">
        <v>16</v>
      </c>
      <c r="F1597" t="s">
        <v>21</v>
      </c>
      <c r="G1597">
        <v>82296</v>
      </c>
      <c r="H1597">
        <v>4936832</v>
      </c>
      <c r="I1597">
        <v>59.988776881720433</v>
      </c>
      <c r="J1597">
        <v>0</v>
      </c>
      <c r="K1597">
        <v>56</v>
      </c>
      <c r="L1597">
        <v>60</v>
      </c>
      <c r="N1597">
        <v>0</v>
      </c>
    </row>
    <row r="1598" spans="1:14" x14ac:dyDescent="0.35">
      <c r="A1598" t="s">
        <v>59</v>
      </c>
      <c r="B1598">
        <v>202405</v>
      </c>
      <c r="C1598" t="str">
        <f>MID(analisis_productividad__4[[#This Row],[Periodo]],1,4)</f>
        <v>2024</v>
      </c>
      <c r="D1598" t="str">
        <f>MID(analisis_productividad__4[[#This Row],[Periodo]],5,2)</f>
        <v>05</v>
      </c>
      <c r="E1598" t="s">
        <v>11</v>
      </c>
      <c r="F1598" t="s">
        <v>12</v>
      </c>
      <c r="G1598">
        <v>82275</v>
      </c>
      <c r="H1598">
        <v>7214286</v>
      </c>
      <c r="I1598">
        <v>87.685020161290325</v>
      </c>
      <c r="J1598">
        <v>0</v>
      </c>
      <c r="K1598">
        <v>94.5</v>
      </c>
      <c r="L1598">
        <v>97</v>
      </c>
      <c r="N1598">
        <v>0</v>
      </c>
    </row>
    <row r="1599" spans="1:14" x14ac:dyDescent="0.35">
      <c r="A1599" t="s">
        <v>55</v>
      </c>
      <c r="B1599">
        <v>202409</v>
      </c>
      <c r="C1599" t="str">
        <f>MID(analisis_productividad__4[[#This Row],[Periodo]],1,4)</f>
        <v>2024</v>
      </c>
      <c r="D1599" t="str">
        <f>MID(analisis_productividad__4[[#This Row],[Periodo]],5,2)</f>
        <v>09</v>
      </c>
      <c r="E1599" t="s">
        <v>16</v>
      </c>
      <c r="F1599" t="s">
        <v>21</v>
      </c>
      <c r="G1599">
        <v>82265</v>
      </c>
      <c r="H1599">
        <v>4295324</v>
      </c>
      <c r="I1599">
        <v>52.213097222222217</v>
      </c>
      <c r="J1599">
        <v>0</v>
      </c>
      <c r="K1599">
        <v>55</v>
      </c>
      <c r="L1599">
        <v>50.5</v>
      </c>
      <c r="N1599">
        <v>0</v>
      </c>
    </row>
    <row r="1600" spans="1:14" x14ac:dyDescent="0.35">
      <c r="A1600" t="s">
        <v>67</v>
      </c>
      <c r="B1600">
        <v>202602</v>
      </c>
      <c r="C1600" t="str">
        <f>MID(analisis_productividad__4[[#This Row],[Periodo]],1,4)</f>
        <v>2026</v>
      </c>
      <c r="D1600" t="str">
        <f>MID(analisis_productividad__4[[#This Row],[Periodo]],5,2)</f>
        <v>02</v>
      </c>
      <c r="E1600" t="s">
        <v>16</v>
      </c>
      <c r="F1600" t="s">
        <v>19</v>
      </c>
      <c r="G1600">
        <v>82251</v>
      </c>
      <c r="H1600">
        <v>6336945</v>
      </c>
      <c r="I1600">
        <v>77.043750000000031</v>
      </c>
      <c r="J1600">
        <v>95951.801709074556</v>
      </c>
      <c r="K1600">
        <v>79.5</v>
      </c>
      <c r="L1600">
        <v>81.5</v>
      </c>
      <c r="M1600">
        <v>68.773296674593993</v>
      </c>
      <c r="N1600">
        <v>6598922</v>
      </c>
    </row>
    <row r="1601" spans="1:14" x14ac:dyDescent="0.35">
      <c r="A1601" t="s">
        <v>24</v>
      </c>
      <c r="B1601">
        <v>202504</v>
      </c>
      <c r="C1601" t="str">
        <f>MID(analisis_productividad__4[[#This Row],[Periodo]],1,4)</f>
        <v>2025</v>
      </c>
      <c r="D1601" t="str">
        <f>MID(analisis_productividad__4[[#This Row],[Periodo]],5,2)</f>
        <v>04</v>
      </c>
      <c r="E1601" t="s">
        <v>16</v>
      </c>
      <c r="F1601" t="s">
        <v>21</v>
      </c>
      <c r="G1601">
        <v>82244</v>
      </c>
      <c r="H1601">
        <v>9701844</v>
      </c>
      <c r="I1601">
        <v>117.96380555555555</v>
      </c>
      <c r="J1601">
        <v>85314.461565372039</v>
      </c>
      <c r="K1601">
        <v>125</v>
      </c>
      <c r="L1601">
        <v>118.5</v>
      </c>
      <c r="M1601">
        <v>113.71863459005689</v>
      </c>
      <c r="N1601">
        <v>9567477</v>
      </c>
    </row>
    <row r="1602" spans="1:14" x14ac:dyDescent="0.35">
      <c r="A1602" t="s">
        <v>87</v>
      </c>
      <c r="B1602">
        <v>202406</v>
      </c>
      <c r="C1602" t="str">
        <f>MID(analisis_productividad__4[[#This Row],[Periodo]],1,4)</f>
        <v>2024</v>
      </c>
      <c r="D1602" t="str">
        <f>MID(analisis_productividad__4[[#This Row],[Periodo]],5,2)</f>
        <v>06</v>
      </c>
      <c r="E1602" t="s">
        <v>9</v>
      </c>
      <c r="F1602" t="s">
        <v>9</v>
      </c>
      <c r="G1602">
        <v>82244</v>
      </c>
      <c r="H1602">
        <v>1000913</v>
      </c>
      <c r="I1602">
        <v>12.170083333333336</v>
      </c>
      <c r="J1602">
        <v>0</v>
      </c>
      <c r="K1602">
        <v>13.5</v>
      </c>
      <c r="L1602">
        <v>12</v>
      </c>
      <c r="N1602">
        <v>0</v>
      </c>
    </row>
    <row r="1603" spans="1:14" x14ac:dyDescent="0.35">
      <c r="A1603" t="s">
        <v>97</v>
      </c>
      <c r="B1603">
        <v>202401</v>
      </c>
      <c r="C1603" t="str">
        <f>MID(analisis_productividad__4[[#This Row],[Periodo]],1,4)</f>
        <v>2024</v>
      </c>
      <c r="D1603" t="str">
        <f>MID(analisis_productividad__4[[#This Row],[Periodo]],5,2)</f>
        <v>01</v>
      </c>
      <c r="E1603" t="s">
        <v>11</v>
      </c>
      <c r="F1603" t="s">
        <v>12</v>
      </c>
      <c r="G1603">
        <v>82243</v>
      </c>
      <c r="H1603">
        <v>4964654</v>
      </c>
      <c r="I1603">
        <v>60.365544354838725</v>
      </c>
      <c r="J1603">
        <v>0</v>
      </c>
      <c r="K1603">
        <v>66.5</v>
      </c>
      <c r="L1603">
        <v>63.5</v>
      </c>
      <c r="N1603">
        <v>0</v>
      </c>
    </row>
    <row r="1604" spans="1:14" x14ac:dyDescent="0.35">
      <c r="A1604" t="s">
        <v>79</v>
      </c>
      <c r="B1604">
        <v>202507</v>
      </c>
      <c r="C1604" t="str">
        <f>MID(analisis_productividad__4[[#This Row],[Periodo]],1,4)</f>
        <v>2025</v>
      </c>
      <c r="D1604" t="str">
        <f>MID(analisis_productividad__4[[#This Row],[Periodo]],5,2)</f>
        <v>07</v>
      </c>
      <c r="E1604" t="s">
        <v>11</v>
      </c>
      <c r="F1604" t="s">
        <v>12</v>
      </c>
      <c r="G1604">
        <v>82233</v>
      </c>
      <c r="H1604">
        <v>5183123</v>
      </c>
      <c r="I1604">
        <v>63.029448924731177</v>
      </c>
      <c r="J1604">
        <v>97816.394627348607</v>
      </c>
      <c r="K1604">
        <v>64.5</v>
      </c>
      <c r="L1604">
        <v>64</v>
      </c>
      <c r="M1604">
        <v>52.988289332745886</v>
      </c>
      <c r="N1604">
        <v>6296121</v>
      </c>
    </row>
    <row r="1605" spans="1:14" x14ac:dyDescent="0.35">
      <c r="A1605" t="s">
        <v>94</v>
      </c>
      <c r="B1605">
        <v>202511</v>
      </c>
      <c r="C1605" t="str">
        <f>MID(analisis_productividad__4[[#This Row],[Periodo]],1,4)</f>
        <v>2025</v>
      </c>
      <c r="D1605" t="str">
        <f>MID(analisis_productividad__4[[#This Row],[Periodo]],5,2)</f>
        <v>11</v>
      </c>
      <c r="E1605" t="s">
        <v>11</v>
      </c>
      <c r="F1605" t="s">
        <v>52</v>
      </c>
      <c r="G1605">
        <v>82211</v>
      </c>
      <c r="H1605">
        <v>5166606</v>
      </c>
      <c r="I1605">
        <v>62.845416666666686</v>
      </c>
      <c r="J1605">
        <v>72018.532339733109</v>
      </c>
      <c r="K1605">
        <v>75.5</v>
      </c>
      <c r="L1605">
        <v>70.5</v>
      </c>
      <c r="M1605">
        <v>71.739955149704556</v>
      </c>
      <c r="N1605">
        <v>5641899</v>
      </c>
    </row>
    <row r="1606" spans="1:14" x14ac:dyDescent="0.35">
      <c r="A1606" t="s">
        <v>80</v>
      </c>
      <c r="B1606">
        <v>202508</v>
      </c>
      <c r="C1606" t="str">
        <f>MID(analisis_productividad__4[[#This Row],[Periodo]],1,4)</f>
        <v>2025</v>
      </c>
      <c r="D1606" t="str">
        <f>MID(analisis_productividad__4[[#This Row],[Periodo]],5,2)</f>
        <v>08</v>
      </c>
      <c r="E1606" t="s">
        <v>16</v>
      </c>
      <c r="F1606" t="s">
        <v>17</v>
      </c>
      <c r="G1606">
        <v>82197</v>
      </c>
      <c r="H1606">
        <v>4381088</v>
      </c>
      <c r="I1606">
        <v>53.299825268817209</v>
      </c>
      <c r="J1606">
        <v>91945.047084396836</v>
      </c>
      <c r="K1606">
        <v>58</v>
      </c>
      <c r="L1606">
        <v>58.5</v>
      </c>
      <c r="M1606">
        <v>47.648980547898098</v>
      </c>
      <c r="N1606">
        <v>4757212</v>
      </c>
    </row>
    <row r="1607" spans="1:14" x14ac:dyDescent="0.35">
      <c r="A1607" t="s">
        <v>56</v>
      </c>
      <c r="B1607">
        <v>202404</v>
      </c>
      <c r="C1607" t="str">
        <f>MID(analisis_productividad__4[[#This Row],[Periodo]],1,4)</f>
        <v>2024</v>
      </c>
      <c r="D1607" t="str">
        <f>MID(analisis_productividad__4[[#This Row],[Periodo]],5,2)</f>
        <v>04</v>
      </c>
      <c r="E1607" t="s">
        <v>16</v>
      </c>
      <c r="F1607" t="s">
        <v>21</v>
      </c>
      <c r="G1607">
        <v>82171</v>
      </c>
      <c r="H1607">
        <v>5196522</v>
      </c>
      <c r="I1607">
        <v>63.240479166666688</v>
      </c>
      <c r="J1607">
        <v>0</v>
      </c>
      <c r="K1607">
        <v>72.5</v>
      </c>
      <c r="L1607">
        <v>68.5</v>
      </c>
      <c r="N1607">
        <v>0</v>
      </c>
    </row>
    <row r="1608" spans="1:14" x14ac:dyDescent="0.35">
      <c r="A1608" t="s">
        <v>79</v>
      </c>
      <c r="B1608">
        <v>202502</v>
      </c>
      <c r="C1608" t="str">
        <f>MID(analisis_productividad__4[[#This Row],[Periodo]],1,4)</f>
        <v>2025</v>
      </c>
      <c r="D1608" t="str">
        <f>MID(analisis_productividad__4[[#This Row],[Periodo]],5,2)</f>
        <v>02</v>
      </c>
      <c r="E1608" t="s">
        <v>11</v>
      </c>
      <c r="F1608" t="s">
        <v>12</v>
      </c>
      <c r="G1608">
        <v>82168</v>
      </c>
      <c r="H1608">
        <v>5079732</v>
      </c>
      <c r="I1608">
        <v>61.820937499999992</v>
      </c>
      <c r="J1608">
        <v>67996.538071405215</v>
      </c>
      <c r="K1608">
        <v>64.5</v>
      </c>
      <c r="L1608">
        <v>64</v>
      </c>
      <c r="M1608">
        <v>74.705747293569871</v>
      </c>
      <c r="N1608">
        <v>5260289</v>
      </c>
    </row>
    <row r="1609" spans="1:14" x14ac:dyDescent="0.35">
      <c r="A1609" t="s">
        <v>79</v>
      </c>
      <c r="B1609">
        <v>202411</v>
      </c>
      <c r="C1609" t="str">
        <f>MID(analisis_productividad__4[[#This Row],[Periodo]],1,4)</f>
        <v>2024</v>
      </c>
      <c r="D1609" t="str">
        <f>MID(analisis_productividad__4[[#This Row],[Periodo]],5,2)</f>
        <v>11</v>
      </c>
      <c r="E1609" t="s">
        <v>11</v>
      </c>
      <c r="F1609" t="s">
        <v>12</v>
      </c>
      <c r="G1609">
        <v>82141</v>
      </c>
      <c r="H1609">
        <v>4944206</v>
      </c>
      <c r="I1609">
        <v>60.191493055555554</v>
      </c>
      <c r="J1609">
        <v>0</v>
      </c>
      <c r="K1609">
        <v>64.5</v>
      </c>
      <c r="L1609">
        <v>64</v>
      </c>
      <c r="N1609">
        <v>0</v>
      </c>
    </row>
    <row r="1610" spans="1:14" x14ac:dyDescent="0.35">
      <c r="A1610" t="s">
        <v>82</v>
      </c>
      <c r="B1610">
        <v>202501</v>
      </c>
      <c r="C1610" t="str">
        <f>MID(analisis_productividad__4[[#This Row],[Periodo]],1,4)</f>
        <v>2025</v>
      </c>
      <c r="D1610" t="str">
        <f>MID(analisis_productividad__4[[#This Row],[Periodo]],5,2)</f>
        <v>01</v>
      </c>
      <c r="E1610" t="s">
        <v>11</v>
      </c>
      <c r="F1610" t="s">
        <v>12</v>
      </c>
      <c r="G1610">
        <v>82131</v>
      </c>
      <c r="H1610">
        <v>3996396</v>
      </c>
      <c r="I1610">
        <v>48.658655913978492</v>
      </c>
      <c r="J1610">
        <v>73656.967833588133</v>
      </c>
      <c r="K1610">
        <v>53.5</v>
      </c>
      <c r="L1610">
        <v>54</v>
      </c>
      <c r="M1610">
        <v>54.256862555474534</v>
      </c>
      <c r="N1610">
        <v>3749118</v>
      </c>
    </row>
    <row r="1611" spans="1:14" x14ac:dyDescent="0.35">
      <c r="A1611" t="s">
        <v>57</v>
      </c>
      <c r="B1611">
        <v>202409</v>
      </c>
      <c r="C1611" t="str">
        <f>MID(analisis_productividad__4[[#This Row],[Periodo]],1,4)</f>
        <v>2024</v>
      </c>
      <c r="D1611" t="str">
        <f>MID(analisis_productividad__4[[#This Row],[Periodo]],5,2)</f>
        <v>09</v>
      </c>
      <c r="E1611" t="s">
        <v>16</v>
      </c>
      <c r="F1611" t="s">
        <v>19</v>
      </c>
      <c r="G1611">
        <v>82097</v>
      </c>
      <c r="H1611">
        <v>5435511</v>
      </c>
      <c r="I1611">
        <v>66.208479166666663</v>
      </c>
      <c r="J1611">
        <v>0</v>
      </c>
      <c r="K1611">
        <v>71</v>
      </c>
      <c r="L1611">
        <v>74.5</v>
      </c>
      <c r="N1611">
        <v>0</v>
      </c>
    </row>
    <row r="1612" spans="1:14" x14ac:dyDescent="0.35">
      <c r="A1612" t="s">
        <v>90</v>
      </c>
      <c r="B1612">
        <v>202509</v>
      </c>
      <c r="C1612" t="str">
        <f>MID(analisis_productividad__4[[#This Row],[Periodo]],1,4)</f>
        <v>2025</v>
      </c>
      <c r="D1612" t="str">
        <f>MID(analisis_productividad__4[[#This Row],[Periodo]],5,2)</f>
        <v>09</v>
      </c>
      <c r="E1612" t="s">
        <v>11</v>
      </c>
      <c r="F1612" t="s">
        <v>14</v>
      </c>
      <c r="G1612">
        <v>82071</v>
      </c>
      <c r="H1612">
        <v>4990089</v>
      </c>
      <c r="I1612">
        <v>60.801756944444477</v>
      </c>
      <c r="J1612">
        <v>73835.114871549915</v>
      </c>
      <c r="K1612">
        <v>84.5</v>
      </c>
      <c r="L1612">
        <v>78.5</v>
      </c>
      <c r="M1612">
        <v>67.584221933983557</v>
      </c>
      <c r="N1612">
        <v>5521506</v>
      </c>
    </row>
    <row r="1613" spans="1:14" x14ac:dyDescent="0.35">
      <c r="A1613" t="s">
        <v>81</v>
      </c>
      <c r="B1613">
        <v>202406</v>
      </c>
      <c r="C1613" t="str">
        <f>MID(analisis_productividad__4[[#This Row],[Periodo]],1,4)</f>
        <v>2024</v>
      </c>
      <c r="D1613" t="str">
        <f>MID(analisis_productividad__4[[#This Row],[Periodo]],5,2)</f>
        <v>06</v>
      </c>
      <c r="E1613" t="s">
        <v>34</v>
      </c>
      <c r="F1613" t="s">
        <v>35</v>
      </c>
      <c r="G1613">
        <v>82066</v>
      </c>
      <c r="H1613">
        <v>7444901</v>
      </c>
      <c r="I1613">
        <v>90.71844444444443</v>
      </c>
      <c r="J1613">
        <v>0</v>
      </c>
      <c r="K1613">
        <v>106</v>
      </c>
      <c r="L1613">
        <v>94.5</v>
      </c>
      <c r="N1613">
        <v>0</v>
      </c>
    </row>
    <row r="1614" spans="1:14" x14ac:dyDescent="0.35">
      <c r="A1614" t="s">
        <v>70</v>
      </c>
      <c r="B1614">
        <v>202506</v>
      </c>
      <c r="C1614" t="str">
        <f>MID(analisis_productividad__4[[#This Row],[Periodo]],1,4)</f>
        <v>2025</v>
      </c>
      <c r="D1614" t="str">
        <f>MID(analisis_productividad__4[[#This Row],[Periodo]],5,2)</f>
        <v>06</v>
      </c>
      <c r="E1614" t="s">
        <v>11</v>
      </c>
      <c r="F1614" t="s">
        <v>14</v>
      </c>
      <c r="G1614">
        <v>82064</v>
      </c>
      <c r="H1614">
        <v>4608563</v>
      </c>
      <c r="I1614">
        <v>56.158375000000014</v>
      </c>
      <c r="J1614">
        <v>87950.296418144091</v>
      </c>
      <c r="K1614">
        <v>65</v>
      </c>
      <c r="L1614">
        <v>67.5</v>
      </c>
      <c r="M1614">
        <v>52.399628741322324</v>
      </c>
      <c r="N1614">
        <v>4924211</v>
      </c>
    </row>
    <row r="1615" spans="1:14" x14ac:dyDescent="0.35">
      <c r="A1615" t="s">
        <v>82</v>
      </c>
      <c r="B1615">
        <v>202403</v>
      </c>
      <c r="C1615" t="str">
        <f>MID(analisis_productividad__4[[#This Row],[Periodo]],1,4)</f>
        <v>2024</v>
      </c>
      <c r="D1615" t="str">
        <f>MID(analisis_productividad__4[[#This Row],[Periodo]],5,2)</f>
        <v>03</v>
      </c>
      <c r="E1615" t="s">
        <v>11</v>
      </c>
      <c r="F1615" t="s">
        <v>12</v>
      </c>
      <c r="G1615">
        <v>82052</v>
      </c>
      <c r="H1615">
        <v>4702289</v>
      </c>
      <c r="I1615">
        <v>57.308642473118269</v>
      </c>
      <c r="J1615">
        <v>0</v>
      </c>
      <c r="K1615">
        <v>53.5</v>
      </c>
      <c r="L1615">
        <v>54</v>
      </c>
      <c r="N1615">
        <v>0</v>
      </c>
    </row>
    <row r="1616" spans="1:14" x14ac:dyDescent="0.35">
      <c r="A1616" t="s">
        <v>40</v>
      </c>
      <c r="B1616">
        <v>202505</v>
      </c>
      <c r="C1616" t="str">
        <f>MID(analisis_productividad__4[[#This Row],[Periodo]],1,4)</f>
        <v>2025</v>
      </c>
      <c r="D1616" t="str">
        <f>MID(analisis_productividad__4[[#This Row],[Periodo]],5,2)</f>
        <v>05</v>
      </c>
      <c r="E1616" t="s">
        <v>11</v>
      </c>
      <c r="F1616" t="s">
        <v>14</v>
      </c>
      <c r="G1616">
        <v>82036</v>
      </c>
      <c r="H1616">
        <v>5899066</v>
      </c>
      <c r="I1616">
        <v>71.908487903225776</v>
      </c>
      <c r="J1616">
        <v>93633.904142161569</v>
      </c>
      <c r="K1616">
        <v>76.5</v>
      </c>
      <c r="L1616">
        <v>75.5</v>
      </c>
      <c r="M1616">
        <v>63.001383997014834</v>
      </c>
      <c r="N1616">
        <v>6525525</v>
      </c>
    </row>
    <row r="1617" spans="1:14" x14ac:dyDescent="0.35">
      <c r="A1617" t="s">
        <v>72</v>
      </c>
      <c r="B1617">
        <v>202507</v>
      </c>
      <c r="C1617" t="str">
        <f>MID(analisis_productividad__4[[#This Row],[Periodo]],1,4)</f>
        <v>2025</v>
      </c>
      <c r="D1617" t="str">
        <f>MID(analisis_productividad__4[[#This Row],[Periodo]],5,2)</f>
        <v>07</v>
      </c>
      <c r="E1617" t="s">
        <v>11</v>
      </c>
      <c r="F1617" t="s">
        <v>14</v>
      </c>
      <c r="G1617">
        <v>81982</v>
      </c>
      <c r="H1617">
        <v>4718569</v>
      </c>
      <c r="I1617">
        <v>57.555806451612924</v>
      </c>
      <c r="J1617">
        <v>90871.288561249341</v>
      </c>
      <c r="K1617">
        <v>66</v>
      </c>
      <c r="L1617">
        <v>64.5</v>
      </c>
      <c r="M1617">
        <v>51.925846488019978</v>
      </c>
      <c r="N1617">
        <v>5470467</v>
      </c>
    </row>
    <row r="1618" spans="1:14" x14ac:dyDescent="0.35">
      <c r="A1618" t="s">
        <v>120</v>
      </c>
      <c r="B1618">
        <v>202412</v>
      </c>
      <c r="C1618" t="str">
        <f>MID(analisis_productividad__4[[#This Row],[Periodo]],1,4)</f>
        <v>2024</v>
      </c>
      <c r="D1618" t="str">
        <f>MID(analisis_productividad__4[[#This Row],[Periodo]],5,2)</f>
        <v>12</v>
      </c>
      <c r="E1618" t="s">
        <v>9</v>
      </c>
      <c r="F1618" t="s">
        <v>9</v>
      </c>
      <c r="G1618">
        <v>81981</v>
      </c>
      <c r="H1618">
        <v>996614</v>
      </c>
      <c r="I1618">
        <v>12.156713709677421</v>
      </c>
      <c r="J1618">
        <v>0</v>
      </c>
      <c r="K1618">
        <v>11.5</v>
      </c>
      <c r="L1618">
        <v>12</v>
      </c>
      <c r="N1618">
        <v>0</v>
      </c>
    </row>
    <row r="1619" spans="1:14" x14ac:dyDescent="0.35">
      <c r="A1619" t="s">
        <v>43</v>
      </c>
      <c r="B1619">
        <v>202409</v>
      </c>
      <c r="C1619" t="str">
        <f>MID(analisis_productividad__4[[#This Row],[Periodo]],1,4)</f>
        <v>2024</v>
      </c>
      <c r="D1619" t="str">
        <f>MID(analisis_productividad__4[[#This Row],[Periodo]],5,2)</f>
        <v>09</v>
      </c>
      <c r="E1619" t="s">
        <v>11</v>
      </c>
      <c r="F1619" t="s">
        <v>12</v>
      </c>
      <c r="G1619">
        <v>81978</v>
      </c>
      <c r="H1619">
        <v>6313045</v>
      </c>
      <c r="I1619">
        <v>77.008604166666657</v>
      </c>
      <c r="J1619">
        <v>0</v>
      </c>
      <c r="K1619">
        <v>84.5</v>
      </c>
      <c r="L1619">
        <v>86.5</v>
      </c>
      <c r="N1619">
        <v>0</v>
      </c>
    </row>
    <row r="1620" spans="1:14" x14ac:dyDescent="0.35">
      <c r="A1620" t="s">
        <v>70</v>
      </c>
      <c r="B1620">
        <v>202510</v>
      </c>
      <c r="C1620" t="str">
        <f>MID(analisis_productividad__4[[#This Row],[Periodo]],1,4)</f>
        <v>2025</v>
      </c>
      <c r="D1620" t="str">
        <f>MID(analisis_productividad__4[[#This Row],[Periodo]],5,2)</f>
        <v>10</v>
      </c>
      <c r="E1620" t="s">
        <v>11</v>
      </c>
      <c r="F1620" t="s">
        <v>14</v>
      </c>
      <c r="G1620">
        <v>81966</v>
      </c>
      <c r="H1620">
        <v>4647427</v>
      </c>
      <c r="I1620">
        <v>56.699529569892498</v>
      </c>
      <c r="J1620">
        <v>91127.224072556113</v>
      </c>
      <c r="K1620">
        <v>65</v>
      </c>
      <c r="L1620">
        <v>67.5</v>
      </c>
      <c r="M1620">
        <v>50.999328985372003</v>
      </c>
      <c r="N1620">
        <v>5027557</v>
      </c>
    </row>
    <row r="1621" spans="1:14" x14ac:dyDescent="0.35">
      <c r="A1621" t="s">
        <v>86</v>
      </c>
      <c r="B1621">
        <v>202511</v>
      </c>
      <c r="C1621" t="str">
        <f>MID(analisis_productividad__4[[#This Row],[Periodo]],1,4)</f>
        <v>2025</v>
      </c>
      <c r="D1621" t="str">
        <f>MID(analisis_productividad__4[[#This Row],[Periodo]],5,2)</f>
        <v>11</v>
      </c>
      <c r="E1621" t="s">
        <v>11</v>
      </c>
      <c r="F1621" t="s">
        <v>14</v>
      </c>
      <c r="G1621">
        <v>81923</v>
      </c>
      <c r="H1621">
        <v>4127605</v>
      </c>
      <c r="I1621">
        <v>50.383958333333325</v>
      </c>
      <c r="J1621">
        <v>79023.598011527691</v>
      </c>
      <c r="K1621">
        <v>69.5</v>
      </c>
      <c r="L1621">
        <v>59</v>
      </c>
      <c r="M1621">
        <v>52.232565636885809</v>
      </c>
      <c r="N1621">
        <v>4991885</v>
      </c>
    </row>
    <row r="1622" spans="1:14" x14ac:dyDescent="0.35">
      <c r="A1622" t="s">
        <v>106</v>
      </c>
      <c r="B1622">
        <v>202403</v>
      </c>
      <c r="C1622" t="str">
        <f>MID(analisis_productividad__4[[#This Row],[Periodo]],1,4)</f>
        <v>2024</v>
      </c>
      <c r="D1622" t="str">
        <f>MID(analisis_productividad__4[[#This Row],[Periodo]],5,2)</f>
        <v>03</v>
      </c>
      <c r="E1622" t="s">
        <v>34</v>
      </c>
      <c r="F1622" t="s">
        <v>35</v>
      </c>
      <c r="G1622">
        <v>81901</v>
      </c>
      <c r="H1622">
        <v>3706439</v>
      </c>
      <c r="I1622">
        <v>45.255235215053766</v>
      </c>
      <c r="J1622">
        <v>0</v>
      </c>
      <c r="K1622">
        <v>51</v>
      </c>
      <c r="L1622">
        <v>49</v>
      </c>
      <c r="N1622">
        <v>0</v>
      </c>
    </row>
    <row r="1623" spans="1:14" x14ac:dyDescent="0.35">
      <c r="A1623" t="s">
        <v>65</v>
      </c>
      <c r="B1623">
        <v>202411</v>
      </c>
      <c r="C1623" t="str">
        <f>MID(analisis_productividad__4[[#This Row],[Periodo]],1,4)</f>
        <v>2024</v>
      </c>
      <c r="D1623" t="str">
        <f>MID(analisis_productividad__4[[#This Row],[Periodo]],5,2)</f>
        <v>11</v>
      </c>
      <c r="E1623" t="s">
        <v>16</v>
      </c>
      <c r="F1623" t="s">
        <v>19</v>
      </c>
      <c r="G1623">
        <v>81900</v>
      </c>
      <c r="H1623">
        <v>5380279</v>
      </c>
      <c r="I1623">
        <v>65.69320138888888</v>
      </c>
      <c r="J1623">
        <v>0</v>
      </c>
      <c r="K1623">
        <v>68</v>
      </c>
      <c r="L1623">
        <v>68.5</v>
      </c>
      <c r="N1623">
        <v>0</v>
      </c>
    </row>
    <row r="1624" spans="1:14" x14ac:dyDescent="0.35">
      <c r="A1624" t="s">
        <v>66</v>
      </c>
      <c r="B1624">
        <v>202508</v>
      </c>
      <c r="C1624" t="str">
        <f>MID(analisis_productividad__4[[#This Row],[Periodo]],1,4)</f>
        <v>2025</v>
      </c>
      <c r="D1624" t="str">
        <f>MID(analisis_productividad__4[[#This Row],[Periodo]],5,2)</f>
        <v>08</v>
      </c>
      <c r="E1624" t="s">
        <v>11</v>
      </c>
      <c r="F1624" t="s">
        <v>12</v>
      </c>
      <c r="G1624">
        <v>81885</v>
      </c>
      <c r="H1624">
        <v>5378399</v>
      </c>
      <c r="I1624">
        <v>65.682627688172047</v>
      </c>
      <c r="J1624">
        <v>87452.522533776879</v>
      </c>
      <c r="K1624">
        <v>80</v>
      </c>
      <c r="L1624">
        <v>80.5</v>
      </c>
      <c r="M1624">
        <v>61.500785502473022</v>
      </c>
      <c r="N1624">
        <v>6198845</v>
      </c>
    </row>
    <row r="1625" spans="1:14" x14ac:dyDescent="0.35">
      <c r="A1625" t="s">
        <v>76</v>
      </c>
      <c r="B1625">
        <v>202409</v>
      </c>
      <c r="C1625" t="str">
        <f>MID(analisis_productividad__4[[#This Row],[Periodo]],1,4)</f>
        <v>2024</v>
      </c>
      <c r="D1625" t="str">
        <f>MID(analisis_productividad__4[[#This Row],[Periodo]],5,2)</f>
        <v>09</v>
      </c>
      <c r="E1625" t="s">
        <v>11</v>
      </c>
      <c r="F1625" t="s">
        <v>14</v>
      </c>
      <c r="G1625">
        <v>81857</v>
      </c>
      <c r="H1625">
        <v>6066510</v>
      </c>
      <c r="I1625">
        <v>74.110652777777759</v>
      </c>
      <c r="J1625">
        <v>0</v>
      </c>
      <c r="K1625">
        <v>80</v>
      </c>
      <c r="L1625">
        <v>78</v>
      </c>
      <c r="N1625">
        <v>0</v>
      </c>
    </row>
    <row r="1626" spans="1:14" x14ac:dyDescent="0.35">
      <c r="A1626" t="s">
        <v>99</v>
      </c>
      <c r="B1626">
        <v>202603</v>
      </c>
      <c r="C1626" t="str">
        <f>MID(analisis_productividad__4[[#This Row],[Periodo]],1,4)</f>
        <v>2026</v>
      </c>
      <c r="D1626" t="str">
        <f>MID(analisis_productividad__4[[#This Row],[Periodo]],5,2)</f>
        <v>03</v>
      </c>
      <c r="E1626" t="s">
        <v>11</v>
      </c>
      <c r="F1626" t="s">
        <v>12</v>
      </c>
      <c r="G1626">
        <v>81828</v>
      </c>
      <c r="H1626">
        <v>2026405</v>
      </c>
      <c r="I1626">
        <v>24.764193548387091</v>
      </c>
      <c r="J1626">
        <v>87952.153879588732</v>
      </c>
      <c r="K1626">
        <v>27</v>
      </c>
      <c r="L1626">
        <v>27</v>
      </c>
      <c r="M1626">
        <v>23.582599197509253</v>
      </c>
      <c r="N1626">
        <v>2074140</v>
      </c>
    </row>
    <row r="1627" spans="1:14" x14ac:dyDescent="0.35">
      <c r="A1627" t="s">
        <v>40</v>
      </c>
      <c r="B1627">
        <v>202509</v>
      </c>
      <c r="C1627" t="str">
        <f>MID(analisis_productividad__4[[#This Row],[Periodo]],1,4)</f>
        <v>2025</v>
      </c>
      <c r="D1627" t="str">
        <f>MID(analisis_productividad__4[[#This Row],[Periodo]],5,2)</f>
        <v>09</v>
      </c>
      <c r="E1627" t="s">
        <v>11</v>
      </c>
      <c r="F1627" t="s">
        <v>14</v>
      </c>
      <c r="G1627">
        <v>81826</v>
      </c>
      <c r="H1627">
        <v>5108339</v>
      </c>
      <c r="I1627">
        <v>62.429256944444482</v>
      </c>
      <c r="J1627">
        <v>79566.617428393176</v>
      </c>
      <c r="K1627">
        <v>76.5</v>
      </c>
      <c r="L1627">
        <v>75.5</v>
      </c>
      <c r="M1627">
        <v>64.202033152877235</v>
      </c>
      <c r="N1627">
        <v>6022803</v>
      </c>
    </row>
    <row r="1628" spans="1:14" x14ac:dyDescent="0.35">
      <c r="A1628" t="s">
        <v>69</v>
      </c>
      <c r="B1628">
        <v>202503</v>
      </c>
      <c r="C1628" t="str">
        <f>MID(analisis_productividad__4[[#This Row],[Periodo]],1,4)</f>
        <v>2025</v>
      </c>
      <c r="D1628" t="str">
        <f>MID(analisis_productividad__4[[#This Row],[Periodo]],5,2)</f>
        <v>03</v>
      </c>
      <c r="E1628" t="s">
        <v>11</v>
      </c>
      <c r="F1628" t="s">
        <v>52</v>
      </c>
      <c r="G1628">
        <v>81791</v>
      </c>
      <c r="H1628">
        <v>5205947</v>
      </c>
      <c r="I1628">
        <v>63.649193548387068</v>
      </c>
      <c r="J1628">
        <v>84502.305693324117</v>
      </c>
      <c r="K1628">
        <v>68</v>
      </c>
      <c r="L1628">
        <v>60.5</v>
      </c>
      <c r="M1628">
        <v>61.607164884866371</v>
      </c>
      <c r="N1628">
        <v>5415755</v>
      </c>
    </row>
    <row r="1629" spans="1:14" x14ac:dyDescent="0.35">
      <c r="A1629" t="s">
        <v>79</v>
      </c>
      <c r="B1629">
        <v>202510</v>
      </c>
      <c r="C1629" t="str">
        <f>MID(analisis_productividad__4[[#This Row],[Periodo]],1,4)</f>
        <v>2025</v>
      </c>
      <c r="D1629" t="str">
        <f>MID(analisis_productividad__4[[#This Row],[Periodo]],5,2)</f>
        <v>10</v>
      </c>
      <c r="E1629" t="s">
        <v>11</v>
      </c>
      <c r="F1629" t="s">
        <v>12</v>
      </c>
      <c r="G1629">
        <v>81786</v>
      </c>
      <c r="H1629">
        <v>4522139</v>
      </c>
      <c r="I1629">
        <v>55.292096774193553</v>
      </c>
      <c r="J1629">
        <v>79149.315494010414</v>
      </c>
      <c r="K1629">
        <v>64.5</v>
      </c>
      <c r="L1629">
        <v>64</v>
      </c>
      <c r="M1629">
        <v>57.134280717086057</v>
      </c>
      <c r="N1629">
        <v>5558554</v>
      </c>
    </row>
    <row r="1630" spans="1:14" x14ac:dyDescent="0.35">
      <c r="A1630" t="s">
        <v>91</v>
      </c>
      <c r="B1630">
        <v>202511</v>
      </c>
      <c r="C1630" t="str">
        <f>MID(analisis_productividad__4[[#This Row],[Periodo]],1,4)</f>
        <v>2025</v>
      </c>
      <c r="D1630" t="str">
        <f>MID(analisis_productividad__4[[#This Row],[Periodo]],5,2)</f>
        <v>11</v>
      </c>
      <c r="E1630" t="s">
        <v>11</v>
      </c>
      <c r="F1630" t="s">
        <v>12</v>
      </c>
      <c r="G1630">
        <v>81770</v>
      </c>
      <c r="H1630">
        <v>4121437</v>
      </c>
      <c r="I1630">
        <v>50.402819444444454</v>
      </c>
      <c r="J1630">
        <v>74077.284674683659</v>
      </c>
      <c r="K1630">
        <v>55</v>
      </c>
      <c r="L1630">
        <v>55.5</v>
      </c>
      <c r="M1630">
        <v>55.636994094743393</v>
      </c>
      <c r="N1630">
        <v>3664020</v>
      </c>
    </row>
    <row r="1631" spans="1:14" x14ac:dyDescent="0.35">
      <c r="A1631" t="s">
        <v>60</v>
      </c>
      <c r="B1631">
        <v>202504</v>
      </c>
      <c r="C1631" t="str">
        <f>MID(analisis_productividad__4[[#This Row],[Periodo]],1,4)</f>
        <v>2025</v>
      </c>
      <c r="D1631" t="str">
        <f>MID(analisis_productividad__4[[#This Row],[Periodo]],5,2)</f>
        <v>04</v>
      </c>
      <c r="E1631" t="s">
        <v>11</v>
      </c>
      <c r="F1631" t="s">
        <v>14</v>
      </c>
      <c r="G1631">
        <v>81761</v>
      </c>
      <c r="H1631">
        <v>5596179</v>
      </c>
      <c r="I1631">
        <v>68.445465277777785</v>
      </c>
      <c r="J1631">
        <v>86500.821258008567</v>
      </c>
      <c r="K1631">
        <v>75.5</v>
      </c>
      <c r="L1631">
        <v>74</v>
      </c>
      <c r="M1631">
        <v>64.695098943721135</v>
      </c>
      <c r="N1631">
        <v>6448998</v>
      </c>
    </row>
    <row r="1632" spans="1:14" x14ac:dyDescent="0.35">
      <c r="A1632" t="s">
        <v>82</v>
      </c>
      <c r="B1632">
        <v>202605</v>
      </c>
      <c r="C1632" t="str">
        <f>MID(analisis_productividad__4[[#This Row],[Periodo]],1,4)</f>
        <v>2026</v>
      </c>
      <c r="D1632" t="str">
        <f>MID(analisis_productividad__4[[#This Row],[Periodo]],5,2)</f>
        <v>05</v>
      </c>
      <c r="E1632" t="s">
        <v>11</v>
      </c>
      <c r="F1632" t="s">
        <v>12</v>
      </c>
      <c r="G1632">
        <v>81749</v>
      </c>
      <c r="H1632">
        <v>4127750</v>
      </c>
      <c r="I1632">
        <v>50.492768817205032</v>
      </c>
      <c r="J1632">
        <v>91509.49289245125</v>
      </c>
      <c r="K1632">
        <v>53.5</v>
      </c>
      <c r="L1632">
        <v>54</v>
      </c>
      <c r="M1632">
        <v>47.165198395018514</v>
      </c>
      <c r="N1632">
        <v>4316063</v>
      </c>
    </row>
    <row r="1633" spans="1:14" x14ac:dyDescent="0.35">
      <c r="A1633" t="s">
        <v>44</v>
      </c>
      <c r="B1633">
        <v>202502</v>
      </c>
      <c r="C1633" t="str">
        <f>MID(analisis_productividad__4[[#This Row],[Periodo]],1,4)</f>
        <v>2025</v>
      </c>
      <c r="D1633" t="str">
        <f>MID(analisis_productividad__4[[#This Row],[Periodo]],5,2)</f>
        <v>02</v>
      </c>
      <c r="E1633" t="s">
        <v>11</v>
      </c>
      <c r="F1633" t="s">
        <v>12</v>
      </c>
      <c r="G1633">
        <v>81714</v>
      </c>
      <c r="H1633">
        <v>5512561</v>
      </c>
      <c r="I1633">
        <v>67.461874999999978</v>
      </c>
      <c r="J1633">
        <v>92776.425129646726</v>
      </c>
      <c r="K1633">
        <v>78</v>
      </c>
      <c r="L1633">
        <v>74.5</v>
      </c>
      <c r="M1633">
        <v>59.417690240777112</v>
      </c>
      <c r="N1633">
        <v>5877591</v>
      </c>
    </row>
    <row r="1634" spans="1:14" x14ac:dyDescent="0.35">
      <c r="A1634" t="s">
        <v>118</v>
      </c>
      <c r="B1634">
        <v>202512</v>
      </c>
      <c r="C1634" t="str">
        <f>MID(analisis_productividad__4[[#This Row],[Periodo]],1,4)</f>
        <v>2025</v>
      </c>
      <c r="D1634" t="str">
        <f>MID(analisis_productividad__4[[#This Row],[Periodo]],5,2)</f>
        <v>12</v>
      </c>
      <c r="E1634" t="s">
        <v>34</v>
      </c>
      <c r="F1634" t="s">
        <v>35</v>
      </c>
      <c r="G1634">
        <v>81694</v>
      </c>
      <c r="H1634">
        <v>1490427</v>
      </c>
      <c r="I1634">
        <v>18.244126344086006</v>
      </c>
      <c r="J1634">
        <v>76192.543310360532</v>
      </c>
      <c r="K1634">
        <v>19</v>
      </c>
      <c r="L1634">
        <v>21.5</v>
      </c>
      <c r="M1634">
        <v>19.561329432578926</v>
      </c>
      <c r="N1634">
        <v>1696594</v>
      </c>
    </row>
    <row r="1635" spans="1:14" x14ac:dyDescent="0.35">
      <c r="A1635" t="s">
        <v>18</v>
      </c>
      <c r="B1635">
        <v>202606</v>
      </c>
      <c r="C1635" t="str">
        <f>MID(analisis_productividad__4[[#This Row],[Periodo]],1,4)</f>
        <v>2026</v>
      </c>
      <c r="D1635" t="str">
        <f>MID(analisis_productividad__4[[#This Row],[Periodo]],5,2)</f>
        <v>06</v>
      </c>
      <c r="E1635" t="s">
        <v>16</v>
      </c>
      <c r="F1635" t="s">
        <v>19</v>
      </c>
      <c r="G1635">
        <v>81687</v>
      </c>
      <c r="H1635">
        <v>4958196</v>
      </c>
      <c r="I1635">
        <v>60.697388888889805</v>
      </c>
      <c r="J1635">
        <v>76926.953668943737</v>
      </c>
      <c r="K1635">
        <v>70.5</v>
      </c>
      <c r="L1635">
        <v>69.5</v>
      </c>
      <c r="M1635">
        <v>63.576561684054447</v>
      </c>
      <c r="N1635">
        <v>4890751</v>
      </c>
    </row>
    <row r="1636" spans="1:14" x14ac:dyDescent="0.35">
      <c r="A1636" t="s">
        <v>113</v>
      </c>
      <c r="B1636">
        <v>202512</v>
      </c>
      <c r="C1636" t="str">
        <f>MID(analisis_productividad__4[[#This Row],[Periodo]],1,4)</f>
        <v>2025</v>
      </c>
      <c r="D1636" t="str">
        <f>MID(analisis_productividad__4[[#This Row],[Periodo]],5,2)</f>
        <v>12</v>
      </c>
      <c r="E1636" t="s">
        <v>9</v>
      </c>
      <c r="F1636" t="s">
        <v>9</v>
      </c>
      <c r="G1636">
        <v>81614</v>
      </c>
      <c r="H1636">
        <v>740337</v>
      </c>
      <c r="I1636">
        <v>9.0712567204300996</v>
      </c>
      <c r="J1636">
        <v>66578.078651046002</v>
      </c>
      <c r="K1636">
        <v>11.5</v>
      </c>
      <c r="L1636">
        <v>10</v>
      </c>
      <c r="M1636">
        <v>11.119837264759644</v>
      </c>
      <c r="N1636">
        <v>811179</v>
      </c>
    </row>
    <row r="1637" spans="1:14" x14ac:dyDescent="0.35">
      <c r="A1637" t="s">
        <v>92</v>
      </c>
      <c r="B1637">
        <v>202604</v>
      </c>
      <c r="C1637" t="str">
        <f>MID(analisis_productividad__4[[#This Row],[Periodo]],1,4)</f>
        <v>2026</v>
      </c>
      <c r="D1637" t="str">
        <f>MID(analisis_productividad__4[[#This Row],[Periodo]],5,2)</f>
        <v>04</v>
      </c>
      <c r="E1637" t="s">
        <v>11</v>
      </c>
      <c r="F1637" t="s">
        <v>14</v>
      </c>
      <c r="G1637">
        <v>81604</v>
      </c>
      <c r="H1637">
        <v>3916169</v>
      </c>
      <c r="I1637">
        <v>47.989861111111679</v>
      </c>
      <c r="J1637">
        <v>71710.071795226089</v>
      </c>
      <c r="K1637">
        <v>63</v>
      </c>
      <c r="L1637">
        <v>59</v>
      </c>
      <c r="M1637">
        <v>55.026064794188251</v>
      </c>
      <c r="N1637">
        <v>3945923</v>
      </c>
    </row>
    <row r="1638" spans="1:14" x14ac:dyDescent="0.35">
      <c r="A1638" t="s">
        <v>41</v>
      </c>
      <c r="B1638">
        <v>202406</v>
      </c>
      <c r="C1638" t="str">
        <f>MID(analisis_productividad__4[[#This Row],[Periodo]],1,4)</f>
        <v>2024</v>
      </c>
      <c r="D1638" t="str">
        <f>MID(analisis_productividad__4[[#This Row],[Periodo]],5,2)</f>
        <v>06</v>
      </c>
      <c r="E1638" t="s">
        <v>16</v>
      </c>
      <c r="F1638" t="s">
        <v>19</v>
      </c>
      <c r="G1638">
        <v>81581</v>
      </c>
      <c r="H1638">
        <v>4349227</v>
      </c>
      <c r="I1638">
        <v>53.311659722222224</v>
      </c>
      <c r="J1638">
        <v>0</v>
      </c>
      <c r="K1638">
        <v>57.5</v>
      </c>
      <c r="L1638">
        <v>56.5</v>
      </c>
      <c r="N1638">
        <v>0</v>
      </c>
    </row>
    <row r="1639" spans="1:14" x14ac:dyDescent="0.35">
      <c r="A1639" t="s">
        <v>42</v>
      </c>
      <c r="B1639">
        <v>202407</v>
      </c>
      <c r="C1639" t="str">
        <f>MID(analisis_productividad__4[[#This Row],[Periodo]],1,4)</f>
        <v>2024</v>
      </c>
      <c r="D1639" t="str">
        <f>MID(analisis_productividad__4[[#This Row],[Periodo]],5,2)</f>
        <v>07</v>
      </c>
      <c r="E1639" t="s">
        <v>16</v>
      </c>
      <c r="F1639" t="s">
        <v>19</v>
      </c>
      <c r="G1639">
        <v>81575</v>
      </c>
      <c r="H1639">
        <v>5207660</v>
      </c>
      <c r="I1639">
        <v>63.838541666666657</v>
      </c>
      <c r="J1639">
        <v>0</v>
      </c>
      <c r="K1639">
        <v>62</v>
      </c>
      <c r="L1639">
        <v>58</v>
      </c>
      <c r="N1639">
        <v>0</v>
      </c>
    </row>
    <row r="1640" spans="1:14" x14ac:dyDescent="0.35">
      <c r="A1640" t="s">
        <v>64</v>
      </c>
      <c r="B1640">
        <v>202503</v>
      </c>
      <c r="C1640" t="str">
        <f>MID(analisis_productividad__4[[#This Row],[Periodo]],1,4)</f>
        <v>2025</v>
      </c>
      <c r="D1640" t="str">
        <f>MID(analisis_productividad__4[[#This Row],[Periodo]],5,2)</f>
        <v>03</v>
      </c>
      <c r="E1640" t="s">
        <v>16</v>
      </c>
      <c r="F1640" t="s">
        <v>21</v>
      </c>
      <c r="G1640">
        <v>81573</v>
      </c>
      <c r="H1640">
        <v>10163236</v>
      </c>
      <c r="I1640">
        <v>124.59134408602141</v>
      </c>
      <c r="J1640">
        <v>98666.539930854196</v>
      </c>
      <c r="K1640">
        <v>88.5</v>
      </c>
      <c r="L1640">
        <v>92.5</v>
      </c>
      <c r="M1640">
        <v>103.00589751219029</v>
      </c>
      <c r="N1640">
        <v>7789830</v>
      </c>
    </row>
    <row r="1641" spans="1:14" x14ac:dyDescent="0.35">
      <c r="A1641" t="s">
        <v>69</v>
      </c>
      <c r="B1641">
        <v>202407</v>
      </c>
      <c r="C1641" t="str">
        <f>MID(analisis_productividad__4[[#This Row],[Periodo]],1,4)</f>
        <v>2024</v>
      </c>
      <c r="D1641" t="str">
        <f>MID(analisis_productividad__4[[#This Row],[Periodo]],5,2)</f>
        <v>07</v>
      </c>
      <c r="E1641" t="s">
        <v>11</v>
      </c>
      <c r="F1641" t="s">
        <v>52</v>
      </c>
      <c r="G1641">
        <v>81519</v>
      </c>
      <c r="H1641">
        <v>5074911</v>
      </c>
      <c r="I1641">
        <v>62.254274193548397</v>
      </c>
      <c r="J1641">
        <v>0</v>
      </c>
      <c r="K1641">
        <v>68</v>
      </c>
      <c r="L1641">
        <v>60.5</v>
      </c>
      <c r="N1641">
        <v>0</v>
      </c>
    </row>
    <row r="1642" spans="1:14" x14ac:dyDescent="0.35">
      <c r="A1642" t="s">
        <v>96</v>
      </c>
      <c r="B1642">
        <v>202606</v>
      </c>
      <c r="C1642" t="str">
        <f>MID(analisis_productividad__4[[#This Row],[Periodo]],1,4)</f>
        <v>2026</v>
      </c>
      <c r="D1642" t="str">
        <f>MID(analisis_productividad__4[[#This Row],[Periodo]],5,2)</f>
        <v>06</v>
      </c>
      <c r="E1642" t="s">
        <v>16</v>
      </c>
      <c r="F1642" t="s">
        <v>17</v>
      </c>
      <c r="G1642">
        <v>81510</v>
      </c>
      <c r="H1642">
        <v>5287608</v>
      </c>
      <c r="I1642">
        <v>64.87050694444595</v>
      </c>
      <c r="J1642">
        <v>59033.789454761907</v>
      </c>
      <c r="K1642">
        <v>84</v>
      </c>
      <c r="L1642">
        <v>76.5</v>
      </c>
      <c r="M1642">
        <v>84</v>
      </c>
      <c r="N1642">
        <v>4958838</v>
      </c>
    </row>
    <row r="1643" spans="1:14" x14ac:dyDescent="0.35">
      <c r="A1643" t="s">
        <v>100</v>
      </c>
      <c r="B1643">
        <v>202605</v>
      </c>
      <c r="C1643" t="str">
        <f>MID(analisis_productividad__4[[#This Row],[Periodo]],1,4)</f>
        <v>2026</v>
      </c>
      <c r="D1643" t="str">
        <f>MID(analisis_productividad__4[[#This Row],[Periodo]],5,2)</f>
        <v>05</v>
      </c>
      <c r="E1643" t="s">
        <v>34</v>
      </c>
      <c r="F1643" t="s">
        <v>35</v>
      </c>
      <c r="G1643">
        <v>81508</v>
      </c>
      <c r="H1643">
        <v>2717231</v>
      </c>
      <c r="I1643">
        <v>33.337170698925114</v>
      </c>
      <c r="J1643">
        <v>75386.969307890002</v>
      </c>
      <c r="K1643">
        <v>44</v>
      </c>
      <c r="L1643">
        <v>40.5</v>
      </c>
      <c r="M1643">
        <v>35.762421795855829</v>
      </c>
      <c r="N1643">
        <v>2696021</v>
      </c>
    </row>
    <row r="1644" spans="1:14" x14ac:dyDescent="0.35">
      <c r="A1644" t="s">
        <v>80</v>
      </c>
      <c r="B1644">
        <v>202409</v>
      </c>
      <c r="C1644" t="str">
        <f>MID(analisis_productividad__4[[#This Row],[Periodo]],1,4)</f>
        <v>2024</v>
      </c>
      <c r="D1644" t="str">
        <f>MID(analisis_productividad__4[[#This Row],[Periodo]],5,2)</f>
        <v>09</v>
      </c>
      <c r="E1644" t="s">
        <v>16</v>
      </c>
      <c r="F1644" t="s">
        <v>17</v>
      </c>
      <c r="G1644">
        <v>81506</v>
      </c>
      <c r="H1644">
        <v>4323783</v>
      </c>
      <c r="I1644">
        <v>53.048430555555555</v>
      </c>
      <c r="J1644">
        <v>0</v>
      </c>
      <c r="K1644">
        <v>58</v>
      </c>
      <c r="L1644">
        <v>58.5</v>
      </c>
      <c r="N1644">
        <v>0</v>
      </c>
    </row>
    <row r="1645" spans="1:14" x14ac:dyDescent="0.35">
      <c r="A1645" t="s">
        <v>66</v>
      </c>
      <c r="B1645">
        <v>202604</v>
      </c>
      <c r="C1645" t="str">
        <f>MID(analisis_productividad__4[[#This Row],[Periodo]],1,4)</f>
        <v>2026</v>
      </c>
      <c r="D1645" t="str">
        <f>MID(analisis_productividad__4[[#This Row],[Periodo]],5,2)</f>
        <v>04</v>
      </c>
      <c r="E1645" t="s">
        <v>11</v>
      </c>
      <c r="F1645" t="s">
        <v>12</v>
      </c>
      <c r="G1645">
        <v>81489</v>
      </c>
      <c r="H1645">
        <v>5640661</v>
      </c>
      <c r="I1645">
        <v>69.219694444446191</v>
      </c>
      <c r="J1645">
        <v>83564.59103037641</v>
      </c>
      <c r="K1645">
        <v>80</v>
      </c>
      <c r="L1645">
        <v>80.5</v>
      </c>
      <c r="M1645">
        <v>67.651321791845987</v>
      </c>
      <c r="N1645">
        <v>5653255</v>
      </c>
    </row>
    <row r="1646" spans="1:14" x14ac:dyDescent="0.35">
      <c r="A1646" t="s">
        <v>80</v>
      </c>
      <c r="B1646">
        <v>202510</v>
      </c>
      <c r="C1646" t="str">
        <f>MID(analisis_productividad__4[[#This Row],[Periodo]],1,4)</f>
        <v>2025</v>
      </c>
      <c r="D1646" t="str">
        <f>MID(analisis_productividad__4[[#This Row],[Periodo]],5,2)</f>
        <v>10</v>
      </c>
      <c r="E1646" t="s">
        <v>16</v>
      </c>
      <c r="F1646" t="s">
        <v>17</v>
      </c>
      <c r="G1646">
        <v>81477</v>
      </c>
      <c r="H1646">
        <v>4036320</v>
      </c>
      <c r="I1646">
        <v>49.539442204301082</v>
      </c>
      <c r="J1646">
        <v>87110.47860840401</v>
      </c>
      <c r="K1646">
        <v>58</v>
      </c>
      <c r="L1646">
        <v>58.5</v>
      </c>
      <c r="M1646">
        <v>46.335641067303179</v>
      </c>
      <c r="N1646">
        <v>4546736</v>
      </c>
    </row>
    <row r="1647" spans="1:14" x14ac:dyDescent="0.35">
      <c r="A1647" t="s">
        <v>69</v>
      </c>
      <c r="B1647">
        <v>202507</v>
      </c>
      <c r="C1647" t="str">
        <f>MID(analisis_productividad__4[[#This Row],[Periodo]],1,4)</f>
        <v>2025</v>
      </c>
      <c r="D1647" t="str">
        <f>MID(analisis_productividad__4[[#This Row],[Periodo]],5,2)</f>
        <v>07</v>
      </c>
      <c r="E1647" t="s">
        <v>11</v>
      </c>
      <c r="F1647" t="s">
        <v>52</v>
      </c>
      <c r="G1647">
        <v>81466</v>
      </c>
      <c r="H1647">
        <v>4616224</v>
      </c>
      <c r="I1647">
        <v>56.664247311827964</v>
      </c>
      <c r="J1647">
        <v>85595.029811659508</v>
      </c>
      <c r="K1647">
        <v>68</v>
      </c>
      <c r="L1647">
        <v>60.5</v>
      </c>
      <c r="M1647">
        <v>53.930979172007845</v>
      </c>
      <c r="N1647">
        <v>5308384</v>
      </c>
    </row>
    <row r="1648" spans="1:14" x14ac:dyDescent="0.35">
      <c r="A1648" t="s">
        <v>80</v>
      </c>
      <c r="B1648">
        <v>202606</v>
      </c>
      <c r="C1648" t="str">
        <f>MID(analisis_productividad__4[[#This Row],[Periodo]],1,4)</f>
        <v>2026</v>
      </c>
      <c r="D1648" t="str">
        <f>MID(analisis_productividad__4[[#This Row],[Periodo]],5,2)</f>
        <v>06</v>
      </c>
      <c r="E1648" t="s">
        <v>16</v>
      </c>
      <c r="F1648" t="s">
        <v>17</v>
      </c>
      <c r="G1648">
        <v>81464</v>
      </c>
      <c r="H1648">
        <v>4208188</v>
      </c>
      <c r="I1648">
        <v>51.65688888888878</v>
      </c>
      <c r="J1648">
        <v>91650.577626825645</v>
      </c>
      <c r="K1648">
        <v>58</v>
      </c>
      <c r="L1648">
        <v>58.5</v>
      </c>
      <c r="M1648">
        <v>51.139118040082707</v>
      </c>
      <c r="N1648">
        <v>4686930</v>
      </c>
    </row>
    <row r="1649" spans="1:14" x14ac:dyDescent="0.35">
      <c r="A1649" t="s">
        <v>111</v>
      </c>
      <c r="B1649">
        <v>202512</v>
      </c>
      <c r="C1649" t="str">
        <f>MID(analisis_productividad__4[[#This Row],[Periodo]],1,4)</f>
        <v>2025</v>
      </c>
      <c r="D1649" t="str">
        <f>MID(analisis_productividad__4[[#This Row],[Periodo]],5,2)</f>
        <v>12</v>
      </c>
      <c r="E1649" t="s">
        <v>34</v>
      </c>
      <c r="F1649" t="s">
        <v>35</v>
      </c>
      <c r="G1649">
        <v>81462</v>
      </c>
      <c r="H1649">
        <v>3609348</v>
      </c>
      <c r="I1649">
        <v>44.306895161290285</v>
      </c>
      <c r="J1649">
        <v>78313.634233294826</v>
      </c>
      <c r="K1649">
        <v>45.5</v>
      </c>
      <c r="L1649">
        <v>42.5</v>
      </c>
      <c r="M1649">
        <v>46.088372674007459</v>
      </c>
      <c r="N1649">
        <v>3796190</v>
      </c>
    </row>
    <row r="1650" spans="1:14" x14ac:dyDescent="0.35">
      <c r="A1650" t="s">
        <v>84</v>
      </c>
      <c r="B1650">
        <v>202501</v>
      </c>
      <c r="C1650" t="str">
        <f>MID(analisis_productividad__4[[#This Row],[Periodo]],1,4)</f>
        <v>2025</v>
      </c>
      <c r="D1650" t="str">
        <f>MID(analisis_productividad__4[[#This Row],[Periodo]],5,2)</f>
        <v>01</v>
      </c>
      <c r="E1650" t="s">
        <v>11</v>
      </c>
      <c r="F1650" t="s">
        <v>52</v>
      </c>
      <c r="G1650">
        <v>81457</v>
      </c>
      <c r="H1650">
        <v>8642735</v>
      </c>
      <c r="I1650">
        <v>106.10226478494614</v>
      </c>
      <c r="J1650">
        <v>85021.227737521171</v>
      </c>
      <c r="K1650">
        <v>123</v>
      </c>
      <c r="L1650">
        <v>115.5</v>
      </c>
      <c r="M1650">
        <v>101.65384410446276</v>
      </c>
      <c r="N1650">
        <v>9236594</v>
      </c>
    </row>
    <row r="1651" spans="1:14" x14ac:dyDescent="0.35">
      <c r="A1651" t="s">
        <v>97</v>
      </c>
      <c r="B1651">
        <v>202509</v>
      </c>
      <c r="C1651" t="str">
        <f>MID(analisis_productividad__4[[#This Row],[Periodo]],1,4)</f>
        <v>2025</v>
      </c>
      <c r="D1651" t="str">
        <f>MID(analisis_productividad__4[[#This Row],[Periodo]],5,2)</f>
        <v>09</v>
      </c>
      <c r="E1651" t="s">
        <v>11</v>
      </c>
      <c r="F1651" t="s">
        <v>12</v>
      </c>
      <c r="G1651">
        <v>81452</v>
      </c>
      <c r="H1651">
        <v>4124233</v>
      </c>
      <c r="I1651">
        <v>50.633625000000009</v>
      </c>
      <c r="J1651">
        <v>79715.819204288753</v>
      </c>
      <c r="K1651">
        <v>66.5</v>
      </c>
      <c r="L1651">
        <v>63.5</v>
      </c>
      <c r="M1651">
        <v>51.736691552159492</v>
      </c>
      <c r="N1651">
        <v>4831481</v>
      </c>
    </row>
    <row r="1652" spans="1:14" x14ac:dyDescent="0.35">
      <c r="A1652" t="s">
        <v>60</v>
      </c>
      <c r="B1652">
        <v>202502</v>
      </c>
      <c r="C1652" t="str">
        <f>MID(analisis_productividad__4[[#This Row],[Periodo]],1,4)</f>
        <v>2025</v>
      </c>
      <c r="D1652" t="str">
        <f>MID(analisis_productividad__4[[#This Row],[Periodo]],5,2)</f>
        <v>02</v>
      </c>
      <c r="E1652" t="s">
        <v>11</v>
      </c>
      <c r="F1652" t="s">
        <v>14</v>
      </c>
      <c r="G1652">
        <v>81442</v>
      </c>
      <c r="H1652">
        <v>5597847</v>
      </c>
      <c r="I1652">
        <v>68.733750000000001</v>
      </c>
      <c r="J1652">
        <v>77270.044549340411</v>
      </c>
      <c r="K1652">
        <v>75.5</v>
      </c>
      <c r="L1652">
        <v>74</v>
      </c>
      <c r="M1652">
        <v>72.44523867752558</v>
      </c>
      <c r="N1652">
        <v>6188071</v>
      </c>
    </row>
    <row r="1653" spans="1:14" x14ac:dyDescent="0.35">
      <c r="A1653" t="s">
        <v>48</v>
      </c>
      <c r="B1653">
        <v>202403</v>
      </c>
      <c r="C1653" t="str">
        <f>MID(analisis_productividad__4[[#This Row],[Periodo]],1,4)</f>
        <v>2024</v>
      </c>
      <c r="D1653" t="str">
        <f>MID(analisis_productividad__4[[#This Row],[Periodo]],5,2)</f>
        <v>03</v>
      </c>
      <c r="E1653" t="s">
        <v>16</v>
      </c>
      <c r="F1653" t="s">
        <v>21</v>
      </c>
      <c r="G1653">
        <v>81434</v>
      </c>
      <c r="H1653">
        <v>5138725</v>
      </c>
      <c r="I1653">
        <v>63.103071236559131</v>
      </c>
      <c r="J1653">
        <v>0</v>
      </c>
      <c r="K1653">
        <v>56</v>
      </c>
      <c r="L1653">
        <v>60</v>
      </c>
      <c r="N1653">
        <v>0</v>
      </c>
    </row>
    <row r="1654" spans="1:14" x14ac:dyDescent="0.35">
      <c r="A1654" t="s">
        <v>66</v>
      </c>
      <c r="B1654">
        <v>202605</v>
      </c>
      <c r="C1654" t="str">
        <f>MID(analisis_productividad__4[[#This Row],[Periodo]],1,4)</f>
        <v>2026</v>
      </c>
      <c r="D1654" t="str">
        <f>MID(analisis_productividad__4[[#This Row],[Periodo]],5,2)</f>
        <v>05</v>
      </c>
      <c r="E1654" t="s">
        <v>11</v>
      </c>
      <c r="F1654" t="s">
        <v>12</v>
      </c>
      <c r="G1654">
        <v>81432</v>
      </c>
      <c r="H1654">
        <v>5820338</v>
      </c>
      <c r="I1654">
        <v>71.474704301075079</v>
      </c>
      <c r="J1654">
        <v>85501.00919975189</v>
      </c>
      <c r="K1654">
        <v>80</v>
      </c>
      <c r="L1654">
        <v>80.5</v>
      </c>
      <c r="M1654">
        <v>67.651321791845987</v>
      </c>
      <c r="N1654">
        <v>5784256</v>
      </c>
    </row>
    <row r="1655" spans="1:14" x14ac:dyDescent="0.35">
      <c r="A1655" t="s">
        <v>62</v>
      </c>
      <c r="B1655">
        <v>202502</v>
      </c>
      <c r="C1655" t="str">
        <f>MID(analisis_productividad__4[[#This Row],[Periodo]],1,4)</f>
        <v>2025</v>
      </c>
      <c r="D1655" t="str">
        <f>MID(analisis_productividad__4[[#This Row],[Periodo]],5,2)</f>
        <v>02</v>
      </c>
      <c r="E1655" t="s">
        <v>16</v>
      </c>
      <c r="F1655" t="s">
        <v>17</v>
      </c>
      <c r="G1655">
        <v>81423</v>
      </c>
      <c r="H1655">
        <v>2554723</v>
      </c>
      <c r="I1655">
        <v>31.37598958333334</v>
      </c>
      <c r="J1655">
        <v>80167.817785656182</v>
      </c>
      <c r="K1655">
        <v>32.5</v>
      </c>
      <c r="L1655">
        <v>32</v>
      </c>
      <c r="M1655">
        <v>31.867186865813601</v>
      </c>
      <c r="N1655">
        <v>2376789</v>
      </c>
    </row>
    <row r="1656" spans="1:14" x14ac:dyDescent="0.35">
      <c r="A1656" t="s">
        <v>41</v>
      </c>
      <c r="B1656">
        <v>202506</v>
      </c>
      <c r="C1656" t="str">
        <f>MID(analisis_productividad__4[[#This Row],[Periodo]],1,4)</f>
        <v>2025</v>
      </c>
      <c r="D1656" t="str">
        <f>MID(analisis_productividad__4[[#This Row],[Periodo]],5,2)</f>
        <v>06</v>
      </c>
      <c r="E1656" t="s">
        <v>16</v>
      </c>
      <c r="F1656" t="s">
        <v>19</v>
      </c>
      <c r="G1656">
        <v>81409</v>
      </c>
      <c r="H1656">
        <v>4237215</v>
      </c>
      <c r="I1656">
        <v>52.048256944444447</v>
      </c>
      <c r="J1656">
        <v>85660.22033068382</v>
      </c>
      <c r="K1656">
        <v>57.5</v>
      </c>
      <c r="L1656">
        <v>56.5</v>
      </c>
      <c r="M1656">
        <v>49.465371950277529</v>
      </c>
      <c r="N1656">
        <v>4223065</v>
      </c>
    </row>
    <row r="1657" spans="1:14" x14ac:dyDescent="0.35">
      <c r="A1657" t="s">
        <v>67</v>
      </c>
      <c r="B1657">
        <v>202406</v>
      </c>
      <c r="C1657" t="str">
        <f>MID(analisis_productividad__4[[#This Row],[Periodo]],1,4)</f>
        <v>2024</v>
      </c>
      <c r="D1657" t="str">
        <f>MID(analisis_productividad__4[[#This Row],[Periodo]],5,2)</f>
        <v>06</v>
      </c>
      <c r="E1657" t="s">
        <v>16</v>
      </c>
      <c r="F1657" t="s">
        <v>19</v>
      </c>
      <c r="G1657">
        <v>81403</v>
      </c>
      <c r="H1657">
        <v>5859897</v>
      </c>
      <c r="I1657">
        <v>71.98649305555557</v>
      </c>
      <c r="J1657">
        <v>0</v>
      </c>
      <c r="K1657">
        <v>79.5</v>
      </c>
      <c r="L1657">
        <v>81.5</v>
      </c>
      <c r="N1657">
        <v>0</v>
      </c>
    </row>
    <row r="1658" spans="1:14" x14ac:dyDescent="0.35">
      <c r="A1658" t="s">
        <v>66</v>
      </c>
      <c r="B1658">
        <v>202505</v>
      </c>
      <c r="C1658" t="str">
        <f>MID(analisis_productividad__4[[#This Row],[Periodo]],1,4)</f>
        <v>2025</v>
      </c>
      <c r="D1658" t="str">
        <f>MID(analisis_productividad__4[[#This Row],[Periodo]],5,2)</f>
        <v>05</v>
      </c>
      <c r="E1658" t="s">
        <v>11</v>
      </c>
      <c r="F1658" t="s">
        <v>12</v>
      </c>
      <c r="G1658">
        <v>81399</v>
      </c>
      <c r="H1658">
        <v>5694757</v>
      </c>
      <c r="I1658">
        <v>69.960625000000022</v>
      </c>
      <c r="J1658">
        <v>78727.688865439137</v>
      </c>
      <c r="K1658">
        <v>80</v>
      </c>
      <c r="L1658">
        <v>80.5</v>
      </c>
      <c r="M1658">
        <v>72.334872928042415</v>
      </c>
      <c r="N1658">
        <v>6244975</v>
      </c>
    </row>
    <row r="1659" spans="1:14" x14ac:dyDescent="0.35">
      <c r="A1659" t="s">
        <v>82</v>
      </c>
      <c r="B1659">
        <v>202408</v>
      </c>
      <c r="C1659" t="str">
        <f>MID(analisis_productividad__4[[#This Row],[Periodo]],1,4)</f>
        <v>2024</v>
      </c>
      <c r="D1659" t="str">
        <f>MID(analisis_productividad__4[[#This Row],[Periodo]],5,2)</f>
        <v>08</v>
      </c>
      <c r="E1659" t="s">
        <v>11</v>
      </c>
      <c r="F1659" t="s">
        <v>12</v>
      </c>
      <c r="G1659">
        <v>81381</v>
      </c>
      <c r="H1659">
        <v>4193908</v>
      </c>
      <c r="I1659">
        <v>51.53434811827956</v>
      </c>
      <c r="J1659">
        <v>0</v>
      </c>
      <c r="K1659">
        <v>53.5</v>
      </c>
      <c r="L1659">
        <v>54</v>
      </c>
      <c r="N1659">
        <v>0</v>
      </c>
    </row>
    <row r="1660" spans="1:14" x14ac:dyDescent="0.35">
      <c r="A1660" t="s">
        <v>90</v>
      </c>
      <c r="B1660">
        <v>202510</v>
      </c>
      <c r="C1660" t="str">
        <f>MID(analisis_productividad__4[[#This Row],[Periodo]],1,4)</f>
        <v>2025</v>
      </c>
      <c r="D1660" t="str">
        <f>MID(analisis_productividad__4[[#This Row],[Periodo]],5,2)</f>
        <v>10</v>
      </c>
      <c r="E1660" t="s">
        <v>11</v>
      </c>
      <c r="F1660" t="s">
        <v>14</v>
      </c>
      <c r="G1660">
        <v>81377</v>
      </c>
      <c r="H1660">
        <v>5189123</v>
      </c>
      <c r="I1660">
        <v>63.766330645161268</v>
      </c>
      <c r="J1660">
        <v>74437.600939492462</v>
      </c>
      <c r="K1660">
        <v>84.5</v>
      </c>
      <c r="L1660">
        <v>78.5</v>
      </c>
      <c r="M1660">
        <v>69.711040851760416</v>
      </c>
      <c r="N1660">
        <v>5761698</v>
      </c>
    </row>
    <row r="1661" spans="1:14" x14ac:dyDescent="0.35">
      <c r="A1661" t="s">
        <v>88</v>
      </c>
      <c r="B1661">
        <v>202604</v>
      </c>
      <c r="C1661" t="str">
        <f>MID(analisis_productividad__4[[#This Row],[Periodo]],1,4)</f>
        <v>2026</v>
      </c>
      <c r="D1661" t="str">
        <f>MID(analisis_productividad__4[[#This Row],[Periodo]],5,2)</f>
        <v>04</v>
      </c>
      <c r="E1661" t="s">
        <v>34</v>
      </c>
      <c r="F1661" t="s">
        <v>35</v>
      </c>
      <c r="G1661">
        <v>81376</v>
      </c>
      <c r="H1661">
        <v>1148081</v>
      </c>
      <c r="I1661">
        <v>14.108402777777787</v>
      </c>
      <c r="J1661">
        <v>73824.87633426211</v>
      </c>
      <c r="K1661">
        <v>15.5</v>
      </c>
      <c r="L1661">
        <v>14.5</v>
      </c>
      <c r="M1661">
        <v>13.971887755419019</v>
      </c>
      <c r="N1661">
        <v>1031473</v>
      </c>
    </row>
    <row r="1662" spans="1:14" x14ac:dyDescent="0.35">
      <c r="A1662" t="s">
        <v>84</v>
      </c>
      <c r="B1662">
        <v>202406</v>
      </c>
      <c r="C1662" t="str">
        <f>MID(analisis_productividad__4[[#This Row],[Periodo]],1,4)</f>
        <v>2024</v>
      </c>
      <c r="D1662" t="str">
        <f>MID(analisis_productividad__4[[#This Row],[Periodo]],5,2)</f>
        <v>06</v>
      </c>
      <c r="E1662" t="s">
        <v>11</v>
      </c>
      <c r="F1662" t="s">
        <v>52</v>
      </c>
      <c r="G1662">
        <v>81369</v>
      </c>
      <c r="H1662">
        <v>9154834</v>
      </c>
      <c r="I1662">
        <v>112.50997916666672</v>
      </c>
      <c r="J1662">
        <v>0</v>
      </c>
      <c r="K1662">
        <v>123</v>
      </c>
      <c r="L1662">
        <v>115.5</v>
      </c>
      <c r="N1662">
        <v>0</v>
      </c>
    </row>
    <row r="1663" spans="1:14" x14ac:dyDescent="0.35">
      <c r="A1663" t="s">
        <v>87</v>
      </c>
      <c r="B1663">
        <v>202602</v>
      </c>
      <c r="C1663" t="str">
        <f>MID(analisis_productividad__4[[#This Row],[Periodo]],1,4)</f>
        <v>2026</v>
      </c>
      <c r="D1663" t="str">
        <f>MID(analisis_productividad__4[[#This Row],[Periodo]],5,2)</f>
        <v>02</v>
      </c>
      <c r="E1663" t="s">
        <v>9</v>
      </c>
      <c r="F1663" t="s">
        <v>9</v>
      </c>
      <c r="G1663">
        <v>81351</v>
      </c>
      <c r="H1663">
        <v>842265</v>
      </c>
      <c r="I1663">
        <v>10.3534375</v>
      </c>
      <c r="J1663">
        <v>81269.881678709324</v>
      </c>
      <c r="K1663">
        <v>13.5</v>
      </c>
      <c r="L1663">
        <v>12</v>
      </c>
      <c r="M1663">
        <v>11.788780293634797</v>
      </c>
      <c r="N1663">
        <v>958073</v>
      </c>
    </row>
    <row r="1664" spans="1:14" x14ac:dyDescent="0.35">
      <c r="A1664" t="s">
        <v>65</v>
      </c>
      <c r="B1664">
        <v>202405</v>
      </c>
      <c r="C1664" t="str">
        <f>MID(analisis_productividad__4[[#This Row],[Periodo]],1,4)</f>
        <v>2024</v>
      </c>
      <c r="D1664" t="str">
        <f>MID(analisis_productividad__4[[#This Row],[Periodo]],5,2)</f>
        <v>05</v>
      </c>
      <c r="E1664" t="s">
        <v>16</v>
      </c>
      <c r="F1664" t="s">
        <v>19</v>
      </c>
      <c r="G1664">
        <v>81349</v>
      </c>
      <c r="H1664">
        <v>4923225</v>
      </c>
      <c r="I1664">
        <v>60.520080645161329</v>
      </c>
      <c r="J1664">
        <v>0</v>
      </c>
      <c r="K1664">
        <v>68</v>
      </c>
      <c r="L1664">
        <v>68.5</v>
      </c>
      <c r="N1664">
        <v>0</v>
      </c>
    </row>
    <row r="1665" spans="1:14" x14ac:dyDescent="0.35">
      <c r="A1665" t="s">
        <v>86</v>
      </c>
      <c r="B1665">
        <v>202605</v>
      </c>
      <c r="C1665" t="str">
        <f>MID(analisis_productividad__4[[#This Row],[Periodo]],1,4)</f>
        <v>2026</v>
      </c>
      <c r="D1665" t="str">
        <f>MID(analisis_productividad__4[[#This Row],[Periodo]],5,2)</f>
        <v>05</v>
      </c>
      <c r="E1665" t="s">
        <v>11</v>
      </c>
      <c r="F1665" t="s">
        <v>14</v>
      </c>
      <c r="G1665">
        <v>81319</v>
      </c>
      <c r="H1665">
        <v>4156942</v>
      </c>
      <c r="I1665">
        <v>51.119005376344312</v>
      </c>
      <c r="J1665">
        <v>80311.940048829449</v>
      </c>
      <c r="K1665">
        <v>69.5</v>
      </c>
      <c r="L1665">
        <v>59</v>
      </c>
      <c r="M1665">
        <v>57.926444284268129</v>
      </c>
      <c r="N1665">
        <v>4652185</v>
      </c>
    </row>
    <row r="1666" spans="1:14" x14ac:dyDescent="0.35">
      <c r="A1666" t="s">
        <v>91</v>
      </c>
      <c r="B1666">
        <v>202408</v>
      </c>
      <c r="C1666" t="str">
        <f>MID(analisis_productividad__4[[#This Row],[Periodo]],1,4)</f>
        <v>2024</v>
      </c>
      <c r="D1666" t="str">
        <f>MID(analisis_productividad__4[[#This Row],[Periodo]],5,2)</f>
        <v>08</v>
      </c>
      <c r="E1666" t="s">
        <v>11</v>
      </c>
      <c r="F1666" t="s">
        <v>12</v>
      </c>
      <c r="G1666">
        <v>81295</v>
      </c>
      <c r="H1666">
        <v>3935062</v>
      </c>
      <c r="I1666">
        <v>48.404670698924733</v>
      </c>
      <c r="J1666">
        <v>0</v>
      </c>
      <c r="K1666">
        <v>55</v>
      </c>
      <c r="L1666">
        <v>55.5</v>
      </c>
      <c r="N1666">
        <v>0</v>
      </c>
    </row>
    <row r="1667" spans="1:14" x14ac:dyDescent="0.35">
      <c r="A1667" t="s">
        <v>67</v>
      </c>
      <c r="B1667">
        <v>202410</v>
      </c>
      <c r="C1667" t="str">
        <f>MID(analisis_productividad__4[[#This Row],[Periodo]],1,4)</f>
        <v>2024</v>
      </c>
      <c r="D1667" t="str">
        <f>MID(analisis_productividad__4[[#This Row],[Periodo]],5,2)</f>
        <v>10</v>
      </c>
      <c r="E1667" t="s">
        <v>16</v>
      </c>
      <c r="F1667" t="s">
        <v>19</v>
      </c>
      <c r="G1667">
        <v>81254</v>
      </c>
      <c r="H1667">
        <v>5687338</v>
      </c>
      <c r="I1667">
        <v>69.994260752688191</v>
      </c>
      <c r="J1667">
        <v>0</v>
      </c>
      <c r="K1667">
        <v>79.5</v>
      </c>
      <c r="L1667">
        <v>81.5</v>
      </c>
      <c r="N1667">
        <v>0</v>
      </c>
    </row>
    <row r="1668" spans="1:14" x14ac:dyDescent="0.35">
      <c r="A1668" t="s">
        <v>24</v>
      </c>
      <c r="B1668">
        <v>202404</v>
      </c>
      <c r="C1668" t="str">
        <f>MID(analisis_productividad__4[[#This Row],[Periodo]],1,4)</f>
        <v>2024</v>
      </c>
      <c r="D1668" t="str">
        <f>MID(analisis_productividad__4[[#This Row],[Periodo]],5,2)</f>
        <v>04</v>
      </c>
      <c r="E1668" t="s">
        <v>16</v>
      </c>
      <c r="F1668" t="s">
        <v>21</v>
      </c>
      <c r="G1668">
        <v>81252</v>
      </c>
      <c r="H1668">
        <v>8941911</v>
      </c>
      <c r="I1668">
        <v>110.05176388888883</v>
      </c>
      <c r="J1668">
        <v>0</v>
      </c>
      <c r="K1668">
        <v>125</v>
      </c>
      <c r="L1668">
        <v>118.5</v>
      </c>
      <c r="N1668">
        <v>0</v>
      </c>
    </row>
    <row r="1669" spans="1:14" x14ac:dyDescent="0.35">
      <c r="A1669" t="s">
        <v>64</v>
      </c>
      <c r="B1669">
        <v>202411</v>
      </c>
      <c r="C1669" t="str">
        <f>MID(analisis_productividad__4[[#This Row],[Periodo]],1,4)</f>
        <v>2024</v>
      </c>
      <c r="D1669" t="str">
        <f>MID(analisis_productividad__4[[#This Row],[Periodo]],5,2)</f>
        <v>11</v>
      </c>
      <c r="E1669" t="s">
        <v>16</v>
      </c>
      <c r="F1669" t="s">
        <v>21</v>
      </c>
      <c r="G1669">
        <v>81251</v>
      </c>
      <c r="H1669">
        <v>6339592</v>
      </c>
      <c r="I1669">
        <v>78.024965277777767</v>
      </c>
      <c r="J1669">
        <v>0</v>
      </c>
      <c r="K1669">
        <v>88.5</v>
      </c>
      <c r="L1669">
        <v>92.5</v>
      </c>
      <c r="N1669">
        <v>0</v>
      </c>
    </row>
    <row r="1670" spans="1:14" x14ac:dyDescent="0.35">
      <c r="A1670" t="s">
        <v>88</v>
      </c>
      <c r="B1670">
        <v>202501</v>
      </c>
      <c r="C1670" t="str">
        <f>MID(analisis_productividad__4[[#This Row],[Periodo]],1,4)</f>
        <v>2025</v>
      </c>
      <c r="D1670" t="str">
        <f>MID(analisis_productividad__4[[#This Row],[Periodo]],5,2)</f>
        <v>01</v>
      </c>
      <c r="E1670" t="s">
        <v>34</v>
      </c>
      <c r="F1670" t="s">
        <v>35</v>
      </c>
      <c r="G1670">
        <v>81243</v>
      </c>
      <c r="H1670">
        <v>995607</v>
      </c>
      <c r="I1670">
        <v>12.254610215053766</v>
      </c>
      <c r="J1670">
        <v>86737.8297664071</v>
      </c>
      <c r="K1670">
        <v>15.5</v>
      </c>
      <c r="L1670">
        <v>14.5</v>
      </c>
      <c r="M1670">
        <v>11.478348751418622</v>
      </c>
      <c r="N1670">
        <v>1114787</v>
      </c>
    </row>
    <row r="1671" spans="1:14" x14ac:dyDescent="0.35">
      <c r="A1671" t="s">
        <v>57</v>
      </c>
      <c r="B1671">
        <v>202606</v>
      </c>
      <c r="C1671" t="str">
        <f>MID(analisis_productividad__4[[#This Row],[Periodo]],1,4)</f>
        <v>2026</v>
      </c>
      <c r="D1671" t="str">
        <f>MID(analisis_productividad__4[[#This Row],[Periodo]],5,2)</f>
        <v>06</v>
      </c>
      <c r="E1671" t="s">
        <v>16</v>
      </c>
      <c r="F1671" t="s">
        <v>19</v>
      </c>
      <c r="G1671">
        <v>81223</v>
      </c>
      <c r="H1671">
        <v>5233390</v>
      </c>
      <c r="I1671">
        <v>64.432083333335086</v>
      </c>
      <c r="J1671">
        <v>88730.347228787374</v>
      </c>
      <c r="K1671">
        <v>71</v>
      </c>
      <c r="L1671">
        <v>74.5</v>
      </c>
      <c r="M1671">
        <v>62.681117153293116</v>
      </c>
      <c r="N1671">
        <v>5561717</v>
      </c>
    </row>
    <row r="1672" spans="1:14" x14ac:dyDescent="0.35">
      <c r="A1672" t="s">
        <v>22</v>
      </c>
      <c r="B1672">
        <v>202404</v>
      </c>
      <c r="C1672" t="str">
        <f>MID(analisis_productividad__4[[#This Row],[Periodo]],1,4)</f>
        <v>2024</v>
      </c>
      <c r="D1672" t="str">
        <f>MID(analisis_productividad__4[[#This Row],[Periodo]],5,2)</f>
        <v>04</v>
      </c>
      <c r="E1672" t="s">
        <v>16</v>
      </c>
      <c r="F1672" t="s">
        <v>21</v>
      </c>
      <c r="G1672">
        <v>81221</v>
      </c>
      <c r="H1672">
        <v>4743050</v>
      </c>
      <c r="I1672">
        <v>58.396770833333363</v>
      </c>
      <c r="J1672">
        <v>0</v>
      </c>
      <c r="K1672">
        <v>59.5</v>
      </c>
      <c r="L1672">
        <v>55.5</v>
      </c>
      <c r="N1672">
        <v>0</v>
      </c>
    </row>
    <row r="1673" spans="1:14" x14ac:dyDescent="0.35">
      <c r="A1673" t="s">
        <v>97</v>
      </c>
      <c r="B1673">
        <v>202403</v>
      </c>
      <c r="C1673" t="str">
        <f>MID(analisis_productividad__4[[#This Row],[Periodo]],1,4)</f>
        <v>2024</v>
      </c>
      <c r="D1673" t="str">
        <f>MID(analisis_productividad__4[[#This Row],[Periodo]],5,2)</f>
        <v>03</v>
      </c>
      <c r="E1673" t="s">
        <v>11</v>
      </c>
      <c r="F1673" t="s">
        <v>12</v>
      </c>
      <c r="G1673">
        <v>81216</v>
      </c>
      <c r="H1673">
        <v>5439675</v>
      </c>
      <c r="I1673">
        <v>66.977580645161325</v>
      </c>
      <c r="J1673">
        <v>0</v>
      </c>
      <c r="K1673">
        <v>66.5</v>
      </c>
      <c r="L1673">
        <v>63.5</v>
      </c>
      <c r="N1673">
        <v>0</v>
      </c>
    </row>
    <row r="1674" spans="1:14" x14ac:dyDescent="0.35">
      <c r="A1674" t="s">
        <v>49</v>
      </c>
      <c r="B1674">
        <v>202409</v>
      </c>
      <c r="C1674" t="str">
        <f>MID(analisis_productividad__4[[#This Row],[Periodo]],1,4)</f>
        <v>2024</v>
      </c>
      <c r="D1674" t="str">
        <f>MID(analisis_productividad__4[[#This Row],[Periodo]],5,2)</f>
        <v>09</v>
      </c>
      <c r="E1674" t="s">
        <v>16</v>
      </c>
      <c r="F1674" t="s">
        <v>21</v>
      </c>
      <c r="G1674">
        <v>81195</v>
      </c>
      <c r="H1674">
        <v>5003757</v>
      </c>
      <c r="I1674">
        <v>61.626250000000027</v>
      </c>
      <c r="J1674">
        <v>0</v>
      </c>
      <c r="K1674">
        <v>75.5</v>
      </c>
      <c r="L1674">
        <v>68</v>
      </c>
      <c r="N1674">
        <v>0</v>
      </c>
    </row>
    <row r="1675" spans="1:14" x14ac:dyDescent="0.35">
      <c r="A1675" t="s">
        <v>87</v>
      </c>
      <c r="B1675">
        <v>202509</v>
      </c>
      <c r="C1675" t="str">
        <f>MID(analisis_productividad__4[[#This Row],[Periodo]],1,4)</f>
        <v>2025</v>
      </c>
      <c r="D1675" t="str">
        <f>MID(analisis_productividad__4[[#This Row],[Periodo]],5,2)</f>
        <v>09</v>
      </c>
      <c r="E1675" t="s">
        <v>9</v>
      </c>
      <c r="F1675" t="s">
        <v>9</v>
      </c>
      <c r="G1675">
        <v>81176</v>
      </c>
      <c r="H1675">
        <v>848948</v>
      </c>
      <c r="I1675">
        <v>10.458145833333331</v>
      </c>
      <c r="J1675">
        <v>90447.337344018684</v>
      </c>
      <c r="K1675">
        <v>13.5</v>
      </c>
      <c r="L1675">
        <v>12</v>
      </c>
      <c r="M1675">
        <v>9.3860988607216438</v>
      </c>
      <c r="N1675">
        <v>1057553</v>
      </c>
    </row>
    <row r="1676" spans="1:14" x14ac:dyDescent="0.35">
      <c r="A1676" t="s">
        <v>33</v>
      </c>
      <c r="B1676">
        <v>202409</v>
      </c>
      <c r="C1676" t="str">
        <f>MID(analisis_productividad__4[[#This Row],[Periodo]],1,4)</f>
        <v>2024</v>
      </c>
      <c r="D1676" t="str">
        <f>MID(analisis_productividad__4[[#This Row],[Periodo]],5,2)</f>
        <v>09</v>
      </c>
      <c r="E1676" t="s">
        <v>34</v>
      </c>
      <c r="F1676" t="s">
        <v>35</v>
      </c>
      <c r="G1676">
        <v>81140</v>
      </c>
      <c r="H1676">
        <v>986090</v>
      </c>
      <c r="I1676">
        <v>12.153020833333336</v>
      </c>
      <c r="J1676">
        <v>0</v>
      </c>
      <c r="K1676">
        <v>15</v>
      </c>
      <c r="L1676">
        <v>15</v>
      </c>
      <c r="N1676">
        <v>0</v>
      </c>
    </row>
    <row r="1677" spans="1:14" x14ac:dyDescent="0.35">
      <c r="A1677" t="s">
        <v>94</v>
      </c>
      <c r="B1677">
        <v>202507</v>
      </c>
      <c r="C1677" t="str">
        <f>MID(analisis_productividad__4[[#This Row],[Periodo]],1,4)</f>
        <v>2025</v>
      </c>
      <c r="D1677" t="str">
        <f>MID(analisis_productividad__4[[#This Row],[Periodo]],5,2)</f>
        <v>07</v>
      </c>
      <c r="E1677" t="s">
        <v>11</v>
      </c>
      <c r="F1677" t="s">
        <v>52</v>
      </c>
      <c r="G1677">
        <v>81137</v>
      </c>
      <c r="H1677">
        <v>4925661</v>
      </c>
      <c r="I1677">
        <v>60.708252688172053</v>
      </c>
      <c r="J1677">
        <v>74033.598825743931</v>
      </c>
      <c r="K1677">
        <v>75.5</v>
      </c>
      <c r="L1677">
        <v>70.5</v>
      </c>
      <c r="M1677">
        <v>66.532783602668601</v>
      </c>
      <c r="N1677">
        <v>5694801</v>
      </c>
    </row>
    <row r="1678" spans="1:14" x14ac:dyDescent="0.35">
      <c r="A1678" t="s">
        <v>74</v>
      </c>
      <c r="B1678">
        <v>202505</v>
      </c>
      <c r="C1678" t="str">
        <f>MID(analisis_productividad__4[[#This Row],[Periodo]],1,4)</f>
        <v>2025</v>
      </c>
      <c r="D1678" t="str">
        <f>MID(analisis_productividad__4[[#This Row],[Periodo]],5,2)</f>
        <v>05</v>
      </c>
      <c r="E1678" t="s">
        <v>16</v>
      </c>
      <c r="F1678" t="s">
        <v>19</v>
      </c>
      <c r="G1678">
        <v>81125</v>
      </c>
      <c r="H1678">
        <v>3887723</v>
      </c>
      <c r="I1678">
        <v>47.922526881720422</v>
      </c>
      <c r="J1678">
        <v>77433.949758027622</v>
      </c>
      <c r="K1678">
        <v>50.5</v>
      </c>
      <c r="L1678">
        <v>51.5</v>
      </c>
      <c r="M1678">
        <v>50.206955891423547</v>
      </c>
      <c r="N1678">
        <v>3866132</v>
      </c>
    </row>
    <row r="1679" spans="1:14" x14ac:dyDescent="0.35">
      <c r="A1679" t="s">
        <v>88</v>
      </c>
      <c r="B1679">
        <v>202510</v>
      </c>
      <c r="C1679" t="str">
        <f>MID(analisis_productividad__4[[#This Row],[Periodo]],1,4)</f>
        <v>2025</v>
      </c>
      <c r="D1679" t="str">
        <f>MID(analisis_productividad__4[[#This Row],[Periodo]],5,2)</f>
        <v>10</v>
      </c>
      <c r="E1679" t="s">
        <v>34</v>
      </c>
      <c r="F1679" t="s">
        <v>35</v>
      </c>
      <c r="G1679">
        <v>81106</v>
      </c>
      <c r="H1679">
        <v>1038177</v>
      </c>
      <c r="I1679">
        <v>12.80021505376344</v>
      </c>
      <c r="J1679">
        <v>78011.507803041328</v>
      </c>
      <c r="K1679">
        <v>15.5</v>
      </c>
      <c r="L1679">
        <v>14.5</v>
      </c>
      <c r="M1679">
        <v>13.307996207702143</v>
      </c>
      <c r="N1679">
        <v>1225300</v>
      </c>
    </row>
    <row r="1680" spans="1:14" x14ac:dyDescent="0.35">
      <c r="A1680" t="s">
        <v>44</v>
      </c>
      <c r="B1680">
        <v>202507</v>
      </c>
      <c r="C1680" t="str">
        <f>MID(analisis_productividad__4[[#This Row],[Periodo]],1,4)</f>
        <v>2025</v>
      </c>
      <c r="D1680" t="str">
        <f>MID(analisis_productividad__4[[#This Row],[Periodo]],5,2)</f>
        <v>07</v>
      </c>
      <c r="E1680" t="s">
        <v>11</v>
      </c>
      <c r="F1680" t="s">
        <v>12</v>
      </c>
      <c r="G1680">
        <v>81105</v>
      </c>
      <c r="H1680">
        <v>5779519</v>
      </c>
      <c r="I1680">
        <v>71.260047043010772</v>
      </c>
      <c r="J1680">
        <v>103473.74660360924</v>
      </c>
      <c r="K1680">
        <v>78</v>
      </c>
      <c r="L1680">
        <v>74.5</v>
      </c>
      <c r="M1680">
        <v>55.854929967312174</v>
      </c>
      <c r="N1680">
        <v>6256489</v>
      </c>
    </row>
    <row r="1681" spans="1:14" x14ac:dyDescent="0.35">
      <c r="A1681" t="s">
        <v>72</v>
      </c>
      <c r="B1681">
        <v>202408</v>
      </c>
      <c r="C1681" t="str">
        <f>MID(analisis_productividad__4[[#This Row],[Periodo]],1,4)</f>
        <v>2024</v>
      </c>
      <c r="D1681" t="str">
        <f>MID(analisis_productividad__4[[#This Row],[Periodo]],5,2)</f>
        <v>08</v>
      </c>
      <c r="E1681" t="s">
        <v>11</v>
      </c>
      <c r="F1681" t="s">
        <v>14</v>
      </c>
      <c r="G1681">
        <v>81090</v>
      </c>
      <c r="H1681">
        <v>5031017</v>
      </c>
      <c r="I1681">
        <v>62.042251344086033</v>
      </c>
      <c r="J1681">
        <v>0</v>
      </c>
      <c r="K1681">
        <v>66</v>
      </c>
      <c r="L1681">
        <v>64.5</v>
      </c>
      <c r="N1681">
        <v>0</v>
      </c>
    </row>
    <row r="1682" spans="1:14" x14ac:dyDescent="0.35">
      <c r="A1682" t="s">
        <v>84</v>
      </c>
      <c r="B1682">
        <v>202411</v>
      </c>
      <c r="C1682" t="str">
        <f>MID(analisis_productividad__4[[#This Row],[Periodo]],1,4)</f>
        <v>2024</v>
      </c>
      <c r="D1682" t="str">
        <f>MID(analisis_productividad__4[[#This Row],[Periodo]],5,2)</f>
        <v>11</v>
      </c>
      <c r="E1682" t="s">
        <v>11</v>
      </c>
      <c r="F1682" t="s">
        <v>52</v>
      </c>
      <c r="G1682">
        <v>81089</v>
      </c>
      <c r="H1682">
        <v>8425041</v>
      </c>
      <c r="I1682">
        <v>103.89837499999999</v>
      </c>
      <c r="J1682">
        <v>0</v>
      </c>
      <c r="K1682">
        <v>123</v>
      </c>
      <c r="L1682">
        <v>115.5</v>
      </c>
      <c r="N1682">
        <v>0</v>
      </c>
    </row>
    <row r="1683" spans="1:14" x14ac:dyDescent="0.35">
      <c r="A1683" t="s">
        <v>97</v>
      </c>
      <c r="B1683">
        <v>202604</v>
      </c>
      <c r="C1683" t="str">
        <f>MID(analisis_productividad__4[[#This Row],[Periodo]],1,4)</f>
        <v>2026</v>
      </c>
      <c r="D1683" t="str">
        <f>MID(analisis_productividad__4[[#This Row],[Periodo]],5,2)</f>
        <v>04</v>
      </c>
      <c r="E1683" t="s">
        <v>11</v>
      </c>
      <c r="F1683" t="s">
        <v>12</v>
      </c>
      <c r="G1683">
        <v>81081</v>
      </c>
      <c r="H1683">
        <v>4520291</v>
      </c>
      <c r="I1683">
        <v>55.750430555556157</v>
      </c>
      <c r="J1683">
        <v>0.72659550199253531</v>
      </c>
      <c r="K1683">
        <v>66.5</v>
      </c>
      <c r="L1683">
        <v>63.5</v>
      </c>
      <c r="M1683">
        <v>54.652141241039438</v>
      </c>
      <c r="N1683">
        <v>40</v>
      </c>
    </row>
    <row r="1684" spans="1:14" x14ac:dyDescent="0.35">
      <c r="A1684" t="s">
        <v>33</v>
      </c>
      <c r="B1684">
        <v>202601</v>
      </c>
      <c r="C1684" t="str">
        <f>MID(analisis_productividad__4[[#This Row],[Periodo]],1,4)</f>
        <v>2026</v>
      </c>
      <c r="D1684" t="str">
        <f>MID(analisis_productividad__4[[#This Row],[Periodo]],5,2)</f>
        <v>01</v>
      </c>
      <c r="E1684" t="s">
        <v>34</v>
      </c>
      <c r="F1684" t="s">
        <v>35</v>
      </c>
      <c r="G1684">
        <v>81075</v>
      </c>
      <c r="H1684">
        <v>1082863</v>
      </c>
      <c r="I1684">
        <v>13.356310483870963</v>
      </c>
      <c r="J1684">
        <v>77960.377335376979</v>
      </c>
      <c r="K1684">
        <v>15</v>
      </c>
      <c r="L1684">
        <v>15</v>
      </c>
      <c r="M1684">
        <v>13.971887755419019</v>
      </c>
      <c r="N1684">
        <v>1089254</v>
      </c>
    </row>
    <row r="1685" spans="1:14" x14ac:dyDescent="0.35">
      <c r="A1685" t="s">
        <v>81</v>
      </c>
      <c r="B1685">
        <v>202501</v>
      </c>
      <c r="C1685" t="str">
        <f>MID(analisis_productividad__4[[#This Row],[Periodo]],1,4)</f>
        <v>2025</v>
      </c>
      <c r="D1685" t="str">
        <f>MID(analisis_productividad__4[[#This Row],[Periodo]],5,2)</f>
        <v>01</v>
      </c>
      <c r="E1685" t="s">
        <v>34</v>
      </c>
      <c r="F1685" t="s">
        <v>35</v>
      </c>
      <c r="G1685">
        <v>81047</v>
      </c>
      <c r="H1685">
        <v>7228036</v>
      </c>
      <c r="I1685">
        <v>89.183057795698829</v>
      </c>
      <c r="J1685">
        <v>93218.193621724087</v>
      </c>
      <c r="K1685">
        <v>106</v>
      </c>
      <c r="L1685">
        <v>94.5</v>
      </c>
      <c r="M1685">
        <v>77.538901465212888</v>
      </c>
      <c r="N1685">
        <v>7587102</v>
      </c>
    </row>
    <row r="1686" spans="1:14" x14ac:dyDescent="0.35">
      <c r="A1686" t="s">
        <v>97</v>
      </c>
      <c r="B1686">
        <v>202411</v>
      </c>
      <c r="C1686" t="str">
        <f>MID(analisis_productividad__4[[#This Row],[Periodo]],1,4)</f>
        <v>2024</v>
      </c>
      <c r="D1686" t="str">
        <f>MID(analisis_productividad__4[[#This Row],[Periodo]],5,2)</f>
        <v>11</v>
      </c>
      <c r="E1686" t="s">
        <v>11</v>
      </c>
      <c r="F1686" t="s">
        <v>12</v>
      </c>
      <c r="G1686">
        <v>81031</v>
      </c>
      <c r="H1686">
        <v>5061736</v>
      </c>
      <c r="I1686">
        <v>62.466347222222225</v>
      </c>
      <c r="J1686">
        <v>0</v>
      </c>
      <c r="K1686">
        <v>66.5</v>
      </c>
      <c r="L1686">
        <v>63.5</v>
      </c>
      <c r="N1686">
        <v>0</v>
      </c>
    </row>
    <row r="1687" spans="1:14" x14ac:dyDescent="0.35">
      <c r="A1687" t="s">
        <v>50</v>
      </c>
      <c r="B1687">
        <v>202402</v>
      </c>
      <c r="C1687" t="str">
        <f>MID(analisis_productividad__4[[#This Row],[Periodo]],1,4)</f>
        <v>2024</v>
      </c>
      <c r="D1687" t="str">
        <f>MID(analisis_productividad__4[[#This Row],[Periodo]],5,2)</f>
        <v>02</v>
      </c>
      <c r="E1687" t="s">
        <v>34</v>
      </c>
      <c r="F1687" t="s">
        <v>35</v>
      </c>
      <c r="G1687">
        <v>80992</v>
      </c>
      <c r="H1687">
        <v>5619169</v>
      </c>
      <c r="I1687">
        <v>69.379655172413763</v>
      </c>
      <c r="J1687">
        <v>0</v>
      </c>
      <c r="K1687">
        <v>79.5</v>
      </c>
      <c r="L1687">
        <v>72.5</v>
      </c>
      <c r="N1687">
        <v>0</v>
      </c>
    </row>
    <row r="1688" spans="1:14" x14ac:dyDescent="0.35">
      <c r="A1688" t="s">
        <v>26</v>
      </c>
      <c r="B1688">
        <v>202406</v>
      </c>
      <c r="C1688" t="str">
        <f>MID(analisis_productividad__4[[#This Row],[Periodo]],1,4)</f>
        <v>2024</v>
      </c>
      <c r="D1688" t="str">
        <f>MID(analisis_productividad__4[[#This Row],[Periodo]],5,2)</f>
        <v>06</v>
      </c>
      <c r="E1688" t="s">
        <v>11</v>
      </c>
      <c r="F1688" t="s">
        <v>12</v>
      </c>
      <c r="G1688">
        <v>80990</v>
      </c>
      <c r="H1688">
        <v>5331749</v>
      </c>
      <c r="I1688">
        <v>65.832083333333344</v>
      </c>
      <c r="J1688">
        <v>0</v>
      </c>
      <c r="K1688">
        <v>65.5</v>
      </c>
      <c r="L1688">
        <v>63</v>
      </c>
      <c r="N1688">
        <v>0</v>
      </c>
    </row>
    <row r="1689" spans="1:14" x14ac:dyDescent="0.35">
      <c r="A1689" t="s">
        <v>84</v>
      </c>
      <c r="B1689">
        <v>202401</v>
      </c>
      <c r="C1689" t="str">
        <f>MID(analisis_productividad__4[[#This Row],[Periodo]],1,4)</f>
        <v>2024</v>
      </c>
      <c r="D1689" t="str">
        <f>MID(analisis_productividad__4[[#This Row],[Periodo]],5,2)</f>
        <v>01</v>
      </c>
      <c r="E1689" t="s">
        <v>11</v>
      </c>
      <c r="F1689" t="s">
        <v>52</v>
      </c>
      <c r="G1689">
        <v>80973</v>
      </c>
      <c r="H1689">
        <v>8786266</v>
      </c>
      <c r="I1689">
        <v>108.50912634408603</v>
      </c>
      <c r="J1689">
        <v>0</v>
      </c>
      <c r="K1689">
        <v>123</v>
      </c>
      <c r="L1689">
        <v>115.5</v>
      </c>
      <c r="N1689">
        <v>0</v>
      </c>
    </row>
    <row r="1690" spans="1:14" x14ac:dyDescent="0.35">
      <c r="A1690" t="s">
        <v>20</v>
      </c>
      <c r="B1690">
        <v>202509</v>
      </c>
      <c r="C1690" t="str">
        <f>MID(analisis_productividad__4[[#This Row],[Periodo]],1,4)</f>
        <v>2025</v>
      </c>
      <c r="D1690" t="str">
        <f>MID(analisis_productividad__4[[#This Row],[Periodo]],5,2)</f>
        <v>09</v>
      </c>
      <c r="E1690" t="s">
        <v>16</v>
      </c>
      <c r="F1690" t="s">
        <v>21</v>
      </c>
      <c r="G1690">
        <v>80970</v>
      </c>
      <c r="H1690">
        <v>7045983</v>
      </c>
      <c r="I1690">
        <v>87.01952777777781</v>
      </c>
      <c r="J1690">
        <v>93056.923370737757</v>
      </c>
      <c r="K1690">
        <v>96.5</v>
      </c>
      <c r="L1690">
        <v>94</v>
      </c>
      <c r="M1690">
        <v>75.716908154473174</v>
      </c>
      <c r="N1690">
        <v>8175093</v>
      </c>
    </row>
    <row r="1691" spans="1:14" x14ac:dyDescent="0.35">
      <c r="A1691" t="s">
        <v>39</v>
      </c>
      <c r="B1691">
        <v>202502</v>
      </c>
      <c r="C1691" t="str">
        <f>MID(analisis_productividad__4[[#This Row],[Periodo]],1,4)</f>
        <v>2025</v>
      </c>
      <c r="D1691" t="str">
        <f>MID(analisis_productividad__4[[#This Row],[Periodo]],5,2)</f>
        <v>02</v>
      </c>
      <c r="E1691" t="s">
        <v>16</v>
      </c>
      <c r="F1691" t="s">
        <v>17</v>
      </c>
      <c r="G1691">
        <v>80936</v>
      </c>
      <c r="H1691">
        <v>7016319</v>
      </c>
      <c r="I1691">
        <v>86.689322916666669</v>
      </c>
      <c r="J1691">
        <v>95300.420678713504</v>
      </c>
      <c r="K1691">
        <v>93.5</v>
      </c>
      <c r="L1691">
        <v>94</v>
      </c>
      <c r="M1691">
        <v>73.623165879342025</v>
      </c>
      <c r="N1691">
        <v>7351554</v>
      </c>
    </row>
    <row r="1692" spans="1:14" x14ac:dyDescent="0.35">
      <c r="A1692" t="s">
        <v>100</v>
      </c>
      <c r="B1692">
        <v>202412</v>
      </c>
      <c r="C1692" t="str">
        <f>MID(analisis_productividad__4[[#This Row],[Periodo]],1,4)</f>
        <v>2024</v>
      </c>
      <c r="D1692" t="str">
        <f>MID(analisis_productividad__4[[#This Row],[Periodo]],5,2)</f>
        <v>12</v>
      </c>
      <c r="E1692" t="s">
        <v>34</v>
      </c>
      <c r="F1692" t="s">
        <v>35</v>
      </c>
      <c r="G1692">
        <v>80905</v>
      </c>
      <c r="H1692">
        <v>3518328</v>
      </c>
      <c r="I1692">
        <v>43.487311827956972</v>
      </c>
      <c r="J1692">
        <v>0</v>
      </c>
      <c r="K1692">
        <v>44</v>
      </c>
      <c r="L1692">
        <v>40.5</v>
      </c>
      <c r="N1692">
        <v>0</v>
      </c>
    </row>
    <row r="1693" spans="1:14" x14ac:dyDescent="0.35">
      <c r="A1693" t="s">
        <v>44</v>
      </c>
      <c r="B1693">
        <v>202505</v>
      </c>
      <c r="C1693" t="str">
        <f>MID(analisis_productividad__4[[#This Row],[Periodo]],1,4)</f>
        <v>2025</v>
      </c>
      <c r="D1693" t="str">
        <f>MID(analisis_productividad__4[[#This Row],[Periodo]],5,2)</f>
        <v>05</v>
      </c>
      <c r="E1693" t="s">
        <v>11</v>
      </c>
      <c r="F1693" t="s">
        <v>12</v>
      </c>
      <c r="G1693">
        <v>80898</v>
      </c>
      <c r="H1693">
        <v>5883356</v>
      </c>
      <c r="I1693">
        <v>72.725813172043019</v>
      </c>
      <c r="J1693">
        <v>91146.985161531993</v>
      </c>
      <c r="K1693">
        <v>78</v>
      </c>
      <c r="L1693">
        <v>74.5</v>
      </c>
      <c r="M1693">
        <v>64.54799980025048</v>
      </c>
      <c r="N1693">
        <v>5856529</v>
      </c>
    </row>
    <row r="1694" spans="1:14" x14ac:dyDescent="0.35">
      <c r="A1694" t="s">
        <v>54</v>
      </c>
      <c r="B1694">
        <v>202404</v>
      </c>
      <c r="C1694" t="str">
        <f>MID(analisis_productividad__4[[#This Row],[Periodo]],1,4)</f>
        <v>2024</v>
      </c>
      <c r="D1694" t="str">
        <f>MID(analisis_productividad__4[[#This Row],[Periodo]],5,2)</f>
        <v>04</v>
      </c>
      <c r="E1694" t="s">
        <v>11</v>
      </c>
      <c r="F1694" t="s">
        <v>52</v>
      </c>
      <c r="G1694">
        <v>80855</v>
      </c>
      <c r="H1694">
        <v>8865639</v>
      </c>
      <c r="I1694">
        <v>109.64921527777783</v>
      </c>
      <c r="J1694">
        <v>0</v>
      </c>
      <c r="K1694">
        <v>106</v>
      </c>
      <c r="L1694">
        <v>102.5</v>
      </c>
      <c r="N1694">
        <v>0</v>
      </c>
    </row>
    <row r="1695" spans="1:14" x14ac:dyDescent="0.35">
      <c r="A1695" t="s">
        <v>100</v>
      </c>
      <c r="B1695">
        <v>202604</v>
      </c>
      <c r="C1695" t="str">
        <f>MID(analisis_productividad__4[[#This Row],[Periodo]],1,4)</f>
        <v>2026</v>
      </c>
      <c r="D1695" t="str">
        <f>MID(analisis_productividad__4[[#This Row],[Periodo]],5,2)</f>
        <v>04</v>
      </c>
      <c r="E1695" t="s">
        <v>34</v>
      </c>
      <c r="F1695" t="s">
        <v>35</v>
      </c>
      <c r="G1695">
        <v>80841</v>
      </c>
      <c r="H1695">
        <v>2621415</v>
      </c>
      <c r="I1695">
        <v>32.426916666666344</v>
      </c>
      <c r="J1695">
        <v>72670.309288202552</v>
      </c>
      <c r="K1695">
        <v>44</v>
      </c>
      <c r="L1695">
        <v>40.5</v>
      </c>
      <c r="M1695">
        <v>35.762421795855829</v>
      </c>
      <c r="N1695">
        <v>2598866</v>
      </c>
    </row>
    <row r="1696" spans="1:14" x14ac:dyDescent="0.35">
      <c r="A1696" t="s">
        <v>89</v>
      </c>
      <c r="B1696">
        <v>202603</v>
      </c>
      <c r="C1696" t="str">
        <f>MID(analisis_productividad__4[[#This Row],[Periodo]],1,4)</f>
        <v>2026</v>
      </c>
      <c r="D1696" t="str">
        <f>MID(analisis_productividad__4[[#This Row],[Periodo]],5,2)</f>
        <v>03</v>
      </c>
      <c r="E1696" t="s">
        <v>9</v>
      </c>
      <c r="F1696" t="s">
        <v>9</v>
      </c>
      <c r="G1696">
        <v>80805</v>
      </c>
      <c r="H1696">
        <v>1065936</v>
      </c>
      <c r="I1696">
        <v>13.191471774193545</v>
      </c>
      <c r="J1696">
        <v>75184.089641100916</v>
      </c>
      <c r="K1696">
        <v>17</v>
      </c>
      <c r="L1696">
        <v>13.5</v>
      </c>
      <c r="M1696">
        <v>14.845130740132706</v>
      </c>
      <c r="N1696">
        <v>1116118</v>
      </c>
    </row>
    <row r="1697" spans="1:14" x14ac:dyDescent="0.35">
      <c r="A1697" t="s">
        <v>59</v>
      </c>
      <c r="B1697">
        <v>202409</v>
      </c>
      <c r="C1697" t="str">
        <f>MID(analisis_productividad__4[[#This Row],[Periodo]],1,4)</f>
        <v>2024</v>
      </c>
      <c r="D1697" t="str">
        <f>MID(analisis_productividad__4[[#This Row],[Periodo]],5,2)</f>
        <v>09</v>
      </c>
      <c r="E1697" t="s">
        <v>11</v>
      </c>
      <c r="F1697" t="s">
        <v>12</v>
      </c>
      <c r="G1697">
        <v>80790</v>
      </c>
      <c r="H1697">
        <v>7013200</v>
      </c>
      <c r="I1697">
        <v>86.807583333333341</v>
      </c>
      <c r="J1697">
        <v>0</v>
      </c>
      <c r="K1697">
        <v>94.5</v>
      </c>
      <c r="L1697">
        <v>97</v>
      </c>
      <c r="N1697">
        <v>0</v>
      </c>
    </row>
    <row r="1698" spans="1:14" x14ac:dyDescent="0.35">
      <c r="A1698" t="s">
        <v>48</v>
      </c>
      <c r="B1698">
        <v>202502</v>
      </c>
      <c r="C1698" t="str">
        <f>MID(analisis_productividad__4[[#This Row],[Periodo]],1,4)</f>
        <v>2025</v>
      </c>
      <c r="D1698" t="str">
        <f>MID(analisis_productividad__4[[#This Row],[Periodo]],5,2)</f>
        <v>02</v>
      </c>
      <c r="E1698" t="s">
        <v>16</v>
      </c>
      <c r="F1698" t="s">
        <v>21</v>
      </c>
      <c r="G1698">
        <v>80787</v>
      </c>
      <c r="H1698">
        <v>4488193</v>
      </c>
      <c r="I1698">
        <v>55.556041666666658</v>
      </c>
      <c r="J1698">
        <v>77810.029985158166</v>
      </c>
      <c r="K1698">
        <v>56</v>
      </c>
      <c r="L1698">
        <v>60</v>
      </c>
      <c r="M1698">
        <v>57.681417946453656</v>
      </c>
      <c r="N1698">
        <v>4358399</v>
      </c>
    </row>
    <row r="1699" spans="1:14" x14ac:dyDescent="0.35">
      <c r="A1699" t="s">
        <v>91</v>
      </c>
      <c r="B1699">
        <v>202601</v>
      </c>
      <c r="C1699" t="str">
        <f>MID(analisis_productividad__4[[#This Row],[Periodo]],1,4)</f>
        <v>2026</v>
      </c>
      <c r="D1699" t="str">
        <f>MID(analisis_productividad__4[[#This Row],[Periodo]],5,2)</f>
        <v>01</v>
      </c>
      <c r="E1699" t="s">
        <v>11</v>
      </c>
      <c r="F1699" t="s">
        <v>12</v>
      </c>
      <c r="G1699">
        <v>80779</v>
      </c>
      <c r="H1699">
        <v>4115539</v>
      </c>
      <c r="I1699">
        <v>50.948051075268829</v>
      </c>
      <c r="J1699">
        <v>77607.061447787404</v>
      </c>
      <c r="K1699">
        <v>55</v>
      </c>
      <c r="L1699">
        <v>55.5</v>
      </c>
      <c r="M1699">
        <v>48.91205759483401</v>
      </c>
      <c r="N1699">
        <v>3795921</v>
      </c>
    </row>
    <row r="1700" spans="1:14" x14ac:dyDescent="0.35">
      <c r="A1700" t="s">
        <v>60</v>
      </c>
      <c r="B1700">
        <v>202508</v>
      </c>
      <c r="C1700" t="str">
        <f>MID(analisis_productividad__4[[#This Row],[Periodo]],1,4)</f>
        <v>2025</v>
      </c>
      <c r="D1700" t="str">
        <f>MID(analisis_productividad__4[[#This Row],[Periodo]],5,2)</f>
        <v>08</v>
      </c>
      <c r="E1700" t="s">
        <v>11</v>
      </c>
      <c r="F1700" t="s">
        <v>14</v>
      </c>
      <c r="G1700">
        <v>80753</v>
      </c>
      <c r="H1700">
        <v>4926099</v>
      </c>
      <c r="I1700">
        <v>61.002412634408614</v>
      </c>
      <c r="J1700">
        <v>89709.399790351497</v>
      </c>
      <c r="K1700">
        <v>75.5</v>
      </c>
      <c r="L1700">
        <v>74</v>
      </c>
      <c r="M1700">
        <v>54.911733569861816</v>
      </c>
      <c r="N1700">
        <v>5888809</v>
      </c>
    </row>
    <row r="1701" spans="1:14" x14ac:dyDescent="0.35">
      <c r="A1701" t="s">
        <v>33</v>
      </c>
      <c r="B1701">
        <v>202408</v>
      </c>
      <c r="C1701" t="str">
        <f>MID(analisis_productividad__4[[#This Row],[Periodo]],1,4)</f>
        <v>2024</v>
      </c>
      <c r="D1701" t="str">
        <f>MID(analisis_productividad__4[[#This Row],[Periodo]],5,2)</f>
        <v>08</v>
      </c>
      <c r="E1701" t="s">
        <v>34</v>
      </c>
      <c r="F1701" t="s">
        <v>35</v>
      </c>
      <c r="G1701">
        <v>80711</v>
      </c>
      <c r="H1701">
        <v>1061406</v>
      </c>
      <c r="I1701">
        <v>13.150685483870969</v>
      </c>
      <c r="J1701">
        <v>0</v>
      </c>
      <c r="K1701">
        <v>15</v>
      </c>
      <c r="L1701">
        <v>15</v>
      </c>
      <c r="N1701">
        <v>0</v>
      </c>
    </row>
    <row r="1702" spans="1:14" x14ac:dyDescent="0.35">
      <c r="A1702" t="s">
        <v>57</v>
      </c>
      <c r="B1702">
        <v>202509</v>
      </c>
      <c r="C1702" t="str">
        <f>MID(analisis_productividad__4[[#This Row],[Periodo]],1,4)</f>
        <v>2025</v>
      </c>
      <c r="D1702" t="str">
        <f>MID(analisis_productividad__4[[#This Row],[Periodo]],5,2)</f>
        <v>09</v>
      </c>
      <c r="E1702" t="s">
        <v>16</v>
      </c>
      <c r="F1702" t="s">
        <v>19</v>
      </c>
      <c r="G1702">
        <v>80690</v>
      </c>
      <c r="H1702">
        <v>5084173</v>
      </c>
      <c r="I1702">
        <v>63.009041666666711</v>
      </c>
      <c r="J1702">
        <v>86201.753670146092</v>
      </c>
      <c r="K1702">
        <v>71</v>
      </c>
      <c r="L1702">
        <v>74.5</v>
      </c>
      <c r="M1702">
        <v>58.979924230483292</v>
      </c>
      <c r="N1702">
        <v>5697628</v>
      </c>
    </row>
    <row r="1703" spans="1:14" x14ac:dyDescent="0.35">
      <c r="A1703" t="s">
        <v>65</v>
      </c>
      <c r="B1703">
        <v>202504</v>
      </c>
      <c r="C1703" t="str">
        <f>MID(analisis_productividad__4[[#This Row],[Periodo]],1,4)</f>
        <v>2025</v>
      </c>
      <c r="D1703" t="str">
        <f>MID(analisis_productividad__4[[#This Row],[Periodo]],5,2)</f>
        <v>04</v>
      </c>
      <c r="E1703" t="s">
        <v>16</v>
      </c>
      <c r="F1703" t="s">
        <v>19</v>
      </c>
      <c r="G1703">
        <v>80689</v>
      </c>
      <c r="H1703">
        <v>5208389</v>
      </c>
      <c r="I1703">
        <v>64.548604166666678</v>
      </c>
      <c r="J1703">
        <v>81922.097432170194</v>
      </c>
      <c r="K1703">
        <v>68</v>
      </c>
      <c r="L1703">
        <v>68.5</v>
      </c>
      <c r="M1703">
        <v>63.577334971341998</v>
      </c>
      <c r="N1703">
        <v>5195908</v>
      </c>
    </row>
    <row r="1704" spans="1:14" x14ac:dyDescent="0.35">
      <c r="A1704" t="s">
        <v>88</v>
      </c>
      <c r="B1704">
        <v>202511</v>
      </c>
      <c r="C1704" t="str">
        <f>MID(analisis_productividad__4[[#This Row],[Periodo]],1,4)</f>
        <v>2025</v>
      </c>
      <c r="D1704" t="str">
        <f>MID(analisis_productividad__4[[#This Row],[Periodo]],5,2)</f>
        <v>11</v>
      </c>
      <c r="E1704" t="s">
        <v>34</v>
      </c>
      <c r="F1704" t="s">
        <v>35</v>
      </c>
      <c r="G1704">
        <v>80689</v>
      </c>
      <c r="H1704">
        <v>1083715</v>
      </c>
      <c r="I1704">
        <v>13.430763888888887</v>
      </c>
      <c r="J1704">
        <v>93385.176145521516</v>
      </c>
      <c r="K1704">
        <v>15.5</v>
      </c>
      <c r="L1704">
        <v>14.5</v>
      </c>
      <c r="M1704">
        <v>11.604783914646735</v>
      </c>
      <c r="N1704">
        <v>1173083</v>
      </c>
    </row>
    <row r="1705" spans="1:14" x14ac:dyDescent="0.35">
      <c r="A1705" t="s">
        <v>78</v>
      </c>
      <c r="B1705">
        <v>202601</v>
      </c>
      <c r="C1705" t="str">
        <f>MID(analisis_productividad__4[[#This Row],[Periodo]],1,4)</f>
        <v>2026</v>
      </c>
      <c r="D1705" t="str">
        <f>MID(analisis_productividad__4[[#This Row],[Periodo]],5,2)</f>
        <v>01</v>
      </c>
      <c r="E1705" t="s">
        <v>11</v>
      </c>
      <c r="F1705" t="s">
        <v>14</v>
      </c>
      <c r="G1705">
        <v>80688</v>
      </c>
      <c r="H1705">
        <v>5251866</v>
      </c>
      <c r="I1705">
        <v>65.088380376344119</v>
      </c>
      <c r="J1705">
        <v>74553.798546937265</v>
      </c>
      <c r="K1705">
        <v>79.5</v>
      </c>
      <c r="L1705">
        <v>67</v>
      </c>
      <c r="M1705">
        <v>68.682661472657543</v>
      </c>
      <c r="N1705">
        <v>5120553</v>
      </c>
    </row>
    <row r="1706" spans="1:14" x14ac:dyDescent="0.35">
      <c r="A1706" t="s">
        <v>73</v>
      </c>
      <c r="B1706">
        <v>202509</v>
      </c>
      <c r="C1706" t="str">
        <f>MID(analisis_productividad__4[[#This Row],[Periodo]],1,4)</f>
        <v>2025</v>
      </c>
      <c r="D1706" t="str">
        <f>MID(analisis_productividad__4[[#This Row],[Periodo]],5,2)</f>
        <v>09</v>
      </c>
      <c r="E1706" t="s">
        <v>16</v>
      </c>
      <c r="F1706" t="s">
        <v>21</v>
      </c>
      <c r="G1706">
        <v>80664</v>
      </c>
      <c r="H1706">
        <v>2449280</v>
      </c>
      <c r="I1706">
        <v>30.363909722222228</v>
      </c>
      <c r="J1706">
        <v>72039.14306591262</v>
      </c>
      <c r="K1706">
        <v>43.5</v>
      </c>
      <c r="L1706">
        <v>41</v>
      </c>
      <c r="M1706">
        <v>33.99929435250246</v>
      </c>
      <c r="N1706">
        <v>3032705</v>
      </c>
    </row>
    <row r="1707" spans="1:14" x14ac:dyDescent="0.35">
      <c r="A1707" t="s">
        <v>69</v>
      </c>
      <c r="B1707">
        <v>202410</v>
      </c>
      <c r="C1707" t="str">
        <f>MID(analisis_productividad__4[[#This Row],[Periodo]],1,4)</f>
        <v>2024</v>
      </c>
      <c r="D1707" t="str">
        <f>MID(analisis_productividad__4[[#This Row],[Periodo]],5,2)</f>
        <v>10</v>
      </c>
      <c r="E1707" t="s">
        <v>11</v>
      </c>
      <c r="F1707" t="s">
        <v>52</v>
      </c>
      <c r="G1707">
        <v>80651</v>
      </c>
      <c r="H1707">
        <v>4383693</v>
      </c>
      <c r="I1707">
        <v>54.354153225806463</v>
      </c>
      <c r="J1707">
        <v>0</v>
      </c>
      <c r="K1707">
        <v>68</v>
      </c>
      <c r="L1707">
        <v>60.5</v>
      </c>
      <c r="N1707">
        <v>0</v>
      </c>
    </row>
    <row r="1708" spans="1:14" x14ac:dyDescent="0.35">
      <c r="A1708" t="s">
        <v>22</v>
      </c>
      <c r="B1708">
        <v>202501</v>
      </c>
      <c r="C1708" t="str">
        <f>MID(analisis_productividad__4[[#This Row],[Periodo]],1,4)</f>
        <v>2025</v>
      </c>
      <c r="D1708" t="str">
        <f>MID(analisis_productividad__4[[#This Row],[Periodo]],5,2)</f>
        <v>01</v>
      </c>
      <c r="E1708" t="s">
        <v>16</v>
      </c>
      <c r="F1708" t="s">
        <v>21</v>
      </c>
      <c r="G1708">
        <v>80642</v>
      </c>
      <c r="H1708">
        <v>4628856</v>
      </c>
      <c r="I1708">
        <v>57.399811827956981</v>
      </c>
      <c r="J1708">
        <v>91257.943548469368</v>
      </c>
      <c r="K1708">
        <v>59.5</v>
      </c>
      <c r="L1708">
        <v>55.5</v>
      </c>
      <c r="M1708">
        <v>50.722769438054456</v>
      </c>
      <c r="N1708">
        <v>4589469</v>
      </c>
    </row>
    <row r="1709" spans="1:14" x14ac:dyDescent="0.35">
      <c r="A1709" t="s">
        <v>85</v>
      </c>
      <c r="B1709">
        <v>202403</v>
      </c>
      <c r="C1709" t="str">
        <f>MID(analisis_productividad__4[[#This Row],[Periodo]],1,4)</f>
        <v>2024</v>
      </c>
      <c r="D1709" t="str">
        <f>MID(analisis_productividad__4[[#This Row],[Periodo]],5,2)</f>
        <v>03</v>
      </c>
      <c r="E1709" t="s">
        <v>11</v>
      </c>
      <c r="F1709" t="s">
        <v>14</v>
      </c>
      <c r="G1709">
        <v>80642</v>
      </c>
      <c r="H1709">
        <v>4649128</v>
      </c>
      <c r="I1709">
        <v>57.651538978494628</v>
      </c>
      <c r="J1709">
        <v>0</v>
      </c>
      <c r="K1709">
        <v>60.5</v>
      </c>
      <c r="L1709">
        <v>57.5</v>
      </c>
      <c r="N1709">
        <v>0</v>
      </c>
    </row>
    <row r="1710" spans="1:14" x14ac:dyDescent="0.35">
      <c r="A1710" t="s">
        <v>94</v>
      </c>
      <c r="B1710">
        <v>202603</v>
      </c>
      <c r="C1710" t="str">
        <f>MID(analisis_productividad__4[[#This Row],[Periodo]],1,4)</f>
        <v>2026</v>
      </c>
      <c r="D1710" t="str">
        <f>MID(analisis_productividad__4[[#This Row],[Periodo]],5,2)</f>
        <v>03</v>
      </c>
      <c r="E1710" t="s">
        <v>11</v>
      </c>
      <c r="F1710" t="s">
        <v>52</v>
      </c>
      <c r="G1710">
        <v>80606</v>
      </c>
      <c r="H1710">
        <v>5415183</v>
      </c>
      <c r="I1710">
        <v>67.18113575268822</v>
      </c>
      <c r="J1710">
        <v>94289.943897132296</v>
      </c>
      <c r="K1710">
        <v>75.5</v>
      </c>
      <c r="L1710">
        <v>70.5</v>
      </c>
      <c r="M1710">
        <v>63.423114179855602</v>
      </c>
      <c r="N1710">
        <v>5980162</v>
      </c>
    </row>
    <row r="1711" spans="1:14" x14ac:dyDescent="0.35">
      <c r="A1711" t="s">
        <v>44</v>
      </c>
      <c r="B1711">
        <v>202410</v>
      </c>
      <c r="C1711" t="str">
        <f>MID(analisis_productividad__4[[#This Row],[Periodo]],1,4)</f>
        <v>2024</v>
      </c>
      <c r="D1711" t="str">
        <f>MID(analisis_productividad__4[[#This Row],[Periodo]],5,2)</f>
        <v>10</v>
      </c>
      <c r="E1711" t="s">
        <v>11</v>
      </c>
      <c r="F1711" t="s">
        <v>12</v>
      </c>
      <c r="G1711">
        <v>80600</v>
      </c>
      <c r="H1711">
        <v>5660171</v>
      </c>
      <c r="I1711">
        <v>70.225430107526876</v>
      </c>
      <c r="J1711">
        <v>0</v>
      </c>
      <c r="K1711">
        <v>78</v>
      </c>
      <c r="L1711">
        <v>74.5</v>
      </c>
      <c r="N1711">
        <v>0</v>
      </c>
    </row>
    <row r="1712" spans="1:14" x14ac:dyDescent="0.35">
      <c r="A1712" t="s">
        <v>66</v>
      </c>
      <c r="B1712">
        <v>202401</v>
      </c>
      <c r="C1712" t="str">
        <f>MID(analisis_productividad__4[[#This Row],[Periodo]],1,4)</f>
        <v>2024</v>
      </c>
      <c r="D1712" t="str">
        <f>MID(analisis_productividad__4[[#This Row],[Periodo]],5,2)</f>
        <v>01</v>
      </c>
      <c r="E1712" t="s">
        <v>11</v>
      </c>
      <c r="F1712" t="s">
        <v>12</v>
      </c>
      <c r="G1712">
        <v>80596</v>
      </c>
      <c r="H1712">
        <v>6096167</v>
      </c>
      <c r="I1712">
        <v>75.63871639784945</v>
      </c>
      <c r="J1712">
        <v>0</v>
      </c>
      <c r="K1712">
        <v>80</v>
      </c>
      <c r="L1712">
        <v>80.5</v>
      </c>
      <c r="N1712">
        <v>0</v>
      </c>
    </row>
    <row r="1713" spans="1:14" x14ac:dyDescent="0.35">
      <c r="A1713" t="s">
        <v>66</v>
      </c>
      <c r="B1713">
        <v>202601</v>
      </c>
      <c r="C1713" t="str">
        <f>MID(analisis_productividad__4[[#This Row],[Periodo]],1,4)</f>
        <v>2026</v>
      </c>
      <c r="D1713" t="str">
        <f>MID(analisis_productividad__4[[#This Row],[Periodo]],5,2)</f>
        <v>01</v>
      </c>
      <c r="E1713" t="s">
        <v>11</v>
      </c>
      <c r="F1713" t="s">
        <v>12</v>
      </c>
      <c r="G1713">
        <v>80592</v>
      </c>
      <c r="H1713">
        <v>5597127</v>
      </c>
      <c r="I1713">
        <v>69.450349462365566</v>
      </c>
      <c r="J1713">
        <v>88919.811370560012</v>
      </c>
      <c r="K1713">
        <v>80</v>
      </c>
      <c r="L1713">
        <v>80.5</v>
      </c>
      <c r="M1713">
        <v>67.651321791845987</v>
      </c>
      <c r="N1713">
        <v>6015543</v>
      </c>
    </row>
    <row r="1714" spans="1:14" x14ac:dyDescent="0.35">
      <c r="A1714" t="s">
        <v>79</v>
      </c>
      <c r="B1714">
        <v>202506</v>
      </c>
      <c r="C1714" t="str">
        <f>MID(analisis_productividad__4[[#This Row],[Periodo]],1,4)</f>
        <v>2025</v>
      </c>
      <c r="D1714" t="str">
        <f>MID(analisis_productividad__4[[#This Row],[Periodo]],5,2)</f>
        <v>06</v>
      </c>
      <c r="E1714" t="s">
        <v>11</v>
      </c>
      <c r="F1714" t="s">
        <v>12</v>
      </c>
      <c r="G1714">
        <v>80556</v>
      </c>
      <c r="H1714">
        <v>4738187</v>
      </c>
      <c r="I1714">
        <v>58.818812500000007</v>
      </c>
      <c r="J1714">
        <v>87910.189869382215</v>
      </c>
      <c r="K1714">
        <v>64.5</v>
      </c>
      <c r="L1714">
        <v>64</v>
      </c>
      <c r="M1714">
        <v>53.89804489149715</v>
      </c>
      <c r="N1714">
        <v>5451637</v>
      </c>
    </row>
    <row r="1715" spans="1:14" x14ac:dyDescent="0.35">
      <c r="A1715" t="s">
        <v>55</v>
      </c>
      <c r="B1715">
        <v>202502</v>
      </c>
      <c r="C1715" t="str">
        <f>MID(analisis_productividad__4[[#This Row],[Periodo]],1,4)</f>
        <v>2025</v>
      </c>
      <c r="D1715" t="str">
        <f>MID(analisis_productividad__4[[#This Row],[Periodo]],5,2)</f>
        <v>02</v>
      </c>
      <c r="E1715" t="s">
        <v>16</v>
      </c>
      <c r="F1715" t="s">
        <v>21</v>
      </c>
      <c r="G1715">
        <v>80553</v>
      </c>
      <c r="H1715">
        <v>4030102</v>
      </c>
      <c r="I1715">
        <v>50.030572916666671</v>
      </c>
      <c r="J1715">
        <v>92973.120480327198</v>
      </c>
      <c r="K1715">
        <v>55</v>
      </c>
      <c r="L1715">
        <v>50.5</v>
      </c>
      <c r="M1715">
        <v>43.346954573314079</v>
      </c>
      <c r="N1715">
        <v>4378070</v>
      </c>
    </row>
    <row r="1716" spans="1:14" x14ac:dyDescent="0.35">
      <c r="A1716" t="s">
        <v>63</v>
      </c>
      <c r="B1716">
        <v>202511</v>
      </c>
      <c r="C1716" t="str">
        <f>MID(analisis_productividad__4[[#This Row],[Periodo]],1,4)</f>
        <v>2025</v>
      </c>
      <c r="D1716" t="str">
        <f>MID(analisis_productividad__4[[#This Row],[Periodo]],5,2)</f>
        <v>11</v>
      </c>
      <c r="E1716" t="s">
        <v>16</v>
      </c>
      <c r="F1716" t="s">
        <v>17</v>
      </c>
      <c r="G1716">
        <v>80507</v>
      </c>
      <c r="H1716">
        <v>7176236</v>
      </c>
      <c r="I1716">
        <v>89.138340277777758</v>
      </c>
      <c r="J1716">
        <v>124578.41135606587</v>
      </c>
      <c r="K1716">
        <v>86.5</v>
      </c>
      <c r="L1716">
        <v>81.5</v>
      </c>
      <c r="M1716">
        <v>57.604167141681728</v>
      </c>
      <c r="N1716">
        <v>9622004</v>
      </c>
    </row>
    <row r="1717" spans="1:14" x14ac:dyDescent="0.35">
      <c r="A1717" t="s">
        <v>95</v>
      </c>
      <c r="B1717">
        <v>202605</v>
      </c>
      <c r="C1717" t="str">
        <f>MID(analisis_productividad__4[[#This Row],[Periodo]],1,4)</f>
        <v>2026</v>
      </c>
      <c r="D1717" t="str">
        <f>MID(analisis_productividad__4[[#This Row],[Periodo]],5,2)</f>
        <v>05</v>
      </c>
      <c r="E1717" t="s">
        <v>9</v>
      </c>
      <c r="F1717" t="s">
        <v>9</v>
      </c>
      <c r="G1717">
        <v>80486</v>
      </c>
      <c r="H1717">
        <v>708196</v>
      </c>
      <c r="I1717">
        <v>8.7989717741935607</v>
      </c>
      <c r="J1717">
        <v>63706.335748179983</v>
      </c>
      <c r="K1717">
        <v>11</v>
      </c>
      <c r="L1717">
        <v>11</v>
      </c>
      <c r="M1717">
        <v>10.04229432420742</v>
      </c>
      <c r="N1717">
        <v>639758</v>
      </c>
    </row>
    <row r="1718" spans="1:14" x14ac:dyDescent="0.35">
      <c r="A1718" t="s">
        <v>69</v>
      </c>
      <c r="B1718">
        <v>202403</v>
      </c>
      <c r="C1718" t="str">
        <f>MID(analisis_productividad__4[[#This Row],[Periodo]],1,4)</f>
        <v>2024</v>
      </c>
      <c r="D1718" t="str">
        <f>MID(analisis_productividad__4[[#This Row],[Periodo]],5,2)</f>
        <v>03</v>
      </c>
      <c r="E1718" t="s">
        <v>11</v>
      </c>
      <c r="F1718" t="s">
        <v>52</v>
      </c>
      <c r="G1718">
        <v>80478</v>
      </c>
      <c r="H1718">
        <v>5332739</v>
      </c>
      <c r="I1718">
        <v>66.262997311827945</v>
      </c>
      <c r="J1718">
        <v>0</v>
      </c>
      <c r="K1718">
        <v>68</v>
      </c>
      <c r="L1718">
        <v>60.5</v>
      </c>
      <c r="N1718">
        <v>0</v>
      </c>
    </row>
    <row r="1719" spans="1:14" x14ac:dyDescent="0.35">
      <c r="A1719" t="s">
        <v>42</v>
      </c>
      <c r="B1719">
        <v>202509</v>
      </c>
      <c r="C1719" t="str">
        <f>MID(analisis_productividad__4[[#This Row],[Periodo]],1,4)</f>
        <v>2025</v>
      </c>
      <c r="D1719" t="str">
        <f>MID(analisis_productividad__4[[#This Row],[Periodo]],5,2)</f>
        <v>09</v>
      </c>
      <c r="E1719" t="s">
        <v>16</v>
      </c>
      <c r="F1719" t="s">
        <v>19</v>
      </c>
      <c r="G1719">
        <v>80472</v>
      </c>
      <c r="H1719">
        <v>4490843</v>
      </c>
      <c r="I1719">
        <v>55.806430555555579</v>
      </c>
      <c r="J1719">
        <v>78682.881109381735</v>
      </c>
      <c r="K1719">
        <v>62</v>
      </c>
      <c r="L1719">
        <v>58</v>
      </c>
      <c r="M1719">
        <v>57.075221403713151</v>
      </c>
      <c r="N1719">
        <v>4443406</v>
      </c>
    </row>
    <row r="1720" spans="1:14" x14ac:dyDescent="0.35">
      <c r="A1720" t="s">
        <v>32</v>
      </c>
      <c r="B1720">
        <v>202405</v>
      </c>
      <c r="C1720" t="str">
        <f>MID(analisis_productividad__4[[#This Row],[Periodo]],1,4)</f>
        <v>2024</v>
      </c>
      <c r="D1720" t="str">
        <f>MID(analisis_productividad__4[[#This Row],[Periodo]],5,2)</f>
        <v>05</v>
      </c>
      <c r="E1720" t="s">
        <v>11</v>
      </c>
      <c r="F1720" t="s">
        <v>12</v>
      </c>
      <c r="G1720">
        <v>80468</v>
      </c>
      <c r="H1720">
        <v>5128183</v>
      </c>
      <c r="I1720">
        <v>63.729260752688162</v>
      </c>
      <c r="J1720">
        <v>0</v>
      </c>
      <c r="K1720">
        <v>65.5</v>
      </c>
      <c r="L1720">
        <v>66</v>
      </c>
      <c r="N1720">
        <v>0</v>
      </c>
    </row>
    <row r="1721" spans="1:14" x14ac:dyDescent="0.35">
      <c r="A1721" t="s">
        <v>69</v>
      </c>
      <c r="B1721">
        <v>202509</v>
      </c>
      <c r="C1721" t="str">
        <f>MID(analisis_productividad__4[[#This Row],[Periodo]],1,4)</f>
        <v>2025</v>
      </c>
      <c r="D1721" t="str">
        <f>MID(analisis_productividad__4[[#This Row],[Periodo]],5,2)</f>
        <v>09</v>
      </c>
      <c r="E1721" t="s">
        <v>11</v>
      </c>
      <c r="F1721" t="s">
        <v>52</v>
      </c>
      <c r="G1721">
        <v>80467</v>
      </c>
      <c r="H1721">
        <v>4634996</v>
      </c>
      <c r="I1721">
        <v>57.601250000000007</v>
      </c>
      <c r="J1721">
        <v>87375.09324793327</v>
      </c>
      <c r="K1721">
        <v>68</v>
      </c>
      <c r="L1721">
        <v>60.5</v>
      </c>
      <c r="M1721">
        <v>53.047112142677264</v>
      </c>
      <c r="N1721">
        <v>5316645</v>
      </c>
    </row>
    <row r="1722" spans="1:14" x14ac:dyDescent="0.35">
      <c r="A1722" t="s">
        <v>100</v>
      </c>
      <c r="B1722">
        <v>202511</v>
      </c>
      <c r="C1722" t="str">
        <f>MID(analisis_productividad__4[[#This Row],[Periodo]],1,4)</f>
        <v>2025</v>
      </c>
      <c r="D1722" t="str">
        <f>MID(analisis_productividad__4[[#This Row],[Periodo]],5,2)</f>
        <v>11</v>
      </c>
      <c r="E1722" t="s">
        <v>34</v>
      </c>
      <c r="F1722" t="s">
        <v>35</v>
      </c>
      <c r="G1722">
        <v>80405</v>
      </c>
      <c r="H1722">
        <v>2522201</v>
      </c>
      <c r="I1722">
        <v>31.368652777777786</v>
      </c>
      <c r="J1722">
        <v>71384.987120585036</v>
      </c>
      <c r="K1722">
        <v>44</v>
      </c>
      <c r="L1722">
        <v>40.5</v>
      </c>
      <c r="M1722">
        <v>35.33237942229286</v>
      </c>
      <c r="N1722">
        <v>2780717</v>
      </c>
    </row>
    <row r="1723" spans="1:14" x14ac:dyDescent="0.35">
      <c r="A1723" t="s">
        <v>92</v>
      </c>
      <c r="B1723">
        <v>202403</v>
      </c>
      <c r="C1723" t="str">
        <f>MID(analisis_productividad__4[[#This Row],[Periodo]],1,4)</f>
        <v>2024</v>
      </c>
      <c r="D1723" t="str">
        <f>MID(analisis_productividad__4[[#This Row],[Periodo]],5,2)</f>
        <v>03</v>
      </c>
      <c r="E1723" t="s">
        <v>11</v>
      </c>
      <c r="F1723" t="s">
        <v>14</v>
      </c>
      <c r="G1723">
        <v>80395</v>
      </c>
      <c r="H1723">
        <v>4662714</v>
      </c>
      <c r="I1723">
        <v>57.997352150537637</v>
      </c>
      <c r="J1723">
        <v>0</v>
      </c>
      <c r="K1723">
        <v>63</v>
      </c>
      <c r="L1723">
        <v>59</v>
      </c>
      <c r="N1723">
        <v>0</v>
      </c>
    </row>
    <row r="1724" spans="1:14" x14ac:dyDescent="0.35">
      <c r="A1724" t="s">
        <v>59</v>
      </c>
      <c r="B1724">
        <v>202506</v>
      </c>
      <c r="C1724" t="str">
        <f>MID(analisis_productividad__4[[#This Row],[Periodo]],1,4)</f>
        <v>2025</v>
      </c>
      <c r="D1724" t="str">
        <f>MID(analisis_productividad__4[[#This Row],[Periodo]],5,2)</f>
        <v>06</v>
      </c>
      <c r="E1724" t="s">
        <v>11</v>
      </c>
      <c r="F1724" t="s">
        <v>12</v>
      </c>
      <c r="G1724">
        <v>80382</v>
      </c>
      <c r="H1724">
        <v>7180788</v>
      </c>
      <c r="I1724">
        <v>89.333222222222176</v>
      </c>
      <c r="J1724">
        <v>98800.228895611188</v>
      </c>
      <c r="K1724">
        <v>94.5</v>
      </c>
      <c r="L1724">
        <v>97</v>
      </c>
      <c r="M1724">
        <v>72.679874330928584</v>
      </c>
      <c r="N1724">
        <v>8041615</v>
      </c>
    </row>
    <row r="1725" spans="1:14" x14ac:dyDescent="0.35">
      <c r="A1725" t="s">
        <v>90</v>
      </c>
      <c r="B1725">
        <v>202604</v>
      </c>
      <c r="C1725" t="str">
        <f>MID(analisis_productividad__4[[#This Row],[Periodo]],1,4)</f>
        <v>2026</v>
      </c>
      <c r="D1725" t="str">
        <f>MID(analisis_productividad__4[[#This Row],[Periodo]],5,2)</f>
        <v>04</v>
      </c>
      <c r="E1725" t="s">
        <v>11</v>
      </c>
      <c r="F1725" t="s">
        <v>14</v>
      </c>
      <c r="G1725">
        <v>80351</v>
      </c>
      <c r="H1725">
        <v>5833789</v>
      </c>
      <c r="I1725">
        <v>72.603611111113267</v>
      </c>
      <c r="J1725">
        <v>82469.33969803201</v>
      </c>
      <c r="K1725">
        <v>84.5</v>
      </c>
      <c r="L1725">
        <v>78.5</v>
      </c>
      <c r="M1725">
        <v>72.494656792343278</v>
      </c>
      <c r="N1725">
        <v>5978586</v>
      </c>
    </row>
    <row r="1726" spans="1:14" x14ac:dyDescent="0.35">
      <c r="A1726" t="s">
        <v>97</v>
      </c>
      <c r="B1726">
        <v>202506</v>
      </c>
      <c r="C1726" t="str">
        <f>MID(analisis_productividad__4[[#This Row],[Periodo]],1,4)</f>
        <v>2025</v>
      </c>
      <c r="D1726" t="str">
        <f>MID(analisis_productividad__4[[#This Row],[Periodo]],5,2)</f>
        <v>06</v>
      </c>
      <c r="E1726" t="s">
        <v>11</v>
      </c>
      <c r="F1726" t="s">
        <v>12</v>
      </c>
      <c r="G1726">
        <v>80314</v>
      </c>
      <c r="H1726">
        <v>4519456</v>
      </c>
      <c r="I1726">
        <v>56.272319444444442</v>
      </c>
      <c r="J1726">
        <v>79829.458442668125</v>
      </c>
      <c r="K1726">
        <v>66.5</v>
      </c>
      <c r="L1726">
        <v>63.5</v>
      </c>
      <c r="M1726">
        <v>56.613888508911529</v>
      </c>
      <c r="N1726">
        <v>5198423</v>
      </c>
    </row>
    <row r="1727" spans="1:14" x14ac:dyDescent="0.35">
      <c r="A1727" t="s">
        <v>105</v>
      </c>
      <c r="B1727">
        <v>202512</v>
      </c>
      <c r="C1727" t="str">
        <f>MID(analisis_productividad__4[[#This Row],[Periodo]],1,4)</f>
        <v>2025</v>
      </c>
      <c r="D1727" t="str">
        <f>MID(analisis_productividad__4[[#This Row],[Periodo]],5,2)</f>
        <v>12</v>
      </c>
      <c r="E1727" t="s">
        <v>34</v>
      </c>
      <c r="F1727" t="s">
        <v>35</v>
      </c>
      <c r="G1727">
        <v>80289</v>
      </c>
      <c r="H1727">
        <v>2688953</v>
      </c>
      <c r="I1727">
        <v>33.490766129032238</v>
      </c>
      <c r="J1727">
        <v>63630.288393154886</v>
      </c>
      <c r="K1727">
        <v>33</v>
      </c>
      <c r="L1727">
        <v>31.5</v>
      </c>
      <c r="M1727">
        <v>42.259004287166924</v>
      </c>
      <c r="N1727">
        <v>3441665</v>
      </c>
    </row>
    <row r="1728" spans="1:14" x14ac:dyDescent="0.35">
      <c r="A1728" t="s">
        <v>71</v>
      </c>
      <c r="B1728">
        <v>202509</v>
      </c>
      <c r="C1728" t="str">
        <f>MID(analisis_productividad__4[[#This Row],[Periodo]],1,4)</f>
        <v>2025</v>
      </c>
      <c r="D1728" t="str">
        <f>MID(analisis_productividad__4[[#This Row],[Periodo]],5,2)</f>
        <v>09</v>
      </c>
      <c r="E1728" t="s">
        <v>16</v>
      </c>
      <c r="F1728" t="s">
        <v>19</v>
      </c>
      <c r="G1728">
        <v>80252</v>
      </c>
      <c r="H1728">
        <v>2616925</v>
      </c>
      <c r="I1728">
        <v>32.608722222222234</v>
      </c>
      <c r="J1728">
        <v>76231.525006994416</v>
      </c>
      <c r="K1728">
        <v>41.5</v>
      </c>
      <c r="L1728">
        <v>35.5</v>
      </c>
      <c r="M1728">
        <v>34.328651037217107</v>
      </c>
      <c r="N1728">
        <v>2103864</v>
      </c>
    </row>
    <row r="1729" spans="1:14" x14ac:dyDescent="0.35">
      <c r="A1729" t="s">
        <v>88</v>
      </c>
      <c r="B1729">
        <v>202402</v>
      </c>
      <c r="C1729" t="str">
        <f>MID(analisis_productividad__4[[#This Row],[Periodo]],1,4)</f>
        <v>2024</v>
      </c>
      <c r="D1729" t="str">
        <f>MID(analisis_productividad__4[[#This Row],[Periodo]],5,2)</f>
        <v>02</v>
      </c>
      <c r="E1729" t="s">
        <v>34</v>
      </c>
      <c r="F1729" t="s">
        <v>35</v>
      </c>
      <c r="G1729">
        <v>80237</v>
      </c>
      <c r="H1729">
        <v>1056997</v>
      </c>
      <c r="I1729">
        <v>13.173376436781613</v>
      </c>
      <c r="J1729">
        <v>0</v>
      </c>
      <c r="K1729">
        <v>15.5</v>
      </c>
      <c r="L1729">
        <v>14.5</v>
      </c>
      <c r="N1729">
        <v>0</v>
      </c>
    </row>
    <row r="1730" spans="1:14" x14ac:dyDescent="0.35">
      <c r="A1730" t="s">
        <v>69</v>
      </c>
      <c r="B1730">
        <v>202411</v>
      </c>
      <c r="C1730" t="str">
        <f>MID(analisis_productividad__4[[#This Row],[Periodo]],1,4)</f>
        <v>2024</v>
      </c>
      <c r="D1730" t="str">
        <f>MID(analisis_productividad__4[[#This Row],[Periodo]],5,2)</f>
        <v>11</v>
      </c>
      <c r="E1730" t="s">
        <v>11</v>
      </c>
      <c r="F1730" t="s">
        <v>52</v>
      </c>
      <c r="G1730">
        <v>80216</v>
      </c>
      <c r="H1730">
        <v>4491912</v>
      </c>
      <c r="I1730">
        <v>55.997472222222207</v>
      </c>
      <c r="J1730">
        <v>0</v>
      </c>
      <c r="K1730">
        <v>68</v>
      </c>
      <c r="L1730">
        <v>60.5</v>
      </c>
      <c r="N1730">
        <v>0</v>
      </c>
    </row>
    <row r="1731" spans="1:14" x14ac:dyDescent="0.35">
      <c r="A1731" t="s">
        <v>77</v>
      </c>
      <c r="B1731">
        <v>202408</v>
      </c>
      <c r="C1731" t="str">
        <f>MID(analisis_productividad__4[[#This Row],[Periodo]],1,4)</f>
        <v>2024</v>
      </c>
      <c r="D1731" t="str">
        <f>MID(analisis_productividad__4[[#This Row],[Periodo]],5,2)</f>
        <v>08</v>
      </c>
      <c r="E1731" t="s">
        <v>16</v>
      </c>
      <c r="F1731" t="s">
        <v>21</v>
      </c>
      <c r="G1731">
        <v>80211</v>
      </c>
      <c r="H1731">
        <v>4977322</v>
      </c>
      <c r="I1731">
        <v>62.052600806451615</v>
      </c>
      <c r="J1731">
        <v>0</v>
      </c>
      <c r="K1731">
        <v>60.5</v>
      </c>
      <c r="L1731">
        <v>60.5</v>
      </c>
      <c r="N1731">
        <v>0</v>
      </c>
    </row>
    <row r="1732" spans="1:14" x14ac:dyDescent="0.35">
      <c r="A1732" t="s">
        <v>77</v>
      </c>
      <c r="B1732">
        <v>202509</v>
      </c>
      <c r="C1732" t="str">
        <f>MID(analisis_productividad__4[[#This Row],[Periodo]],1,4)</f>
        <v>2025</v>
      </c>
      <c r="D1732" t="str">
        <f>MID(analisis_productividad__4[[#This Row],[Periodo]],5,2)</f>
        <v>09</v>
      </c>
      <c r="E1732" t="s">
        <v>16</v>
      </c>
      <c r="F1732" t="s">
        <v>21</v>
      </c>
      <c r="G1732">
        <v>80198</v>
      </c>
      <c r="H1732">
        <v>3987921</v>
      </c>
      <c r="I1732">
        <v>49.725812500000004</v>
      </c>
      <c r="J1732">
        <v>74963.803301727967</v>
      </c>
      <c r="K1732">
        <v>60.5</v>
      </c>
      <c r="L1732">
        <v>60.5</v>
      </c>
      <c r="M1732">
        <v>53.197951335909281</v>
      </c>
      <c r="N1732">
        <v>4871290</v>
      </c>
    </row>
    <row r="1733" spans="1:14" x14ac:dyDescent="0.35">
      <c r="A1733" t="s">
        <v>101</v>
      </c>
      <c r="B1733">
        <v>202605</v>
      </c>
      <c r="C1733" t="str">
        <f>MID(analisis_productividad__4[[#This Row],[Periodo]],1,4)</f>
        <v>2026</v>
      </c>
      <c r="D1733" t="str">
        <f>MID(analisis_productividad__4[[#This Row],[Periodo]],5,2)</f>
        <v>05</v>
      </c>
      <c r="E1733" t="s">
        <v>9</v>
      </c>
      <c r="F1733" t="s">
        <v>9</v>
      </c>
      <c r="G1733">
        <v>80186</v>
      </c>
      <c r="H1733">
        <v>359753</v>
      </c>
      <c r="I1733">
        <v>4.4864919354838682</v>
      </c>
      <c r="J1733">
        <v>45816.244808223208</v>
      </c>
      <c r="K1733">
        <v>8.5</v>
      </c>
      <c r="L1733">
        <v>6.5</v>
      </c>
      <c r="M1733">
        <v>7.4225653700663532</v>
      </c>
      <c r="N1733">
        <v>340074</v>
      </c>
    </row>
    <row r="1734" spans="1:14" x14ac:dyDescent="0.35">
      <c r="A1734" t="s">
        <v>42</v>
      </c>
      <c r="B1734">
        <v>202402</v>
      </c>
      <c r="C1734" t="str">
        <f>MID(analisis_productividad__4[[#This Row],[Periodo]],1,4)</f>
        <v>2024</v>
      </c>
      <c r="D1734" t="str">
        <f>MID(analisis_productividad__4[[#This Row],[Periodo]],5,2)</f>
        <v>02</v>
      </c>
      <c r="E1734" t="s">
        <v>16</v>
      </c>
      <c r="F1734" t="s">
        <v>19</v>
      </c>
      <c r="G1734">
        <v>80177</v>
      </c>
      <c r="H1734">
        <v>5038490</v>
      </c>
      <c r="I1734">
        <v>62.841997126436766</v>
      </c>
      <c r="J1734">
        <v>0</v>
      </c>
      <c r="K1734">
        <v>62</v>
      </c>
      <c r="L1734">
        <v>58</v>
      </c>
      <c r="N1734">
        <v>0</v>
      </c>
    </row>
    <row r="1735" spans="1:14" x14ac:dyDescent="0.35">
      <c r="A1735" t="s">
        <v>72</v>
      </c>
      <c r="B1735">
        <v>202601</v>
      </c>
      <c r="C1735" t="str">
        <f>MID(analisis_productividad__4[[#This Row],[Periodo]],1,4)</f>
        <v>2026</v>
      </c>
      <c r="D1735" t="str">
        <f>MID(analisis_productividad__4[[#This Row],[Periodo]],5,2)</f>
        <v>01</v>
      </c>
      <c r="E1735" t="s">
        <v>11</v>
      </c>
      <c r="F1735" t="s">
        <v>14</v>
      </c>
      <c r="G1735">
        <v>80169</v>
      </c>
      <c r="H1735">
        <v>4687882</v>
      </c>
      <c r="I1735">
        <v>58.475073924731198</v>
      </c>
      <c r="J1735">
        <v>88928.679485193294</v>
      </c>
      <c r="K1735">
        <v>66</v>
      </c>
      <c r="L1735">
        <v>64.5</v>
      </c>
      <c r="M1735">
        <v>56.772923994003754</v>
      </c>
      <c r="N1735">
        <v>5048741</v>
      </c>
    </row>
    <row r="1736" spans="1:14" x14ac:dyDescent="0.35">
      <c r="A1736" t="s">
        <v>74</v>
      </c>
      <c r="B1736">
        <v>202508</v>
      </c>
      <c r="C1736" t="str">
        <f>MID(analisis_productividad__4[[#This Row],[Periodo]],1,4)</f>
        <v>2025</v>
      </c>
      <c r="D1736" t="str">
        <f>MID(analisis_productividad__4[[#This Row],[Periodo]],5,2)</f>
        <v>08</v>
      </c>
      <c r="E1736" t="s">
        <v>16</v>
      </c>
      <c r="F1736" t="s">
        <v>19</v>
      </c>
      <c r="G1736">
        <v>80140</v>
      </c>
      <c r="H1736">
        <v>3532919</v>
      </c>
      <c r="I1736">
        <v>44.084428763440854</v>
      </c>
      <c r="J1736">
        <v>86799.994177391316</v>
      </c>
      <c r="K1736">
        <v>50.5</v>
      </c>
      <c r="L1736">
        <v>51.5</v>
      </c>
      <c r="M1736">
        <v>40.701830840908222</v>
      </c>
      <c r="N1736">
        <v>3916313</v>
      </c>
    </row>
    <row r="1737" spans="1:14" x14ac:dyDescent="0.35">
      <c r="A1737" t="s">
        <v>59</v>
      </c>
      <c r="B1737">
        <v>202504</v>
      </c>
      <c r="C1737" t="str">
        <f>MID(analisis_productividad__4[[#This Row],[Periodo]],1,4)</f>
        <v>2025</v>
      </c>
      <c r="D1737" t="str">
        <f>MID(analisis_productividad__4[[#This Row],[Periodo]],5,2)</f>
        <v>04</v>
      </c>
      <c r="E1737" t="s">
        <v>11</v>
      </c>
      <c r="F1737" t="s">
        <v>12</v>
      </c>
      <c r="G1737">
        <v>80139</v>
      </c>
      <c r="H1737">
        <v>7178766</v>
      </c>
      <c r="I1737">
        <v>89.578951388888967</v>
      </c>
      <c r="J1737">
        <v>79749.181192483389</v>
      </c>
      <c r="K1737">
        <v>94.5</v>
      </c>
      <c r="L1737">
        <v>97</v>
      </c>
      <c r="M1737">
        <v>90.016794688753777</v>
      </c>
      <c r="N1737">
        <v>7789994</v>
      </c>
    </row>
    <row r="1738" spans="1:14" x14ac:dyDescent="0.35">
      <c r="A1738" t="s">
        <v>66</v>
      </c>
      <c r="B1738">
        <v>202502</v>
      </c>
      <c r="C1738" t="str">
        <f>MID(analisis_productividad__4[[#This Row],[Periodo]],1,4)</f>
        <v>2025</v>
      </c>
      <c r="D1738" t="str">
        <f>MID(analisis_productividad__4[[#This Row],[Periodo]],5,2)</f>
        <v>02</v>
      </c>
      <c r="E1738" t="s">
        <v>11</v>
      </c>
      <c r="F1738" t="s">
        <v>12</v>
      </c>
      <c r="G1738">
        <v>80136</v>
      </c>
      <c r="H1738">
        <v>6126513</v>
      </c>
      <c r="I1738">
        <v>76.451562500000009</v>
      </c>
      <c r="J1738">
        <v>81904.7769617265</v>
      </c>
      <c r="K1738">
        <v>80</v>
      </c>
      <c r="L1738">
        <v>80.5</v>
      </c>
      <c r="M1738">
        <v>74.800437376966116</v>
      </c>
      <c r="N1738">
        <v>6225962</v>
      </c>
    </row>
    <row r="1739" spans="1:14" x14ac:dyDescent="0.35">
      <c r="A1739" t="s">
        <v>92</v>
      </c>
      <c r="B1739">
        <v>202503</v>
      </c>
      <c r="C1739" t="str">
        <f>MID(analisis_productividad__4[[#This Row],[Periodo]],1,4)</f>
        <v>2025</v>
      </c>
      <c r="D1739" t="str">
        <f>MID(analisis_productividad__4[[#This Row],[Periodo]],5,2)</f>
        <v>03</v>
      </c>
      <c r="E1739" t="s">
        <v>11</v>
      </c>
      <c r="F1739" t="s">
        <v>14</v>
      </c>
      <c r="G1739">
        <v>80110</v>
      </c>
      <c r="H1739">
        <v>4986772</v>
      </c>
      <c r="I1739">
        <v>62.24933467741937</v>
      </c>
      <c r="J1739">
        <v>84415.059109808251</v>
      </c>
      <c r="K1739">
        <v>63</v>
      </c>
      <c r="L1739">
        <v>59</v>
      </c>
      <c r="M1739">
        <v>59.074431773045845</v>
      </c>
      <c r="N1739">
        <v>4784363</v>
      </c>
    </row>
    <row r="1740" spans="1:14" x14ac:dyDescent="0.35">
      <c r="A1740" t="s">
        <v>47</v>
      </c>
      <c r="B1740">
        <v>202504</v>
      </c>
      <c r="C1740" t="str">
        <f>MID(analisis_productividad__4[[#This Row],[Periodo]],1,4)</f>
        <v>2025</v>
      </c>
      <c r="D1740" t="str">
        <f>MID(analisis_productividad__4[[#This Row],[Periodo]],5,2)</f>
        <v>04</v>
      </c>
      <c r="E1740" t="s">
        <v>11</v>
      </c>
      <c r="F1740" t="s">
        <v>14</v>
      </c>
      <c r="G1740">
        <v>80091</v>
      </c>
      <c r="H1740">
        <v>4308565</v>
      </c>
      <c r="I1740">
        <v>53.796118055555596</v>
      </c>
      <c r="J1740">
        <v>72763.565155717224</v>
      </c>
      <c r="K1740">
        <v>61.5</v>
      </c>
      <c r="L1740">
        <v>48.5</v>
      </c>
      <c r="M1740">
        <v>59.21322423907462</v>
      </c>
      <c r="N1740">
        <v>4799193</v>
      </c>
    </row>
    <row r="1741" spans="1:14" x14ac:dyDescent="0.35">
      <c r="A1741" t="s">
        <v>73</v>
      </c>
      <c r="B1741">
        <v>202605</v>
      </c>
      <c r="C1741" t="str">
        <f>MID(analisis_productividad__4[[#This Row],[Periodo]],1,4)</f>
        <v>2026</v>
      </c>
      <c r="D1741" t="str">
        <f>MID(analisis_productividad__4[[#This Row],[Periodo]],5,2)</f>
        <v>05</v>
      </c>
      <c r="E1741" t="s">
        <v>16</v>
      </c>
      <c r="F1741" t="s">
        <v>21</v>
      </c>
      <c r="G1741">
        <v>80080</v>
      </c>
      <c r="H1741">
        <v>2870301</v>
      </c>
      <c r="I1741">
        <v>35.843057795699536</v>
      </c>
      <c r="J1741">
        <v>79000.43758927111</v>
      </c>
      <c r="K1741">
        <v>43.5</v>
      </c>
      <c r="L1741">
        <v>41</v>
      </c>
      <c r="M1741">
        <v>38.914029696684921</v>
      </c>
      <c r="N1741">
        <v>3074225</v>
      </c>
    </row>
    <row r="1742" spans="1:14" x14ac:dyDescent="0.35">
      <c r="A1742" t="s">
        <v>71</v>
      </c>
      <c r="B1742">
        <v>202412</v>
      </c>
      <c r="C1742" t="str">
        <f>MID(analisis_productividad__4[[#This Row],[Periodo]],1,4)</f>
        <v>2024</v>
      </c>
      <c r="D1742" t="str">
        <f>MID(analisis_productividad__4[[#This Row],[Periodo]],5,2)</f>
        <v>12</v>
      </c>
      <c r="E1742" t="s">
        <v>16</v>
      </c>
      <c r="F1742" t="s">
        <v>19</v>
      </c>
      <c r="G1742">
        <v>80060</v>
      </c>
      <c r="H1742">
        <v>3354876</v>
      </c>
      <c r="I1742">
        <v>41.904690860215062</v>
      </c>
      <c r="J1742">
        <v>0</v>
      </c>
      <c r="K1742">
        <v>41.5</v>
      </c>
      <c r="L1742">
        <v>35.5</v>
      </c>
      <c r="N1742">
        <v>0</v>
      </c>
    </row>
    <row r="1743" spans="1:14" x14ac:dyDescent="0.35">
      <c r="A1743" t="s">
        <v>76</v>
      </c>
      <c r="B1743">
        <v>202405</v>
      </c>
      <c r="C1743" t="str">
        <f>MID(analisis_productividad__4[[#This Row],[Periodo]],1,4)</f>
        <v>2024</v>
      </c>
      <c r="D1743" t="str">
        <f>MID(analisis_productividad__4[[#This Row],[Periodo]],5,2)</f>
        <v>05</v>
      </c>
      <c r="E1743" t="s">
        <v>11</v>
      </c>
      <c r="F1743" t="s">
        <v>14</v>
      </c>
      <c r="G1743">
        <v>80059</v>
      </c>
      <c r="H1743">
        <v>6266914</v>
      </c>
      <c r="I1743">
        <v>78.278252688172088</v>
      </c>
      <c r="J1743">
        <v>0</v>
      </c>
      <c r="K1743">
        <v>80</v>
      </c>
      <c r="L1743">
        <v>78</v>
      </c>
      <c r="N1743">
        <v>0</v>
      </c>
    </row>
    <row r="1744" spans="1:14" x14ac:dyDescent="0.35">
      <c r="A1744" t="s">
        <v>89</v>
      </c>
      <c r="B1744">
        <v>202405</v>
      </c>
      <c r="C1744" t="str">
        <f>MID(analisis_productividad__4[[#This Row],[Periodo]],1,4)</f>
        <v>2024</v>
      </c>
      <c r="D1744" t="str">
        <f>MID(analisis_productividad__4[[#This Row],[Periodo]],5,2)</f>
        <v>05</v>
      </c>
      <c r="E1744" t="s">
        <v>9</v>
      </c>
      <c r="F1744" t="s">
        <v>9</v>
      </c>
      <c r="G1744">
        <v>80058</v>
      </c>
      <c r="H1744">
        <v>1027138</v>
      </c>
      <c r="I1744">
        <v>12.829946236559142</v>
      </c>
      <c r="J1744">
        <v>0</v>
      </c>
      <c r="K1744">
        <v>17</v>
      </c>
      <c r="L1744">
        <v>13.5</v>
      </c>
      <c r="N1744">
        <v>0</v>
      </c>
    </row>
    <row r="1745" spans="1:14" x14ac:dyDescent="0.35">
      <c r="A1745" t="s">
        <v>102</v>
      </c>
      <c r="B1745">
        <v>202603</v>
      </c>
      <c r="C1745" t="str">
        <f>MID(analisis_productividad__4[[#This Row],[Periodo]],1,4)</f>
        <v>2026</v>
      </c>
      <c r="D1745" t="str">
        <f>MID(analisis_productividad__4[[#This Row],[Periodo]],5,2)</f>
        <v>03</v>
      </c>
      <c r="E1745" t="s">
        <v>11</v>
      </c>
      <c r="F1745" t="s">
        <v>12</v>
      </c>
      <c r="G1745">
        <v>80035</v>
      </c>
      <c r="H1745">
        <v>2493929</v>
      </c>
      <c r="I1745">
        <v>31.160678763440849</v>
      </c>
      <c r="J1745">
        <v>83393.469950881772</v>
      </c>
      <c r="K1745">
        <v>34</v>
      </c>
      <c r="L1745">
        <v>34</v>
      </c>
      <c r="M1745">
        <v>29.696606396863505</v>
      </c>
      <c r="N1745">
        <v>2476503</v>
      </c>
    </row>
    <row r="1746" spans="1:14" x14ac:dyDescent="0.35">
      <c r="A1746" t="s">
        <v>77</v>
      </c>
      <c r="B1746">
        <v>202501</v>
      </c>
      <c r="C1746" t="str">
        <f>MID(analisis_productividad__4[[#This Row],[Periodo]],1,4)</f>
        <v>2025</v>
      </c>
      <c r="D1746" t="str">
        <f>MID(analisis_productividad__4[[#This Row],[Periodo]],5,2)</f>
        <v>01</v>
      </c>
      <c r="E1746" t="s">
        <v>16</v>
      </c>
      <c r="F1746" t="s">
        <v>21</v>
      </c>
      <c r="G1746">
        <v>80011</v>
      </c>
      <c r="H1746">
        <v>4657651</v>
      </c>
      <c r="I1746">
        <v>58.21295026881721</v>
      </c>
      <c r="J1746">
        <v>79072.291288082677</v>
      </c>
      <c r="K1746">
        <v>60.5</v>
      </c>
      <c r="L1746">
        <v>60.5</v>
      </c>
      <c r="M1746">
        <v>58.903708671231762</v>
      </c>
      <c r="N1746">
        <v>4994759</v>
      </c>
    </row>
    <row r="1747" spans="1:14" x14ac:dyDescent="0.35">
      <c r="A1747" t="s">
        <v>80</v>
      </c>
      <c r="B1747">
        <v>202504</v>
      </c>
      <c r="C1747" t="str">
        <f>MID(analisis_productividad__4[[#This Row],[Periodo]],1,4)</f>
        <v>2025</v>
      </c>
      <c r="D1747" t="str">
        <f>MID(analisis_productividad__4[[#This Row],[Periodo]],5,2)</f>
        <v>04</v>
      </c>
      <c r="E1747" t="s">
        <v>16</v>
      </c>
      <c r="F1747" t="s">
        <v>17</v>
      </c>
      <c r="G1747">
        <v>79991</v>
      </c>
      <c r="H1747">
        <v>4187109</v>
      </c>
      <c r="I1747">
        <v>52.345027777777773</v>
      </c>
      <c r="J1747">
        <v>74188.884091300308</v>
      </c>
      <c r="K1747">
        <v>58</v>
      </c>
      <c r="L1747">
        <v>58.5</v>
      </c>
      <c r="M1747">
        <v>56.438497509238019</v>
      </c>
      <c r="N1747">
        <v>4427102</v>
      </c>
    </row>
    <row r="1748" spans="1:14" x14ac:dyDescent="0.35">
      <c r="A1748" t="s">
        <v>67</v>
      </c>
      <c r="B1748">
        <v>202506</v>
      </c>
      <c r="C1748" t="str">
        <f>MID(analisis_productividad__4[[#This Row],[Periodo]],1,4)</f>
        <v>2025</v>
      </c>
      <c r="D1748" t="str">
        <f>MID(analisis_productividad__4[[#This Row],[Periodo]],5,2)</f>
        <v>06</v>
      </c>
      <c r="E1748" t="s">
        <v>16</v>
      </c>
      <c r="F1748" t="s">
        <v>19</v>
      </c>
      <c r="G1748">
        <v>79984</v>
      </c>
      <c r="H1748">
        <v>5705212</v>
      </c>
      <c r="I1748">
        <v>71.329805555555552</v>
      </c>
      <c r="J1748">
        <v>85472.870323763447</v>
      </c>
      <c r="K1748">
        <v>79.5</v>
      </c>
      <c r="L1748">
        <v>81.5</v>
      </c>
      <c r="M1748">
        <v>66.748811153634762</v>
      </c>
      <c r="N1748">
        <v>5978112</v>
      </c>
    </row>
    <row r="1749" spans="1:14" x14ac:dyDescent="0.35">
      <c r="A1749" t="s">
        <v>70</v>
      </c>
      <c r="B1749">
        <v>202401</v>
      </c>
      <c r="C1749" t="str">
        <f>MID(analisis_productividad__4[[#This Row],[Periodo]],1,4)</f>
        <v>2024</v>
      </c>
      <c r="D1749" t="str">
        <f>MID(analisis_productividad__4[[#This Row],[Periodo]],5,2)</f>
        <v>01</v>
      </c>
      <c r="E1749" t="s">
        <v>11</v>
      </c>
      <c r="F1749" t="s">
        <v>14</v>
      </c>
      <c r="G1749">
        <v>79965</v>
      </c>
      <c r="H1749">
        <v>4631560</v>
      </c>
      <c r="I1749">
        <v>57.919731182795715</v>
      </c>
      <c r="J1749">
        <v>0</v>
      </c>
      <c r="K1749">
        <v>65</v>
      </c>
      <c r="L1749">
        <v>67.5</v>
      </c>
      <c r="N1749">
        <v>0</v>
      </c>
    </row>
    <row r="1750" spans="1:14" x14ac:dyDescent="0.35">
      <c r="A1750" t="s">
        <v>62</v>
      </c>
      <c r="B1750">
        <v>202410</v>
      </c>
      <c r="C1750" t="str">
        <f>MID(analisis_productividad__4[[#This Row],[Periodo]],1,4)</f>
        <v>2024</v>
      </c>
      <c r="D1750" t="str">
        <f>MID(analisis_productividad__4[[#This Row],[Periodo]],5,2)</f>
        <v>10</v>
      </c>
      <c r="E1750" t="s">
        <v>16</v>
      </c>
      <c r="F1750" t="s">
        <v>17</v>
      </c>
      <c r="G1750">
        <v>79964</v>
      </c>
      <c r="H1750">
        <v>2151441</v>
      </c>
      <c r="I1750">
        <v>26.904979838709675</v>
      </c>
      <c r="J1750">
        <v>0</v>
      </c>
      <c r="K1750">
        <v>32.5</v>
      </c>
      <c r="L1750">
        <v>32</v>
      </c>
      <c r="N1750">
        <v>0</v>
      </c>
    </row>
    <row r="1751" spans="1:14" x14ac:dyDescent="0.35">
      <c r="A1751" t="s">
        <v>90</v>
      </c>
      <c r="B1751">
        <v>202408</v>
      </c>
      <c r="C1751" t="str">
        <f>MID(analisis_productividad__4[[#This Row],[Periodo]],1,4)</f>
        <v>2024</v>
      </c>
      <c r="D1751" t="str">
        <f>MID(analisis_productividad__4[[#This Row],[Periodo]],5,2)</f>
        <v>08</v>
      </c>
      <c r="E1751" t="s">
        <v>11</v>
      </c>
      <c r="F1751" t="s">
        <v>14</v>
      </c>
      <c r="G1751">
        <v>79948</v>
      </c>
      <c r="H1751">
        <v>5652288</v>
      </c>
      <c r="I1751">
        <v>70.699905913978469</v>
      </c>
      <c r="J1751">
        <v>0</v>
      </c>
      <c r="K1751">
        <v>84.5</v>
      </c>
      <c r="L1751">
        <v>78.5</v>
      </c>
      <c r="N1751">
        <v>0</v>
      </c>
    </row>
    <row r="1752" spans="1:14" x14ac:dyDescent="0.35">
      <c r="A1752" t="s">
        <v>48</v>
      </c>
      <c r="B1752">
        <v>202509</v>
      </c>
      <c r="C1752" t="str">
        <f>MID(analisis_productividad__4[[#This Row],[Periodo]],1,4)</f>
        <v>2025</v>
      </c>
      <c r="D1752" t="str">
        <f>MID(analisis_productividad__4[[#This Row],[Periodo]],5,2)</f>
        <v>09</v>
      </c>
      <c r="E1752" t="s">
        <v>16</v>
      </c>
      <c r="F1752" t="s">
        <v>21</v>
      </c>
      <c r="G1752">
        <v>79942</v>
      </c>
      <c r="H1752">
        <v>3990594</v>
      </c>
      <c r="I1752">
        <v>49.918506944444474</v>
      </c>
      <c r="J1752">
        <v>64830.257137422894</v>
      </c>
      <c r="K1752">
        <v>56</v>
      </c>
      <c r="L1752">
        <v>60</v>
      </c>
      <c r="M1752">
        <v>61.554499954257516</v>
      </c>
      <c r="N1752">
        <v>4133638</v>
      </c>
    </row>
    <row r="1753" spans="1:14" x14ac:dyDescent="0.35">
      <c r="A1753" t="s">
        <v>10</v>
      </c>
      <c r="B1753">
        <v>202402</v>
      </c>
      <c r="C1753" t="str">
        <f>MID(analisis_productividad__4[[#This Row],[Periodo]],1,4)</f>
        <v>2024</v>
      </c>
      <c r="D1753" t="str">
        <f>MID(analisis_productividad__4[[#This Row],[Periodo]],5,2)</f>
        <v>02</v>
      </c>
      <c r="E1753" t="s">
        <v>11</v>
      </c>
      <c r="F1753" t="s">
        <v>12</v>
      </c>
      <c r="G1753">
        <v>79933</v>
      </c>
      <c r="H1753">
        <v>7788662</v>
      </c>
      <c r="I1753">
        <v>97.439446839080517</v>
      </c>
      <c r="J1753">
        <v>0</v>
      </c>
      <c r="K1753">
        <v>98.5</v>
      </c>
      <c r="L1753">
        <v>96.5</v>
      </c>
      <c r="N1753">
        <v>0</v>
      </c>
    </row>
    <row r="1754" spans="1:14" x14ac:dyDescent="0.35">
      <c r="A1754" t="s">
        <v>87</v>
      </c>
      <c r="B1754">
        <v>202407</v>
      </c>
      <c r="C1754" t="str">
        <f>MID(analisis_productividad__4[[#This Row],[Periodo]],1,4)</f>
        <v>2024</v>
      </c>
      <c r="D1754" t="str">
        <f>MID(analisis_productividad__4[[#This Row],[Periodo]],5,2)</f>
        <v>07</v>
      </c>
      <c r="E1754" t="s">
        <v>9</v>
      </c>
      <c r="F1754" t="s">
        <v>9</v>
      </c>
      <c r="G1754">
        <v>79913</v>
      </c>
      <c r="H1754">
        <v>1013992</v>
      </c>
      <c r="I1754">
        <v>12.688629032258069</v>
      </c>
      <c r="J1754">
        <v>0</v>
      </c>
      <c r="K1754">
        <v>13.5</v>
      </c>
      <c r="L1754">
        <v>12</v>
      </c>
      <c r="N1754">
        <v>0</v>
      </c>
    </row>
    <row r="1755" spans="1:14" x14ac:dyDescent="0.35">
      <c r="A1755" t="s">
        <v>18</v>
      </c>
      <c r="B1755">
        <v>202501</v>
      </c>
      <c r="C1755" t="str">
        <f>MID(analisis_productividad__4[[#This Row],[Periodo]],1,4)</f>
        <v>2025</v>
      </c>
      <c r="D1755" t="str">
        <f>MID(analisis_productividad__4[[#This Row],[Periodo]],5,2)</f>
        <v>01</v>
      </c>
      <c r="E1755" t="s">
        <v>16</v>
      </c>
      <c r="F1755" t="s">
        <v>19</v>
      </c>
      <c r="G1755">
        <v>79905</v>
      </c>
      <c r="H1755">
        <v>5105255</v>
      </c>
      <c r="I1755">
        <v>63.891323924731175</v>
      </c>
      <c r="J1755">
        <v>91532.413902217522</v>
      </c>
      <c r="K1755">
        <v>70.5</v>
      </c>
      <c r="L1755">
        <v>69.5</v>
      </c>
      <c r="M1755">
        <v>55.775380352733357</v>
      </c>
      <c r="N1755">
        <v>4999534</v>
      </c>
    </row>
    <row r="1756" spans="1:14" x14ac:dyDescent="0.35">
      <c r="A1756" t="s">
        <v>89</v>
      </c>
      <c r="B1756">
        <v>202601</v>
      </c>
      <c r="C1756" t="str">
        <f>MID(analisis_productividad__4[[#This Row],[Periodo]],1,4)</f>
        <v>2026</v>
      </c>
      <c r="D1756" t="str">
        <f>MID(analisis_productividad__4[[#This Row],[Periodo]],5,2)</f>
        <v>01</v>
      </c>
      <c r="E1756" t="s">
        <v>9</v>
      </c>
      <c r="F1756" t="s">
        <v>9</v>
      </c>
      <c r="G1756">
        <v>79900</v>
      </c>
      <c r="H1756">
        <v>974815</v>
      </c>
      <c r="I1756">
        <v>12.200416666666666</v>
      </c>
      <c r="J1756">
        <v>72045.69236353111</v>
      </c>
      <c r="K1756">
        <v>17</v>
      </c>
      <c r="L1756">
        <v>13.5</v>
      </c>
      <c r="M1756">
        <v>14.845130740132706</v>
      </c>
      <c r="N1756">
        <v>1069528</v>
      </c>
    </row>
    <row r="1757" spans="1:14" x14ac:dyDescent="0.35">
      <c r="A1757" t="s">
        <v>67</v>
      </c>
      <c r="B1757">
        <v>202405</v>
      </c>
      <c r="C1757" t="str">
        <f>MID(analisis_productividad__4[[#This Row],[Periodo]],1,4)</f>
        <v>2024</v>
      </c>
      <c r="D1757" t="str">
        <f>MID(analisis_productividad__4[[#This Row],[Periodo]],5,2)</f>
        <v>05</v>
      </c>
      <c r="E1757" t="s">
        <v>16</v>
      </c>
      <c r="F1757" t="s">
        <v>19</v>
      </c>
      <c r="G1757">
        <v>79898</v>
      </c>
      <c r="H1757">
        <v>5834515</v>
      </c>
      <c r="I1757">
        <v>73.024865591397884</v>
      </c>
      <c r="J1757">
        <v>0</v>
      </c>
      <c r="K1757">
        <v>79.5</v>
      </c>
      <c r="L1757">
        <v>81.5</v>
      </c>
      <c r="N1757">
        <v>0</v>
      </c>
    </row>
    <row r="1758" spans="1:14" x14ac:dyDescent="0.35">
      <c r="A1758" t="s">
        <v>41</v>
      </c>
      <c r="B1758">
        <v>202404</v>
      </c>
      <c r="C1758" t="str">
        <f>MID(analisis_productividad__4[[#This Row],[Periodo]],1,4)</f>
        <v>2024</v>
      </c>
      <c r="D1758" t="str">
        <f>MID(analisis_productividad__4[[#This Row],[Periodo]],5,2)</f>
        <v>04</v>
      </c>
      <c r="E1758" t="s">
        <v>16</v>
      </c>
      <c r="F1758" t="s">
        <v>19</v>
      </c>
      <c r="G1758">
        <v>79897</v>
      </c>
      <c r="H1758">
        <v>4232878</v>
      </c>
      <c r="I1758">
        <v>52.979354166666674</v>
      </c>
      <c r="J1758">
        <v>0</v>
      </c>
      <c r="K1758">
        <v>57.5</v>
      </c>
      <c r="L1758">
        <v>56.5</v>
      </c>
      <c r="N1758">
        <v>0</v>
      </c>
    </row>
    <row r="1759" spans="1:14" x14ac:dyDescent="0.35">
      <c r="A1759" t="s">
        <v>72</v>
      </c>
      <c r="B1759">
        <v>202406</v>
      </c>
      <c r="C1759" t="str">
        <f>MID(analisis_productividad__4[[#This Row],[Periodo]],1,4)</f>
        <v>2024</v>
      </c>
      <c r="D1759" t="str">
        <f>MID(analisis_productividad__4[[#This Row],[Periodo]],5,2)</f>
        <v>06</v>
      </c>
      <c r="E1759" t="s">
        <v>11</v>
      </c>
      <c r="F1759" t="s">
        <v>14</v>
      </c>
      <c r="G1759">
        <v>79896</v>
      </c>
      <c r="H1759">
        <v>4977454</v>
      </c>
      <c r="I1759">
        <v>62.299027777777773</v>
      </c>
      <c r="J1759">
        <v>0</v>
      </c>
      <c r="K1759">
        <v>66</v>
      </c>
      <c r="L1759">
        <v>64.5</v>
      </c>
      <c r="N1759">
        <v>0</v>
      </c>
    </row>
    <row r="1760" spans="1:14" x14ac:dyDescent="0.35">
      <c r="A1760" t="s">
        <v>75</v>
      </c>
      <c r="B1760">
        <v>202601</v>
      </c>
      <c r="C1760" t="str">
        <f>MID(analisis_productividad__4[[#This Row],[Periodo]],1,4)</f>
        <v>2026</v>
      </c>
      <c r="D1760" t="str">
        <f>MID(analisis_productividad__4[[#This Row],[Periodo]],5,2)</f>
        <v>01</v>
      </c>
      <c r="E1760" t="s">
        <v>11</v>
      </c>
      <c r="F1760" t="s">
        <v>52</v>
      </c>
      <c r="G1760">
        <v>79893</v>
      </c>
      <c r="H1760">
        <v>8710152</v>
      </c>
      <c r="I1760">
        <v>109.02208333333334</v>
      </c>
      <c r="J1760">
        <v>96325.755267299843</v>
      </c>
      <c r="K1760">
        <v>118</v>
      </c>
      <c r="L1760">
        <v>106</v>
      </c>
      <c r="M1760">
        <v>102.17544085783207</v>
      </c>
      <c r="N1760">
        <v>9842127</v>
      </c>
    </row>
    <row r="1761" spans="1:14" x14ac:dyDescent="0.35">
      <c r="A1761" t="s">
        <v>81</v>
      </c>
      <c r="B1761">
        <v>202410</v>
      </c>
      <c r="C1761" t="str">
        <f>MID(analisis_productividad__4[[#This Row],[Periodo]],1,4)</f>
        <v>2024</v>
      </c>
      <c r="D1761" t="str">
        <f>MID(analisis_productividad__4[[#This Row],[Periodo]],5,2)</f>
        <v>10</v>
      </c>
      <c r="E1761" t="s">
        <v>34</v>
      </c>
      <c r="F1761" t="s">
        <v>35</v>
      </c>
      <c r="G1761">
        <v>79888</v>
      </c>
      <c r="H1761">
        <v>7280314</v>
      </c>
      <c r="I1761">
        <v>91.131202956989213</v>
      </c>
      <c r="J1761">
        <v>0</v>
      </c>
      <c r="K1761">
        <v>106</v>
      </c>
      <c r="L1761">
        <v>94.5</v>
      </c>
      <c r="N1761">
        <v>0</v>
      </c>
    </row>
    <row r="1762" spans="1:14" x14ac:dyDescent="0.35">
      <c r="A1762" t="s">
        <v>82</v>
      </c>
      <c r="B1762">
        <v>202406</v>
      </c>
      <c r="C1762" t="str">
        <f>MID(analisis_productividad__4[[#This Row],[Periodo]],1,4)</f>
        <v>2024</v>
      </c>
      <c r="D1762" t="str">
        <f>MID(analisis_productividad__4[[#This Row],[Periodo]],5,2)</f>
        <v>06</v>
      </c>
      <c r="E1762" t="s">
        <v>11</v>
      </c>
      <c r="F1762" t="s">
        <v>12</v>
      </c>
      <c r="G1762">
        <v>79886</v>
      </c>
      <c r="H1762">
        <v>4266260</v>
      </c>
      <c r="I1762">
        <v>53.404361111111093</v>
      </c>
      <c r="J1762">
        <v>0</v>
      </c>
      <c r="K1762">
        <v>53.5</v>
      </c>
      <c r="L1762">
        <v>54</v>
      </c>
      <c r="N1762">
        <v>0</v>
      </c>
    </row>
    <row r="1763" spans="1:14" x14ac:dyDescent="0.35">
      <c r="A1763" t="s">
        <v>80</v>
      </c>
      <c r="B1763">
        <v>202506</v>
      </c>
      <c r="C1763" t="str">
        <f>MID(analisis_productividad__4[[#This Row],[Periodo]],1,4)</f>
        <v>2025</v>
      </c>
      <c r="D1763" t="str">
        <f>MID(analisis_productividad__4[[#This Row],[Periodo]],5,2)</f>
        <v>06</v>
      </c>
      <c r="E1763" t="s">
        <v>16</v>
      </c>
      <c r="F1763" t="s">
        <v>17</v>
      </c>
      <c r="G1763">
        <v>79872</v>
      </c>
      <c r="H1763">
        <v>4380564</v>
      </c>
      <c r="I1763">
        <v>54.844756944444448</v>
      </c>
      <c r="J1763">
        <v>82543.236507142123</v>
      </c>
      <c r="K1763">
        <v>58</v>
      </c>
      <c r="L1763">
        <v>58.5</v>
      </c>
      <c r="M1763">
        <v>53.069930927907912</v>
      </c>
      <c r="N1763">
        <v>4376185</v>
      </c>
    </row>
    <row r="1764" spans="1:14" x14ac:dyDescent="0.35">
      <c r="A1764" t="s">
        <v>90</v>
      </c>
      <c r="B1764">
        <v>202507</v>
      </c>
      <c r="C1764" t="str">
        <f>MID(analisis_productividad__4[[#This Row],[Periodo]],1,4)</f>
        <v>2025</v>
      </c>
      <c r="D1764" t="str">
        <f>MID(analisis_productividad__4[[#This Row],[Periodo]],5,2)</f>
        <v>07</v>
      </c>
      <c r="E1764" t="s">
        <v>11</v>
      </c>
      <c r="F1764" t="s">
        <v>14</v>
      </c>
      <c r="G1764">
        <v>79825</v>
      </c>
      <c r="H1764">
        <v>5545947</v>
      </c>
      <c r="I1764">
        <v>69.476176075268839</v>
      </c>
      <c r="J1764">
        <v>72752.896810425926</v>
      </c>
      <c r="K1764">
        <v>84.5</v>
      </c>
      <c r="L1764">
        <v>78.5</v>
      </c>
      <c r="M1764">
        <v>76.229915689147276</v>
      </c>
      <c r="N1764">
        <v>6386710</v>
      </c>
    </row>
    <row r="1765" spans="1:14" x14ac:dyDescent="0.35">
      <c r="A1765" t="s">
        <v>79</v>
      </c>
      <c r="B1765">
        <v>202606</v>
      </c>
      <c r="C1765" t="str">
        <f>MID(analisis_productividad__4[[#This Row],[Periodo]],1,4)</f>
        <v>2026</v>
      </c>
      <c r="D1765" t="str">
        <f>MID(analisis_productividad__4[[#This Row],[Periodo]],5,2)</f>
        <v>06</v>
      </c>
      <c r="E1765" t="s">
        <v>11</v>
      </c>
      <c r="F1765" t="s">
        <v>12</v>
      </c>
      <c r="G1765">
        <v>79818</v>
      </c>
      <c r="H1765">
        <v>4650391</v>
      </c>
      <c r="I1765">
        <v>58.262798611110945</v>
      </c>
      <c r="J1765">
        <v>88164.097580068483</v>
      </c>
      <c r="K1765">
        <v>64.5</v>
      </c>
      <c r="L1765">
        <v>64</v>
      </c>
      <c r="M1765">
        <v>54.966698955874868</v>
      </c>
      <c r="N1765">
        <v>4846089</v>
      </c>
    </row>
    <row r="1766" spans="1:14" x14ac:dyDescent="0.35">
      <c r="A1766" t="s">
        <v>54</v>
      </c>
      <c r="B1766">
        <v>202402</v>
      </c>
      <c r="C1766" t="str">
        <f>MID(analisis_productividad__4[[#This Row],[Periodo]],1,4)</f>
        <v>2024</v>
      </c>
      <c r="D1766" t="str">
        <f>MID(analisis_productividad__4[[#This Row],[Periodo]],5,2)</f>
        <v>02</v>
      </c>
      <c r="E1766" t="s">
        <v>11</v>
      </c>
      <c r="F1766" t="s">
        <v>52</v>
      </c>
      <c r="G1766">
        <v>79814</v>
      </c>
      <c r="H1766">
        <v>8860120</v>
      </c>
      <c r="I1766">
        <v>111.00928879310347</v>
      </c>
      <c r="J1766">
        <v>0</v>
      </c>
      <c r="K1766">
        <v>106</v>
      </c>
      <c r="L1766">
        <v>102.5</v>
      </c>
      <c r="N1766">
        <v>0</v>
      </c>
    </row>
    <row r="1767" spans="1:14" x14ac:dyDescent="0.35">
      <c r="A1767" t="s">
        <v>73</v>
      </c>
      <c r="B1767">
        <v>202601</v>
      </c>
      <c r="C1767" t="str">
        <f>MID(analisis_productividad__4[[#This Row],[Periodo]],1,4)</f>
        <v>2026</v>
      </c>
      <c r="D1767" t="str">
        <f>MID(analisis_productividad__4[[#This Row],[Periodo]],5,2)</f>
        <v>01</v>
      </c>
      <c r="E1767" t="s">
        <v>16</v>
      </c>
      <c r="F1767" t="s">
        <v>21</v>
      </c>
      <c r="G1767">
        <v>79811</v>
      </c>
      <c r="H1767">
        <v>2903155</v>
      </c>
      <c r="I1767">
        <v>36.375490591397835</v>
      </c>
      <c r="J1767">
        <v>78530.163900253523</v>
      </c>
      <c r="K1767">
        <v>43.5</v>
      </c>
      <c r="L1767">
        <v>41</v>
      </c>
      <c r="M1767">
        <v>38.914029696684921</v>
      </c>
      <c r="N1767">
        <v>3055925</v>
      </c>
    </row>
    <row r="1768" spans="1:14" x14ac:dyDescent="0.35">
      <c r="A1768" t="s">
        <v>41</v>
      </c>
      <c r="B1768">
        <v>202410</v>
      </c>
      <c r="C1768" t="str">
        <f>MID(analisis_productividad__4[[#This Row],[Periodo]],1,4)</f>
        <v>2024</v>
      </c>
      <c r="D1768" t="str">
        <f>MID(analisis_productividad__4[[#This Row],[Periodo]],5,2)</f>
        <v>10</v>
      </c>
      <c r="E1768" t="s">
        <v>16</v>
      </c>
      <c r="F1768" t="s">
        <v>19</v>
      </c>
      <c r="G1768">
        <v>79766</v>
      </c>
      <c r="H1768">
        <v>4129793</v>
      </c>
      <c r="I1768">
        <v>51.773749999999978</v>
      </c>
      <c r="J1768">
        <v>0</v>
      </c>
      <c r="K1768">
        <v>57.5</v>
      </c>
      <c r="L1768">
        <v>56.5</v>
      </c>
      <c r="N1768">
        <v>0</v>
      </c>
    </row>
    <row r="1769" spans="1:14" x14ac:dyDescent="0.35">
      <c r="A1769" t="s">
        <v>97</v>
      </c>
      <c r="B1769">
        <v>202601</v>
      </c>
      <c r="C1769" t="str">
        <f>MID(analisis_productividad__4[[#This Row],[Periodo]],1,4)</f>
        <v>2026</v>
      </c>
      <c r="D1769" t="str">
        <f>MID(analisis_productividad__4[[#This Row],[Periodo]],5,2)</f>
        <v>01</v>
      </c>
      <c r="E1769" t="s">
        <v>11</v>
      </c>
      <c r="F1769" t="s">
        <v>12</v>
      </c>
      <c r="G1769">
        <v>79764</v>
      </c>
      <c r="H1769">
        <v>4469325</v>
      </c>
      <c r="I1769">
        <v>56.03203629032258</v>
      </c>
      <c r="J1769">
        <v>106307.15015859643</v>
      </c>
      <c r="K1769">
        <v>66.5</v>
      </c>
      <c r="L1769">
        <v>63.5</v>
      </c>
      <c r="M1769">
        <v>54.652141241039438</v>
      </c>
      <c r="N1769">
        <v>5809913</v>
      </c>
    </row>
    <row r="1770" spans="1:14" x14ac:dyDescent="0.35">
      <c r="A1770" t="s">
        <v>80</v>
      </c>
      <c r="B1770">
        <v>202401</v>
      </c>
      <c r="C1770" t="str">
        <f>MID(analisis_productividad__4[[#This Row],[Periodo]],1,4)</f>
        <v>2024</v>
      </c>
      <c r="D1770" t="str">
        <f>MID(analisis_productividad__4[[#This Row],[Periodo]],5,2)</f>
        <v>01</v>
      </c>
      <c r="E1770" t="s">
        <v>16</v>
      </c>
      <c r="F1770" t="s">
        <v>17</v>
      </c>
      <c r="G1770">
        <v>79761</v>
      </c>
      <c r="H1770">
        <v>4291046</v>
      </c>
      <c r="I1770">
        <v>53.798763440860192</v>
      </c>
      <c r="J1770">
        <v>0</v>
      </c>
      <c r="K1770">
        <v>58</v>
      </c>
      <c r="L1770">
        <v>58.5</v>
      </c>
      <c r="N1770">
        <v>0</v>
      </c>
    </row>
    <row r="1771" spans="1:14" x14ac:dyDescent="0.35">
      <c r="A1771" t="s">
        <v>18</v>
      </c>
      <c r="B1771">
        <v>202408</v>
      </c>
      <c r="C1771" t="str">
        <f>MID(analisis_productividad__4[[#This Row],[Periodo]],1,4)</f>
        <v>2024</v>
      </c>
      <c r="D1771" t="str">
        <f>MID(analisis_productividad__4[[#This Row],[Periodo]],5,2)</f>
        <v>08</v>
      </c>
      <c r="E1771" t="s">
        <v>16</v>
      </c>
      <c r="F1771" t="s">
        <v>19</v>
      </c>
      <c r="G1771">
        <v>79738</v>
      </c>
      <c r="H1771">
        <v>5094172</v>
      </c>
      <c r="I1771">
        <v>63.886149193548377</v>
      </c>
      <c r="J1771">
        <v>0</v>
      </c>
      <c r="K1771">
        <v>70.5</v>
      </c>
      <c r="L1771">
        <v>69.5</v>
      </c>
      <c r="N1771">
        <v>0</v>
      </c>
    </row>
    <row r="1772" spans="1:14" x14ac:dyDescent="0.35">
      <c r="A1772" t="s">
        <v>83</v>
      </c>
      <c r="B1772">
        <v>202511</v>
      </c>
      <c r="C1772" t="str">
        <f>MID(analisis_productividad__4[[#This Row],[Periodo]],1,4)</f>
        <v>2025</v>
      </c>
      <c r="D1772" t="str">
        <f>MID(analisis_productividad__4[[#This Row],[Periodo]],5,2)</f>
        <v>11</v>
      </c>
      <c r="E1772" t="s">
        <v>16</v>
      </c>
      <c r="F1772" t="s">
        <v>17</v>
      </c>
      <c r="G1772">
        <v>79728</v>
      </c>
      <c r="H1772">
        <v>3712164</v>
      </c>
      <c r="I1772">
        <v>46.560402777777774</v>
      </c>
      <c r="J1772">
        <v>76961.899750229233</v>
      </c>
      <c r="K1772">
        <v>52</v>
      </c>
      <c r="L1772">
        <v>52</v>
      </c>
      <c r="M1772">
        <v>48.233790122741119</v>
      </c>
      <c r="N1772">
        <v>3463149</v>
      </c>
    </row>
    <row r="1773" spans="1:14" x14ac:dyDescent="0.35">
      <c r="A1773" t="s">
        <v>64</v>
      </c>
      <c r="B1773">
        <v>202407</v>
      </c>
      <c r="C1773" t="str">
        <f>MID(analisis_productividad__4[[#This Row],[Periodo]],1,4)</f>
        <v>2024</v>
      </c>
      <c r="D1773" t="str">
        <f>MID(analisis_productividad__4[[#This Row],[Periodo]],5,2)</f>
        <v>07</v>
      </c>
      <c r="E1773" t="s">
        <v>16</v>
      </c>
      <c r="F1773" t="s">
        <v>21</v>
      </c>
      <c r="G1773">
        <v>79727</v>
      </c>
      <c r="H1773">
        <v>6542878</v>
      </c>
      <c r="I1773">
        <v>82.066061827956986</v>
      </c>
      <c r="J1773">
        <v>0</v>
      </c>
      <c r="K1773">
        <v>88.5</v>
      </c>
      <c r="L1773">
        <v>92.5</v>
      </c>
      <c r="N1773">
        <v>0</v>
      </c>
    </row>
    <row r="1774" spans="1:14" x14ac:dyDescent="0.35">
      <c r="A1774" t="s">
        <v>25</v>
      </c>
      <c r="B1774">
        <v>202502</v>
      </c>
      <c r="C1774" t="str">
        <f>MID(analisis_productividad__4[[#This Row],[Periodo]],1,4)</f>
        <v>2025</v>
      </c>
      <c r="D1774" t="str">
        <f>MID(analisis_productividad__4[[#This Row],[Periodo]],5,2)</f>
        <v>02</v>
      </c>
      <c r="E1774" t="s">
        <v>16</v>
      </c>
      <c r="F1774" t="s">
        <v>19</v>
      </c>
      <c r="G1774">
        <v>79726</v>
      </c>
      <c r="H1774">
        <v>6943941</v>
      </c>
      <c r="I1774">
        <v>87.09739583333328</v>
      </c>
      <c r="J1774">
        <v>88122.922863839092</v>
      </c>
      <c r="K1774">
        <v>94</v>
      </c>
      <c r="L1774">
        <v>92</v>
      </c>
      <c r="M1774">
        <v>78.798345247005201</v>
      </c>
      <c r="N1774">
        <v>6951709</v>
      </c>
    </row>
    <row r="1775" spans="1:14" x14ac:dyDescent="0.35">
      <c r="A1775" t="s">
        <v>87</v>
      </c>
      <c r="B1775">
        <v>202505</v>
      </c>
      <c r="C1775" t="str">
        <f>MID(analisis_productividad__4[[#This Row],[Periodo]],1,4)</f>
        <v>2025</v>
      </c>
      <c r="D1775" t="str">
        <f>MID(analisis_productividad__4[[#This Row],[Periodo]],5,2)</f>
        <v>05</v>
      </c>
      <c r="E1775" t="s">
        <v>9</v>
      </c>
      <c r="F1775" t="s">
        <v>9</v>
      </c>
      <c r="G1775">
        <v>79725</v>
      </c>
      <c r="H1775">
        <v>906853</v>
      </c>
      <c r="I1775">
        <v>11.374717741935484</v>
      </c>
      <c r="J1775">
        <v>83404.934987274435</v>
      </c>
      <c r="K1775">
        <v>13.5</v>
      </c>
      <c r="L1775">
        <v>12</v>
      </c>
      <c r="M1775">
        <v>10.87288935766647</v>
      </c>
      <c r="N1775">
        <v>1027841</v>
      </c>
    </row>
    <row r="1776" spans="1:14" x14ac:dyDescent="0.35">
      <c r="A1776" t="s">
        <v>70</v>
      </c>
      <c r="B1776">
        <v>202509</v>
      </c>
      <c r="C1776" t="str">
        <f>MID(analisis_productividad__4[[#This Row],[Periodo]],1,4)</f>
        <v>2025</v>
      </c>
      <c r="D1776" t="str">
        <f>MID(analisis_productividad__4[[#This Row],[Periodo]],5,2)</f>
        <v>09</v>
      </c>
      <c r="E1776" t="s">
        <v>11</v>
      </c>
      <c r="F1776" t="s">
        <v>14</v>
      </c>
      <c r="G1776">
        <v>79721</v>
      </c>
      <c r="H1776">
        <v>4517795</v>
      </c>
      <c r="I1776">
        <v>56.669958333333362</v>
      </c>
      <c r="J1776">
        <v>82169.027981235136</v>
      </c>
      <c r="K1776">
        <v>65</v>
      </c>
      <c r="L1776">
        <v>67.5</v>
      </c>
      <c r="M1776">
        <v>54.981729746538143</v>
      </c>
      <c r="N1776">
        <v>4914806</v>
      </c>
    </row>
    <row r="1777" spans="1:14" x14ac:dyDescent="0.35">
      <c r="A1777" t="s">
        <v>97</v>
      </c>
      <c r="B1777">
        <v>202504</v>
      </c>
      <c r="C1777" t="str">
        <f>MID(analisis_productividad__4[[#This Row],[Periodo]],1,4)</f>
        <v>2025</v>
      </c>
      <c r="D1777" t="str">
        <f>MID(analisis_productividad__4[[#This Row],[Periodo]],5,2)</f>
        <v>04</v>
      </c>
      <c r="E1777" t="s">
        <v>11</v>
      </c>
      <c r="F1777" t="s">
        <v>12</v>
      </c>
      <c r="G1777">
        <v>79678</v>
      </c>
      <c r="H1777">
        <v>4548748</v>
      </c>
      <c r="I1777">
        <v>57.089083333333342</v>
      </c>
      <c r="J1777">
        <v>76214.706335448951</v>
      </c>
      <c r="K1777">
        <v>66.5</v>
      </c>
      <c r="L1777">
        <v>63.5</v>
      </c>
      <c r="M1777">
        <v>59.683332767553921</v>
      </c>
      <c r="N1777">
        <v>5149178</v>
      </c>
    </row>
    <row r="1778" spans="1:14" x14ac:dyDescent="0.35">
      <c r="A1778" t="s">
        <v>91</v>
      </c>
      <c r="B1778">
        <v>202407</v>
      </c>
      <c r="C1778" t="str">
        <f>MID(analisis_productividad__4[[#This Row],[Periodo]],1,4)</f>
        <v>2024</v>
      </c>
      <c r="D1778" t="str">
        <f>MID(analisis_productividad__4[[#This Row],[Periodo]],5,2)</f>
        <v>07</v>
      </c>
      <c r="E1778" t="s">
        <v>11</v>
      </c>
      <c r="F1778" t="s">
        <v>12</v>
      </c>
      <c r="G1778">
        <v>79665</v>
      </c>
      <c r="H1778">
        <v>4176053</v>
      </c>
      <c r="I1778">
        <v>52.419885752688167</v>
      </c>
      <c r="J1778">
        <v>0</v>
      </c>
      <c r="K1778">
        <v>55</v>
      </c>
      <c r="L1778">
        <v>55.5</v>
      </c>
      <c r="N1778">
        <v>0</v>
      </c>
    </row>
    <row r="1779" spans="1:14" x14ac:dyDescent="0.35">
      <c r="A1779" t="s">
        <v>89</v>
      </c>
      <c r="B1779">
        <v>202501</v>
      </c>
      <c r="C1779" t="str">
        <f>MID(analisis_productividad__4[[#This Row],[Periodo]],1,4)</f>
        <v>2025</v>
      </c>
      <c r="D1779" t="str">
        <f>MID(analisis_productividad__4[[#This Row],[Periodo]],5,2)</f>
        <v>01</v>
      </c>
      <c r="E1779" t="s">
        <v>9</v>
      </c>
      <c r="F1779" t="s">
        <v>9</v>
      </c>
      <c r="G1779">
        <v>79628</v>
      </c>
      <c r="H1779">
        <v>1020760</v>
      </c>
      <c r="I1779">
        <v>12.819173387096781</v>
      </c>
      <c r="J1779">
        <v>72940.376952910738</v>
      </c>
      <c r="K1779">
        <v>17</v>
      </c>
      <c r="L1779">
        <v>13.5</v>
      </c>
      <c r="M1779">
        <v>13.994448790126057</v>
      </c>
      <c r="N1779">
        <v>1051944</v>
      </c>
    </row>
    <row r="1780" spans="1:14" x14ac:dyDescent="0.35">
      <c r="A1780" t="s">
        <v>81</v>
      </c>
      <c r="B1780">
        <v>202402</v>
      </c>
      <c r="C1780" t="str">
        <f>MID(analisis_productividad__4[[#This Row],[Periodo]],1,4)</f>
        <v>2024</v>
      </c>
      <c r="D1780" t="str">
        <f>MID(analisis_productividad__4[[#This Row],[Periodo]],5,2)</f>
        <v>02</v>
      </c>
      <c r="E1780" t="s">
        <v>34</v>
      </c>
      <c r="F1780" t="s">
        <v>35</v>
      </c>
      <c r="G1780">
        <v>79604</v>
      </c>
      <c r="H1780">
        <v>7100461</v>
      </c>
      <c r="I1780">
        <v>89.197801724137946</v>
      </c>
      <c r="J1780">
        <v>0</v>
      </c>
      <c r="K1780">
        <v>106</v>
      </c>
      <c r="L1780">
        <v>94.5</v>
      </c>
      <c r="N1780">
        <v>0</v>
      </c>
    </row>
    <row r="1781" spans="1:14" x14ac:dyDescent="0.35">
      <c r="A1781" t="s">
        <v>67</v>
      </c>
      <c r="B1781">
        <v>202502</v>
      </c>
      <c r="C1781" t="str">
        <f>MID(analisis_productividad__4[[#This Row],[Periodo]],1,4)</f>
        <v>2025</v>
      </c>
      <c r="D1781" t="str">
        <f>MID(analisis_productividad__4[[#This Row],[Periodo]],5,2)</f>
        <v>02</v>
      </c>
      <c r="E1781" t="s">
        <v>16</v>
      </c>
      <c r="F1781" t="s">
        <v>19</v>
      </c>
      <c r="G1781">
        <v>79599</v>
      </c>
      <c r="H1781">
        <v>5633556</v>
      </c>
      <c r="I1781">
        <v>70.773802083333322</v>
      </c>
      <c r="J1781">
        <v>82827.353569747269</v>
      </c>
      <c r="K1781">
        <v>79.5</v>
      </c>
      <c r="L1781">
        <v>81.5</v>
      </c>
      <c r="M1781">
        <v>68.015642021643188</v>
      </c>
      <c r="N1781">
        <v>5595495</v>
      </c>
    </row>
    <row r="1782" spans="1:14" x14ac:dyDescent="0.35">
      <c r="A1782" t="s">
        <v>106</v>
      </c>
      <c r="B1782">
        <v>202507</v>
      </c>
      <c r="C1782" t="str">
        <f>MID(analisis_productividad__4[[#This Row],[Periodo]],1,4)</f>
        <v>2025</v>
      </c>
      <c r="D1782" t="str">
        <f>MID(analisis_productividad__4[[#This Row],[Periodo]],5,2)</f>
        <v>07</v>
      </c>
      <c r="E1782" t="s">
        <v>34</v>
      </c>
      <c r="F1782" t="s">
        <v>35</v>
      </c>
      <c r="G1782">
        <v>79595</v>
      </c>
      <c r="H1782">
        <v>3194773</v>
      </c>
      <c r="I1782">
        <v>40.137661290322562</v>
      </c>
      <c r="J1782">
        <v>73063.855686107418</v>
      </c>
      <c r="K1782">
        <v>51</v>
      </c>
      <c r="L1782">
        <v>49</v>
      </c>
      <c r="M1782">
        <v>43.725760979891248</v>
      </c>
      <c r="N1782">
        <v>3574441</v>
      </c>
    </row>
    <row r="1783" spans="1:14" x14ac:dyDescent="0.35">
      <c r="A1783" t="s">
        <v>42</v>
      </c>
      <c r="B1783">
        <v>202408</v>
      </c>
      <c r="C1783" t="str">
        <f>MID(analisis_productividad__4[[#This Row],[Periodo]],1,4)</f>
        <v>2024</v>
      </c>
      <c r="D1783" t="str">
        <f>MID(analisis_productividad__4[[#This Row],[Periodo]],5,2)</f>
        <v>08</v>
      </c>
      <c r="E1783" t="s">
        <v>16</v>
      </c>
      <c r="F1783" t="s">
        <v>19</v>
      </c>
      <c r="G1783">
        <v>79558</v>
      </c>
      <c r="H1783">
        <v>4698612</v>
      </c>
      <c r="I1783">
        <v>59.059254032258067</v>
      </c>
      <c r="J1783">
        <v>0</v>
      </c>
      <c r="K1783">
        <v>62</v>
      </c>
      <c r="L1783">
        <v>58</v>
      </c>
      <c r="N1783">
        <v>0</v>
      </c>
    </row>
    <row r="1784" spans="1:14" x14ac:dyDescent="0.35">
      <c r="A1784" t="s">
        <v>79</v>
      </c>
      <c r="B1784">
        <v>202504</v>
      </c>
      <c r="C1784" t="str">
        <f>MID(analisis_productividad__4[[#This Row],[Periodo]],1,4)</f>
        <v>2025</v>
      </c>
      <c r="D1784" t="str">
        <f>MID(analisis_productividad__4[[#This Row],[Periodo]],5,2)</f>
        <v>04</v>
      </c>
      <c r="E1784" t="s">
        <v>11</v>
      </c>
      <c r="F1784" t="s">
        <v>12</v>
      </c>
      <c r="G1784">
        <v>79548</v>
      </c>
      <c r="H1784">
        <v>4763533</v>
      </c>
      <c r="I1784">
        <v>59.882229166666697</v>
      </c>
      <c r="J1784">
        <v>80631.405451163882</v>
      </c>
      <c r="K1784">
        <v>64.5</v>
      </c>
      <c r="L1784">
        <v>64</v>
      </c>
      <c r="M1784">
        <v>59.077881544370868</v>
      </c>
      <c r="N1784">
        <v>5606747</v>
      </c>
    </row>
    <row r="1785" spans="1:14" x14ac:dyDescent="0.35">
      <c r="A1785" t="s">
        <v>106</v>
      </c>
      <c r="B1785">
        <v>202412</v>
      </c>
      <c r="C1785" t="str">
        <f>MID(analisis_productividad__4[[#This Row],[Periodo]],1,4)</f>
        <v>2024</v>
      </c>
      <c r="D1785" t="str">
        <f>MID(analisis_productividad__4[[#This Row],[Periodo]],5,2)</f>
        <v>12</v>
      </c>
      <c r="E1785" t="s">
        <v>34</v>
      </c>
      <c r="F1785" t="s">
        <v>35</v>
      </c>
      <c r="G1785">
        <v>79532</v>
      </c>
      <c r="H1785">
        <v>4079609</v>
      </c>
      <c r="I1785">
        <v>51.295228494623657</v>
      </c>
      <c r="J1785">
        <v>0</v>
      </c>
      <c r="K1785">
        <v>51</v>
      </c>
      <c r="L1785">
        <v>49</v>
      </c>
      <c r="N1785">
        <v>0</v>
      </c>
    </row>
    <row r="1786" spans="1:14" x14ac:dyDescent="0.35">
      <c r="A1786" t="s">
        <v>64</v>
      </c>
      <c r="B1786">
        <v>202511</v>
      </c>
      <c r="C1786" t="str">
        <f>MID(analisis_productividad__4[[#This Row],[Periodo]],1,4)</f>
        <v>2025</v>
      </c>
      <c r="D1786" t="str">
        <f>MID(analisis_productividad__4[[#This Row],[Periodo]],5,2)</f>
        <v>11</v>
      </c>
      <c r="E1786" t="s">
        <v>16</v>
      </c>
      <c r="F1786" t="s">
        <v>21</v>
      </c>
      <c r="G1786">
        <v>79527</v>
      </c>
      <c r="H1786">
        <v>9911960</v>
      </c>
      <c r="I1786">
        <v>124.63587500000015</v>
      </c>
      <c r="J1786">
        <v>85313.358183523029</v>
      </c>
      <c r="K1786">
        <v>88.5</v>
      </c>
      <c r="L1786">
        <v>92.5</v>
      </c>
      <c r="M1786">
        <v>116.18297405053198</v>
      </c>
      <c r="N1786">
        <v>6121273</v>
      </c>
    </row>
    <row r="1787" spans="1:14" x14ac:dyDescent="0.35">
      <c r="A1787" t="s">
        <v>64</v>
      </c>
      <c r="B1787">
        <v>202402</v>
      </c>
      <c r="C1787" t="str">
        <f>MID(analisis_productividad__4[[#This Row],[Periodo]],1,4)</f>
        <v>2024</v>
      </c>
      <c r="D1787" t="str">
        <f>MID(analisis_productividad__4[[#This Row],[Periodo]],5,2)</f>
        <v>02</v>
      </c>
      <c r="E1787" t="s">
        <v>16</v>
      </c>
      <c r="F1787" t="s">
        <v>21</v>
      </c>
      <c r="G1787">
        <v>79491</v>
      </c>
      <c r="H1787">
        <v>6015923</v>
      </c>
      <c r="I1787">
        <v>75.680208333333354</v>
      </c>
      <c r="J1787">
        <v>0</v>
      </c>
      <c r="K1787">
        <v>88.5</v>
      </c>
      <c r="L1787">
        <v>92.5</v>
      </c>
      <c r="N1787">
        <v>0</v>
      </c>
    </row>
    <row r="1788" spans="1:14" x14ac:dyDescent="0.35">
      <c r="A1788" t="s">
        <v>92</v>
      </c>
      <c r="B1788">
        <v>202605</v>
      </c>
      <c r="C1788" t="str">
        <f>MID(analisis_productividad__4[[#This Row],[Periodo]],1,4)</f>
        <v>2026</v>
      </c>
      <c r="D1788" t="str">
        <f>MID(analisis_productividad__4[[#This Row],[Periodo]],5,2)</f>
        <v>05</v>
      </c>
      <c r="E1788" t="s">
        <v>11</v>
      </c>
      <c r="F1788" t="s">
        <v>14</v>
      </c>
      <c r="G1788">
        <v>79452</v>
      </c>
      <c r="H1788">
        <v>3920329</v>
      </c>
      <c r="I1788">
        <v>49.341861559139687</v>
      </c>
      <c r="J1788">
        <v>71952.455544634344</v>
      </c>
      <c r="K1788">
        <v>63</v>
      </c>
      <c r="L1788">
        <v>59</v>
      </c>
      <c r="M1788">
        <v>55.026064794188251</v>
      </c>
      <c r="N1788">
        <v>3959260</v>
      </c>
    </row>
    <row r="1789" spans="1:14" x14ac:dyDescent="0.35">
      <c r="A1789" t="s">
        <v>87</v>
      </c>
      <c r="B1789">
        <v>202405</v>
      </c>
      <c r="C1789" t="str">
        <f>MID(analisis_productividad__4[[#This Row],[Periodo]],1,4)</f>
        <v>2024</v>
      </c>
      <c r="D1789" t="str">
        <f>MID(analisis_productividad__4[[#This Row],[Periodo]],5,2)</f>
        <v>05</v>
      </c>
      <c r="E1789" t="s">
        <v>9</v>
      </c>
      <c r="F1789" t="s">
        <v>9</v>
      </c>
      <c r="G1789">
        <v>79433</v>
      </c>
      <c r="H1789">
        <v>977833</v>
      </c>
      <c r="I1789">
        <v>12.310120967741936</v>
      </c>
      <c r="J1789">
        <v>0</v>
      </c>
      <c r="K1789">
        <v>13.5</v>
      </c>
      <c r="L1789">
        <v>12</v>
      </c>
      <c r="N1789">
        <v>0</v>
      </c>
    </row>
    <row r="1790" spans="1:14" x14ac:dyDescent="0.35">
      <c r="A1790" t="s">
        <v>88</v>
      </c>
      <c r="B1790">
        <v>202505</v>
      </c>
      <c r="C1790" t="str">
        <f>MID(analisis_productividad__4[[#This Row],[Periodo]],1,4)</f>
        <v>2025</v>
      </c>
      <c r="D1790" t="str">
        <f>MID(analisis_productividad__4[[#This Row],[Periodo]],5,2)</f>
        <v>05</v>
      </c>
      <c r="E1790" t="s">
        <v>34</v>
      </c>
      <c r="F1790" t="s">
        <v>35</v>
      </c>
      <c r="G1790">
        <v>79424</v>
      </c>
      <c r="H1790">
        <v>1083884</v>
      </c>
      <c r="I1790">
        <v>13.646848118279571</v>
      </c>
      <c r="J1790">
        <v>73657.536758893257</v>
      </c>
      <c r="K1790">
        <v>15.5</v>
      </c>
      <c r="L1790">
        <v>14.5</v>
      </c>
      <c r="M1790">
        <v>14.715185813882565</v>
      </c>
      <c r="N1790">
        <v>1095911</v>
      </c>
    </row>
    <row r="1791" spans="1:14" x14ac:dyDescent="0.35">
      <c r="A1791" t="s">
        <v>72</v>
      </c>
      <c r="B1791">
        <v>202401</v>
      </c>
      <c r="C1791" t="str">
        <f>MID(analisis_productividad__4[[#This Row],[Periodo]],1,4)</f>
        <v>2024</v>
      </c>
      <c r="D1791" t="str">
        <f>MID(analisis_productividad__4[[#This Row],[Periodo]],5,2)</f>
        <v>01</v>
      </c>
      <c r="E1791" t="s">
        <v>11</v>
      </c>
      <c r="F1791" t="s">
        <v>14</v>
      </c>
      <c r="G1791">
        <v>79419</v>
      </c>
      <c r="H1791">
        <v>4992849</v>
      </c>
      <c r="I1791">
        <v>62.867056451612903</v>
      </c>
      <c r="J1791">
        <v>0</v>
      </c>
      <c r="K1791">
        <v>66</v>
      </c>
      <c r="L1791">
        <v>64.5</v>
      </c>
      <c r="N1791">
        <v>0</v>
      </c>
    </row>
    <row r="1792" spans="1:14" x14ac:dyDescent="0.35">
      <c r="A1792" t="s">
        <v>116</v>
      </c>
      <c r="B1792">
        <v>202512</v>
      </c>
      <c r="C1792" t="str">
        <f>MID(analisis_productividad__4[[#This Row],[Periodo]],1,4)</f>
        <v>2025</v>
      </c>
      <c r="D1792" t="str">
        <f>MID(analisis_productividad__4[[#This Row],[Periodo]],5,2)</f>
        <v>12</v>
      </c>
      <c r="E1792" t="s">
        <v>9</v>
      </c>
      <c r="F1792" t="s">
        <v>9</v>
      </c>
      <c r="G1792">
        <v>79410</v>
      </c>
      <c r="H1792">
        <v>819101</v>
      </c>
      <c r="I1792">
        <v>10.314838709677399</v>
      </c>
      <c r="J1792">
        <v>76179.099032146114</v>
      </c>
      <c r="K1792">
        <v>11.5</v>
      </c>
      <c r="L1792">
        <v>10</v>
      </c>
      <c r="M1792">
        <v>10.752301227064333</v>
      </c>
      <c r="N1792">
        <v>970142</v>
      </c>
    </row>
    <row r="1793" spans="1:14" x14ac:dyDescent="0.35">
      <c r="A1793" t="s">
        <v>84</v>
      </c>
      <c r="B1793">
        <v>202510</v>
      </c>
      <c r="C1793" t="str">
        <f>MID(analisis_productividad__4[[#This Row],[Periodo]],1,4)</f>
        <v>2025</v>
      </c>
      <c r="D1793" t="str">
        <f>MID(analisis_productividad__4[[#This Row],[Periodo]],5,2)</f>
        <v>10</v>
      </c>
      <c r="E1793" t="s">
        <v>11</v>
      </c>
      <c r="F1793" t="s">
        <v>52</v>
      </c>
      <c r="G1793">
        <v>79391</v>
      </c>
      <c r="H1793">
        <v>8042267</v>
      </c>
      <c r="I1793">
        <v>101.29898521505376</v>
      </c>
      <c r="J1793">
        <v>92977.581725576136</v>
      </c>
      <c r="K1793">
        <v>123</v>
      </c>
      <c r="L1793">
        <v>115.5</v>
      </c>
      <c r="M1793">
        <v>86.496836879849141</v>
      </c>
      <c r="N1793">
        <v>9601463</v>
      </c>
    </row>
    <row r="1794" spans="1:14" x14ac:dyDescent="0.35">
      <c r="A1794" t="s">
        <v>72</v>
      </c>
      <c r="B1794">
        <v>202506</v>
      </c>
      <c r="C1794" t="str">
        <f>MID(analisis_productividad__4[[#This Row],[Periodo]],1,4)</f>
        <v>2025</v>
      </c>
      <c r="D1794" t="str">
        <f>MID(analisis_productividad__4[[#This Row],[Periodo]],5,2)</f>
        <v>06</v>
      </c>
      <c r="E1794" t="s">
        <v>11</v>
      </c>
      <c r="F1794" t="s">
        <v>14</v>
      </c>
      <c r="G1794">
        <v>79388</v>
      </c>
      <c r="H1794">
        <v>4483416</v>
      </c>
      <c r="I1794">
        <v>56.474833333333336</v>
      </c>
      <c r="J1794">
        <v>83890.987531016406</v>
      </c>
      <c r="K1794">
        <v>66</v>
      </c>
      <c r="L1794">
        <v>64.5</v>
      </c>
      <c r="M1794">
        <v>53.443360627294773</v>
      </c>
      <c r="N1794">
        <v>5196271</v>
      </c>
    </row>
    <row r="1795" spans="1:14" x14ac:dyDescent="0.35">
      <c r="A1795" t="s">
        <v>66</v>
      </c>
      <c r="B1795">
        <v>202511</v>
      </c>
      <c r="C1795" t="str">
        <f>MID(analisis_productividad__4[[#This Row],[Periodo]],1,4)</f>
        <v>2025</v>
      </c>
      <c r="D1795" t="str">
        <f>MID(analisis_productividad__4[[#This Row],[Periodo]],5,2)</f>
        <v>11</v>
      </c>
      <c r="E1795" t="s">
        <v>11</v>
      </c>
      <c r="F1795" t="s">
        <v>12</v>
      </c>
      <c r="G1795">
        <v>79386</v>
      </c>
      <c r="H1795">
        <v>5545330</v>
      </c>
      <c r="I1795">
        <v>69.853000000000009</v>
      </c>
      <c r="J1795">
        <v>77991.531510762361</v>
      </c>
      <c r="K1795">
        <v>80</v>
      </c>
      <c r="L1795">
        <v>80.5</v>
      </c>
      <c r="M1795">
        <v>71.101698768856423</v>
      </c>
      <c r="N1795">
        <v>6445446</v>
      </c>
    </row>
    <row r="1796" spans="1:14" x14ac:dyDescent="0.35">
      <c r="A1796" t="s">
        <v>65</v>
      </c>
      <c r="B1796">
        <v>202506</v>
      </c>
      <c r="C1796" t="str">
        <f>MID(analisis_productividad__4[[#This Row],[Periodo]],1,4)</f>
        <v>2025</v>
      </c>
      <c r="D1796" t="str">
        <f>MID(analisis_productividad__4[[#This Row],[Periodo]],5,2)</f>
        <v>06</v>
      </c>
      <c r="E1796" t="s">
        <v>16</v>
      </c>
      <c r="F1796" t="s">
        <v>19</v>
      </c>
      <c r="G1796">
        <v>79383</v>
      </c>
      <c r="H1796">
        <v>5272514</v>
      </c>
      <c r="I1796">
        <v>66.418819444444452</v>
      </c>
      <c r="J1796">
        <v>90276.356485197961</v>
      </c>
      <c r="K1796">
        <v>68</v>
      </c>
      <c r="L1796">
        <v>68.5</v>
      </c>
      <c r="M1796">
        <v>58.40414871932164</v>
      </c>
      <c r="N1796">
        <v>5309474</v>
      </c>
    </row>
    <row r="1797" spans="1:14" x14ac:dyDescent="0.35">
      <c r="A1797" t="s">
        <v>121</v>
      </c>
      <c r="B1797">
        <v>202412</v>
      </c>
      <c r="C1797" t="str">
        <f>MID(analisis_productividad__4[[#This Row],[Periodo]],1,4)</f>
        <v>2024</v>
      </c>
      <c r="D1797" t="str">
        <f>MID(analisis_productividad__4[[#This Row],[Periodo]],5,2)</f>
        <v>12</v>
      </c>
      <c r="E1797" t="s">
        <v>11</v>
      </c>
      <c r="F1797" t="s">
        <v>14</v>
      </c>
      <c r="G1797">
        <v>79378</v>
      </c>
      <c r="H1797">
        <v>3078043</v>
      </c>
      <c r="I1797">
        <v>38.776895161290334</v>
      </c>
      <c r="J1797">
        <v>0</v>
      </c>
      <c r="K1797">
        <v>36</v>
      </c>
      <c r="L1797">
        <v>35</v>
      </c>
      <c r="N1797">
        <v>0</v>
      </c>
    </row>
    <row r="1798" spans="1:14" x14ac:dyDescent="0.35">
      <c r="A1798" t="s">
        <v>74</v>
      </c>
      <c r="B1798">
        <v>202406</v>
      </c>
      <c r="C1798" t="str">
        <f>MID(analisis_productividad__4[[#This Row],[Periodo]],1,4)</f>
        <v>2024</v>
      </c>
      <c r="D1798" t="str">
        <f>MID(analisis_productividad__4[[#This Row],[Periodo]],5,2)</f>
        <v>06</v>
      </c>
      <c r="E1798" t="s">
        <v>16</v>
      </c>
      <c r="F1798" t="s">
        <v>19</v>
      </c>
      <c r="G1798">
        <v>79362</v>
      </c>
      <c r="H1798">
        <v>4045679</v>
      </c>
      <c r="I1798">
        <v>50.977694444444445</v>
      </c>
      <c r="J1798">
        <v>0</v>
      </c>
      <c r="K1798">
        <v>50.5</v>
      </c>
      <c r="L1798">
        <v>51.5</v>
      </c>
      <c r="N1798">
        <v>0</v>
      </c>
    </row>
    <row r="1799" spans="1:14" x14ac:dyDescent="0.35">
      <c r="A1799" t="s">
        <v>33</v>
      </c>
      <c r="B1799">
        <v>202401</v>
      </c>
      <c r="C1799" t="str">
        <f>MID(analisis_productividad__4[[#This Row],[Periodo]],1,4)</f>
        <v>2024</v>
      </c>
      <c r="D1799" t="str">
        <f>MID(analisis_productividad__4[[#This Row],[Periodo]],5,2)</f>
        <v>01</v>
      </c>
      <c r="E1799" t="s">
        <v>34</v>
      </c>
      <c r="F1799" t="s">
        <v>35</v>
      </c>
      <c r="G1799">
        <v>79360</v>
      </c>
      <c r="H1799">
        <v>1026722</v>
      </c>
      <c r="I1799">
        <v>12.937533602150536</v>
      </c>
      <c r="J1799">
        <v>0</v>
      </c>
      <c r="K1799">
        <v>15</v>
      </c>
      <c r="L1799">
        <v>15</v>
      </c>
      <c r="N1799">
        <v>0</v>
      </c>
    </row>
    <row r="1800" spans="1:14" x14ac:dyDescent="0.35">
      <c r="A1800" t="s">
        <v>47</v>
      </c>
      <c r="B1800">
        <v>202409</v>
      </c>
      <c r="C1800" t="str">
        <f>MID(analisis_productividad__4[[#This Row],[Periodo]],1,4)</f>
        <v>2024</v>
      </c>
      <c r="D1800" t="str">
        <f>MID(analisis_productividad__4[[#This Row],[Periodo]],5,2)</f>
        <v>09</v>
      </c>
      <c r="E1800" t="s">
        <v>11</v>
      </c>
      <c r="F1800" t="s">
        <v>14</v>
      </c>
      <c r="G1800">
        <v>79325</v>
      </c>
      <c r="H1800">
        <v>4388094</v>
      </c>
      <c r="I1800">
        <v>55.317888888888909</v>
      </c>
      <c r="J1800">
        <v>0</v>
      </c>
      <c r="K1800">
        <v>61.5</v>
      </c>
      <c r="L1800">
        <v>48.5</v>
      </c>
      <c r="N1800">
        <v>0</v>
      </c>
    </row>
    <row r="1801" spans="1:14" x14ac:dyDescent="0.35">
      <c r="A1801" t="s">
        <v>66</v>
      </c>
      <c r="B1801">
        <v>202506</v>
      </c>
      <c r="C1801" t="str">
        <f>MID(analisis_productividad__4[[#This Row],[Periodo]],1,4)</f>
        <v>2025</v>
      </c>
      <c r="D1801" t="str">
        <f>MID(analisis_productividad__4[[#This Row],[Periodo]],5,2)</f>
        <v>06</v>
      </c>
      <c r="E1801" t="s">
        <v>11</v>
      </c>
      <c r="F1801" t="s">
        <v>12</v>
      </c>
      <c r="G1801">
        <v>79319</v>
      </c>
      <c r="H1801">
        <v>5319258</v>
      </c>
      <c r="I1801">
        <v>67.061750000000032</v>
      </c>
      <c r="J1801">
        <v>77657.22557648443</v>
      </c>
      <c r="K1801">
        <v>80</v>
      </c>
      <c r="L1801">
        <v>80.5</v>
      </c>
      <c r="M1801">
        <v>68.496630551925563</v>
      </c>
      <c r="N1801">
        <v>6090152</v>
      </c>
    </row>
    <row r="1802" spans="1:14" x14ac:dyDescent="0.35">
      <c r="A1802" t="s">
        <v>106</v>
      </c>
      <c r="B1802">
        <v>202410</v>
      </c>
      <c r="C1802" t="str">
        <f>MID(analisis_productividad__4[[#This Row],[Periodo]],1,4)</f>
        <v>2024</v>
      </c>
      <c r="D1802" t="str">
        <f>MID(analisis_productividad__4[[#This Row],[Periodo]],5,2)</f>
        <v>10</v>
      </c>
      <c r="E1802" t="s">
        <v>34</v>
      </c>
      <c r="F1802" t="s">
        <v>35</v>
      </c>
      <c r="G1802">
        <v>79316</v>
      </c>
      <c r="H1802">
        <v>3352762</v>
      </c>
      <c r="I1802">
        <v>42.271202956989249</v>
      </c>
      <c r="J1802">
        <v>0</v>
      </c>
      <c r="K1802">
        <v>51</v>
      </c>
      <c r="L1802">
        <v>49</v>
      </c>
      <c r="N1802">
        <v>0</v>
      </c>
    </row>
    <row r="1803" spans="1:14" x14ac:dyDescent="0.35">
      <c r="A1803" t="s">
        <v>48</v>
      </c>
      <c r="B1803">
        <v>202506</v>
      </c>
      <c r="C1803" t="str">
        <f>MID(analisis_productividad__4[[#This Row],[Periodo]],1,4)</f>
        <v>2025</v>
      </c>
      <c r="D1803" t="str">
        <f>MID(analisis_productividad__4[[#This Row],[Periodo]],5,2)</f>
        <v>06</v>
      </c>
      <c r="E1803" t="s">
        <v>16</v>
      </c>
      <c r="F1803" t="s">
        <v>21</v>
      </c>
      <c r="G1803">
        <v>79312</v>
      </c>
      <c r="H1803">
        <v>4288688</v>
      </c>
      <c r="I1803">
        <v>54.073590277777761</v>
      </c>
      <c r="J1803">
        <v>77759.24803973471</v>
      </c>
      <c r="K1803">
        <v>56</v>
      </c>
      <c r="L1803">
        <v>60</v>
      </c>
      <c r="M1803">
        <v>55.153413621084603</v>
      </c>
      <c r="N1803">
        <v>4827183</v>
      </c>
    </row>
    <row r="1804" spans="1:14" x14ac:dyDescent="0.35">
      <c r="A1804" t="s">
        <v>84</v>
      </c>
      <c r="B1804">
        <v>202504</v>
      </c>
      <c r="C1804" t="str">
        <f>MID(analisis_productividad__4[[#This Row],[Periodo]],1,4)</f>
        <v>2025</v>
      </c>
      <c r="D1804" t="str">
        <f>MID(analisis_productividad__4[[#This Row],[Periodo]],5,2)</f>
        <v>04</v>
      </c>
      <c r="E1804" t="s">
        <v>11</v>
      </c>
      <c r="F1804" t="s">
        <v>52</v>
      </c>
      <c r="G1804">
        <v>79311</v>
      </c>
      <c r="H1804">
        <v>8487577</v>
      </c>
      <c r="I1804">
        <v>107.01658333333337</v>
      </c>
      <c r="J1804">
        <v>81508.649043993501</v>
      </c>
      <c r="K1804">
        <v>123</v>
      </c>
      <c r="L1804">
        <v>115.5</v>
      </c>
      <c r="M1804">
        <v>104.13100020120457</v>
      </c>
      <c r="N1804">
        <v>9622319</v>
      </c>
    </row>
    <row r="1805" spans="1:14" x14ac:dyDescent="0.35">
      <c r="A1805" t="s">
        <v>81</v>
      </c>
      <c r="B1805">
        <v>202505</v>
      </c>
      <c r="C1805" t="str">
        <f>MID(analisis_productividad__4[[#This Row],[Periodo]],1,4)</f>
        <v>2025</v>
      </c>
      <c r="D1805" t="str">
        <f>MID(analisis_productividad__4[[#This Row],[Periodo]],5,2)</f>
        <v>05</v>
      </c>
      <c r="E1805" t="s">
        <v>34</v>
      </c>
      <c r="F1805" t="s">
        <v>35</v>
      </c>
      <c r="G1805">
        <v>79295</v>
      </c>
      <c r="H1805">
        <v>7548158</v>
      </c>
      <c r="I1805">
        <v>95.190497311827968</v>
      </c>
      <c r="J1805">
        <v>80612.033601733463</v>
      </c>
      <c r="K1805">
        <v>106</v>
      </c>
      <c r="L1805">
        <v>94.5</v>
      </c>
      <c r="M1805">
        <v>93.635624022238844</v>
      </c>
      <c r="N1805">
        <v>7833550</v>
      </c>
    </row>
    <row r="1806" spans="1:14" x14ac:dyDescent="0.35">
      <c r="A1806" t="s">
        <v>62</v>
      </c>
      <c r="B1806">
        <v>202506</v>
      </c>
      <c r="C1806" t="str">
        <f>MID(analisis_productividad__4[[#This Row],[Periodo]],1,4)</f>
        <v>2025</v>
      </c>
      <c r="D1806" t="str">
        <f>MID(analisis_productividad__4[[#This Row],[Periodo]],5,2)</f>
        <v>06</v>
      </c>
      <c r="E1806" t="s">
        <v>16</v>
      </c>
      <c r="F1806" t="s">
        <v>17</v>
      </c>
      <c r="G1806">
        <v>79259</v>
      </c>
      <c r="H1806">
        <v>2255652</v>
      </c>
      <c r="I1806">
        <v>28.459423611111124</v>
      </c>
      <c r="J1806">
        <v>88777.003027197454</v>
      </c>
      <c r="K1806">
        <v>32.5</v>
      </c>
      <c r="L1806">
        <v>32</v>
      </c>
      <c r="M1806">
        <v>25.408061807503966</v>
      </c>
      <c r="N1806">
        <v>2171724</v>
      </c>
    </row>
    <row r="1807" spans="1:14" x14ac:dyDescent="0.35">
      <c r="A1807" t="s">
        <v>106</v>
      </c>
      <c r="B1807">
        <v>202506</v>
      </c>
      <c r="C1807" t="str">
        <f>MID(analisis_productividad__4[[#This Row],[Periodo]],1,4)</f>
        <v>2025</v>
      </c>
      <c r="D1807" t="str">
        <f>MID(analisis_productividad__4[[#This Row],[Periodo]],5,2)</f>
        <v>06</v>
      </c>
      <c r="E1807" t="s">
        <v>34</v>
      </c>
      <c r="F1807" t="s">
        <v>35</v>
      </c>
      <c r="G1807">
        <v>79198</v>
      </c>
      <c r="H1807">
        <v>3215061</v>
      </c>
      <c r="I1807">
        <v>40.594993055555555</v>
      </c>
      <c r="J1807">
        <v>74901.728835409027</v>
      </c>
      <c r="K1807">
        <v>51</v>
      </c>
      <c r="L1807">
        <v>49</v>
      </c>
      <c r="M1807">
        <v>42.923725927139238</v>
      </c>
      <c r="N1807">
        <v>3562907</v>
      </c>
    </row>
    <row r="1808" spans="1:14" x14ac:dyDescent="0.35">
      <c r="A1808" t="s">
        <v>44</v>
      </c>
      <c r="B1808">
        <v>202504</v>
      </c>
      <c r="C1808" t="str">
        <f>MID(analisis_productividad__4[[#This Row],[Periodo]],1,4)</f>
        <v>2025</v>
      </c>
      <c r="D1808" t="str">
        <f>MID(analisis_productividad__4[[#This Row],[Periodo]],5,2)</f>
        <v>04</v>
      </c>
      <c r="E1808" t="s">
        <v>11</v>
      </c>
      <c r="F1808" t="s">
        <v>12</v>
      </c>
      <c r="G1808">
        <v>79197</v>
      </c>
      <c r="H1808">
        <v>5609444</v>
      </c>
      <c r="I1808">
        <v>70.828965277777783</v>
      </c>
      <c r="J1808">
        <v>91546.098392379921</v>
      </c>
      <c r="K1808">
        <v>78</v>
      </c>
      <c r="L1808">
        <v>74.5</v>
      </c>
      <c r="M1808">
        <v>61.27453150386706</v>
      </c>
      <c r="N1808">
        <v>6386052</v>
      </c>
    </row>
    <row r="1809" spans="1:14" x14ac:dyDescent="0.35">
      <c r="A1809" t="s">
        <v>60</v>
      </c>
      <c r="B1809">
        <v>202411</v>
      </c>
      <c r="C1809" t="str">
        <f>MID(analisis_productividad__4[[#This Row],[Periodo]],1,4)</f>
        <v>2024</v>
      </c>
      <c r="D1809" t="str">
        <f>MID(analisis_productividad__4[[#This Row],[Periodo]],5,2)</f>
        <v>11</v>
      </c>
      <c r="E1809" t="s">
        <v>11</v>
      </c>
      <c r="F1809" t="s">
        <v>14</v>
      </c>
      <c r="G1809">
        <v>79154</v>
      </c>
      <c r="H1809">
        <v>5688397</v>
      </c>
      <c r="I1809">
        <v>71.865256944444468</v>
      </c>
      <c r="J1809">
        <v>0</v>
      </c>
      <c r="K1809">
        <v>75.5</v>
      </c>
      <c r="L1809">
        <v>74</v>
      </c>
      <c r="N1809">
        <v>0</v>
      </c>
    </row>
    <row r="1810" spans="1:14" x14ac:dyDescent="0.35">
      <c r="A1810" t="s">
        <v>97</v>
      </c>
      <c r="B1810">
        <v>202507</v>
      </c>
      <c r="C1810" t="str">
        <f>MID(analisis_productividad__4[[#This Row],[Periodo]],1,4)</f>
        <v>2025</v>
      </c>
      <c r="D1810" t="str">
        <f>MID(analisis_productividad__4[[#This Row],[Periodo]],5,2)</f>
        <v>07</v>
      </c>
      <c r="E1810" t="s">
        <v>11</v>
      </c>
      <c r="F1810" t="s">
        <v>12</v>
      </c>
      <c r="G1810">
        <v>79143</v>
      </c>
      <c r="H1810">
        <v>4374892</v>
      </c>
      <c r="I1810">
        <v>55.278313172043021</v>
      </c>
      <c r="J1810">
        <v>81416.359085207441</v>
      </c>
      <c r="K1810">
        <v>66.5</v>
      </c>
      <c r="L1810">
        <v>63.5</v>
      </c>
      <c r="M1810">
        <v>53.734798499419448</v>
      </c>
      <c r="N1810">
        <v>5118598</v>
      </c>
    </row>
    <row r="1811" spans="1:14" x14ac:dyDescent="0.35">
      <c r="A1811" t="s">
        <v>59</v>
      </c>
      <c r="B1811">
        <v>202410</v>
      </c>
      <c r="C1811" t="str">
        <f>MID(analisis_productividad__4[[#This Row],[Periodo]],1,4)</f>
        <v>2024</v>
      </c>
      <c r="D1811" t="str">
        <f>MID(analisis_productividad__4[[#This Row],[Periodo]],5,2)</f>
        <v>10</v>
      </c>
      <c r="E1811" t="s">
        <v>11</v>
      </c>
      <c r="F1811" t="s">
        <v>12</v>
      </c>
      <c r="G1811">
        <v>79137</v>
      </c>
      <c r="H1811">
        <v>7034216</v>
      </c>
      <c r="I1811">
        <v>88.886969086021452</v>
      </c>
      <c r="J1811">
        <v>0</v>
      </c>
      <c r="K1811">
        <v>94.5</v>
      </c>
      <c r="L1811">
        <v>97</v>
      </c>
      <c r="N1811">
        <v>0</v>
      </c>
    </row>
    <row r="1812" spans="1:14" x14ac:dyDescent="0.35">
      <c r="A1812" t="s">
        <v>87</v>
      </c>
      <c r="B1812">
        <v>202506</v>
      </c>
      <c r="C1812" t="str">
        <f>MID(analisis_productividad__4[[#This Row],[Periodo]],1,4)</f>
        <v>2025</v>
      </c>
      <c r="D1812" t="str">
        <f>MID(analisis_productividad__4[[#This Row],[Periodo]],5,2)</f>
        <v>06</v>
      </c>
      <c r="E1812" t="s">
        <v>9</v>
      </c>
      <c r="F1812" t="s">
        <v>9</v>
      </c>
      <c r="G1812">
        <v>79067</v>
      </c>
      <c r="H1812">
        <v>865040</v>
      </c>
      <c r="I1812">
        <v>10.940611111111112</v>
      </c>
      <c r="J1812">
        <v>86355.953793797627</v>
      </c>
      <c r="K1812">
        <v>13.5</v>
      </c>
      <c r="L1812">
        <v>12</v>
      </c>
      <c r="M1812">
        <v>10.017138390545226</v>
      </c>
      <c r="N1812">
        <v>1038809</v>
      </c>
    </row>
    <row r="1813" spans="1:14" x14ac:dyDescent="0.35">
      <c r="A1813" t="s">
        <v>72</v>
      </c>
      <c r="B1813">
        <v>202409</v>
      </c>
      <c r="C1813" t="str">
        <f>MID(analisis_productividad__4[[#This Row],[Periodo]],1,4)</f>
        <v>2024</v>
      </c>
      <c r="D1813" t="str">
        <f>MID(analisis_productividad__4[[#This Row],[Periodo]],5,2)</f>
        <v>09</v>
      </c>
      <c r="E1813" t="s">
        <v>11</v>
      </c>
      <c r="F1813" t="s">
        <v>14</v>
      </c>
      <c r="G1813">
        <v>78961</v>
      </c>
      <c r="H1813">
        <v>4733224</v>
      </c>
      <c r="I1813">
        <v>59.943770833333311</v>
      </c>
      <c r="J1813">
        <v>0</v>
      </c>
      <c r="K1813">
        <v>66</v>
      </c>
      <c r="L1813">
        <v>64.5</v>
      </c>
      <c r="N1813">
        <v>0</v>
      </c>
    </row>
    <row r="1814" spans="1:14" x14ac:dyDescent="0.35">
      <c r="A1814" t="s">
        <v>74</v>
      </c>
      <c r="B1814">
        <v>202401</v>
      </c>
      <c r="C1814" t="str">
        <f>MID(analisis_productividad__4[[#This Row],[Periodo]],1,4)</f>
        <v>2024</v>
      </c>
      <c r="D1814" t="str">
        <f>MID(analisis_productividad__4[[#This Row],[Periodo]],5,2)</f>
        <v>01</v>
      </c>
      <c r="E1814" t="s">
        <v>16</v>
      </c>
      <c r="F1814" t="s">
        <v>19</v>
      </c>
      <c r="G1814">
        <v>78932</v>
      </c>
      <c r="H1814">
        <v>3870951</v>
      </c>
      <c r="I1814">
        <v>49.041586021505402</v>
      </c>
      <c r="J1814">
        <v>0</v>
      </c>
      <c r="K1814">
        <v>50.5</v>
      </c>
      <c r="L1814">
        <v>51.5</v>
      </c>
      <c r="N1814">
        <v>0</v>
      </c>
    </row>
    <row r="1815" spans="1:14" x14ac:dyDescent="0.35">
      <c r="A1815" t="s">
        <v>108</v>
      </c>
      <c r="B1815">
        <v>202512</v>
      </c>
      <c r="C1815" t="str">
        <f>MID(analisis_productividad__4[[#This Row],[Periodo]],1,4)</f>
        <v>2025</v>
      </c>
      <c r="D1815" t="str">
        <f>MID(analisis_productividad__4[[#This Row],[Periodo]],5,2)</f>
        <v>12</v>
      </c>
      <c r="E1815" t="s">
        <v>11</v>
      </c>
      <c r="F1815" t="s">
        <v>14</v>
      </c>
      <c r="G1815">
        <v>78918</v>
      </c>
      <c r="H1815">
        <v>3797802</v>
      </c>
      <c r="I1815">
        <v>48.123306451612848</v>
      </c>
      <c r="J1815">
        <v>87240.254898150699</v>
      </c>
      <c r="K1815">
        <v>47.5</v>
      </c>
      <c r="L1815">
        <v>43</v>
      </c>
      <c r="M1815">
        <v>43.532677941321623</v>
      </c>
      <c r="N1815">
        <v>4501816</v>
      </c>
    </row>
    <row r="1816" spans="1:14" x14ac:dyDescent="0.35">
      <c r="A1816" t="s">
        <v>70</v>
      </c>
      <c r="B1816">
        <v>202402</v>
      </c>
      <c r="C1816" t="str">
        <f>MID(analisis_productividad__4[[#This Row],[Periodo]],1,4)</f>
        <v>2024</v>
      </c>
      <c r="D1816" t="str">
        <f>MID(analisis_productividad__4[[#This Row],[Periodo]],5,2)</f>
        <v>02</v>
      </c>
      <c r="E1816" t="s">
        <v>11</v>
      </c>
      <c r="F1816" t="s">
        <v>14</v>
      </c>
      <c r="G1816">
        <v>78895</v>
      </c>
      <c r="H1816">
        <v>4795387</v>
      </c>
      <c r="I1816">
        <v>60.781824712643683</v>
      </c>
      <c r="J1816">
        <v>0</v>
      </c>
      <c r="K1816">
        <v>65</v>
      </c>
      <c r="L1816">
        <v>67.5</v>
      </c>
      <c r="N1816">
        <v>0</v>
      </c>
    </row>
    <row r="1817" spans="1:14" x14ac:dyDescent="0.35">
      <c r="A1817" t="s">
        <v>67</v>
      </c>
      <c r="B1817">
        <v>202402</v>
      </c>
      <c r="C1817" t="str">
        <f>MID(analisis_productividad__4[[#This Row],[Periodo]],1,4)</f>
        <v>2024</v>
      </c>
      <c r="D1817" t="str">
        <f>MID(analisis_productividad__4[[#This Row],[Periodo]],5,2)</f>
        <v>02</v>
      </c>
      <c r="E1817" t="s">
        <v>16</v>
      </c>
      <c r="F1817" t="s">
        <v>19</v>
      </c>
      <c r="G1817">
        <v>78883</v>
      </c>
      <c r="H1817">
        <v>5536116</v>
      </c>
      <c r="I1817">
        <v>70.181185344827597</v>
      </c>
      <c r="J1817">
        <v>0</v>
      </c>
      <c r="K1817">
        <v>79.5</v>
      </c>
      <c r="L1817">
        <v>81.5</v>
      </c>
      <c r="N1817">
        <v>0</v>
      </c>
    </row>
    <row r="1818" spans="1:14" x14ac:dyDescent="0.35">
      <c r="A1818" t="s">
        <v>86</v>
      </c>
      <c r="B1818">
        <v>202407</v>
      </c>
      <c r="C1818" t="str">
        <f>MID(analisis_productividad__4[[#This Row],[Periodo]],1,4)</f>
        <v>2024</v>
      </c>
      <c r="D1818" t="str">
        <f>MID(analisis_productividad__4[[#This Row],[Periodo]],5,2)</f>
        <v>07</v>
      </c>
      <c r="E1818" t="s">
        <v>11</v>
      </c>
      <c r="F1818" t="s">
        <v>14</v>
      </c>
      <c r="G1818">
        <v>78837</v>
      </c>
      <c r="H1818">
        <v>5054658</v>
      </c>
      <c r="I1818">
        <v>64.115107526881744</v>
      </c>
      <c r="J1818">
        <v>0</v>
      </c>
      <c r="K1818">
        <v>69.5</v>
      </c>
      <c r="L1818">
        <v>59</v>
      </c>
      <c r="N1818">
        <v>0</v>
      </c>
    </row>
    <row r="1819" spans="1:14" x14ac:dyDescent="0.35">
      <c r="A1819" t="s">
        <v>71</v>
      </c>
      <c r="B1819">
        <v>202408</v>
      </c>
      <c r="C1819" t="str">
        <f>MID(analisis_productividad__4[[#This Row],[Periodo]],1,4)</f>
        <v>2024</v>
      </c>
      <c r="D1819" t="str">
        <f>MID(analisis_productividad__4[[#This Row],[Periodo]],5,2)</f>
        <v>08</v>
      </c>
      <c r="E1819" t="s">
        <v>16</v>
      </c>
      <c r="F1819" t="s">
        <v>19</v>
      </c>
      <c r="G1819">
        <v>78767</v>
      </c>
      <c r="H1819">
        <v>2627902</v>
      </c>
      <c r="I1819">
        <v>33.363185483870957</v>
      </c>
      <c r="J1819">
        <v>0</v>
      </c>
      <c r="K1819">
        <v>41.5</v>
      </c>
      <c r="L1819">
        <v>35.5</v>
      </c>
      <c r="N1819">
        <v>0</v>
      </c>
    </row>
    <row r="1820" spans="1:14" x14ac:dyDescent="0.35">
      <c r="A1820" t="s">
        <v>83</v>
      </c>
      <c r="B1820">
        <v>202503</v>
      </c>
      <c r="C1820" t="str">
        <f>MID(analisis_productividad__4[[#This Row],[Periodo]],1,4)</f>
        <v>2025</v>
      </c>
      <c r="D1820" t="str">
        <f>MID(analisis_productividad__4[[#This Row],[Periodo]],5,2)</f>
        <v>03</v>
      </c>
      <c r="E1820" t="s">
        <v>16</v>
      </c>
      <c r="F1820" t="s">
        <v>17</v>
      </c>
      <c r="G1820">
        <v>78753</v>
      </c>
      <c r="H1820">
        <v>4272545</v>
      </c>
      <c r="I1820">
        <v>54.252493279569897</v>
      </c>
      <c r="J1820">
        <v>90494.810428781057</v>
      </c>
      <c r="K1820">
        <v>52</v>
      </c>
      <c r="L1820">
        <v>52</v>
      </c>
      <c r="M1820">
        <v>47.213145148941656</v>
      </c>
      <c r="N1820">
        <v>4149877</v>
      </c>
    </row>
    <row r="1821" spans="1:14" x14ac:dyDescent="0.35">
      <c r="A1821" t="s">
        <v>59</v>
      </c>
      <c r="B1821">
        <v>202509</v>
      </c>
      <c r="C1821" t="str">
        <f>MID(analisis_productividad__4[[#This Row],[Periodo]],1,4)</f>
        <v>2025</v>
      </c>
      <c r="D1821" t="str">
        <f>MID(analisis_productividad__4[[#This Row],[Periodo]],5,2)</f>
        <v>09</v>
      </c>
      <c r="E1821" t="s">
        <v>11</v>
      </c>
      <c r="F1821" t="s">
        <v>12</v>
      </c>
      <c r="G1821">
        <v>78747</v>
      </c>
      <c r="H1821">
        <v>6687047</v>
      </c>
      <c r="I1821">
        <v>84.918361111111153</v>
      </c>
      <c r="J1821">
        <v>84829.68340131575</v>
      </c>
      <c r="K1821">
        <v>94.5</v>
      </c>
      <c r="L1821">
        <v>97</v>
      </c>
      <c r="M1821">
        <v>78.829091679673553</v>
      </c>
      <c r="N1821">
        <v>6833857</v>
      </c>
    </row>
    <row r="1822" spans="1:14" x14ac:dyDescent="0.35">
      <c r="A1822" t="s">
        <v>49</v>
      </c>
      <c r="B1822">
        <v>202509</v>
      </c>
      <c r="C1822" t="str">
        <f>MID(analisis_productividad__4[[#This Row],[Periodo]],1,4)</f>
        <v>2025</v>
      </c>
      <c r="D1822" t="str">
        <f>MID(analisis_productividad__4[[#This Row],[Periodo]],5,2)</f>
        <v>09</v>
      </c>
      <c r="E1822" t="s">
        <v>16</v>
      </c>
      <c r="F1822" t="s">
        <v>21</v>
      </c>
      <c r="G1822">
        <v>78727</v>
      </c>
      <c r="H1822">
        <v>4832925</v>
      </c>
      <c r="I1822">
        <v>61.388055555555567</v>
      </c>
      <c r="J1822">
        <v>85254.986341047843</v>
      </c>
      <c r="K1822">
        <v>75.5</v>
      </c>
      <c r="L1822">
        <v>68</v>
      </c>
      <c r="M1822">
        <v>56.687884397362048</v>
      </c>
      <c r="N1822">
        <v>5896666</v>
      </c>
    </row>
    <row r="1823" spans="1:14" x14ac:dyDescent="0.35">
      <c r="A1823" t="s">
        <v>18</v>
      </c>
      <c r="B1823">
        <v>202508</v>
      </c>
      <c r="C1823" t="str">
        <f>MID(analisis_productividad__4[[#This Row],[Periodo]],1,4)</f>
        <v>2025</v>
      </c>
      <c r="D1823" t="str">
        <f>MID(analisis_productividad__4[[#This Row],[Periodo]],5,2)</f>
        <v>08</v>
      </c>
      <c r="E1823" t="s">
        <v>16</v>
      </c>
      <c r="F1823" t="s">
        <v>19</v>
      </c>
      <c r="G1823">
        <v>78709</v>
      </c>
      <c r="H1823">
        <v>4759437</v>
      </c>
      <c r="I1823">
        <v>60.46880376344086</v>
      </c>
      <c r="J1823">
        <v>83725.196588310951</v>
      </c>
      <c r="K1823">
        <v>70.5</v>
      </c>
      <c r="L1823">
        <v>69.5</v>
      </c>
      <c r="M1823">
        <v>56.845936157102727</v>
      </c>
      <c r="N1823">
        <v>4996894</v>
      </c>
    </row>
    <row r="1824" spans="1:14" x14ac:dyDescent="0.35">
      <c r="A1824" t="s">
        <v>18</v>
      </c>
      <c r="B1824">
        <v>202404</v>
      </c>
      <c r="C1824" t="str">
        <f>MID(analisis_productividad__4[[#This Row],[Periodo]],1,4)</f>
        <v>2024</v>
      </c>
      <c r="D1824" t="str">
        <f>MID(analisis_productividad__4[[#This Row],[Periodo]],5,2)</f>
        <v>04</v>
      </c>
      <c r="E1824" t="s">
        <v>16</v>
      </c>
      <c r="F1824" t="s">
        <v>19</v>
      </c>
      <c r="G1824">
        <v>78671</v>
      </c>
      <c r="H1824">
        <v>5120366</v>
      </c>
      <c r="I1824">
        <v>65.085708333333315</v>
      </c>
      <c r="J1824">
        <v>0</v>
      </c>
      <c r="K1824">
        <v>70.5</v>
      </c>
      <c r="L1824">
        <v>69.5</v>
      </c>
      <c r="N1824">
        <v>0</v>
      </c>
    </row>
    <row r="1825" spans="1:14" x14ac:dyDescent="0.35">
      <c r="A1825" t="s">
        <v>120</v>
      </c>
      <c r="B1825">
        <v>202407</v>
      </c>
      <c r="C1825" t="str">
        <f>MID(analisis_productividad__4[[#This Row],[Periodo]],1,4)</f>
        <v>2024</v>
      </c>
      <c r="D1825" t="str">
        <f>MID(analisis_productividad__4[[#This Row],[Periodo]],5,2)</f>
        <v>07</v>
      </c>
      <c r="E1825" t="s">
        <v>9</v>
      </c>
      <c r="F1825" t="s">
        <v>9</v>
      </c>
      <c r="G1825">
        <v>78645</v>
      </c>
      <c r="H1825">
        <v>858056</v>
      </c>
      <c r="I1825">
        <v>10.91049731182796</v>
      </c>
      <c r="J1825">
        <v>0</v>
      </c>
      <c r="K1825">
        <v>11.5</v>
      </c>
      <c r="L1825">
        <v>12</v>
      </c>
      <c r="N1825">
        <v>0</v>
      </c>
    </row>
    <row r="1826" spans="1:14" x14ac:dyDescent="0.35">
      <c r="A1826" t="s">
        <v>94</v>
      </c>
      <c r="B1826">
        <v>202504</v>
      </c>
      <c r="C1826" t="str">
        <f>MID(analisis_productividad__4[[#This Row],[Periodo]],1,4)</f>
        <v>2025</v>
      </c>
      <c r="D1826" t="str">
        <f>MID(analisis_productividad__4[[#This Row],[Periodo]],5,2)</f>
        <v>04</v>
      </c>
      <c r="E1826" t="s">
        <v>11</v>
      </c>
      <c r="F1826" t="s">
        <v>52</v>
      </c>
      <c r="G1826">
        <v>78641</v>
      </c>
      <c r="H1826">
        <v>4932323</v>
      </c>
      <c r="I1826">
        <v>62.719756944444434</v>
      </c>
      <c r="J1826">
        <v>69627.87937057919</v>
      </c>
      <c r="K1826">
        <v>75.5</v>
      </c>
      <c r="L1826">
        <v>70.5</v>
      </c>
      <c r="M1826">
        <v>70.838330200303645</v>
      </c>
      <c r="N1826">
        <v>5646985</v>
      </c>
    </row>
    <row r="1827" spans="1:14" x14ac:dyDescent="0.35">
      <c r="A1827" t="s">
        <v>95</v>
      </c>
      <c r="B1827">
        <v>202411</v>
      </c>
      <c r="C1827" t="str">
        <f>MID(analisis_productividad__4[[#This Row],[Periodo]],1,4)</f>
        <v>2024</v>
      </c>
      <c r="D1827" t="str">
        <f>MID(analisis_productividad__4[[#This Row],[Periodo]],5,2)</f>
        <v>11</v>
      </c>
      <c r="E1827" t="s">
        <v>9</v>
      </c>
      <c r="F1827" t="s">
        <v>9</v>
      </c>
      <c r="G1827">
        <v>78623</v>
      </c>
      <c r="H1827">
        <v>650811</v>
      </c>
      <c r="I1827">
        <v>8.2775972222222229</v>
      </c>
      <c r="J1827">
        <v>0</v>
      </c>
      <c r="K1827">
        <v>11</v>
      </c>
      <c r="L1827">
        <v>11</v>
      </c>
      <c r="N1827">
        <v>0</v>
      </c>
    </row>
    <row r="1828" spans="1:14" x14ac:dyDescent="0.35">
      <c r="A1828" t="s">
        <v>80</v>
      </c>
      <c r="B1828">
        <v>202406</v>
      </c>
      <c r="C1828" t="str">
        <f>MID(analisis_productividad__4[[#This Row],[Periodo]],1,4)</f>
        <v>2024</v>
      </c>
      <c r="D1828" t="str">
        <f>MID(analisis_productividad__4[[#This Row],[Periodo]],5,2)</f>
        <v>06</v>
      </c>
      <c r="E1828" t="s">
        <v>16</v>
      </c>
      <c r="F1828" t="s">
        <v>17</v>
      </c>
      <c r="G1828">
        <v>78613</v>
      </c>
      <c r="H1828">
        <v>4451438</v>
      </c>
      <c r="I1828">
        <v>56.624993055555549</v>
      </c>
      <c r="J1828">
        <v>0</v>
      </c>
      <c r="K1828">
        <v>58</v>
      </c>
      <c r="L1828">
        <v>58.5</v>
      </c>
      <c r="N1828">
        <v>0</v>
      </c>
    </row>
    <row r="1829" spans="1:14" x14ac:dyDescent="0.35">
      <c r="A1829" t="s">
        <v>49</v>
      </c>
      <c r="B1829">
        <v>202506</v>
      </c>
      <c r="C1829" t="str">
        <f>MID(analisis_productividad__4[[#This Row],[Periodo]],1,4)</f>
        <v>2025</v>
      </c>
      <c r="D1829" t="str">
        <f>MID(analisis_productividad__4[[#This Row],[Periodo]],5,2)</f>
        <v>06</v>
      </c>
      <c r="E1829" t="s">
        <v>16</v>
      </c>
      <c r="F1829" t="s">
        <v>21</v>
      </c>
      <c r="G1829">
        <v>78580</v>
      </c>
      <c r="H1829">
        <v>5006299</v>
      </c>
      <c r="I1829">
        <v>63.709965277777776</v>
      </c>
      <c r="J1829">
        <v>93003.180022892906</v>
      </c>
      <c r="K1829">
        <v>75.5</v>
      </c>
      <c r="L1829">
        <v>68</v>
      </c>
      <c r="M1829">
        <v>53.829329370970861</v>
      </c>
      <c r="N1829">
        <v>5585194</v>
      </c>
    </row>
    <row r="1830" spans="1:14" x14ac:dyDescent="0.35">
      <c r="A1830" t="s">
        <v>73</v>
      </c>
      <c r="B1830">
        <v>202510</v>
      </c>
      <c r="C1830" t="str">
        <f>MID(analisis_productividad__4[[#This Row],[Periodo]],1,4)</f>
        <v>2025</v>
      </c>
      <c r="D1830" t="str">
        <f>MID(analisis_productividad__4[[#This Row],[Periodo]],5,2)</f>
        <v>10</v>
      </c>
      <c r="E1830" t="s">
        <v>16</v>
      </c>
      <c r="F1830" t="s">
        <v>21</v>
      </c>
      <c r="G1830">
        <v>78520</v>
      </c>
      <c r="H1830">
        <v>2440310</v>
      </c>
      <c r="I1830">
        <v>31.078635752688175</v>
      </c>
      <c r="J1830">
        <v>73811.239437483528</v>
      </c>
      <c r="K1830">
        <v>43.5</v>
      </c>
      <c r="L1830">
        <v>41</v>
      </c>
      <c r="M1830">
        <v>33.061491293163932</v>
      </c>
      <c r="N1830">
        <v>3060368</v>
      </c>
    </row>
    <row r="1831" spans="1:14" x14ac:dyDescent="0.35">
      <c r="A1831" t="s">
        <v>66</v>
      </c>
      <c r="B1831">
        <v>202504</v>
      </c>
      <c r="C1831" t="str">
        <f>MID(analisis_productividad__4[[#This Row],[Periodo]],1,4)</f>
        <v>2025</v>
      </c>
      <c r="D1831" t="str">
        <f>MID(analisis_productividad__4[[#This Row],[Periodo]],5,2)</f>
        <v>04</v>
      </c>
      <c r="E1831" t="s">
        <v>11</v>
      </c>
      <c r="F1831" t="s">
        <v>12</v>
      </c>
      <c r="G1831">
        <v>78512</v>
      </c>
      <c r="H1831">
        <v>5613337</v>
      </c>
      <c r="I1831">
        <v>71.496493055555547</v>
      </c>
      <c r="J1831">
        <v>74572.389615113891</v>
      </c>
      <c r="K1831">
        <v>80</v>
      </c>
      <c r="L1831">
        <v>80.5</v>
      </c>
      <c r="M1831">
        <v>75.273665212711933</v>
      </c>
      <c r="N1831">
        <v>6551091</v>
      </c>
    </row>
    <row r="1832" spans="1:14" x14ac:dyDescent="0.35">
      <c r="A1832" t="s">
        <v>66</v>
      </c>
      <c r="B1832">
        <v>202501</v>
      </c>
      <c r="C1832" t="str">
        <f>MID(analisis_productividad__4[[#This Row],[Periodo]],1,4)</f>
        <v>2025</v>
      </c>
      <c r="D1832" t="str">
        <f>MID(analisis_productividad__4[[#This Row],[Periodo]],5,2)</f>
        <v>01</v>
      </c>
      <c r="E1832" t="s">
        <v>11</v>
      </c>
      <c r="F1832" t="s">
        <v>12</v>
      </c>
      <c r="G1832">
        <v>78481</v>
      </c>
      <c r="H1832">
        <v>5720873</v>
      </c>
      <c r="I1832">
        <v>72.894697580645129</v>
      </c>
      <c r="J1832">
        <v>84625.652897541659</v>
      </c>
      <c r="K1832">
        <v>80</v>
      </c>
      <c r="L1832">
        <v>80.5</v>
      </c>
      <c r="M1832">
        <v>67.602109810915138</v>
      </c>
      <c r="N1832">
        <v>6390794</v>
      </c>
    </row>
    <row r="1833" spans="1:14" x14ac:dyDescent="0.35">
      <c r="A1833" t="s">
        <v>69</v>
      </c>
      <c r="B1833">
        <v>202401</v>
      </c>
      <c r="C1833" t="str">
        <f>MID(analisis_productividad__4[[#This Row],[Periodo]],1,4)</f>
        <v>2024</v>
      </c>
      <c r="D1833" t="str">
        <f>MID(analisis_productividad__4[[#This Row],[Periodo]],5,2)</f>
        <v>01</v>
      </c>
      <c r="E1833" t="s">
        <v>11</v>
      </c>
      <c r="F1833" t="s">
        <v>52</v>
      </c>
      <c r="G1833">
        <v>78470</v>
      </c>
      <c r="H1833">
        <v>4838565</v>
      </c>
      <c r="I1833">
        <v>61.661391129032253</v>
      </c>
      <c r="J1833">
        <v>0</v>
      </c>
      <c r="K1833">
        <v>68</v>
      </c>
      <c r="L1833">
        <v>60.5</v>
      </c>
      <c r="N1833">
        <v>0</v>
      </c>
    </row>
    <row r="1834" spans="1:14" x14ac:dyDescent="0.35">
      <c r="A1834" t="s">
        <v>94</v>
      </c>
      <c r="B1834">
        <v>202510</v>
      </c>
      <c r="C1834" t="str">
        <f>MID(analisis_productividad__4[[#This Row],[Periodo]],1,4)</f>
        <v>2025</v>
      </c>
      <c r="D1834" t="str">
        <f>MID(analisis_productividad__4[[#This Row],[Periodo]],5,2)</f>
        <v>10</v>
      </c>
      <c r="E1834" t="s">
        <v>11</v>
      </c>
      <c r="F1834" t="s">
        <v>52</v>
      </c>
      <c r="G1834">
        <v>78423</v>
      </c>
      <c r="H1834">
        <v>4535193</v>
      </c>
      <c r="I1834">
        <v>57.829784946236565</v>
      </c>
      <c r="J1834">
        <v>69992.74879116565</v>
      </c>
      <c r="K1834">
        <v>75.5</v>
      </c>
      <c r="L1834">
        <v>70.5</v>
      </c>
      <c r="M1834">
        <v>64.795183334368829</v>
      </c>
      <c r="N1834">
        <v>5803144</v>
      </c>
    </row>
    <row r="1835" spans="1:14" x14ac:dyDescent="0.35">
      <c r="A1835" t="s">
        <v>103</v>
      </c>
      <c r="B1835">
        <v>202606</v>
      </c>
      <c r="C1835" t="str">
        <f>MID(analisis_productividad__4[[#This Row],[Periodo]],1,4)</f>
        <v>2026</v>
      </c>
      <c r="D1835" t="str">
        <f>MID(analisis_productividad__4[[#This Row],[Periodo]],5,2)</f>
        <v>06</v>
      </c>
      <c r="E1835" t="s">
        <v>104</v>
      </c>
      <c r="F1835" t="s">
        <v>104</v>
      </c>
      <c r="G1835">
        <v>78409</v>
      </c>
      <c r="H1835">
        <v>5531944</v>
      </c>
      <c r="I1835">
        <v>70.552027777778093</v>
      </c>
      <c r="J1835">
        <v>68307.626624218348</v>
      </c>
      <c r="K1835">
        <v>94</v>
      </c>
      <c r="L1835">
        <v>77.5</v>
      </c>
      <c r="M1835">
        <v>81.023149648384276</v>
      </c>
      <c r="N1835">
        <v>5534499</v>
      </c>
    </row>
    <row r="1836" spans="1:14" x14ac:dyDescent="0.35">
      <c r="A1836" t="s">
        <v>58</v>
      </c>
      <c r="B1836">
        <v>202602</v>
      </c>
      <c r="C1836" t="str">
        <f>MID(analisis_productividad__4[[#This Row],[Periodo]],1,4)</f>
        <v>2026</v>
      </c>
      <c r="D1836" t="str">
        <f>MID(analisis_productividad__4[[#This Row],[Periodo]],5,2)</f>
        <v>02</v>
      </c>
      <c r="E1836" t="s">
        <v>34</v>
      </c>
      <c r="F1836" t="s">
        <v>35</v>
      </c>
      <c r="G1836">
        <v>78360</v>
      </c>
      <c r="H1836">
        <v>3296807</v>
      </c>
      <c r="I1836">
        <v>42.072447916666661</v>
      </c>
      <c r="J1836">
        <v>76122.730118751206</v>
      </c>
      <c r="K1836">
        <v>53.5</v>
      </c>
      <c r="L1836">
        <v>52</v>
      </c>
      <c r="M1836">
        <v>43.483853774506514</v>
      </c>
      <c r="N1836">
        <v>3310110</v>
      </c>
    </row>
    <row r="1837" spans="1:14" x14ac:dyDescent="0.35">
      <c r="A1837" t="s">
        <v>74</v>
      </c>
      <c r="B1837">
        <v>202606</v>
      </c>
      <c r="C1837" t="str">
        <f>MID(analisis_productividad__4[[#This Row],[Periodo]],1,4)</f>
        <v>2026</v>
      </c>
      <c r="D1837" t="str">
        <f>MID(analisis_productividad__4[[#This Row],[Periodo]],5,2)</f>
        <v>06</v>
      </c>
      <c r="E1837" t="s">
        <v>16</v>
      </c>
      <c r="F1837" t="s">
        <v>19</v>
      </c>
      <c r="G1837">
        <v>78353</v>
      </c>
      <c r="H1837">
        <v>3609149</v>
      </c>
      <c r="I1837">
        <v>46.062819444443875</v>
      </c>
      <c r="J1837">
        <v>79965.696201519138</v>
      </c>
      <c r="K1837">
        <v>50.5</v>
      </c>
      <c r="L1837">
        <v>51.5</v>
      </c>
      <c r="M1837">
        <v>44.728769766304502</v>
      </c>
      <c r="N1837">
        <v>3576767</v>
      </c>
    </row>
    <row r="1838" spans="1:14" x14ac:dyDescent="0.35">
      <c r="A1838" t="s">
        <v>100</v>
      </c>
      <c r="B1838">
        <v>202406</v>
      </c>
      <c r="C1838" t="str">
        <f>MID(analisis_productividad__4[[#This Row],[Periodo]],1,4)</f>
        <v>2024</v>
      </c>
      <c r="D1838" t="str">
        <f>MID(analisis_productividad__4[[#This Row],[Periodo]],5,2)</f>
        <v>06</v>
      </c>
      <c r="E1838" t="s">
        <v>34</v>
      </c>
      <c r="F1838" t="s">
        <v>35</v>
      </c>
      <c r="G1838">
        <v>78346</v>
      </c>
      <c r="H1838">
        <v>2598960</v>
      </c>
      <c r="I1838">
        <v>33.172659722222214</v>
      </c>
      <c r="J1838">
        <v>0</v>
      </c>
      <c r="K1838">
        <v>44</v>
      </c>
      <c r="L1838">
        <v>40.5</v>
      </c>
      <c r="N1838">
        <v>0</v>
      </c>
    </row>
    <row r="1839" spans="1:14" x14ac:dyDescent="0.35">
      <c r="A1839" t="s">
        <v>49</v>
      </c>
      <c r="B1839">
        <v>202402</v>
      </c>
      <c r="C1839" t="str">
        <f>MID(analisis_productividad__4[[#This Row],[Periodo]],1,4)</f>
        <v>2024</v>
      </c>
      <c r="D1839" t="str">
        <f>MID(analisis_productividad__4[[#This Row],[Periodo]],5,2)</f>
        <v>02</v>
      </c>
      <c r="E1839" t="s">
        <v>16</v>
      </c>
      <c r="F1839" t="s">
        <v>21</v>
      </c>
      <c r="G1839">
        <v>78344</v>
      </c>
      <c r="H1839">
        <v>5556297</v>
      </c>
      <c r="I1839">
        <v>70.922119252873543</v>
      </c>
      <c r="J1839">
        <v>0</v>
      </c>
      <c r="K1839">
        <v>75.5</v>
      </c>
      <c r="L1839">
        <v>68</v>
      </c>
      <c r="N1839">
        <v>0</v>
      </c>
    </row>
    <row r="1840" spans="1:14" x14ac:dyDescent="0.35">
      <c r="A1840" t="s">
        <v>77</v>
      </c>
      <c r="B1840">
        <v>202504</v>
      </c>
      <c r="C1840" t="str">
        <f>MID(analisis_productividad__4[[#This Row],[Periodo]],1,4)</f>
        <v>2025</v>
      </c>
      <c r="D1840" t="str">
        <f>MID(analisis_productividad__4[[#This Row],[Periodo]],5,2)</f>
        <v>04</v>
      </c>
      <c r="E1840" t="s">
        <v>16</v>
      </c>
      <c r="F1840" t="s">
        <v>21</v>
      </c>
      <c r="G1840">
        <v>78311</v>
      </c>
      <c r="H1840">
        <v>4436510</v>
      </c>
      <c r="I1840">
        <v>56.652652777777789</v>
      </c>
      <c r="J1840">
        <v>72411.279664313275</v>
      </c>
      <c r="K1840">
        <v>60.5</v>
      </c>
      <c r="L1840">
        <v>60.5</v>
      </c>
      <c r="M1840">
        <v>61.268215816195045</v>
      </c>
      <c r="N1840">
        <v>4980444</v>
      </c>
    </row>
    <row r="1841" spans="1:14" x14ac:dyDescent="0.35">
      <c r="A1841" t="s">
        <v>87</v>
      </c>
      <c r="B1841">
        <v>202606</v>
      </c>
      <c r="C1841" t="str">
        <f>MID(analisis_productividad__4[[#This Row],[Periodo]],1,4)</f>
        <v>2026</v>
      </c>
      <c r="D1841" t="str">
        <f>MID(analisis_productividad__4[[#This Row],[Periodo]],5,2)</f>
        <v>06</v>
      </c>
      <c r="E1841" t="s">
        <v>9</v>
      </c>
      <c r="F1841" t="s">
        <v>9</v>
      </c>
      <c r="G1841">
        <v>78296</v>
      </c>
      <c r="H1841">
        <v>739292</v>
      </c>
      <c r="I1841">
        <v>9.4423194444444487</v>
      </c>
      <c r="J1841">
        <v>70515.876366688084</v>
      </c>
      <c r="K1841">
        <v>13.5</v>
      </c>
      <c r="L1841">
        <v>12</v>
      </c>
      <c r="M1841">
        <v>11.788780293634797</v>
      </c>
      <c r="N1841">
        <v>831296</v>
      </c>
    </row>
    <row r="1842" spans="1:14" x14ac:dyDescent="0.35">
      <c r="A1842" t="s">
        <v>75</v>
      </c>
      <c r="B1842">
        <v>202506</v>
      </c>
      <c r="C1842" t="str">
        <f>MID(analisis_productividad__4[[#This Row],[Periodo]],1,4)</f>
        <v>2025</v>
      </c>
      <c r="D1842" t="str">
        <f>MID(analisis_productividad__4[[#This Row],[Periodo]],5,2)</f>
        <v>06</v>
      </c>
      <c r="E1842" t="s">
        <v>11</v>
      </c>
      <c r="F1842" t="s">
        <v>52</v>
      </c>
      <c r="G1842">
        <v>78286</v>
      </c>
      <c r="H1842">
        <v>7487057</v>
      </c>
      <c r="I1842">
        <v>95.637451388888934</v>
      </c>
      <c r="J1842">
        <v>90952.492924081947</v>
      </c>
      <c r="K1842">
        <v>118</v>
      </c>
      <c r="L1842">
        <v>106</v>
      </c>
      <c r="M1842">
        <v>82.31832299802322</v>
      </c>
      <c r="N1842">
        <v>10017159</v>
      </c>
    </row>
    <row r="1843" spans="1:14" x14ac:dyDescent="0.35">
      <c r="A1843" t="s">
        <v>74</v>
      </c>
      <c r="B1843">
        <v>202501</v>
      </c>
      <c r="C1843" t="str">
        <f>MID(analisis_productividad__4[[#This Row],[Periodo]],1,4)</f>
        <v>2025</v>
      </c>
      <c r="D1843" t="str">
        <f>MID(analisis_productividad__4[[#This Row],[Periodo]],5,2)</f>
        <v>01</v>
      </c>
      <c r="E1843" t="s">
        <v>16</v>
      </c>
      <c r="F1843" t="s">
        <v>19</v>
      </c>
      <c r="G1843">
        <v>78269</v>
      </c>
      <c r="H1843">
        <v>3840690</v>
      </c>
      <c r="I1843">
        <v>49.070564516129039</v>
      </c>
      <c r="J1843">
        <v>82878.612678180158</v>
      </c>
      <c r="K1843">
        <v>50.5</v>
      </c>
      <c r="L1843">
        <v>51.5</v>
      </c>
      <c r="M1843">
        <v>46.341152872738149</v>
      </c>
      <c r="N1843">
        <v>3971652</v>
      </c>
    </row>
    <row r="1844" spans="1:14" x14ac:dyDescent="0.35">
      <c r="A1844" t="s">
        <v>70</v>
      </c>
      <c r="B1844">
        <v>202409</v>
      </c>
      <c r="C1844" t="str">
        <f>MID(analisis_productividad__4[[#This Row],[Periodo]],1,4)</f>
        <v>2024</v>
      </c>
      <c r="D1844" t="str">
        <f>MID(analisis_productividad__4[[#This Row],[Periodo]],5,2)</f>
        <v>09</v>
      </c>
      <c r="E1844" t="s">
        <v>11</v>
      </c>
      <c r="F1844" t="s">
        <v>14</v>
      </c>
      <c r="G1844">
        <v>78256</v>
      </c>
      <c r="H1844">
        <v>4648899</v>
      </c>
      <c r="I1844">
        <v>59.406131944444432</v>
      </c>
      <c r="J1844">
        <v>0</v>
      </c>
      <c r="K1844">
        <v>65</v>
      </c>
      <c r="L1844">
        <v>67.5</v>
      </c>
      <c r="N1844">
        <v>0</v>
      </c>
    </row>
    <row r="1845" spans="1:14" x14ac:dyDescent="0.35">
      <c r="A1845" t="s">
        <v>84</v>
      </c>
      <c r="B1845">
        <v>202502</v>
      </c>
      <c r="C1845" t="str">
        <f>MID(analisis_productividad__4[[#This Row],[Periodo]],1,4)</f>
        <v>2025</v>
      </c>
      <c r="D1845" t="str">
        <f>MID(analisis_productividad__4[[#This Row],[Periodo]],5,2)</f>
        <v>02</v>
      </c>
      <c r="E1845" t="s">
        <v>11</v>
      </c>
      <c r="F1845" t="s">
        <v>52</v>
      </c>
      <c r="G1845">
        <v>78222</v>
      </c>
      <c r="H1845">
        <v>8543304</v>
      </c>
      <c r="I1845">
        <v>109.21885416666672</v>
      </c>
      <c r="J1845">
        <v>77056.672085699494</v>
      </c>
      <c r="K1845">
        <v>123</v>
      </c>
      <c r="L1845">
        <v>115.5</v>
      </c>
      <c r="M1845">
        <v>110.87040510260375</v>
      </c>
      <c r="N1845">
        <v>8649131</v>
      </c>
    </row>
    <row r="1846" spans="1:14" x14ac:dyDescent="0.35">
      <c r="A1846" t="s">
        <v>97</v>
      </c>
      <c r="B1846">
        <v>202410</v>
      </c>
      <c r="C1846" t="str">
        <f>MID(analisis_productividad__4[[#This Row],[Periodo]],1,4)</f>
        <v>2024</v>
      </c>
      <c r="D1846" t="str">
        <f>MID(analisis_productividad__4[[#This Row],[Periodo]],5,2)</f>
        <v>10</v>
      </c>
      <c r="E1846" t="s">
        <v>11</v>
      </c>
      <c r="F1846" t="s">
        <v>12</v>
      </c>
      <c r="G1846">
        <v>78215</v>
      </c>
      <c r="H1846">
        <v>4629768</v>
      </c>
      <c r="I1846">
        <v>59.192668010752691</v>
      </c>
      <c r="J1846">
        <v>0</v>
      </c>
      <c r="K1846">
        <v>66.5</v>
      </c>
      <c r="L1846">
        <v>63.5</v>
      </c>
      <c r="N1846">
        <v>0</v>
      </c>
    </row>
    <row r="1847" spans="1:14" x14ac:dyDescent="0.35">
      <c r="A1847" t="s">
        <v>95</v>
      </c>
      <c r="B1847">
        <v>202405</v>
      </c>
      <c r="C1847" t="str">
        <f>MID(analisis_productividad__4[[#This Row],[Periodo]],1,4)</f>
        <v>2024</v>
      </c>
      <c r="D1847" t="str">
        <f>MID(analisis_productividad__4[[#This Row],[Periodo]],5,2)</f>
        <v>05</v>
      </c>
      <c r="E1847" t="s">
        <v>9</v>
      </c>
      <c r="F1847" t="s">
        <v>9</v>
      </c>
      <c r="G1847">
        <v>78209</v>
      </c>
      <c r="H1847">
        <v>677265</v>
      </c>
      <c r="I1847">
        <v>8.6596774193548391</v>
      </c>
      <c r="J1847">
        <v>0</v>
      </c>
      <c r="K1847">
        <v>11</v>
      </c>
      <c r="L1847">
        <v>11</v>
      </c>
      <c r="N1847">
        <v>0</v>
      </c>
    </row>
    <row r="1848" spans="1:14" x14ac:dyDescent="0.35">
      <c r="A1848" t="s">
        <v>47</v>
      </c>
      <c r="B1848">
        <v>202411</v>
      </c>
      <c r="C1848" t="str">
        <f>MID(analisis_productividad__4[[#This Row],[Periodo]],1,4)</f>
        <v>2024</v>
      </c>
      <c r="D1848" t="str">
        <f>MID(analisis_productividad__4[[#This Row],[Periodo]],5,2)</f>
        <v>11</v>
      </c>
      <c r="E1848" t="s">
        <v>11</v>
      </c>
      <c r="F1848" t="s">
        <v>14</v>
      </c>
      <c r="G1848">
        <v>78198</v>
      </c>
      <c r="H1848">
        <v>4363114</v>
      </c>
      <c r="I1848">
        <v>55.795444444444463</v>
      </c>
      <c r="J1848">
        <v>0</v>
      </c>
      <c r="K1848">
        <v>61.5</v>
      </c>
      <c r="L1848">
        <v>48.5</v>
      </c>
      <c r="N1848">
        <v>0</v>
      </c>
    </row>
    <row r="1849" spans="1:14" x14ac:dyDescent="0.35">
      <c r="A1849" t="s">
        <v>49</v>
      </c>
      <c r="B1849">
        <v>202404</v>
      </c>
      <c r="C1849" t="str">
        <f>MID(analisis_productividad__4[[#This Row],[Periodo]],1,4)</f>
        <v>2024</v>
      </c>
      <c r="D1849" t="str">
        <f>MID(analisis_productividad__4[[#This Row],[Periodo]],5,2)</f>
        <v>04</v>
      </c>
      <c r="E1849" t="s">
        <v>16</v>
      </c>
      <c r="F1849" t="s">
        <v>21</v>
      </c>
      <c r="G1849">
        <v>78147</v>
      </c>
      <c r="H1849">
        <v>5283573</v>
      </c>
      <c r="I1849">
        <v>67.610715277777771</v>
      </c>
      <c r="J1849">
        <v>0</v>
      </c>
      <c r="K1849">
        <v>75.5</v>
      </c>
      <c r="L1849">
        <v>68</v>
      </c>
      <c r="N1849">
        <v>0</v>
      </c>
    </row>
    <row r="1850" spans="1:14" x14ac:dyDescent="0.35">
      <c r="A1850" t="s">
        <v>97</v>
      </c>
      <c r="B1850">
        <v>202408</v>
      </c>
      <c r="C1850" t="str">
        <f>MID(analisis_productividad__4[[#This Row],[Periodo]],1,4)</f>
        <v>2024</v>
      </c>
      <c r="D1850" t="str">
        <f>MID(analisis_productividad__4[[#This Row],[Periodo]],5,2)</f>
        <v>08</v>
      </c>
      <c r="E1850" t="s">
        <v>11</v>
      </c>
      <c r="F1850" t="s">
        <v>12</v>
      </c>
      <c r="G1850">
        <v>78103</v>
      </c>
      <c r="H1850">
        <v>4730072</v>
      </c>
      <c r="I1850">
        <v>60.562043010752689</v>
      </c>
      <c r="J1850">
        <v>0</v>
      </c>
      <c r="K1850">
        <v>66.5</v>
      </c>
      <c r="L1850">
        <v>63.5</v>
      </c>
      <c r="N1850">
        <v>0</v>
      </c>
    </row>
    <row r="1851" spans="1:14" x14ac:dyDescent="0.35">
      <c r="A1851" t="s">
        <v>86</v>
      </c>
      <c r="B1851">
        <v>202408</v>
      </c>
      <c r="C1851" t="str">
        <f>MID(analisis_productividad__4[[#This Row],[Periodo]],1,4)</f>
        <v>2024</v>
      </c>
      <c r="D1851" t="str">
        <f>MID(analisis_productividad__4[[#This Row],[Periodo]],5,2)</f>
        <v>08</v>
      </c>
      <c r="E1851" t="s">
        <v>11</v>
      </c>
      <c r="F1851" t="s">
        <v>14</v>
      </c>
      <c r="G1851">
        <v>78047</v>
      </c>
      <c r="H1851">
        <v>4793823</v>
      </c>
      <c r="I1851">
        <v>61.422553763440874</v>
      </c>
      <c r="J1851">
        <v>0</v>
      </c>
      <c r="K1851">
        <v>69.5</v>
      </c>
      <c r="L1851">
        <v>59</v>
      </c>
      <c r="N1851">
        <v>0</v>
      </c>
    </row>
    <row r="1852" spans="1:14" x14ac:dyDescent="0.35">
      <c r="A1852" t="s">
        <v>41</v>
      </c>
      <c r="B1852">
        <v>202509</v>
      </c>
      <c r="C1852" t="str">
        <f>MID(analisis_productividad__4[[#This Row],[Periodo]],1,4)</f>
        <v>2025</v>
      </c>
      <c r="D1852" t="str">
        <f>MID(analisis_productividad__4[[#This Row],[Periodo]],5,2)</f>
        <v>09</v>
      </c>
      <c r="E1852" t="s">
        <v>16</v>
      </c>
      <c r="F1852" t="s">
        <v>19</v>
      </c>
      <c r="G1852">
        <v>78045</v>
      </c>
      <c r="H1852">
        <v>3848514</v>
      </c>
      <c r="I1852">
        <v>49.311645833333337</v>
      </c>
      <c r="J1852">
        <v>78902.144328038587</v>
      </c>
      <c r="K1852">
        <v>57.5</v>
      </c>
      <c r="L1852">
        <v>56.5</v>
      </c>
      <c r="M1852">
        <v>48.775789463967669</v>
      </c>
      <c r="N1852">
        <v>3965193</v>
      </c>
    </row>
    <row r="1853" spans="1:14" x14ac:dyDescent="0.35">
      <c r="A1853" t="s">
        <v>62</v>
      </c>
      <c r="B1853">
        <v>202405</v>
      </c>
      <c r="C1853" t="str">
        <f>MID(analisis_productividad__4[[#This Row],[Periodo]],1,4)</f>
        <v>2024</v>
      </c>
      <c r="D1853" t="str">
        <f>MID(analisis_productividad__4[[#This Row],[Periodo]],5,2)</f>
        <v>05</v>
      </c>
      <c r="E1853" t="s">
        <v>16</v>
      </c>
      <c r="F1853" t="s">
        <v>17</v>
      </c>
      <c r="G1853">
        <v>78030</v>
      </c>
      <c r="H1853">
        <v>2266609</v>
      </c>
      <c r="I1853">
        <v>29.047930107526877</v>
      </c>
      <c r="J1853">
        <v>0</v>
      </c>
      <c r="K1853">
        <v>32.5</v>
      </c>
      <c r="L1853">
        <v>32</v>
      </c>
      <c r="N1853">
        <v>0</v>
      </c>
    </row>
    <row r="1854" spans="1:14" x14ac:dyDescent="0.35">
      <c r="A1854" t="s">
        <v>65</v>
      </c>
      <c r="B1854">
        <v>202404</v>
      </c>
      <c r="C1854" t="str">
        <f>MID(analisis_productividad__4[[#This Row],[Periodo]],1,4)</f>
        <v>2024</v>
      </c>
      <c r="D1854" t="str">
        <f>MID(analisis_productividad__4[[#This Row],[Periodo]],5,2)</f>
        <v>04</v>
      </c>
      <c r="E1854" t="s">
        <v>16</v>
      </c>
      <c r="F1854" t="s">
        <v>19</v>
      </c>
      <c r="G1854">
        <v>78021</v>
      </c>
      <c r="H1854">
        <v>4748561</v>
      </c>
      <c r="I1854">
        <v>60.862569444444439</v>
      </c>
      <c r="J1854">
        <v>0</v>
      </c>
      <c r="K1854">
        <v>68</v>
      </c>
      <c r="L1854">
        <v>68.5</v>
      </c>
      <c r="N1854">
        <v>0</v>
      </c>
    </row>
    <row r="1855" spans="1:14" x14ac:dyDescent="0.35">
      <c r="A1855" t="s">
        <v>66</v>
      </c>
      <c r="B1855">
        <v>202402</v>
      </c>
      <c r="C1855" t="str">
        <f>MID(analisis_productividad__4[[#This Row],[Periodo]],1,4)</f>
        <v>2024</v>
      </c>
      <c r="D1855" t="str">
        <f>MID(analisis_productividad__4[[#This Row],[Periodo]],5,2)</f>
        <v>02</v>
      </c>
      <c r="E1855" t="s">
        <v>11</v>
      </c>
      <c r="F1855" t="s">
        <v>12</v>
      </c>
      <c r="G1855">
        <v>78005</v>
      </c>
      <c r="H1855">
        <v>6281602</v>
      </c>
      <c r="I1855">
        <v>80.528663793103448</v>
      </c>
      <c r="J1855">
        <v>0</v>
      </c>
      <c r="K1855">
        <v>80</v>
      </c>
      <c r="L1855">
        <v>80.5</v>
      </c>
      <c r="N1855">
        <v>0</v>
      </c>
    </row>
    <row r="1856" spans="1:14" x14ac:dyDescent="0.35">
      <c r="A1856" t="s">
        <v>88</v>
      </c>
      <c r="B1856">
        <v>202602</v>
      </c>
      <c r="C1856" t="str">
        <f>MID(analisis_productividad__4[[#This Row],[Periodo]],1,4)</f>
        <v>2026</v>
      </c>
      <c r="D1856" t="str">
        <f>MID(analisis_productividad__4[[#This Row],[Periodo]],5,2)</f>
        <v>02</v>
      </c>
      <c r="E1856" t="s">
        <v>34</v>
      </c>
      <c r="F1856" t="s">
        <v>35</v>
      </c>
      <c r="G1856">
        <v>78001</v>
      </c>
      <c r="H1856">
        <v>1029899</v>
      </c>
      <c r="I1856">
        <v>13.203645833333335</v>
      </c>
      <c r="J1856">
        <v>77186.187233842225</v>
      </c>
      <c r="K1856">
        <v>15.5</v>
      </c>
      <c r="L1856">
        <v>14.5</v>
      </c>
      <c r="M1856">
        <v>13.971887755419019</v>
      </c>
      <c r="N1856">
        <v>1078437</v>
      </c>
    </row>
    <row r="1857" spans="1:14" x14ac:dyDescent="0.35">
      <c r="A1857" t="s">
        <v>71</v>
      </c>
      <c r="B1857">
        <v>202507</v>
      </c>
      <c r="C1857" t="str">
        <f>MID(analisis_productividad__4[[#This Row],[Periodo]],1,4)</f>
        <v>2025</v>
      </c>
      <c r="D1857" t="str">
        <f>MID(analisis_productividad__4[[#This Row],[Periodo]],5,2)</f>
        <v>07</v>
      </c>
      <c r="E1857" t="s">
        <v>16</v>
      </c>
      <c r="F1857" t="s">
        <v>19</v>
      </c>
      <c r="G1857">
        <v>77991</v>
      </c>
      <c r="H1857">
        <v>2815052</v>
      </c>
      <c r="I1857">
        <v>36.094643817204286</v>
      </c>
      <c r="J1857">
        <v>87803.841039762236</v>
      </c>
      <c r="K1857">
        <v>41.5</v>
      </c>
      <c r="L1857">
        <v>35.5</v>
      </c>
      <c r="M1857">
        <v>32.060694460111314</v>
      </c>
      <c r="N1857">
        <v>2901762</v>
      </c>
    </row>
    <row r="1858" spans="1:14" x14ac:dyDescent="0.35">
      <c r="A1858" t="s">
        <v>75</v>
      </c>
      <c r="B1858">
        <v>202402</v>
      </c>
      <c r="C1858" t="str">
        <f>MID(analisis_productividad__4[[#This Row],[Periodo]],1,4)</f>
        <v>2024</v>
      </c>
      <c r="D1858" t="str">
        <f>MID(analisis_productividad__4[[#This Row],[Periodo]],5,2)</f>
        <v>02</v>
      </c>
      <c r="E1858" t="s">
        <v>11</v>
      </c>
      <c r="F1858" t="s">
        <v>52</v>
      </c>
      <c r="G1858">
        <v>77991</v>
      </c>
      <c r="H1858">
        <v>8964635</v>
      </c>
      <c r="I1858">
        <v>114.94507902298852</v>
      </c>
      <c r="J1858">
        <v>0</v>
      </c>
      <c r="K1858">
        <v>118</v>
      </c>
      <c r="L1858">
        <v>106</v>
      </c>
      <c r="N1858">
        <v>0</v>
      </c>
    </row>
    <row r="1859" spans="1:14" x14ac:dyDescent="0.35">
      <c r="A1859" t="s">
        <v>47</v>
      </c>
      <c r="B1859">
        <v>202407</v>
      </c>
      <c r="C1859" t="str">
        <f>MID(analisis_productividad__4[[#This Row],[Periodo]],1,4)</f>
        <v>2024</v>
      </c>
      <c r="D1859" t="str">
        <f>MID(analisis_productividad__4[[#This Row],[Periodo]],5,2)</f>
        <v>07</v>
      </c>
      <c r="E1859" t="s">
        <v>11</v>
      </c>
      <c r="F1859" t="s">
        <v>14</v>
      </c>
      <c r="G1859">
        <v>77985</v>
      </c>
      <c r="H1859">
        <v>4809737</v>
      </c>
      <c r="I1859">
        <v>61.67550403225804</v>
      </c>
      <c r="J1859">
        <v>0</v>
      </c>
      <c r="K1859">
        <v>61.5</v>
      </c>
      <c r="L1859">
        <v>48.5</v>
      </c>
      <c r="N1859">
        <v>0</v>
      </c>
    </row>
    <row r="1860" spans="1:14" x14ac:dyDescent="0.35">
      <c r="A1860" t="s">
        <v>81</v>
      </c>
      <c r="B1860">
        <v>202506</v>
      </c>
      <c r="C1860" t="str">
        <f>MID(analisis_productividad__4[[#This Row],[Periodo]],1,4)</f>
        <v>2025</v>
      </c>
      <c r="D1860" t="str">
        <f>MID(analisis_productividad__4[[#This Row],[Periodo]],5,2)</f>
        <v>06</v>
      </c>
      <c r="E1860" t="s">
        <v>34</v>
      </c>
      <c r="F1860" t="s">
        <v>35</v>
      </c>
      <c r="G1860">
        <v>77975</v>
      </c>
      <c r="H1860">
        <v>7328305</v>
      </c>
      <c r="I1860">
        <v>93.983069444444453</v>
      </c>
      <c r="J1860">
        <v>86169.314678749652</v>
      </c>
      <c r="K1860">
        <v>106</v>
      </c>
      <c r="L1860">
        <v>94.5</v>
      </c>
      <c r="M1860">
        <v>85.045416658132595</v>
      </c>
      <c r="N1860">
        <v>7643869</v>
      </c>
    </row>
    <row r="1861" spans="1:14" x14ac:dyDescent="0.35">
      <c r="A1861" t="s">
        <v>60</v>
      </c>
      <c r="B1861">
        <v>202506</v>
      </c>
      <c r="C1861" t="str">
        <f>MID(analisis_productividad__4[[#This Row],[Periodo]],1,4)</f>
        <v>2025</v>
      </c>
      <c r="D1861" t="str">
        <f>MID(analisis_productividad__4[[#This Row],[Periodo]],5,2)</f>
        <v>06</v>
      </c>
      <c r="E1861" t="s">
        <v>11</v>
      </c>
      <c r="F1861" t="s">
        <v>14</v>
      </c>
      <c r="G1861">
        <v>77949</v>
      </c>
      <c r="H1861">
        <v>5240025</v>
      </c>
      <c r="I1861">
        <v>67.223819444444459</v>
      </c>
      <c r="J1861">
        <v>91662.753902969693</v>
      </c>
      <c r="K1861">
        <v>75.5</v>
      </c>
      <c r="L1861">
        <v>74</v>
      </c>
      <c r="M1861">
        <v>57.166351400994003</v>
      </c>
      <c r="N1861">
        <v>6279057</v>
      </c>
    </row>
    <row r="1862" spans="1:14" x14ac:dyDescent="0.35">
      <c r="A1862" t="s">
        <v>40</v>
      </c>
      <c r="B1862">
        <v>202410</v>
      </c>
      <c r="C1862" t="str">
        <f>MID(analisis_productividad__4[[#This Row],[Periodo]],1,4)</f>
        <v>2024</v>
      </c>
      <c r="D1862" t="str">
        <f>MID(analisis_productividad__4[[#This Row],[Periodo]],5,2)</f>
        <v>10</v>
      </c>
      <c r="E1862" t="s">
        <v>11</v>
      </c>
      <c r="F1862" t="s">
        <v>14</v>
      </c>
      <c r="G1862">
        <v>77921</v>
      </c>
      <c r="H1862">
        <v>5230563</v>
      </c>
      <c r="I1862">
        <v>67.126189516129031</v>
      </c>
      <c r="J1862">
        <v>0</v>
      </c>
      <c r="K1862">
        <v>76.5</v>
      </c>
      <c r="L1862">
        <v>75.5</v>
      </c>
      <c r="N1862">
        <v>0</v>
      </c>
    </row>
    <row r="1863" spans="1:14" x14ac:dyDescent="0.35">
      <c r="A1863" t="s">
        <v>82</v>
      </c>
      <c r="B1863">
        <v>202508</v>
      </c>
      <c r="C1863" t="str">
        <f>MID(analisis_productividad__4[[#This Row],[Periodo]],1,4)</f>
        <v>2025</v>
      </c>
      <c r="D1863" t="str">
        <f>MID(analisis_productividad__4[[#This Row],[Periodo]],5,2)</f>
        <v>08</v>
      </c>
      <c r="E1863" t="s">
        <v>11</v>
      </c>
      <c r="F1863" t="s">
        <v>12</v>
      </c>
      <c r="G1863">
        <v>77920</v>
      </c>
      <c r="H1863">
        <v>3797319</v>
      </c>
      <c r="I1863">
        <v>48.733313172043005</v>
      </c>
      <c r="J1863">
        <v>85449.868578778318</v>
      </c>
      <c r="K1863">
        <v>53.5</v>
      </c>
      <c r="L1863">
        <v>54</v>
      </c>
      <c r="M1863">
        <v>44.439143010491101</v>
      </c>
      <c r="N1863">
        <v>4238087</v>
      </c>
    </row>
    <row r="1864" spans="1:14" x14ac:dyDescent="0.35">
      <c r="A1864" t="s">
        <v>24</v>
      </c>
      <c r="B1864">
        <v>202506</v>
      </c>
      <c r="C1864" t="str">
        <f>MID(analisis_productividad__4[[#This Row],[Periodo]],1,4)</f>
        <v>2025</v>
      </c>
      <c r="D1864" t="str">
        <f>MID(analisis_productividad__4[[#This Row],[Periodo]],5,2)</f>
        <v>06</v>
      </c>
      <c r="E1864" t="s">
        <v>16</v>
      </c>
      <c r="F1864" t="s">
        <v>21</v>
      </c>
      <c r="G1864">
        <v>77908</v>
      </c>
      <c r="H1864">
        <v>8757678</v>
      </c>
      <c r="I1864">
        <v>112.41090972222223</v>
      </c>
      <c r="J1864">
        <v>98957.147064321005</v>
      </c>
      <c r="K1864">
        <v>125</v>
      </c>
      <c r="L1864">
        <v>118.5</v>
      </c>
      <c r="M1864">
        <v>88.499705476630282</v>
      </c>
      <c r="N1864">
        <v>9478117</v>
      </c>
    </row>
    <row r="1865" spans="1:14" x14ac:dyDescent="0.35">
      <c r="A1865" t="s">
        <v>42</v>
      </c>
      <c r="B1865">
        <v>202411</v>
      </c>
      <c r="C1865" t="str">
        <f>MID(analisis_productividad__4[[#This Row],[Periodo]],1,4)</f>
        <v>2024</v>
      </c>
      <c r="D1865" t="str">
        <f>MID(analisis_productividad__4[[#This Row],[Periodo]],5,2)</f>
        <v>11</v>
      </c>
      <c r="E1865" t="s">
        <v>16</v>
      </c>
      <c r="F1865" t="s">
        <v>19</v>
      </c>
      <c r="G1865">
        <v>77892</v>
      </c>
      <c r="H1865">
        <v>4721999</v>
      </c>
      <c r="I1865">
        <v>60.622138888888877</v>
      </c>
      <c r="J1865">
        <v>0</v>
      </c>
      <c r="K1865">
        <v>62</v>
      </c>
      <c r="L1865">
        <v>58</v>
      </c>
      <c r="N1865">
        <v>0</v>
      </c>
    </row>
    <row r="1866" spans="1:14" x14ac:dyDescent="0.35">
      <c r="A1866" t="s">
        <v>107</v>
      </c>
      <c r="B1866">
        <v>202512</v>
      </c>
      <c r="C1866" t="str">
        <f>MID(analisis_productividad__4[[#This Row],[Periodo]],1,4)</f>
        <v>2025</v>
      </c>
      <c r="D1866" t="str">
        <f>MID(analisis_productividad__4[[#This Row],[Periodo]],5,2)</f>
        <v>12</v>
      </c>
      <c r="E1866" t="s">
        <v>34</v>
      </c>
      <c r="F1866" t="s">
        <v>35</v>
      </c>
      <c r="G1866">
        <v>77889</v>
      </c>
      <c r="H1866">
        <v>5979464</v>
      </c>
      <c r="I1866">
        <v>76.768595430107482</v>
      </c>
      <c r="J1866">
        <v>73767.968975423995</v>
      </c>
      <c r="K1866">
        <v>87</v>
      </c>
      <c r="L1866">
        <v>77.5</v>
      </c>
      <c r="M1866">
        <v>81.05772184119742</v>
      </c>
      <c r="N1866">
        <v>6501169</v>
      </c>
    </row>
    <row r="1867" spans="1:14" x14ac:dyDescent="0.35">
      <c r="A1867" t="s">
        <v>83</v>
      </c>
      <c r="B1867">
        <v>202407</v>
      </c>
      <c r="C1867" t="str">
        <f>MID(analisis_productividad__4[[#This Row],[Periodo]],1,4)</f>
        <v>2024</v>
      </c>
      <c r="D1867" t="str">
        <f>MID(analisis_productividad__4[[#This Row],[Periodo]],5,2)</f>
        <v>07</v>
      </c>
      <c r="E1867" t="s">
        <v>16</v>
      </c>
      <c r="F1867" t="s">
        <v>17</v>
      </c>
      <c r="G1867">
        <v>77881</v>
      </c>
      <c r="H1867">
        <v>3715665</v>
      </c>
      <c r="I1867">
        <v>47.709751344086001</v>
      </c>
      <c r="J1867">
        <v>0</v>
      </c>
      <c r="K1867">
        <v>52</v>
      </c>
      <c r="L1867">
        <v>52</v>
      </c>
      <c r="N1867">
        <v>0</v>
      </c>
    </row>
    <row r="1868" spans="1:14" x14ac:dyDescent="0.35">
      <c r="A1868" t="s">
        <v>64</v>
      </c>
      <c r="B1868">
        <v>202409</v>
      </c>
      <c r="C1868" t="str">
        <f>MID(analisis_productividad__4[[#This Row],[Periodo]],1,4)</f>
        <v>2024</v>
      </c>
      <c r="D1868" t="str">
        <f>MID(analisis_productividad__4[[#This Row],[Periodo]],5,2)</f>
        <v>09</v>
      </c>
      <c r="E1868" t="s">
        <v>16</v>
      </c>
      <c r="F1868" t="s">
        <v>21</v>
      </c>
      <c r="G1868">
        <v>77878</v>
      </c>
      <c r="H1868">
        <v>6006346</v>
      </c>
      <c r="I1868">
        <v>77.124930555555537</v>
      </c>
      <c r="J1868">
        <v>0</v>
      </c>
      <c r="K1868">
        <v>88.5</v>
      </c>
      <c r="L1868">
        <v>92.5</v>
      </c>
      <c r="N1868">
        <v>0</v>
      </c>
    </row>
    <row r="1869" spans="1:14" x14ac:dyDescent="0.35">
      <c r="A1869" t="s">
        <v>113</v>
      </c>
      <c r="B1869">
        <v>202403</v>
      </c>
      <c r="C1869" t="str">
        <f>MID(analisis_productividad__4[[#This Row],[Periodo]],1,4)</f>
        <v>2024</v>
      </c>
      <c r="D1869" t="str">
        <f>MID(analisis_productividad__4[[#This Row],[Periodo]],5,2)</f>
        <v>03</v>
      </c>
      <c r="E1869" t="s">
        <v>9</v>
      </c>
      <c r="F1869" t="s">
        <v>9</v>
      </c>
      <c r="G1869">
        <v>77854</v>
      </c>
      <c r="H1869">
        <v>666310</v>
      </c>
      <c r="I1869">
        <v>8.5584408602150557</v>
      </c>
      <c r="J1869">
        <v>0</v>
      </c>
      <c r="K1869">
        <v>11.5</v>
      </c>
      <c r="L1869">
        <v>10</v>
      </c>
      <c r="N1869">
        <v>0</v>
      </c>
    </row>
    <row r="1870" spans="1:14" x14ac:dyDescent="0.35">
      <c r="A1870" t="s">
        <v>75</v>
      </c>
      <c r="B1870">
        <v>202502</v>
      </c>
      <c r="C1870" t="str">
        <f>MID(analisis_productividad__4[[#This Row],[Periodo]],1,4)</f>
        <v>2025</v>
      </c>
      <c r="D1870" t="str">
        <f>MID(analisis_productividad__4[[#This Row],[Periodo]],5,2)</f>
        <v>02</v>
      </c>
      <c r="E1870" t="s">
        <v>11</v>
      </c>
      <c r="F1870" t="s">
        <v>52</v>
      </c>
      <c r="G1870">
        <v>77838</v>
      </c>
      <c r="H1870">
        <v>8081573</v>
      </c>
      <c r="I1870">
        <v>103.82505208333338</v>
      </c>
      <c r="J1870">
        <v>81890.127076405479</v>
      </c>
      <c r="K1870">
        <v>118</v>
      </c>
      <c r="L1870">
        <v>106</v>
      </c>
      <c r="M1870">
        <v>98.687997058054336</v>
      </c>
      <c r="N1870">
        <v>9081638</v>
      </c>
    </row>
    <row r="1871" spans="1:14" x14ac:dyDescent="0.35">
      <c r="A1871" t="s">
        <v>65</v>
      </c>
      <c r="B1871">
        <v>202501</v>
      </c>
      <c r="C1871" t="str">
        <f>MID(analisis_productividad__4[[#This Row],[Periodo]],1,4)</f>
        <v>2025</v>
      </c>
      <c r="D1871" t="str">
        <f>MID(analisis_productividad__4[[#This Row],[Periodo]],5,2)</f>
        <v>01</v>
      </c>
      <c r="E1871" t="s">
        <v>16</v>
      </c>
      <c r="F1871" t="s">
        <v>19</v>
      </c>
      <c r="G1871">
        <v>77811</v>
      </c>
      <c r="H1871">
        <v>4979107</v>
      </c>
      <c r="I1871">
        <v>63.989361559139795</v>
      </c>
      <c r="J1871">
        <v>89226.616433826784</v>
      </c>
      <c r="K1871">
        <v>68</v>
      </c>
      <c r="L1871">
        <v>68.5</v>
      </c>
      <c r="M1871">
        <v>55.802931894124441</v>
      </c>
      <c r="N1871">
        <v>5070456</v>
      </c>
    </row>
    <row r="1872" spans="1:14" x14ac:dyDescent="0.35">
      <c r="A1872" t="s">
        <v>94</v>
      </c>
      <c r="B1872">
        <v>202408</v>
      </c>
      <c r="C1872" t="str">
        <f>MID(analisis_productividad__4[[#This Row],[Periodo]],1,4)</f>
        <v>2024</v>
      </c>
      <c r="D1872" t="str">
        <f>MID(analisis_productividad__4[[#This Row],[Periodo]],5,2)</f>
        <v>08</v>
      </c>
      <c r="E1872" t="s">
        <v>11</v>
      </c>
      <c r="F1872" t="s">
        <v>52</v>
      </c>
      <c r="G1872">
        <v>77809</v>
      </c>
      <c r="H1872">
        <v>5285079</v>
      </c>
      <c r="I1872">
        <v>67.923897849462364</v>
      </c>
      <c r="J1872">
        <v>0</v>
      </c>
      <c r="K1872">
        <v>75.5</v>
      </c>
      <c r="L1872">
        <v>70.5</v>
      </c>
      <c r="N1872">
        <v>0</v>
      </c>
    </row>
    <row r="1873" spans="1:14" x14ac:dyDescent="0.35">
      <c r="A1873" t="s">
        <v>84</v>
      </c>
      <c r="B1873">
        <v>202509</v>
      </c>
      <c r="C1873" t="str">
        <f>MID(analisis_productividad__4[[#This Row],[Periodo]],1,4)</f>
        <v>2025</v>
      </c>
      <c r="D1873" t="str">
        <f>MID(analisis_productividad__4[[#This Row],[Periodo]],5,2)</f>
        <v>09</v>
      </c>
      <c r="E1873" t="s">
        <v>11</v>
      </c>
      <c r="F1873" t="s">
        <v>52</v>
      </c>
      <c r="G1873">
        <v>77797</v>
      </c>
      <c r="H1873">
        <v>7990911</v>
      </c>
      <c r="I1873">
        <v>102.71474305555564</v>
      </c>
      <c r="J1873">
        <v>87735.90512717684</v>
      </c>
      <c r="K1873">
        <v>123</v>
      </c>
      <c r="L1873">
        <v>115.5</v>
      </c>
      <c r="M1873">
        <v>91.079140044396212</v>
      </c>
      <c r="N1873">
        <v>9594209</v>
      </c>
    </row>
    <row r="1874" spans="1:14" x14ac:dyDescent="0.35">
      <c r="A1874" t="s">
        <v>22</v>
      </c>
      <c r="B1874">
        <v>202506</v>
      </c>
      <c r="C1874" t="str">
        <f>MID(analisis_productividad__4[[#This Row],[Periodo]],1,4)</f>
        <v>2025</v>
      </c>
      <c r="D1874" t="str">
        <f>MID(analisis_productividad__4[[#This Row],[Periodo]],5,2)</f>
        <v>06</v>
      </c>
      <c r="E1874" t="s">
        <v>16</v>
      </c>
      <c r="F1874" t="s">
        <v>21</v>
      </c>
      <c r="G1874">
        <v>77795</v>
      </c>
      <c r="H1874">
        <v>4358586</v>
      </c>
      <c r="I1874">
        <v>56.026687499999994</v>
      </c>
      <c r="J1874">
        <v>92755.309060763306</v>
      </c>
      <c r="K1874">
        <v>59.5</v>
      </c>
      <c r="L1874">
        <v>55.5</v>
      </c>
      <c r="M1874">
        <v>46.990147239385749</v>
      </c>
      <c r="N1874">
        <v>4796049</v>
      </c>
    </row>
    <row r="1875" spans="1:14" x14ac:dyDescent="0.35">
      <c r="A1875" t="s">
        <v>86</v>
      </c>
      <c r="B1875">
        <v>202402</v>
      </c>
      <c r="C1875" t="str">
        <f>MID(analisis_productividad__4[[#This Row],[Periodo]],1,4)</f>
        <v>2024</v>
      </c>
      <c r="D1875" t="str">
        <f>MID(analisis_productividad__4[[#This Row],[Periodo]],5,2)</f>
        <v>02</v>
      </c>
      <c r="E1875" t="s">
        <v>11</v>
      </c>
      <c r="F1875" t="s">
        <v>14</v>
      </c>
      <c r="G1875">
        <v>77782</v>
      </c>
      <c r="H1875">
        <v>5219280</v>
      </c>
      <c r="I1875">
        <v>67.101637931034489</v>
      </c>
      <c r="J1875">
        <v>0</v>
      </c>
      <c r="K1875">
        <v>69.5</v>
      </c>
      <c r="L1875">
        <v>59</v>
      </c>
      <c r="N1875">
        <v>0</v>
      </c>
    </row>
    <row r="1876" spans="1:14" x14ac:dyDescent="0.35">
      <c r="A1876" t="s">
        <v>84</v>
      </c>
      <c r="B1876">
        <v>202602</v>
      </c>
      <c r="C1876" t="str">
        <f>MID(analisis_productividad__4[[#This Row],[Periodo]],1,4)</f>
        <v>2026</v>
      </c>
      <c r="D1876" t="str">
        <f>MID(analisis_productividad__4[[#This Row],[Periodo]],5,2)</f>
        <v>02</v>
      </c>
      <c r="E1876" t="s">
        <v>11</v>
      </c>
      <c r="F1876" t="s">
        <v>52</v>
      </c>
      <c r="G1876">
        <v>77741</v>
      </c>
      <c r="H1876">
        <v>8458734</v>
      </c>
      <c r="I1876">
        <v>108.80593750000004</v>
      </c>
      <c r="J1876">
        <v>85333.709714266341</v>
      </c>
      <c r="K1876">
        <v>123</v>
      </c>
      <c r="L1876">
        <v>115.5</v>
      </c>
      <c r="M1876">
        <v>102.59248347357834</v>
      </c>
      <c r="N1876">
        <v>8754597</v>
      </c>
    </row>
    <row r="1877" spans="1:14" x14ac:dyDescent="0.35">
      <c r="A1877" t="s">
        <v>74</v>
      </c>
      <c r="B1877">
        <v>202506</v>
      </c>
      <c r="C1877" t="str">
        <f>MID(analisis_productividad__4[[#This Row],[Periodo]],1,4)</f>
        <v>2025</v>
      </c>
      <c r="D1877" t="str">
        <f>MID(analisis_productividad__4[[#This Row],[Periodo]],5,2)</f>
        <v>06</v>
      </c>
      <c r="E1877" t="s">
        <v>16</v>
      </c>
      <c r="F1877" t="s">
        <v>19</v>
      </c>
      <c r="G1877">
        <v>77722</v>
      </c>
      <c r="H1877">
        <v>3388587</v>
      </c>
      <c r="I1877">
        <v>43.598625000000013</v>
      </c>
      <c r="J1877">
        <v>83329.829630279492</v>
      </c>
      <c r="K1877">
        <v>50.5</v>
      </c>
      <c r="L1877">
        <v>51.5</v>
      </c>
      <c r="M1877">
        <v>40.664753966671881</v>
      </c>
      <c r="N1877">
        <v>3897967</v>
      </c>
    </row>
    <row r="1878" spans="1:14" x14ac:dyDescent="0.35">
      <c r="A1878" t="s">
        <v>73</v>
      </c>
      <c r="B1878">
        <v>202507</v>
      </c>
      <c r="C1878" t="str">
        <f>MID(analisis_productividad__4[[#This Row],[Periodo]],1,4)</f>
        <v>2025</v>
      </c>
      <c r="D1878" t="str">
        <f>MID(analisis_productividad__4[[#This Row],[Periodo]],5,2)</f>
        <v>07</v>
      </c>
      <c r="E1878" t="s">
        <v>16</v>
      </c>
      <c r="F1878" t="s">
        <v>21</v>
      </c>
      <c r="G1878">
        <v>77719</v>
      </c>
      <c r="H1878">
        <v>2959744</v>
      </c>
      <c r="I1878">
        <v>38.082775537634397</v>
      </c>
      <c r="J1878">
        <v>86569.649045567363</v>
      </c>
      <c r="K1878">
        <v>43.5</v>
      </c>
      <c r="L1878">
        <v>41</v>
      </c>
      <c r="M1878">
        <v>34.189167943167803</v>
      </c>
      <c r="N1878">
        <v>3353528</v>
      </c>
    </row>
    <row r="1879" spans="1:14" x14ac:dyDescent="0.35">
      <c r="A1879" t="s">
        <v>82</v>
      </c>
      <c r="B1879">
        <v>202507</v>
      </c>
      <c r="C1879" t="str">
        <f>MID(analisis_productividad__4[[#This Row],[Periodo]],1,4)</f>
        <v>2025</v>
      </c>
      <c r="D1879" t="str">
        <f>MID(analisis_productividad__4[[#This Row],[Periodo]],5,2)</f>
        <v>07</v>
      </c>
      <c r="E1879" t="s">
        <v>11</v>
      </c>
      <c r="F1879" t="s">
        <v>12</v>
      </c>
      <c r="G1879">
        <v>77718</v>
      </c>
      <c r="H1879">
        <v>4087533</v>
      </c>
      <c r="I1879">
        <v>52.594274193548358</v>
      </c>
      <c r="J1879">
        <v>89436.014828522573</v>
      </c>
      <c r="K1879">
        <v>53.5</v>
      </c>
      <c r="L1879">
        <v>54</v>
      </c>
      <c r="M1879">
        <v>45.703436225743154</v>
      </c>
      <c r="N1879">
        <v>5005181</v>
      </c>
    </row>
    <row r="1880" spans="1:14" x14ac:dyDescent="0.35">
      <c r="A1880" t="s">
        <v>106</v>
      </c>
      <c r="B1880">
        <v>202511</v>
      </c>
      <c r="C1880" t="str">
        <f>MID(analisis_productividad__4[[#This Row],[Periodo]],1,4)</f>
        <v>2025</v>
      </c>
      <c r="D1880" t="str">
        <f>MID(analisis_productividad__4[[#This Row],[Periodo]],5,2)</f>
        <v>11</v>
      </c>
      <c r="E1880" t="s">
        <v>34</v>
      </c>
      <c r="F1880" t="s">
        <v>35</v>
      </c>
      <c r="G1880">
        <v>77679</v>
      </c>
      <c r="H1880">
        <v>3136975</v>
      </c>
      <c r="I1880">
        <v>40.384069444444449</v>
      </c>
      <c r="J1880">
        <v>81302.034453787244</v>
      </c>
      <c r="K1880">
        <v>51</v>
      </c>
      <c r="L1880">
        <v>49</v>
      </c>
      <c r="M1880">
        <v>38.584216140164159</v>
      </c>
      <c r="N1880">
        <v>3576945</v>
      </c>
    </row>
    <row r="1881" spans="1:14" x14ac:dyDescent="0.35">
      <c r="A1881" t="s">
        <v>33</v>
      </c>
      <c r="B1881">
        <v>202405</v>
      </c>
      <c r="C1881" t="str">
        <f>MID(analisis_productividad__4[[#This Row],[Periodo]],1,4)</f>
        <v>2024</v>
      </c>
      <c r="D1881" t="str">
        <f>MID(analisis_productividad__4[[#This Row],[Periodo]],5,2)</f>
        <v>05</v>
      </c>
      <c r="E1881" t="s">
        <v>34</v>
      </c>
      <c r="F1881" t="s">
        <v>35</v>
      </c>
      <c r="G1881">
        <v>77670</v>
      </c>
      <c r="H1881">
        <v>1068107</v>
      </c>
      <c r="I1881">
        <v>13.751895161290324</v>
      </c>
      <c r="J1881">
        <v>0</v>
      </c>
      <c r="K1881">
        <v>15</v>
      </c>
      <c r="L1881">
        <v>15</v>
      </c>
      <c r="N1881">
        <v>0</v>
      </c>
    </row>
    <row r="1882" spans="1:14" x14ac:dyDescent="0.35">
      <c r="A1882" t="s">
        <v>75</v>
      </c>
      <c r="B1882">
        <v>202602</v>
      </c>
      <c r="C1882" t="str">
        <f>MID(analisis_productividad__4[[#This Row],[Periodo]],1,4)</f>
        <v>2026</v>
      </c>
      <c r="D1882" t="str">
        <f>MID(analisis_productividad__4[[#This Row],[Periodo]],5,2)</f>
        <v>02</v>
      </c>
      <c r="E1882" t="s">
        <v>11</v>
      </c>
      <c r="F1882" t="s">
        <v>52</v>
      </c>
      <c r="G1882">
        <v>77660</v>
      </c>
      <c r="H1882">
        <v>8375768</v>
      </c>
      <c r="I1882">
        <v>107.85124999999996</v>
      </c>
      <c r="J1882">
        <v>87469.450134649785</v>
      </c>
      <c r="K1882">
        <v>118</v>
      </c>
      <c r="L1882">
        <v>106</v>
      </c>
      <c r="M1882">
        <v>102.17544085783207</v>
      </c>
      <c r="N1882">
        <v>8937230</v>
      </c>
    </row>
    <row r="1883" spans="1:14" x14ac:dyDescent="0.35">
      <c r="A1883" t="s">
        <v>69</v>
      </c>
      <c r="B1883">
        <v>202505</v>
      </c>
      <c r="C1883" t="str">
        <f>MID(analisis_productividad__4[[#This Row],[Periodo]],1,4)</f>
        <v>2025</v>
      </c>
      <c r="D1883" t="str">
        <f>MID(analisis_productividad__4[[#This Row],[Periodo]],5,2)</f>
        <v>05</v>
      </c>
      <c r="E1883" t="s">
        <v>11</v>
      </c>
      <c r="F1883" t="s">
        <v>52</v>
      </c>
      <c r="G1883">
        <v>77633</v>
      </c>
      <c r="H1883">
        <v>4930016</v>
      </c>
      <c r="I1883">
        <v>63.504536290322569</v>
      </c>
      <c r="J1883">
        <v>78810.789138145105</v>
      </c>
      <c r="K1883">
        <v>68</v>
      </c>
      <c r="L1883">
        <v>60.5</v>
      </c>
      <c r="M1883">
        <v>62.555092950006127</v>
      </c>
      <c r="N1883">
        <v>5072706</v>
      </c>
    </row>
    <row r="1884" spans="1:14" x14ac:dyDescent="0.35">
      <c r="A1884" t="s">
        <v>84</v>
      </c>
      <c r="B1884">
        <v>202404</v>
      </c>
      <c r="C1884" t="str">
        <f>MID(analisis_productividad__4[[#This Row],[Periodo]],1,4)</f>
        <v>2024</v>
      </c>
      <c r="D1884" t="str">
        <f>MID(analisis_productividad__4[[#This Row],[Periodo]],5,2)</f>
        <v>04</v>
      </c>
      <c r="E1884" t="s">
        <v>11</v>
      </c>
      <c r="F1884" t="s">
        <v>52</v>
      </c>
      <c r="G1884">
        <v>77627</v>
      </c>
      <c r="H1884">
        <v>8762784</v>
      </c>
      <c r="I1884">
        <v>112.88277777777776</v>
      </c>
      <c r="J1884">
        <v>0</v>
      </c>
      <c r="K1884">
        <v>123</v>
      </c>
      <c r="L1884">
        <v>115.5</v>
      </c>
      <c r="N1884">
        <v>0</v>
      </c>
    </row>
    <row r="1885" spans="1:14" x14ac:dyDescent="0.35">
      <c r="A1885" t="s">
        <v>119</v>
      </c>
      <c r="B1885">
        <v>202503</v>
      </c>
      <c r="C1885" t="str">
        <f>MID(analisis_productividad__4[[#This Row],[Periodo]],1,4)</f>
        <v>2025</v>
      </c>
      <c r="D1885" t="str">
        <f>MID(analisis_productividad__4[[#This Row],[Periodo]],5,2)</f>
        <v>03</v>
      </c>
      <c r="E1885" t="s">
        <v>16</v>
      </c>
      <c r="F1885" t="s">
        <v>21</v>
      </c>
      <c r="G1885">
        <v>77618</v>
      </c>
      <c r="H1885">
        <v>3987514</v>
      </c>
      <c r="I1885">
        <v>51.373649193548381</v>
      </c>
      <c r="J1885">
        <v>71361.425608786129</v>
      </c>
      <c r="K1885">
        <v>52.5</v>
      </c>
      <c r="L1885">
        <v>52.5</v>
      </c>
      <c r="M1885">
        <v>55.877719453926524</v>
      </c>
      <c r="N1885">
        <v>4103256</v>
      </c>
    </row>
    <row r="1886" spans="1:14" x14ac:dyDescent="0.35">
      <c r="A1886" t="s">
        <v>68</v>
      </c>
      <c r="B1886">
        <v>202502</v>
      </c>
      <c r="C1886" t="str">
        <f>MID(analisis_productividad__4[[#This Row],[Periodo]],1,4)</f>
        <v>2025</v>
      </c>
      <c r="D1886" t="str">
        <f>MID(analisis_productividad__4[[#This Row],[Periodo]],5,2)</f>
        <v>02</v>
      </c>
      <c r="E1886" t="s">
        <v>11</v>
      </c>
      <c r="F1886" t="s">
        <v>52</v>
      </c>
      <c r="G1886">
        <v>77592</v>
      </c>
      <c r="H1886">
        <v>7317776</v>
      </c>
      <c r="I1886">
        <v>94.310677083333346</v>
      </c>
      <c r="J1886">
        <v>92069.189795613886</v>
      </c>
      <c r="K1886">
        <v>103</v>
      </c>
      <c r="L1886">
        <v>91</v>
      </c>
      <c r="M1886">
        <v>79.481272901878128</v>
      </c>
      <c r="N1886">
        <v>7677417</v>
      </c>
    </row>
    <row r="1887" spans="1:14" x14ac:dyDescent="0.35">
      <c r="A1887" t="s">
        <v>69</v>
      </c>
      <c r="B1887">
        <v>202504</v>
      </c>
      <c r="C1887" t="str">
        <f>MID(analisis_productividad__4[[#This Row],[Periodo]],1,4)</f>
        <v>2025</v>
      </c>
      <c r="D1887" t="str">
        <f>MID(analisis_productividad__4[[#This Row],[Periodo]],5,2)</f>
        <v>04</v>
      </c>
      <c r="E1887" t="s">
        <v>11</v>
      </c>
      <c r="F1887" t="s">
        <v>52</v>
      </c>
      <c r="G1887">
        <v>77569</v>
      </c>
      <c r="H1887">
        <v>4536700</v>
      </c>
      <c r="I1887">
        <v>58.486166666666684</v>
      </c>
      <c r="J1887">
        <v>80230.008008132732</v>
      </c>
      <c r="K1887">
        <v>68</v>
      </c>
      <c r="L1887">
        <v>60.5</v>
      </c>
      <c r="M1887">
        <v>56.54616835561233</v>
      </c>
      <c r="N1887">
        <v>5248395</v>
      </c>
    </row>
    <row r="1888" spans="1:14" x14ac:dyDescent="0.35">
      <c r="A1888" t="s">
        <v>97</v>
      </c>
      <c r="B1888">
        <v>202407</v>
      </c>
      <c r="C1888" t="str">
        <f>MID(analisis_productividad__4[[#This Row],[Periodo]],1,4)</f>
        <v>2024</v>
      </c>
      <c r="D1888" t="str">
        <f>MID(analisis_productividad__4[[#This Row],[Periodo]],5,2)</f>
        <v>07</v>
      </c>
      <c r="E1888" t="s">
        <v>11</v>
      </c>
      <c r="F1888" t="s">
        <v>12</v>
      </c>
      <c r="G1888">
        <v>77539</v>
      </c>
      <c r="H1888">
        <v>4833104</v>
      </c>
      <c r="I1888">
        <v>62.33095430107528</v>
      </c>
      <c r="J1888">
        <v>0</v>
      </c>
      <c r="K1888">
        <v>66.5</v>
      </c>
      <c r="L1888">
        <v>63.5</v>
      </c>
      <c r="N1888">
        <v>0</v>
      </c>
    </row>
    <row r="1889" spans="1:14" x14ac:dyDescent="0.35">
      <c r="A1889" t="s">
        <v>94</v>
      </c>
      <c r="B1889">
        <v>202506</v>
      </c>
      <c r="C1889" t="str">
        <f>MID(analisis_productividad__4[[#This Row],[Periodo]],1,4)</f>
        <v>2025</v>
      </c>
      <c r="D1889" t="str">
        <f>MID(analisis_productividad__4[[#This Row],[Periodo]],5,2)</f>
        <v>06</v>
      </c>
      <c r="E1889" t="s">
        <v>11</v>
      </c>
      <c r="F1889" t="s">
        <v>52</v>
      </c>
      <c r="G1889">
        <v>77515</v>
      </c>
      <c r="H1889">
        <v>4818380</v>
      </c>
      <c r="I1889">
        <v>62.160680555555572</v>
      </c>
      <c r="J1889">
        <v>75577.544404452827</v>
      </c>
      <c r="K1889">
        <v>75.5</v>
      </c>
      <c r="L1889">
        <v>70.5</v>
      </c>
      <c r="M1889">
        <v>63.75412403205992</v>
      </c>
      <c r="N1889">
        <v>5689564</v>
      </c>
    </row>
    <row r="1890" spans="1:14" x14ac:dyDescent="0.35">
      <c r="A1890" t="s">
        <v>74</v>
      </c>
      <c r="B1890">
        <v>202502</v>
      </c>
      <c r="C1890" t="str">
        <f>MID(analisis_productividad__4[[#This Row],[Periodo]],1,4)</f>
        <v>2025</v>
      </c>
      <c r="D1890" t="str">
        <f>MID(analisis_productividad__4[[#This Row],[Periodo]],5,2)</f>
        <v>02</v>
      </c>
      <c r="E1890" t="s">
        <v>16</v>
      </c>
      <c r="F1890" t="s">
        <v>19</v>
      </c>
      <c r="G1890">
        <v>77511</v>
      </c>
      <c r="H1890">
        <v>3836060</v>
      </c>
      <c r="I1890">
        <v>49.490677083333338</v>
      </c>
      <c r="J1890">
        <v>72973.815592239072</v>
      </c>
      <c r="K1890">
        <v>50.5</v>
      </c>
      <c r="L1890">
        <v>51.5</v>
      </c>
      <c r="M1890">
        <v>52.567616190374643</v>
      </c>
      <c r="N1890">
        <v>3683394</v>
      </c>
    </row>
    <row r="1891" spans="1:14" x14ac:dyDescent="0.35">
      <c r="A1891" t="s">
        <v>66</v>
      </c>
      <c r="B1891">
        <v>202606</v>
      </c>
      <c r="C1891" t="str">
        <f>MID(analisis_productividad__4[[#This Row],[Periodo]],1,4)</f>
        <v>2026</v>
      </c>
      <c r="D1891" t="str">
        <f>MID(analisis_productividad__4[[#This Row],[Periodo]],5,2)</f>
        <v>06</v>
      </c>
      <c r="E1891" t="s">
        <v>11</v>
      </c>
      <c r="F1891" t="s">
        <v>12</v>
      </c>
      <c r="G1891">
        <v>77446</v>
      </c>
      <c r="H1891">
        <v>5363356</v>
      </c>
      <c r="I1891">
        <v>69.25265277777919</v>
      </c>
      <c r="J1891">
        <v>79894.144219831898</v>
      </c>
      <c r="K1891">
        <v>80</v>
      </c>
      <c r="L1891">
        <v>80.5</v>
      </c>
      <c r="M1891">
        <v>67.651321791845987</v>
      </c>
      <c r="N1891">
        <v>5404944</v>
      </c>
    </row>
    <row r="1892" spans="1:14" x14ac:dyDescent="0.35">
      <c r="A1892" t="s">
        <v>79</v>
      </c>
      <c r="B1892">
        <v>202501</v>
      </c>
      <c r="C1892" t="str">
        <f>MID(analisis_productividad__4[[#This Row],[Periodo]],1,4)</f>
        <v>2025</v>
      </c>
      <c r="D1892" t="str">
        <f>MID(analisis_productividad__4[[#This Row],[Periodo]],5,2)</f>
        <v>01</v>
      </c>
      <c r="E1892" t="s">
        <v>11</v>
      </c>
      <c r="F1892" t="s">
        <v>12</v>
      </c>
      <c r="G1892">
        <v>77441</v>
      </c>
      <c r="H1892">
        <v>4818334</v>
      </c>
      <c r="I1892">
        <v>62.21913306451615</v>
      </c>
      <c r="J1892">
        <v>76411.076787460624</v>
      </c>
      <c r="K1892">
        <v>64.5</v>
      </c>
      <c r="L1892">
        <v>64</v>
      </c>
      <c r="M1892">
        <v>63.058050253660447</v>
      </c>
      <c r="N1892">
        <v>5306480</v>
      </c>
    </row>
    <row r="1893" spans="1:14" x14ac:dyDescent="0.35">
      <c r="A1893" t="s">
        <v>100</v>
      </c>
      <c r="B1893">
        <v>202408</v>
      </c>
      <c r="C1893" t="str">
        <f>MID(analisis_productividad__4[[#This Row],[Periodo]],1,4)</f>
        <v>2024</v>
      </c>
      <c r="D1893" t="str">
        <f>MID(analisis_productividad__4[[#This Row],[Periodo]],5,2)</f>
        <v>08</v>
      </c>
      <c r="E1893" t="s">
        <v>34</v>
      </c>
      <c r="F1893" t="s">
        <v>35</v>
      </c>
      <c r="G1893">
        <v>77435</v>
      </c>
      <c r="H1893">
        <v>2608949</v>
      </c>
      <c r="I1893">
        <v>33.692016129032261</v>
      </c>
      <c r="J1893">
        <v>0</v>
      </c>
      <c r="K1893">
        <v>44</v>
      </c>
      <c r="L1893">
        <v>40.5</v>
      </c>
      <c r="N1893">
        <v>0</v>
      </c>
    </row>
    <row r="1894" spans="1:14" x14ac:dyDescent="0.35">
      <c r="A1894" t="s">
        <v>106</v>
      </c>
      <c r="B1894">
        <v>202411</v>
      </c>
      <c r="C1894" t="str">
        <f>MID(analisis_productividad__4[[#This Row],[Periodo]],1,4)</f>
        <v>2024</v>
      </c>
      <c r="D1894" t="str">
        <f>MID(analisis_productividad__4[[#This Row],[Periodo]],5,2)</f>
        <v>11</v>
      </c>
      <c r="E1894" t="s">
        <v>34</v>
      </c>
      <c r="F1894" t="s">
        <v>35</v>
      </c>
      <c r="G1894">
        <v>77431</v>
      </c>
      <c r="H1894">
        <v>3324177</v>
      </c>
      <c r="I1894">
        <v>42.93109722222222</v>
      </c>
      <c r="J1894">
        <v>0</v>
      </c>
      <c r="K1894">
        <v>51</v>
      </c>
      <c r="L1894">
        <v>49</v>
      </c>
      <c r="N1894">
        <v>0</v>
      </c>
    </row>
    <row r="1895" spans="1:14" x14ac:dyDescent="0.35">
      <c r="A1895" t="s">
        <v>85</v>
      </c>
      <c r="B1895">
        <v>202605</v>
      </c>
      <c r="C1895" t="str">
        <f>MID(analisis_productividad__4[[#This Row],[Periodo]],1,4)</f>
        <v>2026</v>
      </c>
      <c r="D1895" t="str">
        <f>MID(analisis_productividad__4[[#This Row],[Periodo]],5,2)</f>
        <v>05</v>
      </c>
      <c r="E1895" t="s">
        <v>11</v>
      </c>
      <c r="F1895" t="s">
        <v>14</v>
      </c>
      <c r="G1895">
        <v>77425</v>
      </c>
      <c r="H1895">
        <v>3924158</v>
      </c>
      <c r="I1895">
        <v>50.683575268817542</v>
      </c>
      <c r="J1895">
        <v>76875.959932802434</v>
      </c>
      <c r="K1895">
        <v>60.5</v>
      </c>
      <c r="L1895">
        <v>57.5</v>
      </c>
      <c r="M1895">
        <v>51.161312105083525</v>
      </c>
      <c r="N1895">
        <v>3933075</v>
      </c>
    </row>
    <row r="1896" spans="1:14" x14ac:dyDescent="0.35">
      <c r="A1896" t="s">
        <v>95</v>
      </c>
      <c r="B1896">
        <v>202402</v>
      </c>
      <c r="C1896" t="str">
        <f>MID(analisis_productividad__4[[#This Row],[Periodo]],1,4)</f>
        <v>2024</v>
      </c>
      <c r="D1896" t="str">
        <f>MID(analisis_productividad__4[[#This Row],[Periodo]],5,2)</f>
        <v>02</v>
      </c>
      <c r="E1896" t="s">
        <v>9</v>
      </c>
      <c r="F1896" t="s">
        <v>9</v>
      </c>
      <c r="G1896">
        <v>77418</v>
      </c>
      <c r="H1896">
        <v>670315</v>
      </c>
      <c r="I1896">
        <v>8.6584267241379322</v>
      </c>
      <c r="J1896">
        <v>0</v>
      </c>
      <c r="K1896">
        <v>11</v>
      </c>
      <c r="L1896">
        <v>11</v>
      </c>
      <c r="N1896">
        <v>0</v>
      </c>
    </row>
    <row r="1897" spans="1:14" x14ac:dyDescent="0.35">
      <c r="A1897" t="s">
        <v>81</v>
      </c>
      <c r="B1897">
        <v>202602</v>
      </c>
      <c r="C1897" t="str">
        <f>MID(analisis_productividad__4[[#This Row],[Periodo]],1,4)</f>
        <v>2026</v>
      </c>
      <c r="D1897" t="str">
        <f>MID(analisis_productividad__4[[#This Row],[Periodo]],5,2)</f>
        <v>02</v>
      </c>
      <c r="E1897" t="s">
        <v>34</v>
      </c>
      <c r="F1897" t="s">
        <v>35</v>
      </c>
      <c r="G1897">
        <v>77417</v>
      </c>
      <c r="H1897">
        <v>6875470</v>
      </c>
      <c r="I1897">
        <v>88.811354166666703</v>
      </c>
      <c r="J1897">
        <v>82590.803794259074</v>
      </c>
      <c r="K1897">
        <v>106</v>
      </c>
      <c r="L1897">
        <v>94.5</v>
      </c>
      <c r="M1897">
        <v>88.413034538205707</v>
      </c>
      <c r="N1897">
        <v>7302104</v>
      </c>
    </row>
    <row r="1898" spans="1:14" x14ac:dyDescent="0.35">
      <c r="A1898" t="s">
        <v>91</v>
      </c>
      <c r="B1898">
        <v>202602</v>
      </c>
      <c r="C1898" t="str">
        <f>MID(analisis_productividad__4[[#This Row],[Periodo]],1,4)</f>
        <v>2026</v>
      </c>
      <c r="D1898" t="str">
        <f>MID(analisis_productividad__4[[#This Row],[Periodo]],5,2)</f>
        <v>02</v>
      </c>
      <c r="E1898" t="s">
        <v>11</v>
      </c>
      <c r="F1898" t="s">
        <v>12</v>
      </c>
      <c r="G1898">
        <v>77401</v>
      </c>
      <c r="H1898">
        <v>3996361</v>
      </c>
      <c r="I1898">
        <v>51.631770833333327</v>
      </c>
      <c r="J1898">
        <v>73570.638941594327</v>
      </c>
      <c r="K1898">
        <v>55</v>
      </c>
      <c r="L1898">
        <v>55.5</v>
      </c>
      <c r="M1898">
        <v>48.91205759483401</v>
      </c>
      <c r="N1898">
        <v>3598491</v>
      </c>
    </row>
    <row r="1899" spans="1:14" x14ac:dyDescent="0.35">
      <c r="A1899" t="s">
        <v>78</v>
      </c>
      <c r="B1899">
        <v>202411</v>
      </c>
      <c r="C1899" t="str">
        <f>MID(analisis_productividad__4[[#This Row],[Periodo]],1,4)</f>
        <v>2024</v>
      </c>
      <c r="D1899" t="str">
        <f>MID(analisis_productividad__4[[#This Row],[Periodo]],5,2)</f>
        <v>11</v>
      </c>
      <c r="E1899" t="s">
        <v>11</v>
      </c>
      <c r="F1899" t="s">
        <v>14</v>
      </c>
      <c r="G1899">
        <v>77397</v>
      </c>
      <c r="H1899">
        <v>5642601</v>
      </c>
      <c r="I1899">
        <v>72.904368055555551</v>
      </c>
      <c r="J1899">
        <v>0</v>
      </c>
      <c r="K1899">
        <v>79.5</v>
      </c>
      <c r="L1899">
        <v>67</v>
      </c>
      <c r="N1899">
        <v>0</v>
      </c>
    </row>
    <row r="1900" spans="1:14" x14ac:dyDescent="0.35">
      <c r="A1900" t="s">
        <v>44</v>
      </c>
      <c r="B1900">
        <v>202409</v>
      </c>
      <c r="C1900" t="str">
        <f>MID(analisis_productividad__4[[#This Row],[Periodo]],1,4)</f>
        <v>2024</v>
      </c>
      <c r="D1900" t="str">
        <f>MID(analisis_productividad__4[[#This Row],[Periodo]],5,2)</f>
        <v>09</v>
      </c>
      <c r="E1900" t="s">
        <v>11</v>
      </c>
      <c r="F1900" t="s">
        <v>12</v>
      </c>
      <c r="G1900">
        <v>77397</v>
      </c>
      <c r="H1900">
        <v>5460514</v>
      </c>
      <c r="I1900">
        <v>70.551833333333349</v>
      </c>
      <c r="J1900">
        <v>0</v>
      </c>
      <c r="K1900">
        <v>78</v>
      </c>
      <c r="L1900">
        <v>74.5</v>
      </c>
      <c r="N1900">
        <v>0</v>
      </c>
    </row>
    <row r="1901" spans="1:14" x14ac:dyDescent="0.35">
      <c r="A1901" t="s">
        <v>62</v>
      </c>
      <c r="B1901">
        <v>202404</v>
      </c>
      <c r="C1901" t="str">
        <f>MID(analisis_productividad__4[[#This Row],[Periodo]],1,4)</f>
        <v>2024</v>
      </c>
      <c r="D1901" t="str">
        <f>MID(analisis_productividad__4[[#This Row],[Periodo]],5,2)</f>
        <v>04</v>
      </c>
      <c r="E1901" t="s">
        <v>16</v>
      </c>
      <c r="F1901" t="s">
        <v>17</v>
      </c>
      <c r="G1901">
        <v>77389</v>
      </c>
      <c r="H1901">
        <v>2223680</v>
      </c>
      <c r="I1901">
        <v>28.733930555555553</v>
      </c>
      <c r="J1901">
        <v>0</v>
      </c>
      <c r="K1901">
        <v>32.5</v>
      </c>
      <c r="L1901">
        <v>32</v>
      </c>
      <c r="N1901">
        <v>0</v>
      </c>
    </row>
    <row r="1902" spans="1:14" x14ac:dyDescent="0.35">
      <c r="A1902" t="s">
        <v>37</v>
      </c>
      <c r="B1902">
        <v>202502</v>
      </c>
      <c r="C1902" t="str">
        <f>MID(analisis_productividad__4[[#This Row],[Periodo]],1,4)</f>
        <v>2025</v>
      </c>
      <c r="D1902" t="str">
        <f>MID(analisis_productividad__4[[#This Row],[Periodo]],5,2)</f>
        <v>02</v>
      </c>
      <c r="E1902" t="s">
        <v>16</v>
      </c>
      <c r="F1902" t="s">
        <v>17</v>
      </c>
      <c r="G1902">
        <v>77384</v>
      </c>
      <c r="H1902">
        <v>6624481</v>
      </c>
      <c r="I1902">
        <v>85.605833333333322</v>
      </c>
      <c r="J1902">
        <v>77014.272149026874</v>
      </c>
      <c r="K1902">
        <v>107.5</v>
      </c>
      <c r="L1902">
        <v>102.5</v>
      </c>
      <c r="M1902">
        <v>86.01627743986549</v>
      </c>
      <c r="N1902">
        <v>8933510</v>
      </c>
    </row>
    <row r="1903" spans="1:14" x14ac:dyDescent="0.35">
      <c r="A1903" t="s">
        <v>97</v>
      </c>
      <c r="B1903">
        <v>202510</v>
      </c>
      <c r="C1903" t="str">
        <f>MID(analisis_productividad__4[[#This Row],[Periodo]],1,4)</f>
        <v>2025</v>
      </c>
      <c r="D1903" t="str">
        <f>MID(analisis_productividad__4[[#This Row],[Periodo]],5,2)</f>
        <v>10</v>
      </c>
      <c r="E1903" t="s">
        <v>11</v>
      </c>
      <c r="F1903" t="s">
        <v>12</v>
      </c>
      <c r="G1903">
        <v>77359</v>
      </c>
      <c r="H1903">
        <v>4154840</v>
      </c>
      <c r="I1903">
        <v>53.708770161290303</v>
      </c>
      <c r="J1903">
        <v>82125.994111583612</v>
      </c>
      <c r="K1903">
        <v>66.5</v>
      </c>
      <c r="L1903">
        <v>63.5</v>
      </c>
      <c r="M1903">
        <v>50.591045197637037</v>
      </c>
      <c r="N1903">
        <v>4781323</v>
      </c>
    </row>
    <row r="1904" spans="1:14" x14ac:dyDescent="0.35">
      <c r="A1904" t="s">
        <v>88</v>
      </c>
      <c r="B1904">
        <v>202409</v>
      </c>
      <c r="C1904" t="str">
        <f>MID(analisis_productividad__4[[#This Row],[Periodo]],1,4)</f>
        <v>2024</v>
      </c>
      <c r="D1904" t="str">
        <f>MID(analisis_productividad__4[[#This Row],[Periodo]],5,2)</f>
        <v>09</v>
      </c>
      <c r="E1904" t="s">
        <v>34</v>
      </c>
      <c r="F1904" t="s">
        <v>35</v>
      </c>
      <c r="G1904">
        <v>77356</v>
      </c>
      <c r="H1904">
        <v>1007572</v>
      </c>
      <c r="I1904">
        <v>13.025152777777778</v>
      </c>
      <c r="J1904">
        <v>0</v>
      </c>
      <c r="K1904">
        <v>15.5</v>
      </c>
      <c r="L1904">
        <v>14.5</v>
      </c>
      <c r="N1904">
        <v>0</v>
      </c>
    </row>
    <row r="1905" spans="1:14" x14ac:dyDescent="0.35">
      <c r="A1905" t="s">
        <v>80</v>
      </c>
      <c r="B1905">
        <v>202405</v>
      </c>
      <c r="C1905" t="str">
        <f>MID(analisis_productividad__4[[#This Row],[Periodo]],1,4)</f>
        <v>2024</v>
      </c>
      <c r="D1905" t="str">
        <f>MID(analisis_productividad__4[[#This Row],[Periodo]],5,2)</f>
        <v>05</v>
      </c>
      <c r="E1905" t="s">
        <v>16</v>
      </c>
      <c r="F1905" t="s">
        <v>17</v>
      </c>
      <c r="G1905">
        <v>77352</v>
      </c>
      <c r="H1905">
        <v>4401075</v>
      </c>
      <c r="I1905">
        <v>56.896827956989249</v>
      </c>
      <c r="J1905">
        <v>0</v>
      </c>
      <c r="K1905">
        <v>58</v>
      </c>
      <c r="L1905">
        <v>58.5</v>
      </c>
      <c r="N1905">
        <v>0</v>
      </c>
    </row>
    <row r="1906" spans="1:14" x14ac:dyDescent="0.35">
      <c r="A1906" t="s">
        <v>78</v>
      </c>
      <c r="B1906">
        <v>202408</v>
      </c>
      <c r="C1906" t="str">
        <f>MID(analisis_productividad__4[[#This Row],[Periodo]],1,4)</f>
        <v>2024</v>
      </c>
      <c r="D1906" t="str">
        <f>MID(analisis_productividad__4[[#This Row],[Periodo]],5,2)</f>
        <v>08</v>
      </c>
      <c r="E1906" t="s">
        <v>11</v>
      </c>
      <c r="F1906" t="s">
        <v>14</v>
      </c>
      <c r="G1906">
        <v>77341</v>
      </c>
      <c r="H1906">
        <v>5293435</v>
      </c>
      <c r="I1906">
        <v>68.44268817204302</v>
      </c>
      <c r="J1906">
        <v>0</v>
      </c>
      <c r="K1906">
        <v>79.5</v>
      </c>
      <c r="L1906">
        <v>67</v>
      </c>
      <c r="N1906">
        <v>0</v>
      </c>
    </row>
    <row r="1907" spans="1:14" x14ac:dyDescent="0.35">
      <c r="A1907" t="s">
        <v>32</v>
      </c>
      <c r="B1907">
        <v>202404</v>
      </c>
      <c r="C1907" t="str">
        <f>MID(analisis_productividad__4[[#This Row],[Periodo]],1,4)</f>
        <v>2024</v>
      </c>
      <c r="D1907" t="str">
        <f>MID(analisis_productividad__4[[#This Row],[Periodo]],5,2)</f>
        <v>04</v>
      </c>
      <c r="E1907" t="s">
        <v>11</v>
      </c>
      <c r="F1907" t="s">
        <v>12</v>
      </c>
      <c r="G1907">
        <v>77338</v>
      </c>
      <c r="H1907">
        <v>4852875</v>
      </c>
      <c r="I1907">
        <v>62.748777777777775</v>
      </c>
      <c r="J1907">
        <v>0</v>
      </c>
      <c r="K1907">
        <v>65.5</v>
      </c>
      <c r="L1907">
        <v>66</v>
      </c>
      <c r="N1907">
        <v>0</v>
      </c>
    </row>
    <row r="1908" spans="1:14" x14ac:dyDescent="0.35">
      <c r="A1908" t="s">
        <v>18</v>
      </c>
      <c r="B1908">
        <v>202410</v>
      </c>
      <c r="C1908" t="str">
        <f>MID(analisis_productividad__4[[#This Row],[Periodo]],1,4)</f>
        <v>2024</v>
      </c>
      <c r="D1908" t="str">
        <f>MID(analisis_productividad__4[[#This Row],[Periodo]],5,2)</f>
        <v>10</v>
      </c>
      <c r="E1908" t="s">
        <v>16</v>
      </c>
      <c r="F1908" t="s">
        <v>19</v>
      </c>
      <c r="G1908">
        <v>77300</v>
      </c>
      <c r="H1908">
        <v>4975933</v>
      </c>
      <c r="I1908">
        <v>64.371350806451602</v>
      </c>
      <c r="J1908">
        <v>0</v>
      </c>
      <c r="K1908">
        <v>70.5</v>
      </c>
      <c r="L1908">
        <v>69.5</v>
      </c>
      <c r="N1908">
        <v>0</v>
      </c>
    </row>
    <row r="1909" spans="1:14" x14ac:dyDescent="0.35">
      <c r="A1909" t="s">
        <v>83</v>
      </c>
      <c r="B1909">
        <v>202606</v>
      </c>
      <c r="C1909" t="str">
        <f>MID(analisis_productividad__4[[#This Row],[Periodo]],1,4)</f>
        <v>2026</v>
      </c>
      <c r="D1909" t="str">
        <f>MID(analisis_productividad__4[[#This Row],[Periodo]],5,2)</f>
        <v>06</v>
      </c>
      <c r="E1909" t="s">
        <v>16</v>
      </c>
      <c r="F1909" t="s">
        <v>17</v>
      </c>
      <c r="G1909">
        <v>77291</v>
      </c>
      <c r="H1909">
        <v>3502788</v>
      </c>
      <c r="I1909">
        <v>45.319604166666487</v>
      </c>
      <c r="J1909">
        <v>75264.511381440243</v>
      </c>
      <c r="K1909">
        <v>52</v>
      </c>
      <c r="L1909">
        <v>52</v>
      </c>
      <c r="M1909">
        <v>46.517920556956689</v>
      </c>
      <c r="N1909">
        <v>3501149</v>
      </c>
    </row>
    <row r="1910" spans="1:14" x14ac:dyDescent="0.35">
      <c r="A1910" t="s">
        <v>81</v>
      </c>
      <c r="B1910">
        <v>202507</v>
      </c>
      <c r="C1910" t="str">
        <f>MID(analisis_productividad__4[[#This Row],[Periodo]],1,4)</f>
        <v>2025</v>
      </c>
      <c r="D1910" t="str">
        <f>MID(analisis_productividad__4[[#This Row],[Periodo]],5,2)</f>
        <v>07</v>
      </c>
      <c r="E1910" t="s">
        <v>34</v>
      </c>
      <c r="F1910" t="s">
        <v>35</v>
      </c>
      <c r="G1910">
        <v>77246</v>
      </c>
      <c r="H1910">
        <v>7006563</v>
      </c>
      <c r="I1910">
        <v>90.704052419354838</v>
      </c>
      <c r="J1910">
        <v>80862.923328454985</v>
      </c>
      <c r="K1910">
        <v>106</v>
      </c>
      <c r="L1910">
        <v>94.5</v>
      </c>
      <c r="M1910">
        <v>86.647413939516213</v>
      </c>
      <c r="N1910">
        <v>7539711</v>
      </c>
    </row>
    <row r="1911" spans="1:14" x14ac:dyDescent="0.35">
      <c r="A1911" t="s">
        <v>106</v>
      </c>
      <c r="B1911">
        <v>202508</v>
      </c>
      <c r="C1911" t="str">
        <f>MID(analisis_productividad__4[[#This Row],[Periodo]],1,4)</f>
        <v>2025</v>
      </c>
      <c r="D1911" t="str">
        <f>MID(analisis_productividad__4[[#This Row],[Periodo]],5,2)</f>
        <v>08</v>
      </c>
      <c r="E1911" t="s">
        <v>34</v>
      </c>
      <c r="F1911" t="s">
        <v>35</v>
      </c>
      <c r="G1911">
        <v>77214</v>
      </c>
      <c r="H1911">
        <v>3175247</v>
      </c>
      <c r="I1911">
        <v>41.122883064516124</v>
      </c>
      <c r="J1911">
        <v>78674.120121219137</v>
      </c>
      <c r="K1911">
        <v>51</v>
      </c>
      <c r="L1911">
        <v>49</v>
      </c>
      <c r="M1911">
        <v>40.359482319060682</v>
      </c>
      <c r="N1911">
        <v>3562969</v>
      </c>
    </row>
    <row r="1912" spans="1:14" x14ac:dyDescent="0.35">
      <c r="A1912" t="s">
        <v>74</v>
      </c>
      <c r="B1912">
        <v>202411</v>
      </c>
      <c r="C1912" t="str">
        <f>MID(analisis_productividad__4[[#This Row],[Periodo]],1,4)</f>
        <v>2024</v>
      </c>
      <c r="D1912" t="str">
        <f>MID(analisis_productividad__4[[#This Row],[Periodo]],5,2)</f>
        <v>11</v>
      </c>
      <c r="E1912" t="s">
        <v>16</v>
      </c>
      <c r="F1912" t="s">
        <v>19</v>
      </c>
      <c r="G1912">
        <v>77205</v>
      </c>
      <c r="H1912">
        <v>3722047</v>
      </c>
      <c r="I1912">
        <v>48.210166666666659</v>
      </c>
      <c r="J1912">
        <v>0</v>
      </c>
      <c r="K1912">
        <v>50.5</v>
      </c>
      <c r="L1912">
        <v>51.5</v>
      </c>
      <c r="N1912">
        <v>0</v>
      </c>
    </row>
    <row r="1913" spans="1:14" x14ac:dyDescent="0.35">
      <c r="A1913" t="s">
        <v>74</v>
      </c>
      <c r="B1913">
        <v>202509</v>
      </c>
      <c r="C1913" t="str">
        <f>MID(analisis_productividad__4[[#This Row],[Periodo]],1,4)</f>
        <v>2025</v>
      </c>
      <c r="D1913" t="str">
        <f>MID(analisis_productividad__4[[#This Row],[Periodo]],5,2)</f>
        <v>09</v>
      </c>
      <c r="E1913" t="s">
        <v>16</v>
      </c>
      <c r="F1913" t="s">
        <v>19</v>
      </c>
      <c r="G1913">
        <v>77198</v>
      </c>
      <c r="H1913">
        <v>3194451</v>
      </c>
      <c r="I1913">
        <v>41.379965277777778</v>
      </c>
      <c r="J1913">
        <v>80521.278677796538</v>
      </c>
      <c r="K1913">
        <v>50.5</v>
      </c>
      <c r="L1913">
        <v>51.5</v>
      </c>
      <c r="M1913">
        <v>39.672133781959658</v>
      </c>
      <c r="N1913">
        <v>3719033</v>
      </c>
    </row>
    <row r="1914" spans="1:14" x14ac:dyDescent="0.35">
      <c r="A1914" t="s">
        <v>100</v>
      </c>
      <c r="B1914">
        <v>202603</v>
      </c>
      <c r="C1914" t="str">
        <f>MID(analisis_productividad__4[[#This Row],[Periodo]],1,4)</f>
        <v>2026</v>
      </c>
      <c r="D1914" t="str">
        <f>MID(analisis_productividad__4[[#This Row],[Periodo]],5,2)</f>
        <v>03</v>
      </c>
      <c r="E1914" t="s">
        <v>34</v>
      </c>
      <c r="F1914" t="s">
        <v>35</v>
      </c>
      <c r="G1914">
        <v>77160</v>
      </c>
      <c r="H1914">
        <v>2828630</v>
      </c>
      <c r="I1914">
        <v>36.659159946236564</v>
      </c>
      <c r="J1914">
        <v>78039.43107464294</v>
      </c>
      <c r="K1914">
        <v>44</v>
      </c>
      <c r="L1914">
        <v>40.5</v>
      </c>
      <c r="M1914">
        <v>35.762421795855829</v>
      </c>
      <c r="N1914">
        <v>2790879</v>
      </c>
    </row>
    <row r="1915" spans="1:14" x14ac:dyDescent="0.35">
      <c r="A1915" t="s">
        <v>64</v>
      </c>
      <c r="B1915">
        <v>202410</v>
      </c>
      <c r="C1915" t="str">
        <f>MID(analisis_productividad__4[[#This Row],[Periodo]],1,4)</f>
        <v>2024</v>
      </c>
      <c r="D1915" t="str">
        <f>MID(analisis_productividad__4[[#This Row],[Periodo]],5,2)</f>
        <v>10</v>
      </c>
      <c r="E1915" t="s">
        <v>16</v>
      </c>
      <c r="F1915" t="s">
        <v>21</v>
      </c>
      <c r="G1915">
        <v>77143</v>
      </c>
      <c r="H1915">
        <v>5978903</v>
      </c>
      <c r="I1915">
        <v>77.504065860215093</v>
      </c>
      <c r="J1915">
        <v>0</v>
      </c>
      <c r="K1915">
        <v>88.5</v>
      </c>
      <c r="L1915">
        <v>92.5</v>
      </c>
      <c r="N1915">
        <v>0</v>
      </c>
    </row>
    <row r="1916" spans="1:14" x14ac:dyDescent="0.35">
      <c r="A1916" t="s">
        <v>20</v>
      </c>
      <c r="B1916">
        <v>202506</v>
      </c>
      <c r="C1916" t="str">
        <f>MID(analisis_productividad__4[[#This Row],[Periodo]],1,4)</f>
        <v>2025</v>
      </c>
      <c r="D1916" t="str">
        <f>MID(analisis_productividad__4[[#This Row],[Periodo]],5,2)</f>
        <v>06</v>
      </c>
      <c r="E1916" t="s">
        <v>16</v>
      </c>
      <c r="F1916" t="s">
        <v>21</v>
      </c>
      <c r="G1916">
        <v>77124</v>
      </c>
      <c r="H1916">
        <v>7322575</v>
      </c>
      <c r="I1916">
        <v>94.944937499999966</v>
      </c>
      <c r="J1916">
        <v>97487.703078733306</v>
      </c>
      <c r="K1916">
        <v>96.5</v>
      </c>
      <c r="L1916">
        <v>94</v>
      </c>
      <c r="M1916">
        <v>75.112809090251318</v>
      </c>
      <c r="N1916">
        <v>8172984</v>
      </c>
    </row>
    <row r="1917" spans="1:14" x14ac:dyDescent="0.35">
      <c r="A1917" t="s">
        <v>101</v>
      </c>
      <c r="B1917">
        <v>202507</v>
      </c>
      <c r="C1917" t="str">
        <f>MID(analisis_productividad__4[[#This Row],[Periodo]],1,4)</f>
        <v>2025</v>
      </c>
      <c r="D1917" t="str">
        <f>MID(analisis_productividad__4[[#This Row],[Periodo]],5,2)</f>
        <v>07</v>
      </c>
      <c r="E1917" t="s">
        <v>9</v>
      </c>
      <c r="F1917" t="s">
        <v>9</v>
      </c>
      <c r="G1917">
        <v>77120</v>
      </c>
      <c r="H1917">
        <v>332813</v>
      </c>
      <c r="I1917">
        <v>4.3155376344086021</v>
      </c>
      <c r="J1917">
        <v>43445.670491886383</v>
      </c>
      <c r="K1917">
        <v>8.5</v>
      </c>
      <c r="L1917">
        <v>6.5</v>
      </c>
      <c r="M1917">
        <v>7.6604447861416682</v>
      </c>
      <c r="N1917">
        <v>363008</v>
      </c>
    </row>
    <row r="1918" spans="1:14" x14ac:dyDescent="0.35">
      <c r="A1918" t="s">
        <v>105</v>
      </c>
      <c r="B1918">
        <v>202605</v>
      </c>
      <c r="C1918" t="str">
        <f>MID(analisis_productividad__4[[#This Row],[Periodo]],1,4)</f>
        <v>2026</v>
      </c>
      <c r="D1918" t="str">
        <f>MID(analisis_productividad__4[[#This Row],[Periodo]],5,2)</f>
        <v>05</v>
      </c>
      <c r="E1918" t="s">
        <v>34</v>
      </c>
      <c r="F1918" t="s">
        <v>35</v>
      </c>
      <c r="G1918">
        <v>77117</v>
      </c>
      <c r="H1918">
        <v>2076233</v>
      </c>
      <c r="I1918">
        <v>26.923326612903452</v>
      </c>
      <c r="J1918">
        <v>0</v>
      </c>
      <c r="K1918">
        <v>33</v>
      </c>
      <c r="L1918">
        <v>31.5</v>
      </c>
      <c r="M1918">
        <v>35.22317754154448</v>
      </c>
    </row>
    <row r="1919" spans="1:14" x14ac:dyDescent="0.35">
      <c r="A1919" t="s">
        <v>120</v>
      </c>
      <c r="B1919">
        <v>202408</v>
      </c>
      <c r="C1919" t="str">
        <f>MID(analisis_productividad__4[[#This Row],[Periodo]],1,4)</f>
        <v>2024</v>
      </c>
      <c r="D1919" t="str">
        <f>MID(analisis_productividad__4[[#This Row],[Periodo]],5,2)</f>
        <v>08</v>
      </c>
      <c r="E1919" t="s">
        <v>9</v>
      </c>
      <c r="F1919" t="s">
        <v>9</v>
      </c>
      <c r="G1919">
        <v>77100</v>
      </c>
      <c r="H1919">
        <v>801444</v>
      </c>
      <c r="I1919">
        <v>10.394811827956991</v>
      </c>
      <c r="J1919">
        <v>0</v>
      </c>
      <c r="K1919">
        <v>11.5</v>
      </c>
      <c r="L1919">
        <v>12</v>
      </c>
      <c r="N1919">
        <v>0</v>
      </c>
    </row>
    <row r="1920" spans="1:14" x14ac:dyDescent="0.35">
      <c r="A1920" t="s">
        <v>65</v>
      </c>
      <c r="B1920">
        <v>202409</v>
      </c>
      <c r="C1920" t="str">
        <f>MID(analisis_productividad__4[[#This Row],[Periodo]],1,4)</f>
        <v>2024</v>
      </c>
      <c r="D1920" t="str">
        <f>MID(analisis_productividad__4[[#This Row],[Periodo]],5,2)</f>
        <v>09</v>
      </c>
      <c r="E1920" t="s">
        <v>16</v>
      </c>
      <c r="F1920" t="s">
        <v>19</v>
      </c>
      <c r="G1920">
        <v>77078</v>
      </c>
      <c r="H1920">
        <v>5046131</v>
      </c>
      <c r="I1920">
        <v>65.467694444444433</v>
      </c>
      <c r="J1920">
        <v>0</v>
      </c>
      <c r="K1920">
        <v>68</v>
      </c>
      <c r="L1920">
        <v>68.5</v>
      </c>
      <c r="N1920">
        <v>0</v>
      </c>
    </row>
    <row r="1921" spans="1:14" x14ac:dyDescent="0.35">
      <c r="A1921" t="s">
        <v>87</v>
      </c>
      <c r="B1921">
        <v>202605</v>
      </c>
      <c r="C1921" t="str">
        <f>MID(analisis_productividad__4[[#This Row],[Periodo]],1,4)</f>
        <v>2026</v>
      </c>
      <c r="D1921" t="str">
        <f>MID(analisis_productividad__4[[#This Row],[Periodo]],5,2)</f>
        <v>05</v>
      </c>
      <c r="E1921" t="s">
        <v>9</v>
      </c>
      <c r="F1921" t="s">
        <v>9</v>
      </c>
      <c r="G1921">
        <v>77060</v>
      </c>
      <c r="H1921">
        <v>838266</v>
      </c>
      <c r="I1921">
        <v>10.878084677419388</v>
      </c>
      <c r="J1921">
        <v>75857.678209750811</v>
      </c>
      <c r="K1921">
        <v>13.5</v>
      </c>
      <c r="L1921">
        <v>12</v>
      </c>
      <c r="M1921">
        <v>11.788780293634797</v>
      </c>
      <c r="N1921">
        <v>894270</v>
      </c>
    </row>
    <row r="1922" spans="1:14" x14ac:dyDescent="0.35">
      <c r="A1922" t="s">
        <v>81</v>
      </c>
      <c r="B1922">
        <v>202407</v>
      </c>
      <c r="C1922" t="str">
        <f>MID(analisis_productividad__4[[#This Row],[Periodo]],1,4)</f>
        <v>2024</v>
      </c>
      <c r="D1922" t="str">
        <f>MID(analisis_productividad__4[[#This Row],[Periodo]],5,2)</f>
        <v>07</v>
      </c>
      <c r="E1922" t="s">
        <v>34</v>
      </c>
      <c r="F1922" t="s">
        <v>35</v>
      </c>
      <c r="G1922">
        <v>77012</v>
      </c>
      <c r="H1922">
        <v>7151576</v>
      </c>
      <c r="I1922">
        <v>92.862762096774091</v>
      </c>
      <c r="J1922">
        <v>0</v>
      </c>
      <c r="K1922">
        <v>106</v>
      </c>
      <c r="L1922">
        <v>94.5</v>
      </c>
      <c r="N1922">
        <v>0</v>
      </c>
    </row>
    <row r="1923" spans="1:14" x14ac:dyDescent="0.35">
      <c r="A1923" t="s">
        <v>42</v>
      </c>
      <c r="B1923">
        <v>202405</v>
      </c>
      <c r="C1923" t="str">
        <f>MID(analisis_productividad__4[[#This Row],[Periodo]],1,4)</f>
        <v>2024</v>
      </c>
      <c r="D1923" t="str">
        <f>MID(analisis_productividad__4[[#This Row],[Periodo]],5,2)</f>
        <v>05</v>
      </c>
      <c r="E1923" t="s">
        <v>16</v>
      </c>
      <c r="F1923" t="s">
        <v>19</v>
      </c>
      <c r="G1923">
        <v>76989</v>
      </c>
      <c r="H1923">
        <v>4578275</v>
      </c>
      <c r="I1923">
        <v>59.466458333333328</v>
      </c>
      <c r="J1923">
        <v>0</v>
      </c>
      <c r="K1923">
        <v>62</v>
      </c>
      <c r="L1923">
        <v>58</v>
      </c>
      <c r="N1923">
        <v>0</v>
      </c>
    </row>
    <row r="1924" spans="1:14" x14ac:dyDescent="0.35">
      <c r="A1924" t="s">
        <v>83</v>
      </c>
      <c r="B1924">
        <v>202501</v>
      </c>
      <c r="C1924" t="str">
        <f>MID(analisis_productividad__4[[#This Row],[Periodo]],1,4)</f>
        <v>2025</v>
      </c>
      <c r="D1924" t="str">
        <f>MID(analisis_productividad__4[[#This Row],[Periodo]],5,2)</f>
        <v>01</v>
      </c>
      <c r="E1924" t="s">
        <v>16</v>
      </c>
      <c r="F1924" t="s">
        <v>17</v>
      </c>
      <c r="G1924">
        <v>76982</v>
      </c>
      <c r="H1924">
        <v>3641138</v>
      </c>
      <c r="I1924">
        <v>47.298313172043009</v>
      </c>
      <c r="J1924">
        <v>77187.448624444121</v>
      </c>
      <c r="K1924">
        <v>52</v>
      </c>
      <c r="L1924">
        <v>52</v>
      </c>
      <c r="M1924">
        <v>47.172672434296594</v>
      </c>
      <c r="N1924">
        <v>3599719</v>
      </c>
    </row>
    <row r="1925" spans="1:14" x14ac:dyDescent="0.35">
      <c r="A1925" t="s">
        <v>73</v>
      </c>
      <c r="B1925">
        <v>202604</v>
      </c>
      <c r="C1925" t="str">
        <f>MID(analisis_productividad__4[[#This Row],[Periodo]],1,4)</f>
        <v>2026</v>
      </c>
      <c r="D1925" t="str">
        <f>MID(analisis_productividad__4[[#This Row],[Periodo]],5,2)</f>
        <v>04</v>
      </c>
      <c r="E1925" t="s">
        <v>16</v>
      </c>
      <c r="F1925" t="s">
        <v>21</v>
      </c>
      <c r="G1925">
        <v>76970</v>
      </c>
      <c r="H1925">
        <v>2853081</v>
      </c>
      <c r="I1925">
        <v>37.067527777777336</v>
      </c>
      <c r="J1925">
        <v>76587.850236283659</v>
      </c>
      <c r="K1925">
        <v>43.5</v>
      </c>
      <c r="L1925">
        <v>41</v>
      </c>
      <c r="M1925">
        <v>38.914029696684921</v>
      </c>
      <c r="N1925">
        <v>2980342</v>
      </c>
    </row>
    <row r="1926" spans="1:14" x14ac:dyDescent="0.35">
      <c r="A1926" t="s">
        <v>73</v>
      </c>
      <c r="B1926">
        <v>202508</v>
      </c>
      <c r="C1926" t="str">
        <f>MID(analisis_productividad__4[[#This Row],[Periodo]],1,4)</f>
        <v>2025</v>
      </c>
      <c r="D1926" t="str">
        <f>MID(analisis_productividad__4[[#This Row],[Periodo]],5,2)</f>
        <v>08</v>
      </c>
      <c r="E1926" t="s">
        <v>16</v>
      </c>
      <c r="F1926" t="s">
        <v>21</v>
      </c>
      <c r="G1926">
        <v>76969</v>
      </c>
      <c r="H1926">
        <v>2769008</v>
      </c>
      <c r="I1926">
        <v>35.975530913978496</v>
      </c>
      <c r="J1926">
        <v>79457.400470963054</v>
      </c>
      <c r="K1926">
        <v>43.5</v>
      </c>
      <c r="L1926">
        <v>41</v>
      </c>
      <c r="M1926">
        <v>34.848963137321711</v>
      </c>
      <c r="N1926">
        <v>3126650</v>
      </c>
    </row>
    <row r="1927" spans="1:14" x14ac:dyDescent="0.35">
      <c r="A1927" t="s">
        <v>91</v>
      </c>
      <c r="B1927">
        <v>202606</v>
      </c>
      <c r="C1927" t="str">
        <f>MID(analisis_productividad__4[[#This Row],[Periodo]],1,4)</f>
        <v>2026</v>
      </c>
      <c r="D1927" t="str">
        <f>MID(analisis_productividad__4[[#This Row],[Periodo]],5,2)</f>
        <v>06</v>
      </c>
      <c r="E1927" t="s">
        <v>11</v>
      </c>
      <c r="F1927" t="s">
        <v>12</v>
      </c>
      <c r="G1927">
        <v>76950</v>
      </c>
      <c r="H1927">
        <v>3962124</v>
      </c>
      <c r="I1927">
        <v>51.489277777777559</v>
      </c>
      <c r="J1927">
        <v>78000.088291173175</v>
      </c>
      <c r="K1927">
        <v>55</v>
      </c>
      <c r="L1927">
        <v>55.5</v>
      </c>
      <c r="M1927">
        <v>48.91205759483401</v>
      </c>
      <c r="N1927">
        <v>3815145</v>
      </c>
    </row>
    <row r="1928" spans="1:14" x14ac:dyDescent="0.35">
      <c r="A1928" t="s">
        <v>47</v>
      </c>
      <c r="B1928">
        <v>202502</v>
      </c>
      <c r="C1928" t="str">
        <f>MID(analisis_productividad__4[[#This Row],[Periodo]],1,4)</f>
        <v>2025</v>
      </c>
      <c r="D1928" t="str">
        <f>MID(analisis_productividad__4[[#This Row],[Periodo]],5,2)</f>
        <v>02</v>
      </c>
      <c r="E1928" t="s">
        <v>11</v>
      </c>
      <c r="F1928" t="s">
        <v>14</v>
      </c>
      <c r="G1928">
        <v>76901</v>
      </c>
      <c r="H1928">
        <v>4394655</v>
      </c>
      <c r="I1928">
        <v>57.146770833333321</v>
      </c>
      <c r="J1928">
        <v>75463.114327022748</v>
      </c>
      <c r="K1928">
        <v>61.5</v>
      </c>
      <c r="L1928">
        <v>48.5</v>
      </c>
      <c r="M1928">
        <v>58.235796643053582</v>
      </c>
      <c r="N1928">
        <v>4296943</v>
      </c>
    </row>
    <row r="1929" spans="1:14" x14ac:dyDescent="0.35">
      <c r="A1929" t="s">
        <v>62</v>
      </c>
      <c r="B1929">
        <v>202408</v>
      </c>
      <c r="C1929" t="str">
        <f>MID(analisis_productividad__4[[#This Row],[Periodo]],1,4)</f>
        <v>2024</v>
      </c>
      <c r="D1929" t="str">
        <f>MID(analisis_productividad__4[[#This Row],[Periodo]],5,2)</f>
        <v>08</v>
      </c>
      <c r="E1929" t="s">
        <v>16</v>
      </c>
      <c r="F1929" t="s">
        <v>17</v>
      </c>
      <c r="G1929">
        <v>76876</v>
      </c>
      <c r="H1929">
        <v>2345975</v>
      </c>
      <c r="I1929">
        <v>30.516424731182806</v>
      </c>
      <c r="J1929">
        <v>0</v>
      </c>
      <c r="K1929">
        <v>32.5</v>
      </c>
      <c r="L1929">
        <v>32</v>
      </c>
      <c r="N1929">
        <v>0</v>
      </c>
    </row>
    <row r="1930" spans="1:14" x14ac:dyDescent="0.35">
      <c r="A1930" t="s">
        <v>90</v>
      </c>
      <c r="B1930">
        <v>202505</v>
      </c>
      <c r="C1930" t="str">
        <f>MID(analisis_productividad__4[[#This Row],[Periodo]],1,4)</f>
        <v>2025</v>
      </c>
      <c r="D1930" t="str">
        <f>MID(analisis_productividad__4[[#This Row],[Periodo]],5,2)</f>
        <v>05</v>
      </c>
      <c r="E1930" t="s">
        <v>11</v>
      </c>
      <c r="F1930" t="s">
        <v>14</v>
      </c>
      <c r="G1930">
        <v>76804</v>
      </c>
      <c r="H1930">
        <v>5827640</v>
      </c>
      <c r="I1930">
        <v>75.876612903225777</v>
      </c>
      <c r="J1930">
        <v>66550.077904513179</v>
      </c>
      <c r="K1930">
        <v>84.5</v>
      </c>
      <c r="L1930">
        <v>78.5</v>
      </c>
      <c r="M1930">
        <v>87.567744824605086</v>
      </c>
      <c r="N1930">
        <v>5930252</v>
      </c>
    </row>
    <row r="1931" spans="1:14" x14ac:dyDescent="0.35">
      <c r="A1931" t="s">
        <v>79</v>
      </c>
      <c r="B1931">
        <v>202409</v>
      </c>
      <c r="C1931" t="str">
        <f>MID(analisis_productividad__4[[#This Row],[Periodo]],1,4)</f>
        <v>2024</v>
      </c>
      <c r="D1931" t="str">
        <f>MID(analisis_productividad__4[[#This Row],[Periodo]],5,2)</f>
        <v>09</v>
      </c>
      <c r="E1931" t="s">
        <v>11</v>
      </c>
      <c r="F1931" t="s">
        <v>12</v>
      </c>
      <c r="G1931">
        <v>76793</v>
      </c>
      <c r="H1931">
        <v>4579596</v>
      </c>
      <c r="I1931">
        <v>59.635333333333342</v>
      </c>
      <c r="J1931">
        <v>0</v>
      </c>
      <c r="K1931">
        <v>64.5</v>
      </c>
      <c r="L1931">
        <v>64</v>
      </c>
      <c r="N1931">
        <v>0</v>
      </c>
    </row>
    <row r="1932" spans="1:14" x14ac:dyDescent="0.35">
      <c r="A1932" t="s">
        <v>79</v>
      </c>
      <c r="B1932">
        <v>202404</v>
      </c>
      <c r="C1932" t="str">
        <f>MID(analisis_productividad__4[[#This Row],[Periodo]],1,4)</f>
        <v>2024</v>
      </c>
      <c r="D1932" t="str">
        <f>MID(analisis_productividad__4[[#This Row],[Periodo]],5,2)</f>
        <v>04</v>
      </c>
      <c r="E1932" t="s">
        <v>11</v>
      </c>
      <c r="F1932" t="s">
        <v>12</v>
      </c>
      <c r="G1932">
        <v>76792</v>
      </c>
      <c r="H1932">
        <v>4788916</v>
      </c>
      <c r="I1932">
        <v>62.362319444444445</v>
      </c>
      <c r="J1932">
        <v>0</v>
      </c>
      <c r="K1932">
        <v>64.5</v>
      </c>
      <c r="L1932">
        <v>64</v>
      </c>
      <c r="N1932">
        <v>0</v>
      </c>
    </row>
    <row r="1933" spans="1:14" x14ac:dyDescent="0.35">
      <c r="A1933" t="s">
        <v>81</v>
      </c>
      <c r="B1933">
        <v>202405</v>
      </c>
      <c r="C1933" t="str">
        <f>MID(analisis_productividad__4[[#This Row],[Periodo]],1,4)</f>
        <v>2024</v>
      </c>
      <c r="D1933" t="str">
        <f>MID(analisis_productividad__4[[#This Row],[Periodo]],5,2)</f>
        <v>05</v>
      </c>
      <c r="E1933" t="s">
        <v>34</v>
      </c>
      <c r="F1933" t="s">
        <v>35</v>
      </c>
      <c r="G1933">
        <v>76773</v>
      </c>
      <c r="H1933">
        <v>7450708</v>
      </c>
      <c r="I1933">
        <v>97.048084677419297</v>
      </c>
      <c r="J1933">
        <v>0</v>
      </c>
      <c r="K1933">
        <v>106</v>
      </c>
      <c r="L1933">
        <v>94.5</v>
      </c>
      <c r="N1933">
        <v>0</v>
      </c>
    </row>
    <row r="1934" spans="1:14" x14ac:dyDescent="0.35">
      <c r="A1934" t="s">
        <v>33</v>
      </c>
      <c r="B1934">
        <v>202407</v>
      </c>
      <c r="C1934" t="str">
        <f>MID(analisis_productividad__4[[#This Row],[Periodo]],1,4)</f>
        <v>2024</v>
      </c>
      <c r="D1934" t="str">
        <f>MID(analisis_productividad__4[[#This Row],[Periodo]],5,2)</f>
        <v>07</v>
      </c>
      <c r="E1934" t="s">
        <v>34</v>
      </c>
      <c r="F1934" t="s">
        <v>35</v>
      </c>
      <c r="G1934">
        <v>76767</v>
      </c>
      <c r="H1934">
        <v>1058009</v>
      </c>
      <c r="I1934">
        <v>13.782096774193549</v>
      </c>
      <c r="J1934">
        <v>0</v>
      </c>
      <c r="K1934">
        <v>15</v>
      </c>
      <c r="L1934">
        <v>15</v>
      </c>
      <c r="N1934">
        <v>0</v>
      </c>
    </row>
    <row r="1935" spans="1:14" x14ac:dyDescent="0.35">
      <c r="A1935" t="s">
        <v>76</v>
      </c>
      <c r="B1935">
        <v>202402</v>
      </c>
      <c r="C1935" t="str">
        <f>MID(analisis_productividad__4[[#This Row],[Periodo]],1,4)</f>
        <v>2024</v>
      </c>
      <c r="D1935" t="str">
        <f>MID(analisis_productividad__4[[#This Row],[Periodo]],5,2)</f>
        <v>02</v>
      </c>
      <c r="E1935" t="s">
        <v>11</v>
      </c>
      <c r="F1935" t="s">
        <v>14</v>
      </c>
      <c r="G1935">
        <v>76739</v>
      </c>
      <c r="H1935">
        <v>6169373</v>
      </c>
      <c r="I1935">
        <v>80.394647988505724</v>
      </c>
      <c r="J1935">
        <v>0</v>
      </c>
      <c r="K1935">
        <v>80</v>
      </c>
      <c r="L1935">
        <v>78</v>
      </c>
      <c r="N1935">
        <v>0</v>
      </c>
    </row>
    <row r="1936" spans="1:14" x14ac:dyDescent="0.35">
      <c r="A1936" t="s">
        <v>8</v>
      </c>
      <c r="B1936">
        <v>202601</v>
      </c>
      <c r="C1936" t="str">
        <f>MID(analisis_productividad__4[[#This Row],[Periodo]],1,4)</f>
        <v>2026</v>
      </c>
      <c r="D1936" t="str">
        <f>MID(analisis_productividad__4[[#This Row],[Periodo]],5,2)</f>
        <v>01</v>
      </c>
      <c r="E1936" t="s">
        <v>9</v>
      </c>
      <c r="F1936" t="s">
        <v>9</v>
      </c>
      <c r="G1936">
        <v>76714</v>
      </c>
      <c r="H1936">
        <v>1096297</v>
      </c>
      <c r="I1936">
        <v>14.290772849462362</v>
      </c>
      <c r="J1936">
        <v>131760.14977041513</v>
      </c>
      <c r="K1936">
        <v>13.5</v>
      </c>
      <c r="L1936">
        <v>12.5</v>
      </c>
      <c r="M1936">
        <v>11.712938172043014</v>
      </c>
      <c r="N1936">
        <v>1543298</v>
      </c>
    </row>
    <row r="1937" spans="1:14" x14ac:dyDescent="0.35">
      <c r="A1937" t="s">
        <v>83</v>
      </c>
      <c r="B1937">
        <v>202408</v>
      </c>
      <c r="C1937" t="str">
        <f>MID(analisis_productividad__4[[#This Row],[Periodo]],1,4)</f>
        <v>2024</v>
      </c>
      <c r="D1937" t="str">
        <f>MID(analisis_productividad__4[[#This Row],[Periodo]],5,2)</f>
        <v>08</v>
      </c>
      <c r="E1937" t="s">
        <v>16</v>
      </c>
      <c r="F1937" t="s">
        <v>17</v>
      </c>
      <c r="G1937">
        <v>76713</v>
      </c>
      <c r="H1937">
        <v>3590262</v>
      </c>
      <c r="I1937">
        <v>46.800974462365609</v>
      </c>
      <c r="J1937">
        <v>0</v>
      </c>
      <c r="K1937">
        <v>52</v>
      </c>
      <c r="L1937">
        <v>52</v>
      </c>
      <c r="N1937">
        <v>0</v>
      </c>
    </row>
    <row r="1938" spans="1:14" x14ac:dyDescent="0.35">
      <c r="A1938" t="s">
        <v>109</v>
      </c>
      <c r="B1938">
        <v>202412</v>
      </c>
      <c r="C1938" t="str">
        <f>MID(analisis_productividad__4[[#This Row],[Periodo]],1,4)</f>
        <v>2024</v>
      </c>
      <c r="D1938" t="str">
        <f>MID(analisis_productividad__4[[#This Row],[Periodo]],5,2)</f>
        <v>12</v>
      </c>
      <c r="E1938" t="s">
        <v>9</v>
      </c>
      <c r="F1938" t="s">
        <v>9</v>
      </c>
      <c r="G1938">
        <v>76709</v>
      </c>
      <c r="H1938">
        <v>747548</v>
      </c>
      <c r="I1938">
        <v>9.7452419354838735</v>
      </c>
      <c r="J1938">
        <v>0</v>
      </c>
      <c r="K1938">
        <v>10</v>
      </c>
      <c r="L1938">
        <v>9</v>
      </c>
      <c r="N1938">
        <v>0</v>
      </c>
    </row>
    <row r="1939" spans="1:14" x14ac:dyDescent="0.35">
      <c r="A1939" t="s">
        <v>84</v>
      </c>
      <c r="B1939">
        <v>202405</v>
      </c>
      <c r="C1939" t="str">
        <f>MID(analisis_productividad__4[[#This Row],[Periodo]],1,4)</f>
        <v>2024</v>
      </c>
      <c r="D1939" t="str">
        <f>MID(analisis_productividad__4[[#This Row],[Periodo]],5,2)</f>
        <v>05</v>
      </c>
      <c r="E1939" t="s">
        <v>11</v>
      </c>
      <c r="F1939" t="s">
        <v>52</v>
      </c>
      <c r="G1939">
        <v>76704</v>
      </c>
      <c r="H1939">
        <v>8851306</v>
      </c>
      <c r="I1939">
        <v>115.39570564516129</v>
      </c>
      <c r="J1939">
        <v>0</v>
      </c>
      <c r="K1939">
        <v>123</v>
      </c>
      <c r="L1939">
        <v>115.5</v>
      </c>
      <c r="N1939">
        <v>0</v>
      </c>
    </row>
    <row r="1940" spans="1:14" x14ac:dyDescent="0.35">
      <c r="A1940" t="s">
        <v>74</v>
      </c>
      <c r="B1940">
        <v>202409</v>
      </c>
      <c r="C1940" t="str">
        <f>MID(analisis_productividad__4[[#This Row],[Periodo]],1,4)</f>
        <v>2024</v>
      </c>
      <c r="D1940" t="str">
        <f>MID(analisis_productividad__4[[#This Row],[Periodo]],5,2)</f>
        <v>09</v>
      </c>
      <c r="E1940" t="s">
        <v>16</v>
      </c>
      <c r="F1940" t="s">
        <v>19</v>
      </c>
      <c r="G1940">
        <v>76687</v>
      </c>
      <c r="H1940">
        <v>3520431</v>
      </c>
      <c r="I1940">
        <v>45.906534722222247</v>
      </c>
      <c r="J1940">
        <v>0</v>
      </c>
      <c r="K1940">
        <v>50.5</v>
      </c>
      <c r="L1940">
        <v>51.5</v>
      </c>
      <c r="N1940">
        <v>0</v>
      </c>
    </row>
    <row r="1941" spans="1:14" x14ac:dyDescent="0.35">
      <c r="A1941" t="s">
        <v>65</v>
      </c>
      <c r="B1941">
        <v>202410</v>
      </c>
      <c r="C1941" t="str">
        <f>MID(analisis_productividad__4[[#This Row],[Periodo]],1,4)</f>
        <v>2024</v>
      </c>
      <c r="D1941" t="str">
        <f>MID(analisis_productividad__4[[#This Row],[Periodo]],5,2)</f>
        <v>10</v>
      </c>
      <c r="E1941" t="s">
        <v>16</v>
      </c>
      <c r="F1941" t="s">
        <v>19</v>
      </c>
      <c r="G1941">
        <v>76664</v>
      </c>
      <c r="H1941">
        <v>5167453</v>
      </c>
      <c r="I1941">
        <v>67.403743279569895</v>
      </c>
      <c r="J1941">
        <v>0</v>
      </c>
      <c r="K1941">
        <v>68</v>
      </c>
      <c r="L1941">
        <v>68.5</v>
      </c>
      <c r="N1941">
        <v>0</v>
      </c>
    </row>
    <row r="1942" spans="1:14" x14ac:dyDescent="0.35">
      <c r="A1942" t="s">
        <v>66</v>
      </c>
      <c r="B1942">
        <v>202407</v>
      </c>
      <c r="C1942" t="str">
        <f>MID(analisis_productividad__4[[#This Row],[Periodo]],1,4)</f>
        <v>2024</v>
      </c>
      <c r="D1942" t="str">
        <f>MID(analisis_productividad__4[[#This Row],[Periodo]],5,2)</f>
        <v>07</v>
      </c>
      <c r="E1942" t="s">
        <v>11</v>
      </c>
      <c r="F1942" t="s">
        <v>12</v>
      </c>
      <c r="G1942">
        <v>76661</v>
      </c>
      <c r="H1942">
        <v>6204462</v>
      </c>
      <c r="I1942">
        <v>80.933924731182771</v>
      </c>
      <c r="J1942">
        <v>0</v>
      </c>
      <c r="K1942">
        <v>80</v>
      </c>
      <c r="L1942">
        <v>80.5</v>
      </c>
      <c r="N1942">
        <v>0</v>
      </c>
    </row>
    <row r="1943" spans="1:14" x14ac:dyDescent="0.35">
      <c r="A1943" t="s">
        <v>59</v>
      </c>
      <c r="B1943">
        <v>202402</v>
      </c>
      <c r="C1943" t="str">
        <f>MID(analisis_productividad__4[[#This Row],[Periodo]],1,4)</f>
        <v>2024</v>
      </c>
      <c r="D1943" t="str">
        <f>MID(analisis_productividad__4[[#This Row],[Periodo]],5,2)</f>
        <v>02</v>
      </c>
      <c r="E1943" t="s">
        <v>11</v>
      </c>
      <c r="F1943" t="s">
        <v>12</v>
      </c>
      <c r="G1943">
        <v>76649</v>
      </c>
      <c r="H1943">
        <v>7195672</v>
      </c>
      <c r="I1943">
        <v>93.87854885057466</v>
      </c>
      <c r="J1943">
        <v>0</v>
      </c>
      <c r="K1943">
        <v>94.5</v>
      </c>
      <c r="L1943">
        <v>97</v>
      </c>
      <c r="N1943">
        <v>0</v>
      </c>
    </row>
    <row r="1944" spans="1:14" x14ac:dyDescent="0.35">
      <c r="A1944" t="s">
        <v>97</v>
      </c>
      <c r="B1944">
        <v>202502</v>
      </c>
      <c r="C1944" t="str">
        <f>MID(analisis_productividad__4[[#This Row],[Periodo]],1,4)</f>
        <v>2025</v>
      </c>
      <c r="D1944" t="str">
        <f>MID(analisis_productividad__4[[#This Row],[Periodo]],5,2)</f>
        <v>02</v>
      </c>
      <c r="E1944" t="s">
        <v>11</v>
      </c>
      <c r="F1944" t="s">
        <v>12</v>
      </c>
      <c r="G1944">
        <v>76616</v>
      </c>
      <c r="H1944">
        <v>4326984</v>
      </c>
      <c r="I1944">
        <v>56.476093749999997</v>
      </c>
      <c r="J1944">
        <v>75638.975330318091</v>
      </c>
      <c r="K1944">
        <v>66.5</v>
      </c>
      <c r="L1944">
        <v>63.5</v>
      </c>
      <c r="M1944">
        <v>57.205749431479042</v>
      </c>
      <c r="N1944">
        <v>4770949</v>
      </c>
    </row>
    <row r="1945" spans="1:14" x14ac:dyDescent="0.35">
      <c r="A1945" t="s">
        <v>69</v>
      </c>
      <c r="B1945">
        <v>202501</v>
      </c>
      <c r="C1945" t="str">
        <f>MID(analisis_productividad__4[[#This Row],[Periodo]],1,4)</f>
        <v>2025</v>
      </c>
      <c r="D1945" t="str">
        <f>MID(analisis_productividad__4[[#This Row],[Periodo]],5,2)</f>
        <v>01</v>
      </c>
      <c r="E1945" t="s">
        <v>11</v>
      </c>
      <c r="F1945" t="s">
        <v>52</v>
      </c>
      <c r="G1945">
        <v>76596</v>
      </c>
      <c r="H1945">
        <v>4583942</v>
      </c>
      <c r="I1945">
        <v>59.84562500000002</v>
      </c>
      <c r="J1945">
        <v>82393.425382969217</v>
      </c>
      <c r="K1945">
        <v>68</v>
      </c>
      <c r="L1945">
        <v>60.5</v>
      </c>
      <c r="M1945">
        <v>55.634797663692027</v>
      </c>
      <c r="N1945">
        <v>5043672</v>
      </c>
    </row>
    <row r="1946" spans="1:14" x14ac:dyDescent="0.35">
      <c r="A1946" t="s">
        <v>115</v>
      </c>
      <c r="B1946">
        <v>202512</v>
      </c>
      <c r="C1946" t="str">
        <f>MID(analisis_productividad__4[[#This Row],[Periodo]],1,4)</f>
        <v>2025</v>
      </c>
      <c r="D1946" t="str">
        <f>MID(analisis_productividad__4[[#This Row],[Periodo]],5,2)</f>
        <v>12</v>
      </c>
      <c r="E1946" t="s">
        <v>34</v>
      </c>
      <c r="F1946" t="s">
        <v>35</v>
      </c>
      <c r="G1946">
        <v>76572</v>
      </c>
      <c r="H1946">
        <v>3974929</v>
      </c>
      <c r="I1946">
        <v>51.910786290322562</v>
      </c>
      <c r="J1946">
        <v>73110.688422179766</v>
      </c>
      <c r="K1946">
        <v>53.5</v>
      </c>
      <c r="L1946">
        <v>51</v>
      </c>
      <c r="M1946">
        <v>54.368640424320184</v>
      </c>
      <c r="N1946">
        <v>4477682</v>
      </c>
    </row>
    <row r="1947" spans="1:14" x14ac:dyDescent="0.35">
      <c r="A1947" t="s">
        <v>80</v>
      </c>
      <c r="B1947">
        <v>202402</v>
      </c>
      <c r="C1947" t="str">
        <f>MID(analisis_productividad__4[[#This Row],[Periodo]],1,4)</f>
        <v>2024</v>
      </c>
      <c r="D1947" t="str">
        <f>MID(analisis_productividad__4[[#This Row],[Periodo]],5,2)</f>
        <v>02</v>
      </c>
      <c r="E1947" t="s">
        <v>16</v>
      </c>
      <c r="F1947" t="s">
        <v>17</v>
      </c>
      <c r="G1947">
        <v>76559</v>
      </c>
      <c r="H1947">
        <v>4106156</v>
      </c>
      <c r="I1947">
        <v>53.633577586206918</v>
      </c>
      <c r="J1947">
        <v>0</v>
      </c>
      <c r="K1947">
        <v>58</v>
      </c>
      <c r="L1947">
        <v>58.5</v>
      </c>
      <c r="N1947">
        <v>0</v>
      </c>
    </row>
    <row r="1948" spans="1:14" x14ac:dyDescent="0.35">
      <c r="A1948" t="s">
        <v>42</v>
      </c>
      <c r="B1948">
        <v>202410</v>
      </c>
      <c r="C1948" t="str">
        <f>MID(analisis_productividad__4[[#This Row],[Periodo]],1,4)</f>
        <v>2024</v>
      </c>
      <c r="D1948" t="str">
        <f>MID(analisis_productividad__4[[#This Row],[Periodo]],5,2)</f>
        <v>10</v>
      </c>
      <c r="E1948" t="s">
        <v>16</v>
      </c>
      <c r="F1948" t="s">
        <v>19</v>
      </c>
      <c r="G1948">
        <v>76557</v>
      </c>
      <c r="H1948">
        <v>4472869</v>
      </c>
      <c r="I1948">
        <v>58.425490591397839</v>
      </c>
      <c r="J1948">
        <v>0</v>
      </c>
      <c r="K1948">
        <v>62</v>
      </c>
      <c r="L1948">
        <v>58</v>
      </c>
      <c r="N1948">
        <v>0</v>
      </c>
    </row>
    <row r="1949" spans="1:14" x14ac:dyDescent="0.35">
      <c r="A1949" t="s">
        <v>77</v>
      </c>
      <c r="B1949">
        <v>202506</v>
      </c>
      <c r="C1949" t="str">
        <f>MID(analisis_productividad__4[[#This Row],[Periodo]],1,4)</f>
        <v>2025</v>
      </c>
      <c r="D1949" t="str">
        <f>MID(analisis_productividad__4[[#This Row],[Periodo]],5,2)</f>
        <v>06</v>
      </c>
      <c r="E1949" t="s">
        <v>16</v>
      </c>
      <c r="F1949" t="s">
        <v>21</v>
      </c>
      <c r="G1949">
        <v>76546</v>
      </c>
      <c r="H1949">
        <v>4212440</v>
      </c>
      <c r="I1949">
        <v>55.031472222222213</v>
      </c>
      <c r="J1949">
        <v>77051.998214384046</v>
      </c>
      <c r="K1949">
        <v>60.5</v>
      </c>
      <c r="L1949">
        <v>60.5</v>
      </c>
      <c r="M1949">
        <v>54.670096657060128</v>
      </c>
      <c r="N1949">
        <v>5207146</v>
      </c>
    </row>
    <row r="1950" spans="1:14" x14ac:dyDescent="0.35">
      <c r="A1950" t="s">
        <v>108</v>
      </c>
      <c r="B1950">
        <v>202403</v>
      </c>
      <c r="C1950" t="str">
        <f>MID(analisis_productividad__4[[#This Row],[Periodo]],1,4)</f>
        <v>2024</v>
      </c>
      <c r="D1950" t="str">
        <f>MID(analisis_productividad__4[[#This Row],[Periodo]],5,2)</f>
        <v>03</v>
      </c>
      <c r="E1950" t="s">
        <v>11</v>
      </c>
      <c r="F1950" t="s">
        <v>14</v>
      </c>
      <c r="G1950">
        <v>76534</v>
      </c>
      <c r="H1950">
        <v>3758769</v>
      </c>
      <c r="I1950">
        <v>49.112715053763438</v>
      </c>
      <c r="J1950">
        <v>0</v>
      </c>
      <c r="K1950">
        <v>47.5</v>
      </c>
      <c r="L1950">
        <v>43</v>
      </c>
      <c r="N1950">
        <v>0</v>
      </c>
    </row>
    <row r="1951" spans="1:14" x14ac:dyDescent="0.35">
      <c r="A1951" t="s">
        <v>102</v>
      </c>
      <c r="B1951">
        <v>202412</v>
      </c>
      <c r="C1951" t="str">
        <f>MID(analisis_productividad__4[[#This Row],[Periodo]],1,4)</f>
        <v>2024</v>
      </c>
      <c r="D1951" t="str">
        <f>MID(analisis_productividad__4[[#This Row],[Periodo]],5,2)</f>
        <v>12</v>
      </c>
      <c r="E1951" t="s">
        <v>11</v>
      </c>
      <c r="F1951" t="s">
        <v>12</v>
      </c>
      <c r="G1951">
        <v>76532</v>
      </c>
      <c r="H1951">
        <v>2794673</v>
      </c>
      <c r="I1951">
        <v>36.516290322580659</v>
      </c>
      <c r="J1951">
        <v>0</v>
      </c>
      <c r="K1951">
        <v>34</v>
      </c>
      <c r="L1951">
        <v>34</v>
      </c>
      <c r="N1951">
        <v>0</v>
      </c>
    </row>
    <row r="1952" spans="1:14" x14ac:dyDescent="0.35">
      <c r="A1952" t="s">
        <v>91</v>
      </c>
      <c r="B1952">
        <v>202510</v>
      </c>
      <c r="C1952" t="str">
        <f>MID(analisis_productividad__4[[#This Row],[Periodo]],1,4)</f>
        <v>2025</v>
      </c>
      <c r="D1952" t="str">
        <f>MID(analisis_productividad__4[[#This Row],[Periodo]],5,2)</f>
        <v>10</v>
      </c>
      <c r="E1952" t="s">
        <v>11</v>
      </c>
      <c r="F1952" t="s">
        <v>12</v>
      </c>
      <c r="G1952">
        <v>76506</v>
      </c>
      <c r="H1952">
        <v>3837802</v>
      </c>
      <c r="I1952">
        <v>50.163655913978509</v>
      </c>
      <c r="J1952">
        <v>78755.303365436499</v>
      </c>
      <c r="K1952">
        <v>55</v>
      </c>
      <c r="L1952">
        <v>55.5</v>
      </c>
      <c r="M1952">
        <v>48.730713564672833</v>
      </c>
      <c r="N1952">
        <v>3890353</v>
      </c>
    </row>
    <row r="1953" spans="1:14" x14ac:dyDescent="0.35">
      <c r="A1953" t="s">
        <v>78</v>
      </c>
      <c r="B1953">
        <v>202508</v>
      </c>
      <c r="C1953" t="str">
        <f>MID(analisis_productividad__4[[#This Row],[Periodo]],1,4)</f>
        <v>2025</v>
      </c>
      <c r="D1953" t="str">
        <f>MID(analisis_productividad__4[[#This Row],[Periodo]],5,2)</f>
        <v>08</v>
      </c>
      <c r="E1953" t="s">
        <v>11</v>
      </c>
      <c r="F1953" t="s">
        <v>14</v>
      </c>
      <c r="G1953">
        <v>76501</v>
      </c>
      <c r="H1953">
        <v>5118789</v>
      </c>
      <c r="I1953">
        <v>66.91115591397849</v>
      </c>
      <c r="J1953">
        <v>81208.182764953628</v>
      </c>
      <c r="K1953">
        <v>79.5</v>
      </c>
      <c r="L1953">
        <v>67</v>
      </c>
      <c r="M1953">
        <v>63.032924832410785</v>
      </c>
      <c r="N1953">
        <v>5489758</v>
      </c>
    </row>
    <row r="1954" spans="1:14" x14ac:dyDescent="0.35">
      <c r="A1954" t="s">
        <v>86</v>
      </c>
      <c r="B1954">
        <v>202510</v>
      </c>
      <c r="C1954" t="str">
        <f>MID(analisis_productividad__4[[#This Row],[Periodo]],1,4)</f>
        <v>2025</v>
      </c>
      <c r="D1954" t="str">
        <f>MID(analisis_productividad__4[[#This Row],[Periodo]],5,2)</f>
        <v>10</v>
      </c>
      <c r="E1954" t="s">
        <v>11</v>
      </c>
      <c r="F1954" t="s">
        <v>14</v>
      </c>
      <c r="G1954">
        <v>76473</v>
      </c>
      <c r="H1954">
        <v>3857728</v>
      </c>
      <c r="I1954">
        <v>50.445584677419362</v>
      </c>
      <c r="J1954">
        <v>79008.213701093453</v>
      </c>
      <c r="K1954">
        <v>69.5</v>
      </c>
      <c r="L1954">
        <v>59</v>
      </c>
      <c r="M1954">
        <v>48.826924053677345</v>
      </c>
      <c r="N1954">
        <v>5035539</v>
      </c>
    </row>
    <row r="1955" spans="1:14" x14ac:dyDescent="0.35">
      <c r="A1955" t="s">
        <v>18</v>
      </c>
      <c r="B1955">
        <v>202406</v>
      </c>
      <c r="C1955" t="str">
        <f>MID(analisis_productividad__4[[#This Row],[Periodo]],1,4)</f>
        <v>2024</v>
      </c>
      <c r="D1955" t="str">
        <f>MID(analisis_productividad__4[[#This Row],[Periodo]],5,2)</f>
        <v>06</v>
      </c>
      <c r="E1955" t="s">
        <v>16</v>
      </c>
      <c r="F1955" t="s">
        <v>19</v>
      </c>
      <c r="G1955">
        <v>76465</v>
      </c>
      <c r="H1955">
        <v>4912218</v>
      </c>
      <c r="I1955">
        <v>64.241527777777762</v>
      </c>
      <c r="J1955">
        <v>0</v>
      </c>
      <c r="K1955">
        <v>70.5</v>
      </c>
      <c r="L1955">
        <v>69.5</v>
      </c>
      <c r="N1955">
        <v>0</v>
      </c>
    </row>
    <row r="1956" spans="1:14" x14ac:dyDescent="0.35">
      <c r="A1956" t="s">
        <v>80</v>
      </c>
      <c r="B1956">
        <v>202503</v>
      </c>
      <c r="C1956" t="str">
        <f>MID(analisis_productividad__4[[#This Row],[Periodo]],1,4)</f>
        <v>2025</v>
      </c>
      <c r="D1956" t="str">
        <f>MID(analisis_productividad__4[[#This Row],[Periodo]],5,2)</f>
        <v>03</v>
      </c>
      <c r="E1956" t="s">
        <v>16</v>
      </c>
      <c r="F1956" t="s">
        <v>17</v>
      </c>
      <c r="G1956">
        <v>76433</v>
      </c>
      <c r="H1956">
        <v>3817957</v>
      </c>
      <c r="I1956">
        <v>49.951586021505385</v>
      </c>
      <c r="J1956">
        <v>86576.093666775865</v>
      </c>
      <c r="K1956">
        <v>58</v>
      </c>
      <c r="L1956">
        <v>58.5</v>
      </c>
      <c r="M1956">
        <v>44.099432860703963</v>
      </c>
      <c r="N1956">
        <v>5047407</v>
      </c>
    </row>
    <row r="1957" spans="1:14" x14ac:dyDescent="0.35">
      <c r="A1957" t="s">
        <v>69</v>
      </c>
      <c r="B1957">
        <v>202404</v>
      </c>
      <c r="C1957" t="str">
        <f>MID(analisis_productividad__4[[#This Row],[Periodo]],1,4)</f>
        <v>2024</v>
      </c>
      <c r="D1957" t="str">
        <f>MID(analisis_productividad__4[[#This Row],[Periodo]],5,2)</f>
        <v>04</v>
      </c>
      <c r="E1957" t="s">
        <v>11</v>
      </c>
      <c r="F1957" t="s">
        <v>52</v>
      </c>
      <c r="G1957">
        <v>76410</v>
      </c>
      <c r="H1957">
        <v>4888689</v>
      </c>
      <c r="I1957">
        <v>63.98009722222222</v>
      </c>
      <c r="J1957">
        <v>0</v>
      </c>
      <c r="K1957">
        <v>68</v>
      </c>
      <c r="L1957">
        <v>60.5</v>
      </c>
      <c r="N1957">
        <v>0</v>
      </c>
    </row>
    <row r="1958" spans="1:14" x14ac:dyDescent="0.35">
      <c r="A1958" t="s">
        <v>48</v>
      </c>
      <c r="B1958">
        <v>202508</v>
      </c>
      <c r="C1958" t="str">
        <f>MID(analisis_productividad__4[[#This Row],[Periodo]],1,4)</f>
        <v>2025</v>
      </c>
      <c r="D1958" t="str">
        <f>MID(analisis_productividad__4[[#This Row],[Periodo]],5,2)</f>
        <v>08</v>
      </c>
      <c r="E1958" t="s">
        <v>16</v>
      </c>
      <c r="F1958" t="s">
        <v>21</v>
      </c>
      <c r="G1958">
        <v>76364</v>
      </c>
      <c r="H1958">
        <v>3844589</v>
      </c>
      <c r="I1958">
        <v>50.345383064516128</v>
      </c>
      <c r="J1958">
        <v>74075.692024056436</v>
      </c>
      <c r="K1958">
        <v>56</v>
      </c>
      <c r="L1958">
        <v>60</v>
      </c>
      <c r="M1958">
        <v>51.900812465598719</v>
      </c>
      <c r="N1958">
        <v>4601118</v>
      </c>
    </row>
    <row r="1959" spans="1:14" x14ac:dyDescent="0.35">
      <c r="A1959" t="s">
        <v>62</v>
      </c>
      <c r="B1959">
        <v>202402</v>
      </c>
      <c r="C1959" t="str">
        <f>MID(analisis_productividad__4[[#This Row],[Periodo]],1,4)</f>
        <v>2024</v>
      </c>
      <c r="D1959" t="str">
        <f>MID(analisis_productividad__4[[#This Row],[Periodo]],5,2)</f>
        <v>02</v>
      </c>
      <c r="E1959" t="s">
        <v>16</v>
      </c>
      <c r="F1959" t="s">
        <v>17</v>
      </c>
      <c r="G1959">
        <v>76350</v>
      </c>
      <c r="H1959">
        <v>2480000</v>
      </c>
      <c r="I1959">
        <v>32.481860632183924</v>
      </c>
      <c r="J1959">
        <v>0</v>
      </c>
      <c r="K1959">
        <v>32.5</v>
      </c>
      <c r="L1959">
        <v>32</v>
      </c>
      <c r="N1959">
        <v>0</v>
      </c>
    </row>
    <row r="1960" spans="1:14" x14ac:dyDescent="0.35">
      <c r="A1960" t="s">
        <v>82</v>
      </c>
      <c r="B1960">
        <v>202601</v>
      </c>
      <c r="C1960" t="str">
        <f>MID(analisis_productividad__4[[#This Row],[Periodo]],1,4)</f>
        <v>2026</v>
      </c>
      <c r="D1960" t="str">
        <f>MID(analisis_productividad__4[[#This Row],[Periodo]],5,2)</f>
        <v>01</v>
      </c>
      <c r="E1960" t="s">
        <v>11</v>
      </c>
      <c r="F1960" t="s">
        <v>12</v>
      </c>
      <c r="G1960">
        <v>76350</v>
      </c>
      <c r="H1960">
        <v>3861838</v>
      </c>
      <c r="I1960">
        <v>50.580833333333324</v>
      </c>
      <c r="J1960">
        <v>83372.045200923327</v>
      </c>
      <c r="K1960">
        <v>53.5</v>
      </c>
      <c r="L1960">
        <v>54</v>
      </c>
      <c r="M1960">
        <v>47.165198395018514</v>
      </c>
      <c r="N1960">
        <v>3932259</v>
      </c>
    </row>
    <row r="1961" spans="1:14" x14ac:dyDescent="0.35">
      <c r="A1961" t="s">
        <v>73</v>
      </c>
      <c r="B1961">
        <v>202502</v>
      </c>
      <c r="C1961" t="str">
        <f>MID(analisis_productividad__4[[#This Row],[Periodo]],1,4)</f>
        <v>2025</v>
      </c>
      <c r="D1961" t="str">
        <f>MID(analisis_productividad__4[[#This Row],[Periodo]],5,2)</f>
        <v>02</v>
      </c>
      <c r="E1961" t="s">
        <v>16</v>
      </c>
      <c r="F1961" t="s">
        <v>21</v>
      </c>
      <c r="G1961">
        <v>76328</v>
      </c>
      <c r="H1961">
        <v>3138435</v>
      </c>
      <c r="I1961">
        <v>41.117760416666663</v>
      </c>
      <c r="J1961">
        <v>73432.452914519265</v>
      </c>
      <c r="K1961">
        <v>43.5</v>
      </c>
      <c r="L1961">
        <v>41</v>
      </c>
      <c r="M1961">
        <v>42.739067611609904</v>
      </c>
      <c r="N1961">
        <v>3050269</v>
      </c>
    </row>
    <row r="1962" spans="1:14" x14ac:dyDescent="0.35">
      <c r="A1962" t="s">
        <v>71</v>
      </c>
      <c r="B1962">
        <v>202505</v>
      </c>
      <c r="C1962" t="str">
        <f>MID(analisis_productividad__4[[#This Row],[Periodo]],1,4)</f>
        <v>2025</v>
      </c>
      <c r="D1962" t="str">
        <f>MID(analisis_productividad__4[[#This Row],[Periodo]],5,2)</f>
        <v>05</v>
      </c>
      <c r="E1962" t="s">
        <v>16</v>
      </c>
      <c r="F1962" t="s">
        <v>19</v>
      </c>
      <c r="G1962">
        <v>76297</v>
      </c>
      <c r="H1962">
        <v>2596911</v>
      </c>
      <c r="I1962">
        <v>34.036700268817214</v>
      </c>
      <c r="J1962">
        <v>69131.188975442579</v>
      </c>
      <c r="K1962">
        <v>41.5</v>
      </c>
      <c r="L1962">
        <v>35.5</v>
      </c>
      <c r="M1962">
        <v>37.564973472718641</v>
      </c>
      <c r="N1962">
        <v>2446850</v>
      </c>
    </row>
    <row r="1963" spans="1:14" x14ac:dyDescent="0.35">
      <c r="A1963" t="s">
        <v>95</v>
      </c>
      <c r="B1963">
        <v>202403</v>
      </c>
      <c r="C1963" t="str">
        <f>MID(analisis_productividad__4[[#This Row],[Periodo]],1,4)</f>
        <v>2024</v>
      </c>
      <c r="D1963" t="str">
        <f>MID(analisis_productividad__4[[#This Row],[Periodo]],5,2)</f>
        <v>03</v>
      </c>
      <c r="E1963" t="s">
        <v>9</v>
      </c>
      <c r="F1963" t="s">
        <v>9</v>
      </c>
      <c r="G1963">
        <v>76279</v>
      </c>
      <c r="H1963">
        <v>747959</v>
      </c>
      <c r="I1963">
        <v>9.8055981182795726</v>
      </c>
      <c r="J1963">
        <v>0</v>
      </c>
      <c r="K1963">
        <v>11</v>
      </c>
      <c r="L1963">
        <v>11</v>
      </c>
      <c r="N1963">
        <v>0</v>
      </c>
    </row>
    <row r="1964" spans="1:14" x14ac:dyDescent="0.35">
      <c r="A1964" t="s">
        <v>78</v>
      </c>
      <c r="B1964">
        <v>202504</v>
      </c>
      <c r="C1964" t="str">
        <f>MID(analisis_productividad__4[[#This Row],[Periodo]],1,4)</f>
        <v>2025</v>
      </c>
      <c r="D1964" t="str">
        <f>MID(analisis_productividad__4[[#This Row],[Periodo]],5,2)</f>
        <v>04</v>
      </c>
      <c r="E1964" t="s">
        <v>11</v>
      </c>
      <c r="F1964" t="s">
        <v>14</v>
      </c>
      <c r="G1964">
        <v>76277</v>
      </c>
      <c r="H1964">
        <v>5275543</v>
      </c>
      <c r="I1964">
        <v>69.163159722222261</v>
      </c>
      <c r="J1964">
        <v>70034.877928006506</v>
      </c>
      <c r="K1964">
        <v>79.5</v>
      </c>
      <c r="L1964">
        <v>67</v>
      </c>
      <c r="M1964">
        <v>75.327366393400183</v>
      </c>
      <c r="N1964">
        <v>5521501</v>
      </c>
    </row>
    <row r="1965" spans="1:14" x14ac:dyDescent="0.35">
      <c r="A1965" t="s">
        <v>74</v>
      </c>
      <c r="B1965">
        <v>202510</v>
      </c>
      <c r="C1965" t="str">
        <f>MID(analisis_productividad__4[[#This Row],[Periodo]],1,4)</f>
        <v>2025</v>
      </c>
      <c r="D1965" t="str">
        <f>MID(analisis_productividad__4[[#This Row],[Periodo]],5,2)</f>
        <v>10</v>
      </c>
      <c r="E1965" t="s">
        <v>16</v>
      </c>
      <c r="F1965" t="s">
        <v>19</v>
      </c>
      <c r="G1965">
        <v>76263</v>
      </c>
      <c r="H1965">
        <v>3207341</v>
      </c>
      <c r="I1965">
        <v>42.056263440860207</v>
      </c>
      <c r="J1965">
        <v>79297.955725797932</v>
      </c>
      <c r="K1965">
        <v>50.5</v>
      </c>
      <c r="L1965">
        <v>51.5</v>
      </c>
      <c r="M1965">
        <v>40.446709888595002</v>
      </c>
      <c r="N1965">
        <v>3820788</v>
      </c>
    </row>
    <row r="1966" spans="1:14" x14ac:dyDescent="0.35">
      <c r="A1966" t="s">
        <v>94</v>
      </c>
      <c r="B1966">
        <v>202606</v>
      </c>
      <c r="C1966" t="str">
        <f>MID(analisis_productividad__4[[#This Row],[Periodo]],1,4)</f>
        <v>2026</v>
      </c>
      <c r="D1966" t="str">
        <f>MID(analisis_productividad__4[[#This Row],[Periodo]],5,2)</f>
        <v>06</v>
      </c>
      <c r="E1966" t="s">
        <v>11</v>
      </c>
      <c r="F1966" t="s">
        <v>52</v>
      </c>
      <c r="G1966">
        <v>76221</v>
      </c>
      <c r="H1966">
        <v>4650711</v>
      </c>
      <c r="I1966">
        <v>61.015986111111239</v>
      </c>
      <c r="J1966">
        <v>79417.040957913239</v>
      </c>
      <c r="K1966">
        <v>75.5</v>
      </c>
      <c r="L1966">
        <v>70.5</v>
      </c>
      <c r="M1966">
        <v>63.423114179855602</v>
      </c>
      <c r="N1966">
        <v>5036876</v>
      </c>
    </row>
    <row r="1967" spans="1:14" x14ac:dyDescent="0.35">
      <c r="A1967" t="s">
        <v>60</v>
      </c>
      <c r="B1967">
        <v>202410</v>
      </c>
      <c r="C1967" t="str">
        <f>MID(analisis_productividad__4[[#This Row],[Periodo]],1,4)</f>
        <v>2024</v>
      </c>
      <c r="D1967" t="str">
        <f>MID(analisis_productividad__4[[#This Row],[Periodo]],5,2)</f>
        <v>10</v>
      </c>
      <c r="E1967" t="s">
        <v>11</v>
      </c>
      <c r="F1967" t="s">
        <v>14</v>
      </c>
      <c r="G1967">
        <v>76175</v>
      </c>
      <c r="H1967">
        <v>5418403</v>
      </c>
      <c r="I1967">
        <v>71.130537634408597</v>
      </c>
      <c r="J1967">
        <v>0</v>
      </c>
      <c r="K1967">
        <v>75.5</v>
      </c>
      <c r="L1967">
        <v>74</v>
      </c>
      <c r="N1967">
        <v>0</v>
      </c>
    </row>
    <row r="1968" spans="1:14" x14ac:dyDescent="0.35">
      <c r="A1968" t="s">
        <v>86</v>
      </c>
      <c r="B1968">
        <v>202404</v>
      </c>
      <c r="C1968" t="str">
        <f>MID(analisis_productividad__4[[#This Row],[Periodo]],1,4)</f>
        <v>2024</v>
      </c>
      <c r="D1968" t="str">
        <f>MID(analisis_productividad__4[[#This Row],[Periodo]],5,2)</f>
        <v>04</v>
      </c>
      <c r="E1968" t="s">
        <v>11</v>
      </c>
      <c r="F1968" t="s">
        <v>14</v>
      </c>
      <c r="G1968">
        <v>76172</v>
      </c>
      <c r="H1968">
        <v>4715349</v>
      </c>
      <c r="I1968">
        <v>61.904256944444441</v>
      </c>
      <c r="J1968">
        <v>0</v>
      </c>
      <c r="K1968">
        <v>69.5</v>
      </c>
      <c r="L1968">
        <v>59</v>
      </c>
      <c r="N1968">
        <v>0</v>
      </c>
    </row>
    <row r="1969" spans="1:14" x14ac:dyDescent="0.35">
      <c r="A1969" t="s">
        <v>110</v>
      </c>
      <c r="B1969">
        <v>202512</v>
      </c>
      <c r="C1969" t="str">
        <f>MID(analisis_productividad__4[[#This Row],[Periodo]],1,4)</f>
        <v>2025</v>
      </c>
      <c r="D1969" t="str">
        <f>MID(analisis_productividad__4[[#This Row],[Periodo]],5,2)</f>
        <v>12</v>
      </c>
      <c r="E1969" t="s">
        <v>34</v>
      </c>
      <c r="F1969" t="s">
        <v>35</v>
      </c>
      <c r="G1969">
        <v>76090</v>
      </c>
      <c r="H1969">
        <v>2448997</v>
      </c>
      <c r="I1969">
        <v>32.18565188172041</v>
      </c>
      <c r="J1969">
        <v>69537.837267332652</v>
      </c>
      <c r="K1969">
        <v>41.5</v>
      </c>
      <c r="L1969">
        <v>43</v>
      </c>
      <c r="M1969">
        <v>35.218198699292678</v>
      </c>
      <c r="N1969">
        <v>2818179</v>
      </c>
    </row>
    <row r="1970" spans="1:14" x14ac:dyDescent="0.35">
      <c r="A1970" t="s">
        <v>65</v>
      </c>
      <c r="B1970">
        <v>202502</v>
      </c>
      <c r="C1970" t="str">
        <f>MID(analisis_productividad__4[[#This Row],[Periodo]],1,4)</f>
        <v>2025</v>
      </c>
      <c r="D1970" t="str">
        <f>MID(analisis_productividad__4[[#This Row],[Periodo]],5,2)</f>
        <v>02</v>
      </c>
      <c r="E1970" t="s">
        <v>16</v>
      </c>
      <c r="F1970" t="s">
        <v>19</v>
      </c>
      <c r="G1970">
        <v>76043</v>
      </c>
      <c r="H1970">
        <v>4813520</v>
      </c>
      <c r="I1970">
        <v>63.300104166666664</v>
      </c>
      <c r="J1970">
        <v>74437.675016909983</v>
      </c>
      <c r="K1970">
        <v>68</v>
      </c>
      <c r="L1970">
        <v>68.5</v>
      </c>
      <c r="M1970">
        <v>64.665104315879219</v>
      </c>
      <c r="N1970">
        <v>4381358</v>
      </c>
    </row>
    <row r="1971" spans="1:14" x14ac:dyDescent="0.35">
      <c r="A1971" t="s">
        <v>82</v>
      </c>
      <c r="B1971">
        <v>202505</v>
      </c>
      <c r="C1971" t="str">
        <f>MID(analisis_productividad__4[[#This Row],[Periodo]],1,4)</f>
        <v>2025</v>
      </c>
      <c r="D1971" t="str">
        <f>MID(analisis_productividad__4[[#This Row],[Periodo]],5,2)</f>
        <v>05</v>
      </c>
      <c r="E1971" t="s">
        <v>11</v>
      </c>
      <c r="F1971" t="s">
        <v>12</v>
      </c>
      <c r="G1971">
        <v>76043</v>
      </c>
      <c r="H1971">
        <v>4047688</v>
      </c>
      <c r="I1971">
        <v>53.229260752688148</v>
      </c>
      <c r="J1971">
        <v>68490.423082853522</v>
      </c>
      <c r="K1971">
        <v>53.5</v>
      </c>
      <c r="L1971">
        <v>54</v>
      </c>
      <c r="M1971">
        <v>59.098605437193349</v>
      </c>
      <c r="N1971">
        <v>3871255</v>
      </c>
    </row>
    <row r="1972" spans="1:14" x14ac:dyDescent="0.35">
      <c r="A1972" t="s">
        <v>97</v>
      </c>
      <c r="B1972">
        <v>202406</v>
      </c>
      <c r="C1972" t="str">
        <f>MID(analisis_productividad__4[[#This Row],[Periodo]],1,4)</f>
        <v>2024</v>
      </c>
      <c r="D1972" t="str">
        <f>MID(analisis_productividad__4[[#This Row],[Periodo]],5,2)</f>
        <v>06</v>
      </c>
      <c r="E1972" t="s">
        <v>11</v>
      </c>
      <c r="F1972" t="s">
        <v>12</v>
      </c>
      <c r="G1972">
        <v>76028</v>
      </c>
      <c r="H1972">
        <v>4995753</v>
      </c>
      <c r="I1972">
        <v>65.709340277777798</v>
      </c>
      <c r="J1972">
        <v>0</v>
      </c>
      <c r="K1972">
        <v>66.5</v>
      </c>
      <c r="L1972">
        <v>63.5</v>
      </c>
      <c r="N1972">
        <v>0</v>
      </c>
    </row>
    <row r="1973" spans="1:14" x14ac:dyDescent="0.35">
      <c r="A1973" t="s">
        <v>98</v>
      </c>
      <c r="B1973">
        <v>202605</v>
      </c>
      <c r="C1973" t="str">
        <f>MID(analisis_productividad__4[[#This Row],[Periodo]],1,4)</f>
        <v>2026</v>
      </c>
      <c r="D1973" t="str">
        <f>MID(analisis_productividad__4[[#This Row],[Periodo]],5,2)</f>
        <v>05</v>
      </c>
      <c r="E1973" t="s">
        <v>11</v>
      </c>
      <c r="F1973" t="s">
        <v>14</v>
      </c>
      <c r="G1973">
        <v>76028</v>
      </c>
      <c r="H1973">
        <v>3899155</v>
      </c>
      <c r="I1973">
        <v>51.285819892472936</v>
      </c>
      <c r="J1973">
        <v>73023.278758985951</v>
      </c>
      <c r="K1973">
        <v>61.5</v>
      </c>
      <c r="L1973">
        <v>56</v>
      </c>
      <c r="M1973">
        <v>52.842490794418893</v>
      </c>
      <c r="N1973">
        <v>3858732</v>
      </c>
    </row>
    <row r="1974" spans="1:14" x14ac:dyDescent="0.35">
      <c r="A1974" t="s">
        <v>82</v>
      </c>
      <c r="B1974">
        <v>202509</v>
      </c>
      <c r="C1974" t="str">
        <f>MID(analisis_productividad__4[[#This Row],[Periodo]],1,4)</f>
        <v>2025</v>
      </c>
      <c r="D1974" t="str">
        <f>MID(analisis_productividad__4[[#This Row],[Periodo]],5,2)</f>
        <v>09</v>
      </c>
      <c r="E1974" t="s">
        <v>11</v>
      </c>
      <c r="F1974" t="s">
        <v>12</v>
      </c>
      <c r="G1974">
        <v>76015</v>
      </c>
      <c r="H1974">
        <v>3428349</v>
      </c>
      <c r="I1974">
        <v>45.100902777777783</v>
      </c>
      <c r="J1974">
        <v>71276.34962219336</v>
      </c>
      <c r="K1974">
        <v>53.5</v>
      </c>
      <c r="L1974">
        <v>54</v>
      </c>
      <c r="M1974">
        <v>48.099384272234303</v>
      </c>
      <c r="N1974">
        <v>3814892</v>
      </c>
    </row>
    <row r="1975" spans="1:14" x14ac:dyDescent="0.35">
      <c r="A1975" t="s">
        <v>59</v>
      </c>
      <c r="B1975">
        <v>202404</v>
      </c>
      <c r="C1975" t="str">
        <f>MID(analisis_productividad__4[[#This Row],[Periodo]],1,4)</f>
        <v>2024</v>
      </c>
      <c r="D1975" t="str">
        <f>MID(analisis_productividad__4[[#This Row],[Periodo]],5,2)</f>
        <v>04</v>
      </c>
      <c r="E1975" t="s">
        <v>11</v>
      </c>
      <c r="F1975" t="s">
        <v>12</v>
      </c>
      <c r="G1975">
        <v>75952</v>
      </c>
      <c r="H1975">
        <v>6932312</v>
      </c>
      <c r="I1975">
        <v>91.272756944444509</v>
      </c>
      <c r="J1975">
        <v>0</v>
      </c>
      <c r="K1975">
        <v>94.5</v>
      </c>
      <c r="L1975">
        <v>97</v>
      </c>
      <c r="N1975">
        <v>0</v>
      </c>
    </row>
    <row r="1976" spans="1:14" x14ac:dyDescent="0.35">
      <c r="A1976" t="s">
        <v>97</v>
      </c>
      <c r="B1976">
        <v>202409</v>
      </c>
      <c r="C1976" t="str">
        <f>MID(analisis_productividad__4[[#This Row],[Periodo]],1,4)</f>
        <v>2024</v>
      </c>
      <c r="D1976" t="str">
        <f>MID(analisis_productividad__4[[#This Row],[Periodo]],5,2)</f>
        <v>09</v>
      </c>
      <c r="E1976" t="s">
        <v>11</v>
      </c>
      <c r="F1976" t="s">
        <v>12</v>
      </c>
      <c r="G1976">
        <v>75920</v>
      </c>
      <c r="H1976">
        <v>4511801</v>
      </c>
      <c r="I1976">
        <v>59.42849305555557</v>
      </c>
      <c r="J1976">
        <v>0</v>
      </c>
      <c r="K1976">
        <v>66.5</v>
      </c>
      <c r="L1976">
        <v>63.5</v>
      </c>
      <c r="N1976">
        <v>0</v>
      </c>
    </row>
    <row r="1977" spans="1:14" x14ac:dyDescent="0.35">
      <c r="A1977" t="s">
        <v>42</v>
      </c>
      <c r="B1977">
        <v>202406</v>
      </c>
      <c r="C1977" t="str">
        <f>MID(analisis_productividad__4[[#This Row],[Periodo]],1,4)</f>
        <v>2024</v>
      </c>
      <c r="D1977" t="str">
        <f>MID(analisis_productividad__4[[#This Row],[Periodo]],5,2)</f>
        <v>06</v>
      </c>
      <c r="E1977" t="s">
        <v>16</v>
      </c>
      <c r="F1977" t="s">
        <v>19</v>
      </c>
      <c r="G1977">
        <v>75903</v>
      </c>
      <c r="H1977">
        <v>4729921</v>
      </c>
      <c r="I1977">
        <v>62.314923611111105</v>
      </c>
      <c r="J1977">
        <v>0</v>
      </c>
      <c r="K1977">
        <v>62</v>
      </c>
      <c r="L1977">
        <v>58</v>
      </c>
      <c r="N1977">
        <v>0</v>
      </c>
    </row>
    <row r="1978" spans="1:14" x14ac:dyDescent="0.35">
      <c r="A1978" t="s">
        <v>78</v>
      </c>
      <c r="B1978">
        <v>202406</v>
      </c>
      <c r="C1978" t="str">
        <f>MID(analisis_productividad__4[[#This Row],[Periodo]],1,4)</f>
        <v>2024</v>
      </c>
      <c r="D1978" t="str">
        <f>MID(analisis_productividad__4[[#This Row],[Periodo]],5,2)</f>
        <v>06</v>
      </c>
      <c r="E1978" t="s">
        <v>11</v>
      </c>
      <c r="F1978" t="s">
        <v>14</v>
      </c>
      <c r="G1978">
        <v>75894</v>
      </c>
      <c r="H1978">
        <v>5466581</v>
      </c>
      <c r="I1978">
        <v>72.029027777777841</v>
      </c>
      <c r="J1978">
        <v>0</v>
      </c>
      <c r="K1978">
        <v>79.5</v>
      </c>
      <c r="L1978">
        <v>67</v>
      </c>
      <c r="N1978">
        <v>0</v>
      </c>
    </row>
    <row r="1979" spans="1:14" x14ac:dyDescent="0.35">
      <c r="A1979" t="s">
        <v>40</v>
      </c>
      <c r="B1979">
        <v>202506</v>
      </c>
      <c r="C1979" t="str">
        <f>MID(analisis_productividad__4[[#This Row],[Periodo]],1,4)</f>
        <v>2025</v>
      </c>
      <c r="D1979" t="str">
        <f>MID(analisis_productividad__4[[#This Row],[Periodo]],5,2)</f>
        <v>06</v>
      </c>
      <c r="E1979" t="s">
        <v>11</v>
      </c>
      <c r="F1979" t="s">
        <v>14</v>
      </c>
      <c r="G1979">
        <v>75892</v>
      </c>
      <c r="H1979">
        <v>5292469</v>
      </c>
      <c r="I1979">
        <v>69.736916666666673</v>
      </c>
      <c r="J1979">
        <v>101428.26423251473</v>
      </c>
      <c r="K1979">
        <v>76.5</v>
      </c>
      <c r="L1979">
        <v>75.5</v>
      </c>
      <c r="M1979">
        <v>52.179425429853701</v>
      </c>
      <c r="N1979">
        <v>6334515</v>
      </c>
    </row>
    <row r="1980" spans="1:14" x14ac:dyDescent="0.35">
      <c r="A1980" t="s">
        <v>98</v>
      </c>
      <c r="B1980">
        <v>202604</v>
      </c>
      <c r="C1980" t="str">
        <f>MID(analisis_productividad__4[[#This Row],[Periodo]],1,4)</f>
        <v>2026</v>
      </c>
      <c r="D1980" t="str">
        <f>MID(analisis_productividad__4[[#This Row],[Periodo]],5,2)</f>
        <v>04</v>
      </c>
      <c r="E1980" t="s">
        <v>11</v>
      </c>
      <c r="F1980" t="s">
        <v>14</v>
      </c>
      <c r="G1980">
        <v>75863</v>
      </c>
      <c r="H1980">
        <v>3934945</v>
      </c>
      <c r="I1980">
        <v>51.869173611111833</v>
      </c>
      <c r="J1980">
        <v>71651.442221567166</v>
      </c>
      <c r="K1980">
        <v>61.5</v>
      </c>
      <c r="L1980">
        <v>56</v>
      </c>
      <c r="M1980">
        <v>52.842490794418893</v>
      </c>
      <c r="N1980">
        <v>3786241</v>
      </c>
    </row>
    <row r="1981" spans="1:14" x14ac:dyDescent="0.35">
      <c r="A1981" t="s">
        <v>72</v>
      </c>
      <c r="B1981">
        <v>202405</v>
      </c>
      <c r="C1981" t="str">
        <f>MID(analisis_productividad__4[[#This Row],[Periodo]],1,4)</f>
        <v>2024</v>
      </c>
      <c r="D1981" t="str">
        <f>MID(analisis_productividad__4[[#This Row],[Periodo]],5,2)</f>
        <v>05</v>
      </c>
      <c r="E1981" t="s">
        <v>11</v>
      </c>
      <c r="F1981" t="s">
        <v>14</v>
      </c>
      <c r="G1981">
        <v>75845</v>
      </c>
      <c r="H1981">
        <v>4960387</v>
      </c>
      <c r="I1981">
        <v>65.401922043010757</v>
      </c>
      <c r="J1981">
        <v>0</v>
      </c>
      <c r="K1981">
        <v>66</v>
      </c>
      <c r="L1981">
        <v>64.5</v>
      </c>
      <c r="N1981">
        <v>0</v>
      </c>
    </row>
    <row r="1982" spans="1:14" x14ac:dyDescent="0.35">
      <c r="A1982" t="s">
        <v>45</v>
      </c>
      <c r="B1982">
        <v>202503</v>
      </c>
      <c r="C1982" t="str">
        <f>MID(analisis_productividad__4[[#This Row],[Periodo]],1,4)</f>
        <v>2025</v>
      </c>
      <c r="D1982" t="str">
        <f>MID(analisis_productividad__4[[#This Row],[Periodo]],5,2)</f>
        <v>03</v>
      </c>
      <c r="E1982" t="s">
        <v>34</v>
      </c>
      <c r="F1982" t="s">
        <v>35</v>
      </c>
      <c r="G1982">
        <v>75842</v>
      </c>
      <c r="H1982">
        <v>1850048</v>
      </c>
      <c r="I1982">
        <v>24.393353494623657</v>
      </c>
      <c r="J1982">
        <v>92888.803197786125</v>
      </c>
      <c r="K1982">
        <v>22.5</v>
      </c>
      <c r="L1982">
        <v>21</v>
      </c>
      <c r="M1982">
        <v>19.916804784972115</v>
      </c>
      <c r="N1982">
        <v>2035698</v>
      </c>
    </row>
    <row r="1983" spans="1:14" x14ac:dyDescent="0.35">
      <c r="A1983" t="s">
        <v>106</v>
      </c>
      <c r="B1983">
        <v>202603</v>
      </c>
      <c r="C1983" t="str">
        <f>MID(analisis_productividad__4[[#This Row],[Periodo]],1,4)</f>
        <v>2026</v>
      </c>
      <c r="D1983" t="str">
        <f>MID(analisis_productividad__4[[#This Row],[Periodo]],5,2)</f>
        <v>03</v>
      </c>
      <c r="E1983" t="s">
        <v>34</v>
      </c>
      <c r="F1983" t="s">
        <v>35</v>
      </c>
      <c r="G1983">
        <v>75789</v>
      </c>
      <c r="H1983">
        <v>3517102</v>
      </c>
      <c r="I1983">
        <v>46.406659946236559</v>
      </c>
      <c r="J1983">
        <v>85673.939962916993</v>
      </c>
      <c r="K1983">
        <v>51</v>
      </c>
      <c r="L1983">
        <v>49</v>
      </c>
      <c r="M1983">
        <v>41.451897990651069</v>
      </c>
      <c r="N1983">
        <v>3551347</v>
      </c>
    </row>
    <row r="1984" spans="1:14" x14ac:dyDescent="0.35">
      <c r="A1984" t="s">
        <v>79</v>
      </c>
      <c r="B1984">
        <v>202509</v>
      </c>
      <c r="C1984" t="str">
        <f>MID(analisis_productividad__4[[#This Row],[Periodo]],1,4)</f>
        <v>2025</v>
      </c>
      <c r="D1984" t="str">
        <f>MID(analisis_productividad__4[[#This Row],[Periodo]],5,2)</f>
        <v>09</v>
      </c>
      <c r="E1984" t="s">
        <v>11</v>
      </c>
      <c r="F1984" t="s">
        <v>12</v>
      </c>
      <c r="G1984">
        <v>75780</v>
      </c>
      <c r="H1984">
        <v>4420080</v>
      </c>
      <c r="I1984">
        <v>58.327888888888907</v>
      </c>
      <c r="J1984">
        <v>80632.997691525146</v>
      </c>
      <c r="K1984">
        <v>64.5</v>
      </c>
      <c r="L1984">
        <v>64</v>
      </c>
      <c r="M1984">
        <v>54.817259267846474</v>
      </c>
      <c r="N1984">
        <v>5142384</v>
      </c>
    </row>
    <row r="1985" spans="1:14" x14ac:dyDescent="0.35">
      <c r="A1985" t="s">
        <v>40</v>
      </c>
      <c r="B1985">
        <v>202409</v>
      </c>
      <c r="C1985" t="str">
        <f>MID(analisis_productividad__4[[#This Row],[Periodo]],1,4)</f>
        <v>2024</v>
      </c>
      <c r="D1985" t="str">
        <f>MID(analisis_productividad__4[[#This Row],[Periodo]],5,2)</f>
        <v>09</v>
      </c>
      <c r="E1985" t="s">
        <v>11</v>
      </c>
      <c r="F1985" t="s">
        <v>14</v>
      </c>
      <c r="G1985">
        <v>75778</v>
      </c>
      <c r="H1985">
        <v>5244059</v>
      </c>
      <c r="I1985">
        <v>69.203166666666689</v>
      </c>
      <c r="J1985">
        <v>0</v>
      </c>
      <c r="K1985">
        <v>76.5</v>
      </c>
      <c r="L1985">
        <v>75.5</v>
      </c>
      <c r="N1985">
        <v>0</v>
      </c>
    </row>
    <row r="1986" spans="1:14" x14ac:dyDescent="0.35">
      <c r="A1986" t="s">
        <v>94</v>
      </c>
      <c r="B1986">
        <v>202403</v>
      </c>
      <c r="C1986" t="str">
        <f>MID(analisis_productividad__4[[#This Row],[Periodo]],1,4)</f>
        <v>2024</v>
      </c>
      <c r="D1986" t="str">
        <f>MID(analisis_productividad__4[[#This Row],[Periodo]],5,2)</f>
        <v>03</v>
      </c>
      <c r="E1986" t="s">
        <v>11</v>
      </c>
      <c r="F1986" t="s">
        <v>52</v>
      </c>
      <c r="G1986">
        <v>75735</v>
      </c>
      <c r="H1986">
        <v>6093554</v>
      </c>
      <c r="I1986">
        <v>80.458413978494647</v>
      </c>
      <c r="J1986">
        <v>0</v>
      </c>
      <c r="K1986">
        <v>75.5</v>
      </c>
      <c r="L1986">
        <v>70.5</v>
      </c>
      <c r="N1986">
        <v>0</v>
      </c>
    </row>
    <row r="1987" spans="1:14" x14ac:dyDescent="0.35">
      <c r="A1987" t="s">
        <v>86</v>
      </c>
      <c r="B1987">
        <v>202604</v>
      </c>
      <c r="C1987" t="str">
        <f>MID(analisis_productividad__4[[#This Row],[Periodo]],1,4)</f>
        <v>2026</v>
      </c>
      <c r="D1987" t="str">
        <f>MID(analisis_productividad__4[[#This Row],[Periodo]],5,2)</f>
        <v>04</v>
      </c>
      <c r="E1987" t="s">
        <v>11</v>
      </c>
      <c r="F1987" t="s">
        <v>14</v>
      </c>
      <c r="G1987">
        <v>75712</v>
      </c>
      <c r="H1987">
        <v>4046590</v>
      </c>
      <c r="I1987">
        <v>53.447041666667523</v>
      </c>
      <c r="J1987">
        <v>76015.780134736662</v>
      </c>
      <c r="K1987">
        <v>69.5</v>
      </c>
      <c r="L1987">
        <v>59</v>
      </c>
      <c r="M1987">
        <v>57.926444284268129</v>
      </c>
      <c r="N1987">
        <v>4403324</v>
      </c>
    </row>
    <row r="1988" spans="1:14" x14ac:dyDescent="0.35">
      <c r="A1988" t="s">
        <v>73</v>
      </c>
      <c r="B1988">
        <v>202505</v>
      </c>
      <c r="C1988" t="str">
        <f>MID(analisis_productividad__4[[#This Row],[Periodo]],1,4)</f>
        <v>2025</v>
      </c>
      <c r="D1988" t="str">
        <f>MID(analisis_productividad__4[[#This Row],[Periodo]],5,2)</f>
        <v>05</v>
      </c>
      <c r="E1988" t="s">
        <v>16</v>
      </c>
      <c r="F1988" t="s">
        <v>21</v>
      </c>
      <c r="G1988">
        <v>75700</v>
      </c>
      <c r="H1988">
        <v>2988564</v>
      </c>
      <c r="I1988">
        <v>39.479294354838693</v>
      </c>
      <c r="J1988">
        <v>64615.012334371597</v>
      </c>
      <c r="K1988">
        <v>43.5</v>
      </c>
      <c r="L1988">
        <v>41</v>
      </c>
      <c r="M1988">
        <v>46.251854051109561</v>
      </c>
      <c r="N1988">
        <v>2797794</v>
      </c>
    </row>
    <row r="1989" spans="1:14" x14ac:dyDescent="0.35">
      <c r="A1989" t="s">
        <v>107</v>
      </c>
      <c r="B1989">
        <v>202606</v>
      </c>
      <c r="C1989" t="str">
        <f>MID(analisis_productividad__4[[#This Row],[Periodo]],1,4)</f>
        <v>2026</v>
      </c>
      <c r="D1989" t="str">
        <f>MID(analisis_productividad__4[[#This Row],[Periodo]],5,2)</f>
        <v>06</v>
      </c>
      <c r="E1989" t="s">
        <v>34</v>
      </c>
      <c r="F1989" t="s">
        <v>35</v>
      </c>
      <c r="G1989">
        <v>75694</v>
      </c>
      <c r="H1989">
        <v>5143879</v>
      </c>
      <c r="I1989">
        <v>67.955951388888607</v>
      </c>
      <c r="J1989">
        <v>73459.505316510156</v>
      </c>
      <c r="K1989">
        <v>87</v>
      </c>
      <c r="L1989">
        <v>77.5</v>
      </c>
      <c r="M1989">
        <v>73.970842069892498</v>
      </c>
      <c r="N1989">
        <v>5433861</v>
      </c>
    </row>
    <row r="1990" spans="1:14" x14ac:dyDescent="0.35">
      <c r="A1990" t="s">
        <v>73</v>
      </c>
      <c r="B1990">
        <v>202408</v>
      </c>
      <c r="C1990" t="str">
        <f>MID(analisis_productividad__4[[#This Row],[Periodo]],1,4)</f>
        <v>2024</v>
      </c>
      <c r="D1990" t="str">
        <f>MID(analisis_productividad__4[[#This Row],[Periodo]],5,2)</f>
        <v>08</v>
      </c>
      <c r="E1990" t="s">
        <v>16</v>
      </c>
      <c r="F1990" t="s">
        <v>21</v>
      </c>
      <c r="G1990">
        <v>75674</v>
      </c>
      <c r="H1990">
        <v>3074923</v>
      </c>
      <c r="I1990">
        <v>40.633965053763454</v>
      </c>
      <c r="J1990">
        <v>0</v>
      </c>
      <c r="K1990">
        <v>43.5</v>
      </c>
      <c r="L1990">
        <v>41</v>
      </c>
      <c r="N1990">
        <v>0</v>
      </c>
    </row>
    <row r="1991" spans="1:14" x14ac:dyDescent="0.35">
      <c r="A1991" t="s">
        <v>79</v>
      </c>
      <c r="B1991">
        <v>202405</v>
      </c>
      <c r="C1991" t="str">
        <f>MID(analisis_productividad__4[[#This Row],[Periodo]],1,4)</f>
        <v>2024</v>
      </c>
      <c r="D1991" t="str">
        <f>MID(analisis_productividad__4[[#This Row],[Periodo]],5,2)</f>
        <v>05</v>
      </c>
      <c r="E1991" t="s">
        <v>11</v>
      </c>
      <c r="F1991" t="s">
        <v>12</v>
      </c>
      <c r="G1991">
        <v>75652</v>
      </c>
      <c r="H1991">
        <v>4932519</v>
      </c>
      <c r="I1991">
        <v>65.200342741935472</v>
      </c>
      <c r="J1991">
        <v>0</v>
      </c>
      <c r="K1991">
        <v>64.5</v>
      </c>
      <c r="L1991">
        <v>64</v>
      </c>
      <c r="N1991">
        <v>0</v>
      </c>
    </row>
    <row r="1992" spans="1:14" x14ac:dyDescent="0.35">
      <c r="A1992" t="s">
        <v>60</v>
      </c>
      <c r="B1992">
        <v>202409</v>
      </c>
      <c r="C1992" t="str">
        <f>MID(analisis_productividad__4[[#This Row],[Periodo]],1,4)</f>
        <v>2024</v>
      </c>
      <c r="D1992" t="str">
        <f>MID(analisis_productividad__4[[#This Row],[Periodo]],5,2)</f>
        <v>09</v>
      </c>
      <c r="E1992" t="s">
        <v>11</v>
      </c>
      <c r="F1992" t="s">
        <v>14</v>
      </c>
      <c r="G1992">
        <v>75634</v>
      </c>
      <c r="H1992">
        <v>5516483</v>
      </c>
      <c r="I1992">
        <v>72.936986111111125</v>
      </c>
      <c r="J1992">
        <v>0</v>
      </c>
      <c r="K1992">
        <v>75.5</v>
      </c>
      <c r="L1992">
        <v>74</v>
      </c>
      <c r="N1992">
        <v>0</v>
      </c>
    </row>
    <row r="1993" spans="1:14" x14ac:dyDescent="0.35">
      <c r="A1993" t="s">
        <v>78</v>
      </c>
      <c r="B1993">
        <v>202505</v>
      </c>
      <c r="C1993" t="str">
        <f>MID(analisis_productividad__4[[#This Row],[Periodo]],1,4)</f>
        <v>2025</v>
      </c>
      <c r="D1993" t="str">
        <f>MID(analisis_productividad__4[[#This Row],[Periodo]],5,2)</f>
        <v>05</v>
      </c>
      <c r="E1993" t="s">
        <v>11</v>
      </c>
      <c r="F1993" t="s">
        <v>14</v>
      </c>
      <c r="G1993">
        <v>75624</v>
      </c>
      <c r="H1993">
        <v>5368882</v>
      </c>
      <c r="I1993">
        <v>70.994677419354844</v>
      </c>
      <c r="J1993">
        <v>70354.586906211538</v>
      </c>
      <c r="K1993">
        <v>79.5</v>
      </c>
      <c r="L1993">
        <v>67</v>
      </c>
      <c r="M1993">
        <v>76.311761408778679</v>
      </c>
      <c r="N1993">
        <v>5403018</v>
      </c>
    </row>
    <row r="1994" spans="1:14" x14ac:dyDescent="0.35">
      <c r="A1994" t="s">
        <v>76</v>
      </c>
      <c r="B1994">
        <v>202404</v>
      </c>
      <c r="C1994" t="str">
        <f>MID(analisis_productividad__4[[#This Row],[Periodo]],1,4)</f>
        <v>2024</v>
      </c>
      <c r="D1994" t="str">
        <f>MID(analisis_productividad__4[[#This Row],[Periodo]],5,2)</f>
        <v>04</v>
      </c>
      <c r="E1994" t="s">
        <v>11</v>
      </c>
      <c r="F1994" t="s">
        <v>14</v>
      </c>
      <c r="G1994">
        <v>75618</v>
      </c>
      <c r="H1994">
        <v>5969341</v>
      </c>
      <c r="I1994">
        <v>78.940895833333371</v>
      </c>
      <c r="J1994">
        <v>0</v>
      </c>
      <c r="K1994">
        <v>80</v>
      </c>
      <c r="L1994">
        <v>78</v>
      </c>
      <c r="N1994">
        <v>0</v>
      </c>
    </row>
    <row r="1995" spans="1:14" x14ac:dyDescent="0.35">
      <c r="A1995" t="s">
        <v>33</v>
      </c>
      <c r="B1995">
        <v>202506</v>
      </c>
      <c r="C1995" t="str">
        <f>MID(analisis_productividad__4[[#This Row],[Periodo]],1,4)</f>
        <v>2025</v>
      </c>
      <c r="D1995" t="str">
        <f>MID(analisis_productividad__4[[#This Row],[Periodo]],5,2)</f>
        <v>06</v>
      </c>
      <c r="E1995" t="s">
        <v>34</v>
      </c>
      <c r="F1995" t="s">
        <v>35</v>
      </c>
      <c r="G1995">
        <v>75587</v>
      </c>
      <c r="H1995">
        <v>1012839</v>
      </c>
      <c r="I1995">
        <v>13.399701388888889</v>
      </c>
      <c r="J1995">
        <v>93000.894029512827</v>
      </c>
      <c r="K1995">
        <v>15</v>
      </c>
      <c r="L1995">
        <v>15</v>
      </c>
      <c r="M1995">
        <v>10.890634123136348</v>
      </c>
      <c r="N1995">
        <v>1088957</v>
      </c>
    </row>
    <row r="1996" spans="1:14" x14ac:dyDescent="0.35">
      <c r="A1996" t="s">
        <v>86</v>
      </c>
      <c r="B1996">
        <v>202406</v>
      </c>
      <c r="C1996" t="str">
        <f>MID(analisis_productividad__4[[#This Row],[Periodo]],1,4)</f>
        <v>2024</v>
      </c>
      <c r="D1996" t="str">
        <f>MID(analisis_productividad__4[[#This Row],[Periodo]],5,2)</f>
        <v>06</v>
      </c>
      <c r="E1996" t="s">
        <v>11</v>
      </c>
      <c r="F1996" t="s">
        <v>14</v>
      </c>
      <c r="G1996">
        <v>75568</v>
      </c>
      <c r="H1996">
        <v>4803306</v>
      </c>
      <c r="I1996">
        <v>63.562527777777788</v>
      </c>
      <c r="J1996">
        <v>0</v>
      </c>
      <c r="K1996">
        <v>69.5</v>
      </c>
      <c r="L1996">
        <v>59</v>
      </c>
      <c r="N1996">
        <v>0</v>
      </c>
    </row>
    <row r="1997" spans="1:14" x14ac:dyDescent="0.35">
      <c r="A1997" t="s">
        <v>97</v>
      </c>
      <c r="B1997">
        <v>202606</v>
      </c>
      <c r="C1997" t="str">
        <f>MID(analisis_productividad__4[[#This Row],[Periodo]],1,4)</f>
        <v>2026</v>
      </c>
      <c r="D1997" t="str">
        <f>MID(analisis_productividad__4[[#This Row],[Periodo]],5,2)</f>
        <v>06</v>
      </c>
      <c r="E1997" t="s">
        <v>11</v>
      </c>
      <c r="F1997" t="s">
        <v>12</v>
      </c>
      <c r="G1997">
        <v>75558</v>
      </c>
      <c r="H1997">
        <v>4235429</v>
      </c>
      <c r="I1997">
        <v>56.055368055555583</v>
      </c>
      <c r="J1997">
        <v>2.5598265104194331</v>
      </c>
      <c r="K1997">
        <v>66.5</v>
      </c>
      <c r="L1997">
        <v>63.5</v>
      </c>
      <c r="M1997">
        <v>54.652141241039438</v>
      </c>
      <c r="N1997">
        <v>140</v>
      </c>
    </row>
    <row r="1998" spans="1:14" x14ac:dyDescent="0.35">
      <c r="A1998" t="s">
        <v>74</v>
      </c>
      <c r="B1998">
        <v>202410</v>
      </c>
      <c r="C1998" t="str">
        <f>MID(analisis_productividad__4[[#This Row],[Periodo]],1,4)</f>
        <v>2024</v>
      </c>
      <c r="D1998" t="str">
        <f>MID(analisis_productividad__4[[#This Row],[Periodo]],5,2)</f>
        <v>10</v>
      </c>
      <c r="E1998" t="s">
        <v>16</v>
      </c>
      <c r="F1998" t="s">
        <v>19</v>
      </c>
      <c r="G1998">
        <v>75522</v>
      </c>
      <c r="H1998">
        <v>3457750</v>
      </c>
      <c r="I1998">
        <v>45.784751344086011</v>
      </c>
      <c r="J1998">
        <v>0</v>
      </c>
      <c r="K1998">
        <v>50.5</v>
      </c>
      <c r="L1998">
        <v>51.5</v>
      </c>
      <c r="N1998">
        <v>0</v>
      </c>
    </row>
    <row r="1999" spans="1:14" x14ac:dyDescent="0.35">
      <c r="A1999" t="s">
        <v>60</v>
      </c>
      <c r="B1999">
        <v>202509</v>
      </c>
      <c r="C1999" t="str">
        <f>MID(analisis_productividad__4[[#This Row],[Periodo]],1,4)</f>
        <v>2025</v>
      </c>
      <c r="D1999" t="str">
        <f>MID(analisis_productividad__4[[#This Row],[Periodo]],5,2)</f>
        <v>09</v>
      </c>
      <c r="E1999" t="s">
        <v>11</v>
      </c>
      <c r="F1999" t="s">
        <v>14</v>
      </c>
      <c r="G1999">
        <v>75499</v>
      </c>
      <c r="H1999">
        <v>4270063</v>
      </c>
      <c r="I1999">
        <v>56.558152777777792</v>
      </c>
      <c r="J1999">
        <v>79415.224967975548</v>
      </c>
      <c r="K1999">
        <v>75.5</v>
      </c>
      <c r="L1999">
        <v>74</v>
      </c>
      <c r="M1999">
        <v>53.768823946817719</v>
      </c>
      <c r="N1999">
        <v>6145122</v>
      </c>
    </row>
    <row r="2000" spans="1:14" x14ac:dyDescent="0.35">
      <c r="A2000" t="s">
        <v>106</v>
      </c>
      <c r="B2000">
        <v>202401</v>
      </c>
      <c r="C2000" t="str">
        <f>MID(analisis_productividad__4[[#This Row],[Periodo]],1,4)</f>
        <v>2024</v>
      </c>
      <c r="D2000" t="str">
        <f>MID(analisis_productividad__4[[#This Row],[Periodo]],5,2)</f>
        <v>01</v>
      </c>
      <c r="E2000" t="s">
        <v>34</v>
      </c>
      <c r="F2000" t="s">
        <v>35</v>
      </c>
      <c r="G2000">
        <v>75458</v>
      </c>
      <c r="H2000">
        <v>3253731</v>
      </c>
      <c r="I2000">
        <v>43.119529569892478</v>
      </c>
      <c r="J2000">
        <v>0</v>
      </c>
      <c r="K2000">
        <v>51</v>
      </c>
      <c r="L2000">
        <v>49</v>
      </c>
      <c r="N2000">
        <v>0</v>
      </c>
    </row>
    <row r="2001" spans="1:14" x14ac:dyDescent="0.35">
      <c r="A2001" t="s">
        <v>94</v>
      </c>
      <c r="B2001">
        <v>202501</v>
      </c>
      <c r="C2001" t="str">
        <f>MID(analisis_productividad__4[[#This Row],[Periodo]],1,4)</f>
        <v>2025</v>
      </c>
      <c r="D2001" t="str">
        <f>MID(analisis_productividad__4[[#This Row],[Periodo]],5,2)</f>
        <v>01</v>
      </c>
      <c r="E2001" t="s">
        <v>11</v>
      </c>
      <c r="F2001" t="s">
        <v>52</v>
      </c>
      <c r="G2001">
        <v>75403</v>
      </c>
      <c r="H2001">
        <v>4982684</v>
      </c>
      <c r="I2001">
        <v>66.080893817204284</v>
      </c>
      <c r="J2001">
        <v>72471.919261342962</v>
      </c>
      <c r="K2001">
        <v>75.5</v>
      </c>
      <c r="L2001">
        <v>70.5</v>
      </c>
      <c r="M2001">
        <v>68.753308740614514</v>
      </c>
      <c r="N2001">
        <v>5337107</v>
      </c>
    </row>
    <row r="2002" spans="1:14" x14ac:dyDescent="0.35">
      <c r="A2002" t="s">
        <v>83</v>
      </c>
      <c r="B2002">
        <v>202508</v>
      </c>
      <c r="C2002" t="str">
        <f>MID(analisis_productividad__4[[#This Row],[Periodo]],1,4)</f>
        <v>2025</v>
      </c>
      <c r="D2002" t="str">
        <f>MID(analisis_productividad__4[[#This Row],[Periodo]],5,2)</f>
        <v>08</v>
      </c>
      <c r="E2002" t="s">
        <v>16</v>
      </c>
      <c r="F2002" t="s">
        <v>17</v>
      </c>
      <c r="G2002">
        <v>75398</v>
      </c>
      <c r="H2002">
        <v>3420153</v>
      </c>
      <c r="I2002">
        <v>45.36108198924731</v>
      </c>
      <c r="J2002">
        <v>80549.075287554442</v>
      </c>
      <c r="K2002">
        <v>52</v>
      </c>
      <c r="L2002">
        <v>52</v>
      </c>
      <c r="M2002">
        <v>42.460488190463984</v>
      </c>
      <c r="N2002">
        <v>3529703</v>
      </c>
    </row>
    <row r="2003" spans="1:14" x14ac:dyDescent="0.35">
      <c r="A2003" t="s">
        <v>79</v>
      </c>
      <c r="B2003">
        <v>202410</v>
      </c>
      <c r="C2003" t="str">
        <f>MID(analisis_productividad__4[[#This Row],[Periodo]],1,4)</f>
        <v>2024</v>
      </c>
      <c r="D2003" t="str">
        <f>MID(analisis_productividad__4[[#This Row],[Periodo]],5,2)</f>
        <v>10</v>
      </c>
      <c r="E2003" t="s">
        <v>11</v>
      </c>
      <c r="F2003" t="s">
        <v>12</v>
      </c>
      <c r="G2003">
        <v>75380</v>
      </c>
      <c r="H2003">
        <v>4526479</v>
      </c>
      <c r="I2003">
        <v>60.048568548387088</v>
      </c>
      <c r="J2003">
        <v>0</v>
      </c>
      <c r="K2003">
        <v>64.5</v>
      </c>
      <c r="L2003">
        <v>64</v>
      </c>
      <c r="N2003">
        <v>0</v>
      </c>
    </row>
    <row r="2004" spans="1:14" x14ac:dyDescent="0.35">
      <c r="A2004" t="s">
        <v>77</v>
      </c>
      <c r="B2004">
        <v>202401</v>
      </c>
      <c r="C2004" t="str">
        <f>MID(analisis_productividad__4[[#This Row],[Periodo]],1,4)</f>
        <v>2024</v>
      </c>
      <c r="D2004" t="str">
        <f>MID(analisis_productividad__4[[#This Row],[Periodo]],5,2)</f>
        <v>01</v>
      </c>
      <c r="E2004" t="s">
        <v>16</v>
      </c>
      <c r="F2004" t="s">
        <v>21</v>
      </c>
      <c r="G2004">
        <v>75307</v>
      </c>
      <c r="H2004">
        <v>4858036</v>
      </c>
      <c r="I2004">
        <v>64.509798387096765</v>
      </c>
      <c r="J2004">
        <v>0</v>
      </c>
      <c r="K2004">
        <v>60.5</v>
      </c>
      <c r="L2004">
        <v>60.5</v>
      </c>
      <c r="N2004">
        <v>0</v>
      </c>
    </row>
    <row r="2005" spans="1:14" x14ac:dyDescent="0.35">
      <c r="A2005" t="s">
        <v>85</v>
      </c>
      <c r="B2005">
        <v>202604</v>
      </c>
      <c r="C2005" t="str">
        <f>MID(analisis_productividad__4[[#This Row],[Periodo]],1,4)</f>
        <v>2026</v>
      </c>
      <c r="D2005" t="str">
        <f>MID(analisis_productividad__4[[#This Row],[Periodo]],5,2)</f>
        <v>04</v>
      </c>
      <c r="E2005" t="s">
        <v>11</v>
      </c>
      <c r="F2005" t="s">
        <v>14</v>
      </c>
      <c r="G2005">
        <v>75292</v>
      </c>
      <c r="H2005">
        <v>3761302</v>
      </c>
      <c r="I2005">
        <v>49.956326388888876</v>
      </c>
      <c r="J2005">
        <v>69493.953135864271</v>
      </c>
      <c r="K2005">
        <v>60.5</v>
      </c>
      <c r="L2005">
        <v>57.5</v>
      </c>
      <c r="M2005">
        <v>51.161312105083525</v>
      </c>
      <c r="N2005">
        <v>3555402</v>
      </c>
    </row>
    <row r="2006" spans="1:14" x14ac:dyDescent="0.35">
      <c r="A2006" t="s">
        <v>95</v>
      </c>
      <c r="B2006">
        <v>202512</v>
      </c>
      <c r="C2006" t="str">
        <f>MID(analisis_productividad__4[[#This Row],[Periodo]],1,4)</f>
        <v>2025</v>
      </c>
      <c r="D2006" t="str">
        <f>MID(analisis_productividad__4[[#This Row],[Periodo]],5,2)</f>
        <v>12</v>
      </c>
      <c r="E2006" t="s">
        <v>9</v>
      </c>
      <c r="F2006" t="s">
        <v>9</v>
      </c>
      <c r="G2006">
        <v>75291</v>
      </c>
      <c r="H2006">
        <v>823043</v>
      </c>
      <c r="I2006">
        <v>10.931478494623649</v>
      </c>
      <c r="J2006">
        <v>76994.781998471823</v>
      </c>
      <c r="K2006">
        <v>11</v>
      </c>
      <c r="L2006">
        <v>11</v>
      </c>
      <c r="M2006">
        <v>10.689595562675086</v>
      </c>
      <c r="N2006">
        <v>915150</v>
      </c>
    </row>
    <row r="2007" spans="1:14" x14ac:dyDescent="0.35">
      <c r="A2007" t="s">
        <v>106</v>
      </c>
      <c r="B2007">
        <v>202605</v>
      </c>
      <c r="C2007" t="str">
        <f>MID(analisis_productividad__4[[#This Row],[Periodo]],1,4)</f>
        <v>2026</v>
      </c>
      <c r="D2007" t="str">
        <f>MID(analisis_productividad__4[[#This Row],[Periodo]],5,2)</f>
        <v>05</v>
      </c>
      <c r="E2007" t="s">
        <v>34</v>
      </c>
      <c r="F2007" t="s">
        <v>35</v>
      </c>
      <c r="G2007">
        <v>75267</v>
      </c>
      <c r="H2007">
        <v>3314037</v>
      </c>
      <c r="I2007">
        <v>44.030517473118664</v>
      </c>
      <c r="J2007">
        <v>78303.04922423698</v>
      </c>
      <c r="K2007">
        <v>51</v>
      </c>
      <c r="L2007">
        <v>49</v>
      </c>
      <c r="M2007">
        <v>41.451897990651069</v>
      </c>
      <c r="N2007">
        <v>3245810</v>
      </c>
    </row>
    <row r="2008" spans="1:14" x14ac:dyDescent="0.35">
      <c r="A2008" t="s">
        <v>86</v>
      </c>
      <c r="B2008">
        <v>202411</v>
      </c>
      <c r="C2008" t="str">
        <f>MID(analisis_productividad__4[[#This Row],[Periodo]],1,4)</f>
        <v>2024</v>
      </c>
      <c r="D2008" t="str">
        <f>MID(analisis_productividad__4[[#This Row],[Periodo]],5,2)</f>
        <v>11</v>
      </c>
      <c r="E2008" t="s">
        <v>11</v>
      </c>
      <c r="F2008" t="s">
        <v>14</v>
      </c>
      <c r="G2008">
        <v>75261</v>
      </c>
      <c r="H2008">
        <v>4689421</v>
      </c>
      <c r="I2008">
        <v>62.309138888888882</v>
      </c>
      <c r="J2008">
        <v>0</v>
      </c>
      <c r="K2008">
        <v>69.5</v>
      </c>
      <c r="L2008">
        <v>59</v>
      </c>
      <c r="N2008">
        <v>0</v>
      </c>
    </row>
    <row r="2009" spans="1:14" x14ac:dyDescent="0.35">
      <c r="A2009" t="s">
        <v>86</v>
      </c>
      <c r="B2009">
        <v>202410</v>
      </c>
      <c r="C2009" t="str">
        <f>MID(analisis_productividad__4[[#This Row],[Periodo]],1,4)</f>
        <v>2024</v>
      </c>
      <c r="D2009" t="str">
        <f>MID(analisis_productividad__4[[#This Row],[Periodo]],5,2)</f>
        <v>10</v>
      </c>
      <c r="E2009" t="s">
        <v>11</v>
      </c>
      <c r="F2009" t="s">
        <v>14</v>
      </c>
      <c r="G2009">
        <v>75246</v>
      </c>
      <c r="H2009">
        <v>4393749</v>
      </c>
      <c r="I2009">
        <v>58.391854838709662</v>
      </c>
      <c r="J2009">
        <v>0</v>
      </c>
      <c r="K2009">
        <v>69.5</v>
      </c>
      <c r="L2009">
        <v>59</v>
      </c>
      <c r="N2009">
        <v>0</v>
      </c>
    </row>
    <row r="2010" spans="1:14" x14ac:dyDescent="0.35">
      <c r="A2010" t="s">
        <v>82</v>
      </c>
      <c r="B2010">
        <v>202604</v>
      </c>
      <c r="C2010" t="str">
        <f>MID(analisis_productividad__4[[#This Row],[Periodo]],1,4)</f>
        <v>2026</v>
      </c>
      <c r="D2010" t="str">
        <f>MID(analisis_productividad__4[[#This Row],[Periodo]],5,2)</f>
        <v>04</v>
      </c>
      <c r="E2010" t="s">
        <v>11</v>
      </c>
      <c r="F2010" t="s">
        <v>12</v>
      </c>
      <c r="G2010">
        <v>75212</v>
      </c>
      <c r="H2010">
        <v>3956770</v>
      </c>
      <c r="I2010">
        <v>52.60815972222192</v>
      </c>
      <c r="J2010">
        <v>88970.061869668774</v>
      </c>
      <c r="K2010">
        <v>53.5</v>
      </c>
      <c r="L2010">
        <v>54</v>
      </c>
      <c r="M2010">
        <v>47.165198395018514</v>
      </c>
      <c r="N2010">
        <v>4196291</v>
      </c>
    </row>
    <row r="2011" spans="1:14" x14ac:dyDescent="0.35">
      <c r="A2011" t="s">
        <v>100</v>
      </c>
      <c r="B2011">
        <v>202510</v>
      </c>
      <c r="C2011" t="str">
        <f>MID(analisis_productividad__4[[#This Row],[Periodo]],1,4)</f>
        <v>2025</v>
      </c>
      <c r="D2011" t="str">
        <f>MID(analisis_productividad__4[[#This Row],[Periodo]],5,2)</f>
        <v>10</v>
      </c>
      <c r="E2011" t="s">
        <v>34</v>
      </c>
      <c r="F2011" t="s">
        <v>35</v>
      </c>
      <c r="G2011">
        <v>75209</v>
      </c>
      <c r="H2011">
        <v>2406773</v>
      </c>
      <c r="I2011">
        <v>32.001196236559132</v>
      </c>
      <c r="J2011">
        <v>68801.436131002294</v>
      </c>
      <c r="K2011">
        <v>44</v>
      </c>
      <c r="L2011">
        <v>40.5</v>
      </c>
      <c r="M2011">
        <v>34.981429390766671</v>
      </c>
      <c r="N2011">
        <v>2841235</v>
      </c>
    </row>
    <row r="2012" spans="1:14" x14ac:dyDescent="0.35">
      <c r="A2012" t="s">
        <v>120</v>
      </c>
      <c r="B2012">
        <v>202401</v>
      </c>
      <c r="C2012" t="str">
        <f>MID(analisis_productividad__4[[#This Row],[Periodo]],1,4)</f>
        <v>2024</v>
      </c>
      <c r="D2012" t="str">
        <f>MID(analisis_productividad__4[[#This Row],[Periodo]],5,2)</f>
        <v>01</v>
      </c>
      <c r="E2012" t="s">
        <v>9</v>
      </c>
      <c r="F2012" t="s">
        <v>9</v>
      </c>
      <c r="G2012">
        <v>75188</v>
      </c>
      <c r="H2012">
        <v>815353</v>
      </c>
      <c r="I2012">
        <v>10.844119623655914</v>
      </c>
      <c r="J2012">
        <v>0</v>
      </c>
      <c r="K2012">
        <v>11.5</v>
      </c>
      <c r="L2012">
        <v>12</v>
      </c>
      <c r="N2012">
        <v>0</v>
      </c>
    </row>
    <row r="2013" spans="1:14" x14ac:dyDescent="0.35">
      <c r="A2013" t="s">
        <v>48</v>
      </c>
      <c r="B2013">
        <v>202401</v>
      </c>
      <c r="C2013" t="str">
        <f>MID(analisis_productividad__4[[#This Row],[Periodo]],1,4)</f>
        <v>2024</v>
      </c>
      <c r="D2013" t="str">
        <f>MID(analisis_productividad__4[[#This Row],[Periodo]],5,2)</f>
        <v>01</v>
      </c>
      <c r="E2013" t="s">
        <v>16</v>
      </c>
      <c r="F2013" t="s">
        <v>21</v>
      </c>
      <c r="G2013">
        <v>75180</v>
      </c>
      <c r="H2013">
        <v>4364031</v>
      </c>
      <c r="I2013">
        <v>58.047876344086013</v>
      </c>
      <c r="J2013">
        <v>0</v>
      </c>
      <c r="K2013">
        <v>56</v>
      </c>
      <c r="L2013">
        <v>60</v>
      </c>
      <c r="N2013">
        <v>0</v>
      </c>
    </row>
    <row r="2014" spans="1:14" x14ac:dyDescent="0.35">
      <c r="A2014" t="s">
        <v>108</v>
      </c>
      <c r="B2014">
        <v>202603</v>
      </c>
      <c r="C2014" t="str">
        <f>MID(analisis_productividad__4[[#This Row],[Periodo]],1,4)</f>
        <v>2026</v>
      </c>
      <c r="D2014" t="str">
        <f>MID(analisis_productividad__4[[#This Row],[Periodo]],5,2)</f>
        <v>03</v>
      </c>
      <c r="E2014" t="s">
        <v>11</v>
      </c>
      <c r="F2014" t="s">
        <v>14</v>
      </c>
      <c r="G2014">
        <v>75155</v>
      </c>
      <c r="H2014">
        <v>3314990</v>
      </c>
      <c r="I2014">
        <v>44.108561827957004</v>
      </c>
      <c r="J2014">
        <v>84795.749823371763</v>
      </c>
      <c r="K2014">
        <v>47.5</v>
      </c>
      <c r="L2014">
        <v>43</v>
      </c>
      <c r="M2014">
        <v>41.487905995618128</v>
      </c>
      <c r="N2014">
        <v>3517998</v>
      </c>
    </row>
    <row r="2015" spans="1:14" x14ac:dyDescent="0.35">
      <c r="A2015" t="s">
        <v>41</v>
      </c>
      <c r="B2015">
        <v>202409</v>
      </c>
      <c r="C2015" t="str">
        <f>MID(analisis_productividad__4[[#This Row],[Periodo]],1,4)</f>
        <v>2024</v>
      </c>
      <c r="D2015" t="str">
        <f>MID(analisis_productividad__4[[#This Row],[Periodo]],5,2)</f>
        <v>09</v>
      </c>
      <c r="E2015" t="s">
        <v>16</v>
      </c>
      <c r="F2015" t="s">
        <v>19</v>
      </c>
      <c r="G2015">
        <v>75145</v>
      </c>
      <c r="H2015">
        <v>4052969</v>
      </c>
      <c r="I2015">
        <v>53.935388888888895</v>
      </c>
      <c r="J2015">
        <v>0</v>
      </c>
      <c r="K2015">
        <v>57.5</v>
      </c>
      <c r="L2015">
        <v>56.5</v>
      </c>
      <c r="N2015">
        <v>0</v>
      </c>
    </row>
    <row r="2016" spans="1:14" x14ac:dyDescent="0.35">
      <c r="A2016" t="s">
        <v>72</v>
      </c>
      <c r="B2016">
        <v>202404</v>
      </c>
      <c r="C2016" t="str">
        <f>MID(analisis_productividad__4[[#This Row],[Periodo]],1,4)</f>
        <v>2024</v>
      </c>
      <c r="D2016" t="str">
        <f>MID(analisis_productividad__4[[#This Row],[Periodo]],5,2)</f>
        <v>04</v>
      </c>
      <c r="E2016" t="s">
        <v>11</v>
      </c>
      <c r="F2016" t="s">
        <v>14</v>
      </c>
      <c r="G2016">
        <v>75114</v>
      </c>
      <c r="H2016">
        <v>4834626</v>
      </c>
      <c r="I2016">
        <v>64.363784722222221</v>
      </c>
      <c r="J2016">
        <v>0</v>
      </c>
      <c r="K2016">
        <v>66</v>
      </c>
      <c r="L2016">
        <v>64.5</v>
      </c>
      <c r="N2016">
        <v>0</v>
      </c>
    </row>
    <row r="2017" spans="1:14" x14ac:dyDescent="0.35">
      <c r="A2017" t="s">
        <v>90</v>
      </c>
      <c r="B2017">
        <v>202403</v>
      </c>
      <c r="C2017" t="str">
        <f>MID(analisis_productividad__4[[#This Row],[Periodo]],1,4)</f>
        <v>2024</v>
      </c>
      <c r="D2017" t="str">
        <f>MID(analisis_productividad__4[[#This Row],[Periodo]],5,2)</f>
        <v>03</v>
      </c>
      <c r="E2017" t="s">
        <v>11</v>
      </c>
      <c r="F2017" t="s">
        <v>14</v>
      </c>
      <c r="G2017">
        <v>75070</v>
      </c>
      <c r="H2017">
        <v>6217800</v>
      </c>
      <c r="I2017">
        <v>82.827123655913979</v>
      </c>
      <c r="J2017">
        <v>0</v>
      </c>
      <c r="K2017">
        <v>84.5</v>
      </c>
      <c r="L2017">
        <v>78.5</v>
      </c>
      <c r="N2017">
        <v>0</v>
      </c>
    </row>
    <row r="2018" spans="1:14" x14ac:dyDescent="0.35">
      <c r="A2018" t="s">
        <v>86</v>
      </c>
      <c r="B2018">
        <v>202401</v>
      </c>
      <c r="C2018" t="str">
        <f>MID(analisis_productividad__4[[#This Row],[Periodo]],1,4)</f>
        <v>2024</v>
      </c>
      <c r="D2018" t="str">
        <f>MID(analisis_productividad__4[[#This Row],[Periodo]],5,2)</f>
        <v>01</v>
      </c>
      <c r="E2018" t="s">
        <v>11</v>
      </c>
      <c r="F2018" t="s">
        <v>14</v>
      </c>
      <c r="G2018">
        <v>75059</v>
      </c>
      <c r="H2018">
        <v>4709411</v>
      </c>
      <c r="I2018">
        <v>62.742533602150552</v>
      </c>
      <c r="J2018">
        <v>0</v>
      </c>
      <c r="K2018">
        <v>69.5</v>
      </c>
      <c r="L2018">
        <v>59</v>
      </c>
      <c r="N2018">
        <v>0</v>
      </c>
    </row>
    <row r="2019" spans="1:14" x14ac:dyDescent="0.35">
      <c r="A2019" t="s">
        <v>69</v>
      </c>
      <c r="B2019">
        <v>202405</v>
      </c>
      <c r="C2019" t="str">
        <f>MID(analisis_productividad__4[[#This Row],[Periodo]],1,4)</f>
        <v>2024</v>
      </c>
      <c r="D2019" t="str">
        <f>MID(analisis_productividad__4[[#This Row],[Periodo]],5,2)</f>
        <v>05</v>
      </c>
      <c r="E2019" t="s">
        <v>11</v>
      </c>
      <c r="F2019" t="s">
        <v>52</v>
      </c>
      <c r="G2019">
        <v>75058</v>
      </c>
      <c r="H2019">
        <v>4748738</v>
      </c>
      <c r="I2019">
        <v>63.267674731182815</v>
      </c>
      <c r="J2019">
        <v>0</v>
      </c>
      <c r="K2019">
        <v>68</v>
      </c>
      <c r="L2019">
        <v>60.5</v>
      </c>
      <c r="N2019">
        <v>0</v>
      </c>
    </row>
    <row r="2020" spans="1:14" x14ac:dyDescent="0.35">
      <c r="A2020" t="s">
        <v>91</v>
      </c>
      <c r="B2020">
        <v>202410</v>
      </c>
      <c r="C2020" t="str">
        <f>MID(analisis_productividad__4[[#This Row],[Periodo]],1,4)</f>
        <v>2024</v>
      </c>
      <c r="D2020" t="str">
        <f>MID(analisis_productividad__4[[#This Row],[Periodo]],5,2)</f>
        <v>10</v>
      </c>
      <c r="E2020" t="s">
        <v>11</v>
      </c>
      <c r="F2020" t="s">
        <v>12</v>
      </c>
      <c r="G2020">
        <v>75005</v>
      </c>
      <c r="H2020">
        <v>3631068</v>
      </c>
      <c r="I2020">
        <v>48.410974462365566</v>
      </c>
      <c r="J2020">
        <v>0</v>
      </c>
      <c r="K2020">
        <v>55</v>
      </c>
      <c r="L2020">
        <v>55.5</v>
      </c>
      <c r="N2020">
        <v>0</v>
      </c>
    </row>
    <row r="2021" spans="1:14" x14ac:dyDescent="0.35">
      <c r="A2021" t="s">
        <v>66</v>
      </c>
      <c r="B2021">
        <v>202405</v>
      </c>
      <c r="C2021" t="str">
        <f>MID(analisis_productividad__4[[#This Row],[Periodo]],1,4)</f>
        <v>2024</v>
      </c>
      <c r="D2021" t="str">
        <f>MID(analisis_productividad__4[[#This Row],[Periodo]],5,2)</f>
        <v>05</v>
      </c>
      <c r="E2021" t="s">
        <v>11</v>
      </c>
      <c r="F2021" t="s">
        <v>12</v>
      </c>
      <c r="G2021">
        <v>74979</v>
      </c>
      <c r="H2021">
        <v>5849534</v>
      </c>
      <c r="I2021">
        <v>78.015893817204329</v>
      </c>
      <c r="J2021">
        <v>0</v>
      </c>
      <c r="K2021">
        <v>80</v>
      </c>
      <c r="L2021">
        <v>80.5</v>
      </c>
      <c r="N2021">
        <v>0</v>
      </c>
    </row>
    <row r="2022" spans="1:14" x14ac:dyDescent="0.35">
      <c r="A2022" t="s">
        <v>92</v>
      </c>
      <c r="B2022">
        <v>202511</v>
      </c>
      <c r="C2022" t="str">
        <f>MID(analisis_productividad__4[[#This Row],[Periodo]],1,4)</f>
        <v>2025</v>
      </c>
      <c r="D2022" t="str">
        <f>MID(analisis_productividad__4[[#This Row],[Periodo]],5,2)</f>
        <v>11</v>
      </c>
      <c r="E2022" t="s">
        <v>11</v>
      </c>
      <c r="F2022" t="s">
        <v>14</v>
      </c>
      <c r="G2022">
        <v>74944</v>
      </c>
      <c r="H2022">
        <v>3676394</v>
      </c>
      <c r="I2022">
        <v>49.054930555555586</v>
      </c>
      <c r="J2022">
        <v>65205.360973275463</v>
      </c>
      <c r="K2022">
        <v>63</v>
      </c>
      <c r="L2022">
        <v>59</v>
      </c>
      <c r="M2022">
        <v>56.381776208658323</v>
      </c>
      <c r="N2022">
        <v>3848820</v>
      </c>
    </row>
    <row r="2023" spans="1:14" x14ac:dyDescent="0.35">
      <c r="A2023" t="s">
        <v>42</v>
      </c>
      <c r="B2023">
        <v>202409</v>
      </c>
      <c r="C2023" t="str">
        <f>MID(analisis_productividad__4[[#This Row],[Periodo]],1,4)</f>
        <v>2024</v>
      </c>
      <c r="D2023" t="str">
        <f>MID(analisis_productividad__4[[#This Row],[Periodo]],5,2)</f>
        <v>09</v>
      </c>
      <c r="E2023" t="s">
        <v>16</v>
      </c>
      <c r="F2023" t="s">
        <v>19</v>
      </c>
      <c r="G2023">
        <v>74936</v>
      </c>
      <c r="H2023">
        <v>4322746</v>
      </c>
      <c r="I2023">
        <v>57.685784722222223</v>
      </c>
      <c r="J2023">
        <v>0</v>
      </c>
      <c r="K2023">
        <v>62</v>
      </c>
      <c r="L2023">
        <v>58</v>
      </c>
      <c r="N2023">
        <v>0</v>
      </c>
    </row>
    <row r="2024" spans="1:14" x14ac:dyDescent="0.35">
      <c r="A2024" t="s">
        <v>90</v>
      </c>
      <c r="B2024">
        <v>202504</v>
      </c>
      <c r="C2024" t="str">
        <f>MID(analisis_productividad__4[[#This Row],[Periodo]],1,4)</f>
        <v>2025</v>
      </c>
      <c r="D2024" t="str">
        <f>MID(analisis_productividad__4[[#This Row],[Periodo]],5,2)</f>
        <v>04</v>
      </c>
      <c r="E2024" t="s">
        <v>11</v>
      </c>
      <c r="F2024" t="s">
        <v>14</v>
      </c>
      <c r="G2024">
        <v>74928</v>
      </c>
      <c r="H2024">
        <v>5580085</v>
      </c>
      <c r="I2024">
        <v>74.472756944444441</v>
      </c>
      <c r="J2024">
        <v>64918.422470237027</v>
      </c>
      <c r="K2024">
        <v>84.5</v>
      </c>
      <c r="L2024">
        <v>78.5</v>
      </c>
      <c r="M2024">
        <v>85.955333134570338</v>
      </c>
      <c r="N2024">
        <v>6018322</v>
      </c>
    </row>
    <row r="2025" spans="1:14" x14ac:dyDescent="0.35">
      <c r="A2025" t="s">
        <v>106</v>
      </c>
      <c r="B2025">
        <v>202408</v>
      </c>
      <c r="C2025" t="str">
        <f>MID(analisis_productividad__4[[#This Row],[Periodo]],1,4)</f>
        <v>2024</v>
      </c>
      <c r="D2025" t="str">
        <f>MID(analisis_productividad__4[[#This Row],[Periodo]],5,2)</f>
        <v>08</v>
      </c>
      <c r="E2025" t="s">
        <v>34</v>
      </c>
      <c r="F2025" t="s">
        <v>35</v>
      </c>
      <c r="G2025">
        <v>74928</v>
      </c>
      <c r="H2025">
        <v>3355617</v>
      </c>
      <c r="I2025">
        <v>44.784711021505373</v>
      </c>
      <c r="J2025">
        <v>0</v>
      </c>
      <c r="K2025">
        <v>51</v>
      </c>
      <c r="L2025">
        <v>49</v>
      </c>
      <c r="N2025">
        <v>0</v>
      </c>
    </row>
    <row r="2026" spans="1:14" x14ac:dyDescent="0.35">
      <c r="A2026" t="s">
        <v>42</v>
      </c>
      <c r="B2026">
        <v>202506</v>
      </c>
      <c r="C2026" t="str">
        <f>MID(analisis_productividad__4[[#This Row],[Periodo]],1,4)</f>
        <v>2025</v>
      </c>
      <c r="D2026" t="str">
        <f>MID(analisis_productividad__4[[#This Row],[Periodo]],5,2)</f>
        <v>06</v>
      </c>
      <c r="E2026" t="s">
        <v>16</v>
      </c>
      <c r="F2026" t="s">
        <v>19</v>
      </c>
      <c r="G2026">
        <v>74908</v>
      </c>
      <c r="H2026">
        <v>4512287</v>
      </c>
      <c r="I2026">
        <v>60.237673611111141</v>
      </c>
      <c r="J2026">
        <v>79698.670714802254</v>
      </c>
      <c r="K2026">
        <v>62</v>
      </c>
      <c r="L2026">
        <v>58</v>
      </c>
      <c r="M2026">
        <v>56.616839020402175</v>
      </c>
      <c r="N2026">
        <v>4878582</v>
      </c>
    </row>
    <row r="2027" spans="1:14" x14ac:dyDescent="0.35">
      <c r="A2027" t="s">
        <v>82</v>
      </c>
      <c r="B2027">
        <v>202602</v>
      </c>
      <c r="C2027" t="str">
        <f>MID(analisis_productividad__4[[#This Row],[Periodo]],1,4)</f>
        <v>2026</v>
      </c>
      <c r="D2027" t="str">
        <f>MID(analisis_productividad__4[[#This Row],[Periodo]],5,2)</f>
        <v>02</v>
      </c>
      <c r="E2027" t="s">
        <v>11</v>
      </c>
      <c r="F2027" t="s">
        <v>12</v>
      </c>
      <c r="G2027">
        <v>74810</v>
      </c>
      <c r="H2027">
        <v>3908547</v>
      </c>
      <c r="I2027">
        <v>52.246510416666659</v>
      </c>
      <c r="J2027">
        <v>78197.936332428129</v>
      </c>
      <c r="K2027">
        <v>53.5</v>
      </c>
      <c r="L2027">
        <v>54</v>
      </c>
      <c r="M2027">
        <v>47.165198395018514</v>
      </c>
      <c r="N2027">
        <v>3688221</v>
      </c>
    </row>
    <row r="2028" spans="1:14" x14ac:dyDescent="0.35">
      <c r="A2028" t="s">
        <v>82</v>
      </c>
      <c r="B2028">
        <v>202411</v>
      </c>
      <c r="C2028" t="str">
        <f>MID(analisis_productividad__4[[#This Row],[Periodo]],1,4)</f>
        <v>2024</v>
      </c>
      <c r="D2028" t="str">
        <f>MID(analisis_productividad__4[[#This Row],[Periodo]],5,2)</f>
        <v>11</v>
      </c>
      <c r="E2028" t="s">
        <v>11</v>
      </c>
      <c r="F2028" t="s">
        <v>12</v>
      </c>
      <c r="G2028">
        <v>74806</v>
      </c>
      <c r="H2028">
        <v>3985576</v>
      </c>
      <c r="I2028">
        <v>53.278652777777779</v>
      </c>
      <c r="J2028">
        <v>0</v>
      </c>
      <c r="K2028">
        <v>53.5</v>
      </c>
      <c r="L2028">
        <v>54</v>
      </c>
      <c r="N2028">
        <v>0</v>
      </c>
    </row>
    <row r="2029" spans="1:14" x14ac:dyDescent="0.35">
      <c r="A2029" t="s">
        <v>95</v>
      </c>
      <c r="B2029">
        <v>202410</v>
      </c>
      <c r="C2029" t="str">
        <f>MID(analisis_productividad__4[[#This Row],[Periodo]],1,4)</f>
        <v>2024</v>
      </c>
      <c r="D2029" t="str">
        <f>MID(analisis_productividad__4[[#This Row],[Periodo]],5,2)</f>
        <v>10</v>
      </c>
      <c r="E2029" t="s">
        <v>9</v>
      </c>
      <c r="F2029" t="s">
        <v>9</v>
      </c>
      <c r="G2029">
        <v>74722</v>
      </c>
      <c r="H2029">
        <v>638661</v>
      </c>
      <c r="I2029">
        <v>8.547197580645161</v>
      </c>
      <c r="J2029">
        <v>0</v>
      </c>
      <c r="K2029">
        <v>11</v>
      </c>
      <c r="L2029">
        <v>11</v>
      </c>
      <c r="N2029">
        <v>0</v>
      </c>
    </row>
    <row r="2030" spans="1:14" x14ac:dyDescent="0.35">
      <c r="A2030" t="s">
        <v>78</v>
      </c>
      <c r="B2030">
        <v>202401</v>
      </c>
      <c r="C2030" t="str">
        <f>MID(analisis_productividad__4[[#This Row],[Periodo]],1,4)</f>
        <v>2024</v>
      </c>
      <c r="D2030" t="str">
        <f>MID(analisis_productividad__4[[#This Row],[Periodo]],5,2)</f>
        <v>01</v>
      </c>
      <c r="E2030" t="s">
        <v>11</v>
      </c>
      <c r="F2030" t="s">
        <v>14</v>
      </c>
      <c r="G2030">
        <v>74669</v>
      </c>
      <c r="H2030">
        <v>4759244</v>
      </c>
      <c r="I2030">
        <v>63.738010752688211</v>
      </c>
      <c r="J2030">
        <v>0</v>
      </c>
      <c r="K2030">
        <v>79.5</v>
      </c>
      <c r="L2030">
        <v>67</v>
      </c>
      <c r="N2030">
        <v>0</v>
      </c>
    </row>
    <row r="2031" spans="1:14" x14ac:dyDescent="0.35">
      <c r="A2031" t="s">
        <v>106</v>
      </c>
      <c r="B2031">
        <v>202604</v>
      </c>
      <c r="C2031" t="str">
        <f>MID(analisis_productividad__4[[#This Row],[Periodo]],1,4)</f>
        <v>2026</v>
      </c>
      <c r="D2031" t="str">
        <f>MID(analisis_productividad__4[[#This Row],[Periodo]],5,2)</f>
        <v>04</v>
      </c>
      <c r="E2031" t="s">
        <v>34</v>
      </c>
      <c r="F2031" t="s">
        <v>35</v>
      </c>
      <c r="G2031">
        <v>74649</v>
      </c>
      <c r="H2031">
        <v>3272377</v>
      </c>
      <c r="I2031">
        <v>43.836576388888751</v>
      </c>
      <c r="J2031">
        <v>78220.6883972184</v>
      </c>
      <c r="K2031">
        <v>51</v>
      </c>
      <c r="L2031">
        <v>49</v>
      </c>
      <c r="M2031">
        <v>41.451897990651069</v>
      </c>
      <c r="N2031">
        <v>3242396</v>
      </c>
    </row>
    <row r="2032" spans="1:14" x14ac:dyDescent="0.35">
      <c r="A2032" t="s">
        <v>89</v>
      </c>
      <c r="B2032">
        <v>202503</v>
      </c>
      <c r="C2032" t="str">
        <f>MID(analisis_productividad__4[[#This Row],[Periodo]],1,4)</f>
        <v>2025</v>
      </c>
      <c r="D2032" t="str">
        <f>MID(analisis_productividad__4[[#This Row],[Periodo]],5,2)</f>
        <v>03</v>
      </c>
      <c r="E2032" t="s">
        <v>9</v>
      </c>
      <c r="F2032" t="s">
        <v>9</v>
      </c>
      <c r="G2032">
        <v>74643</v>
      </c>
      <c r="H2032">
        <v>1087934</v>
      </c>
      <c r="I2032">
        <v>14.575241935483872</v>
      </c>
      <c r="J2032">
        <v>70365.775449378445</v>
      </c>
      <c r="K2032">
        <v>17</v>
      </c>
      <c r="L2032">
        <v>13.5</v>
      </c>
      <c r="M2032">
        <v>15.461124005983081</v>
      </c>
      <c r="N2032">
        <v>1168364</v>
      </c>
    </row>
    <row r="2033" spans="1:14" x14ac:dyDescent="0.35">
      <c r="A2033" t="s">
        <v>86</v>
      </c>
      <c r="B2033">
        <v>202508</v>
      </c>
      <c r="C2033" t="str">
        <f>MID(analisis_productividad__4[[#This Row],[Periodo]],1,4)</f>
        <v>2025</v>
      </c>
      <c r="D2033" t="str">
        <f>MID(analisis_productividad__4[[#This Row],[Periodo]],5,2)</f>
        <v>08</v>
      </c>
      <c r="E2033" t="s">
        <v>11</v>
      </c>
      <c r="F2033" t="s">
        <v>14</v>
      </c>
      <c r="G2033">
        <v>74609</v>
      </c>
      <c r="H2033">
        <v>4304277</v>
      </c>
      <c r="I2033">
        <v>57.69077284946237</v>
      </c>
      <c r="J2033">
        <v>81948.954196625768</v>
      </c>
      <c r="K2033">
        <v>69.5</v>
      </c>
      <c r="L2033">
        <v>59</v>
      </c>
      <c r="M2033">
        <v>52.523875041436803</v>
      </c>
      <c r="N2033">
        <v>4954131</v>
      </c>
    </row>
    <row r="2034" spans="1:14" x14ac:dyDescent="0.35">
      <c r="A2034" t="s">
        <v>91</v>
      </c>
      <c r="B2034">
        <v>202501</v>
      </c>
      <c r="C2034" t="str">
        <f>MID(analisis_productividad__4[[#This Row],[Periodo]],1,4)</f>
        <v>2025</v>
      </c>
      <c r="D2034" t="str">
        <f>MID(analisis_productividad__4[[#This Row],[Periodo]],5,2)</f>
        <v>01</v>
      </c>
      <c r="E2034" t="s">
        <v>11</v>
      </c>
      <c r="F2034" t="s">
        <v>12</v>
      </c>
      <c r="G2034">
        <v>74604</v>
      </c>
      <c r="H2034">
        <v>3886033</v>
      </c>
      <c r="I2034">
        <v>52.088844086021489</v>
      </c>
      <c r="J2034">
        <v>73440.866713335679</v>
      </c>
      <c r="K2034">
        <v>55</v>
      </c>
      <c r="L2034">
        <v>55.5</v>
      </c>
      <c r="M2034">
        <v>52.91377367819598</v>
      </c>
      <c r="N2034">
        <v>3666468</v>
      </c>
    </row>
    <row r="2035" spans="1:14" x14ac:dyDescent="0.35">
      <c r="A2035" t="s">
        <v>111</v>
      </c>
      <c r="B2035">
        <v>202412</v>
      </c>
      <c r="C2035" t="str">
        <f>MID(analisis_productividad__4[[#This Row],[Periodo]],1,4)</f>
        <v>2024</v>
      </c>
      <c r="D2035" t="str">
        <f>MID(analisis_productividad__4[[#This Row],[Periodo]],5,2)</f>
        <v>12</v>
      </c>
      <c r="E2035" t="s">
        <v>34</v>
      </c>
      <c r="F2035" t="s">
        <v>35</v>
      </c>
      <c r="G2035">
        <v>74584</v>
      </c>
      <c r="H2035">
        <v>3519612</v>
      </c>
      <c r="I2035">
        <v>47.189643817204299</v>
      </c>
      <c r="J2035">
        <v>0</v>
      </c>
      <c r="K2035">
        <v>45.5</v>
      </c>
      <c r="L2035">
        <v>42.5</v>
      </c>
      <c r="N2035">
        <v>0</v>
      </c>
    </row>
    <row r="2036" spans="1:14" x14ac:dyDescent="0.35">
      <c r="A2036" t="s">
        <v>98</v>
      </c>
      <c r="B2036">
        <v>202411</v>
      </c>
      <c r="C2036" t="str">
        <f>MID(analisis_productividad__4[[#This Row],[Periodo]],1,4)</f>
        <v>2024</v>
      </c>
      <c r="D2036" t="str">
        <f>MID(analisis_productividad__4[[#This Row],[Periodo]],5,2)</f>
        <v>11</v>
      </c>
      <c r="E2036" t="s">
        <v>11</v>
      </c>
      <c r="F2036" t="s">
        <v>14</v>
      </c>
      <c r="G2036">
        <v>74557</v>
      </c>
      <c r="H2036">
        <v>3847608</v>
      </c>
      <c r="I2036">
        <v>51.606041666666691</v>
      </c>
      <c r="J2036">
        <v>0</v>
      </c>
      <c r="K2036">
        <v>61.5</v>
      </c>
      <c r="L2036">
        <v>56</v>
      </c>
      <c r="N2036">
        <v>0</v>
      </c>
    </row>
    <row r="2037" spans="1:14" x14ac:dyDescent="0.35">
      <c r="A2037" t="s">
        <v>96</v>
      </c>
      <c r="B2037">
        <v>202604</v>
      </c>
      <c r="C2037" t="str">
        <f>MID(analisis_productividad__4[[#This Row],[Periodo]],1,4)</f>
        <v>2026</v>
      </c>
      <c r="D2037" t="str">
        <f>MID(analisis_productividad__4[[#This Row],[Periodo]],5,2)</f>
        <v>04</v>
      </c>
      <c r="E2037" t="s">
        <v>16</v>
      </c>
      <c r="F2037" t="s">
        <v>17</v>
      </c>
      <c r="G2037">
        <v>74542</v>
      </c>
      <c r="H2037">
        <v>5455207</v>
      </c>
      <c r="I2037">
        <v>73.18290972222384</v>
      </c>
      <c r="J2037">
        <v>59352.996215476203</v>
      </c>
      <c r="K2037">
        <v>84</v>
      </c>
      <c r="L2037">
        <v>76.5</v>
      </c>
      <c r="M2037">
        <v>84</v>
      </c>
      <c r="N2037">
        <v>4985652</v>
      </c>
    </row>
    <row r="2038" spans="1:14" x14ac:dyDescent="0.35">
      <c r="A2038" t="s">
        <v>66</v>
      </c>
      <c r="B2038">
        <v>202410</v>
      </c>
      <c r="C2038" t="str">
        <f>MID(analisis_productividad__4[[#This Row],[Periodo]],1,4)</f>
        <v>2024</v>
      </c>
      <c r="D2038" t="str">
        <f>MID(analisis_productividad__4[[#This Row],[Periodo]],5,2)</f>
        <v>10</v>
      </c>
      <c r="E2038" t="s">
        <v>11</v>
      </c>
      <c r="F2038" t="s">
        <v>12</v>
      </c>
      <c r="G2038">
        <v>74502</v>
      </c>
      <c r="H2038">
        <v>5317316</v>
      </c>
      <c r="I2038">
        <v>71.371538978494627</v>
      </c>
      <c r="J2038">
        <v>0</v>
      </c>
      <c r="K2038">
        <v>80</v>
      </c>
      <c r="L2038">
        <v>80.5</v>
      </c>
      <c r="N2038">
        <v>0</v>
      </c>
    </row>
    <row r="2039" spans="1:14" x14ac:dyDescent="0.35">
      <c r="A2039" t="s">
        <v>91</v>
      </c>
      <c r="B2039">
        <v>202409</v>
      </c>
      <c r="C2039" t="str">
        <f>MID(analisis_productividad__4[[#This Row],[Periodo]],1,4)</f>
        <v>2024</v>
      </c>
      <c r="D2039" t="str">
        <f>MID(analisis_productividad__4[[#This Row],[Periodo]],5,2)</f>
        <v>09</v>
      </c>
      <c r="E2039" t="s">
        <v>11</v>
      </c>
      <c r="F2039" t="s">
        <v>12</v>
      </c>
      <c r="G2039">
        <v>74463</v>
      </c>
      <c r="H2039">
        <v>3616117</v>
      </c>
      <c r="I2039">
        <v>48.562500000000021</v>
      </c>
      <c r="J2039">
        <v>0</v>
      </c>
      <c r="K2039">
        <v>55</v>
      </c>
      <c r="L2039">
        <v>55.5</v>
      </c>
      <c r="N2039">
        <v>0</v>
      </c>
    </row>
    <row r="2040" spans="1:14" x14ac:dyDescent="0.35">
      <c r="A2040" t="s">
        <v>90</v>
      </c>
      <c r="B2040">
        <v>202506</v>
      </c>
      <c r="C2040" t="str">
        <f>MID(analisis_productividad__4[[#This Row],[Periodo]],1,4)</f>
        <v>2025</v>
      </c>
      <c r="D2040" t="str">
        <f>MID(analisis_productividad__4[[#This Row],[Periodo]],5,2)</f>
        <v>06</v>
      </c>
      <c r="E2040" t="s">
        <v>11</v>
      </c>
      <c r="F2040" t="s">
        <v>14</v>
      </c>
      <c r="G2040">
        <v>74423</v>
      </c>
      <c r="H2040">
        <v>5329797</v>
      </c>
      <c r="I2040">
        <v>71.614909722222222</v>
      </c>
      <c r="J2040">
        <v>71575.027423999723</v>
      </c>
      <c r="K2040">
        <v>84.5</v>
      </c>
      <c r="L2040">
        <v>78.5</v>
      </c>
      <c r="M2040">
        <v>74.464471922966695</v>
      </c>
      <c r="N2040">
        <v>5965055</v>
      </c>
    </row>
    <row r="2041" spans="1:14" x14ac:dyDescent="0.35">
      <c r="A2041" t="s">
        <v>103</v>
      </c>
      <c r="B2041">
        <v>202504</v>
      </c>
      <c r="C2041" t="str">
        <f>MID(analisis_productividad__4[[#This Row],[Periodo]],1,4)</f>
        <v>2025</v>
      </c>
      <c r="D2041" t="str">
        <f>MID(analisis_productividad__4[[#This Row],[Periodo]],5,2)</f>
        <v>04</v>
      </c>
      <c r="E2041" t="s">
        <v>104</v>
      </c>
      <c r="F2041" t="s">
        <v>104</v>
      </c>
      <c r="G2041">
        <v>74415</v>
      </c>
      <c r="H2041">
        <v>5580877</v>
      </c>
      <c r="I2041">
        <v>74.996249999999975</v>
      </c>
      <c r="J2041">
        <v>70463.387802782614</v>
      </c>
      <c r="K2041">
        <v>94</v>
      </c>
      <c r="L2041">
        <v>77.5</v>
      </c>
      <c r="M2041">
        <v>79.202506635362369</v>
      </c>
      <c r="N2041">
        <v>5592512</v>
      </c>
    </row>
    <row r="2042" spans="1:14" x14ac:dyDescent="0.35">
      <c r="A2042" t="s">
        <v>106</v>
      </c>
      <c r="B2042">
        <v>202502</v>
      </c>
      <c r="C2042" t="str">
        <f>MID(analisis_productividad__4[[#This Row],[Periodo]],1,4)</f>
        <v>2025</v>
      </c>
      <c r="D2042" t="str">
        <f>MID(analisis_productividad__4[[#This Row],[Periodo]],5,2)</f>
        <v>02</v>
      </c>
      <c r="E2042" t="s">
        <v>34</v>
      </c>
      <c r="F2042" t="s">
        <v>35</v>
      </c>
      <c r="G2042">
        <v>74331</v>
      </c>
      <c r="H2042">
        <v>3056100</v>
      </c>
      <c r="I2042">
        <v>41.114895833333321</v>
      </c>
      <c r="J2042">
        <v>75539.4455014001</v>
      </c>
      <c r="K2042">
        <v>51</v>
      </c>
      <c r="L2042">
        <v>49</v>
      </c>
      <c r="M2042">
        <v>40.457007722453518</v>
      </c>
      <c r="N2042">
        <v>3177678</v>
      </c>
    </row>
    <row r="2043" spans="1:14" x14ac:dyDescent="0.35">
      <c r="A2043" t="s">
        <v>89</v>
      </c>
      <c r="B2043">
        <v>202507</v>
      </c>
      <c r="C2043" t="str">
        <f>MID(analisis_productividad__4[[#This Row],[Periodo]],1,4)</f>
        <v>2025</v>
      </c>
      <c r="D2043" t="str">
        <f>MID(analisis_productividad__4[[#This Row],[Periodo]],5,2)</f>
        <v>07</v>
      </c>
      <c r="E2043" t="s">
        <v>9</v>
      </c>
      <c r="F2043" t="s">
        <v>9</v>
      </c>
      <c r="G2043">
        <v>74315</v>
      </c>
      <c r="H2043">
        <v>975142</v>
      </c>
      <c r="I2043">
        <v>13.121754032258067</v>
      </c>
      <c r="J2043">
        <v>72041.870350805897</v>
      </c>
      <c r="K2043">
        <v>17</v>
      </c>
      <c r="L2043">
        <v>13.5</v>
      </c>
      <c r="M2043">
        <v>13.535773089337784</v>
      </c>
      <c r="N2043">
        <v>1125727</v>
      </c>
    </row>
    <row r="2044" spans="1:14" x14ac:dyDescent="0.35">
      <c r="A2044" t="s">
        <v>88</v>
      </c>
      <c r="B2044">
        <v>202410</v>
      </c>
      <c r="C2044" t="str">
        <f>MID(analisis_productividad__4[[#This Row],[Periodo]],1,4)</f>
        <v>2024</v>
      </c>
      <c r="D2044" t="str">
        <f>MID(analisis_productividad__4[[#This Row],[Periodo]],5,2)</f>
        <v>10</v>
      </c>
      <c r="E2044" t="s">
        <v>34</v>
      </c>
      <c r="F2044" t="s">
        <v>35</v>
      </c>
      <c r="G2044">
        <v>74297</v>
      </c>
      <c r="H2044">
        <v>1008089</v>
      </c>
      <c r="I2044">
        <v>13.568427419354839</v>
      </c>
      <c r="J2044">
        <v>0</v>
      </c>
      <c r="K2044">
        <v>15.5</v>
      </c>
      <c r="L2044">
        <v>14.5</v>
      </c>
      <c r="N2044">
        <v>0</v>
      </c>
    </row>
    <row r="2045" spans="1:14" x14ac:dyDescent="0.35">
      <c r="A2045" t="s">
        <v>66</v>
      </c>
      <c r="B2045">
        <v>202411</v>
      </c>
      <c r="C2045" t="str">
        <f>MID(analisis_productividad__4[[#This Row],[Periodo]],1,4)</f>
        <v>2024</v>
      </c>
      <c r="D2045" t="str">
        <f>MID(analisis_productividad__4[[#This Row],[Periodo]],5,2)</f>
        <v>11</v>
      </c>
      <c r="E2045" t="s">
        <v>11</v>
      </c>
      <c r="F2045" t="s">
        <v>12</v>
      </c>
      <c r="G2045">
        <v>74278</v>
      </c>
      <c r="H2045">
        <v>5738624</v>
      </c>
      <c r="I2045">
        <v>77.259097222222266</v>
      </c>
      <c r="J2045">
        <v>0</v>
      </c>
      <c r="K2045">
        <v>80</v>
      </c>
      <c r="L2045">
        <v>80.5</v>
      </c>
      <c r="N2045">
        <v>0</v>
      </c>
    </row>
    <row r="2046" spans="1:14" x14ac:dyDescent="0.35">
      <c r="A2046" t="s">
        <v>85</v>
      </c>
      <c r="B2046">
        <v>202407</v>
      </c>
      <c r="C2046" t="str">
        <f>MID(analisis_productividad__4[[#This Row],[Periodo]],1,4)</f>
        <v>2024</v>
      </c>
      <c r="D2046" t="str">
        <f>MID(analisis_productividad__4[[#This Row],[Periodo]],5,2)</f>
        <v>07</v>
      </c>
      <c r="E2046" t="s">
        <v>11</v>
      </c>
      <c r="F2046" t="s">
        <v>14</v>
      </c>
      <c r="G2046">
        <v>74276</v>
      </c>
      <c r="H2046">
        <v>3931898</v>
      </c>
      <c r="I2046">
        <v>52.936229838709664</v>
      </c>
      <c r="J2046">
        <v>0</v>
      </c>
      <c r="K2046">
        <v>60.5</v>
      </c>
      <c r="L2046">
        <v>57.5</v>
      </c>
      <c r="N2046">
        <v>0</v>
      </c>
    </row>
    <row r="2047" spans="1:14" x14ac:dyDescent="0.35">
      <c r="A2047" t="s">
        <v>64</v>
      </c>
      <c r="B2047">
        <v>202406</v>
      </c>
      <c r="C2047" t="str">
        <f>MID(analisis_productividad__4[[#This Row],[Periodo]],1,4)</f>
        <v>2024</v>
      </c>
      <c r="D2047" t="str">
        <f>MID(analisis_productividad__4[[#This Row],[Periodo]],5,2)</f>
        <v>06</v>
      </c>
      <c r="E2047" t="s">
        <v>16</v>
      </c>
      <c r="F2047" t="s">
        <v>21</v>
      </c>
      <c r="G2047">
        <v>74274</v>
      </c>
      <c r="H2047">
        <v>6101532</v>
      </c>
      <c r="I2047">
        <v>82.148694444444487</v>
      </c>
      <c r="J2047">
        <v>0</v>
      </c>
      <c r="K2047">
        <v>88.5</v>
      </c>
      <c r="L2047">
        <v>92.5</v>
      </c>
      <c r="N2047">
        <v>0</v>
      </c>
    </row>
    <row r="2048" spans="1:14" x14ac:dyDescent="0.35">
      <c r="A2048" t="s">
        <v>33</v>
      </c>
      <c r="B2048">
        <v>202404</v>
      </c>
      <c r="C2048" t="str">
        <f>MID(analisis_productividad__4[[#This Row],[Periodo]],1,4)</f>
        <v>2024</v>
      </c>
      <c r="D2048" t="str">
        <f>MID(analisis_productividad__4[[#This Row],[Periodo]],5,2)</f>
        <v>04</v>
      </c>
      <c r="E2048" t="s">
        <v>34</v>
      </c>
      <c r="F2048" t="s">
        <v>35</v>
      </c>
      <c r="G2048">
        <v>74274</v>
      </c>
      <c r="H2048">
        <v>984886</v>
      </c>
      <c r="I2048">
        <v>13.260187500000001</v>
      </c>
      <c r="J2048">
        <v>0</v>
      </c>
      <c r="K2048">
        <v>15</v>
      </c>
      <c r="L2048">
        <v>15</v>
      </c>
      <c r="N2048">
        <v>0</v>
      </c>
    </row>
    <row r="2049" spans="1:14" x14ac:dyDescent="0.35">
      <c r="A2049" t="s">
        <v>82</v>
      </c>
      <c r="B2049">
        <v>202506</v>
      </c>
      <c r="C2049" t="str">
        <f>MID(analisis_productividad__4[[#This Row],[Periodo]],1,4)</f>
        <v>2025</v>
      </c>
      <c r="D2049" t="str">
        <f>MID(analisis_productividad__4[[#This Row],[Periodo]],5,2)</f>
        <v>06</v>
      </c>
      <c r="E2049" t="s">
        <v>11</v>
      </c>
      <c r="F2049" t="s">
        <v>12</v>
      </c>
      <c r="G2049">
        <v>74273</v>
      </c>
      <c r="H2049">
        <v>3653533</v>
      </c>
      <c r="I2049">
        <v>49.190458333333332</v>
      </c>
      <c r="J2049">
        <v>83880.284237086365</v>
      </c>
      <c r="K2049">
        <v>53.5</v>
      </c>
      <c r="L2049">
        <v>54</v>
      </c>
      <c r="M2049">
        <v>43.556518593491433</v>
      </c>
      <c r="N2049">
        <v>4217836</v>
      </c>
    </row>
    <row r="2050" spans="1:14" x14ac:dyDescent="0.35">
      <c r="A2050" t="s">
        <v>95</v>
      </c>
      <c r="B2050">
        <v>202406</v>
      </c>
      <c r="C2050" t="str">
        <f>MID(analisis_productividad__4[[#This Row],[Periodo]],1,4)</f>
        <v>2024</v>
      </c>
      <c r="D2050" t="str">
        <f>MID(analisis_productividad__4[[#This Row],[Periodo]],5,2)</f>
        <v>06</v>
      </c>
      <c r="E2050" t="s">
        <v>9</v>
      </c>
      <c r="F2050" t="s">
        <v>9</v>
      </c>
      <c r="G2050">
        <v>74258</v>
      </c>
      <c r="H2050">
        <v>669361</v>
      </c>
      <c r="I2050">
        <v>9.0140069444444464</v>
      </c>
      <c r="J2050">
        <v>0</v>
      </c>
      <c r="K2050">
        <v>11</v>
      </c>
      <c r="L2050">
        <v>11</v>
      </c>
      <c r="N2050">
        <v>0</v>
      </c>
    </row>
    <row r="2051" spans="1:14" x14ac:dyDescent="0.35">
      <c r="A2051" t="s">
        <v>71</v>
      </c>
      <c r="B2051">
        <v>202504</v>
      </c>
      <c r="C2051" t="str">
        <f>MID(analisis_productividad__4[[#This Row],[Periodo]],1,4)</f>
        <v>2025</v>
      </c>
      <c r="D2051" t="str">
        <f>MID(analisis_productividad__4[[#This Row],[Periodo]],5,2)</f>
        <v>04</v>
      </c>
      <c r="E2051" t="s">
        <v>16</v>
      </c>
      <c r="F2051" t="s">
        <v>19</v>
      </c>
      <c r="G2051">
        <v>74249</v>
      </c>
      <c r="H2051">
        <v>2543720</v>
      </c>
      <c r="I2051">
        <v>34.259263888888896</v>
      </c>
      <c r="J2051">
        <v>67101.927661152993</v>
      </c>
      <c r="K2051">
        <v>41.5</v>
      </c>
      <c r="L2051">
        <v>35.5</v>
      </c>
      <c r="M2051">
        <v>37.908297252578393</v>
      </c>
      <c r="N2051">
        <v>2426925</v>
      </c>
    </row>
    <row r="2052" spans="1:14" x14ac:dyDescent="0.35">
      <c r="A2052" t="s">
        <v>106</v>
      </c>
      <c r="B2052">
        <v>202409</v>
      </c>
      <c r="C2052" t="str">
        <f>MID(analisis_productividad__4[[#This Row],[Periodo]],1,4)</f>
        <v>2024</v>
      </c>
      <c r="D2052" t="str">
        <f>MID(analisis_productividad__4[[#This Row],[Periodo]],5,2)</f>
        <v>09</v>
      </c>
      <c r="E2052" t="s">
        <v>34</v>
      </c>
      <c r="F2052" t="s">
        <v>35</v>
      </c>
      <c r="G2052">
        <v>74224</v>
      </c>
      <c r="H2052">
        <v>3306817</v>
      </c>
      <c r="I2052">
        <v>44.551791666666674</v>
      </c>
      <c r="J2052">
        <v>0</v>
      </c>
      <c r="K2052">
        <v>51</v>
      </c>
      <c r="L2052">
        <v>49</v>
      </c>
      <c r="N2052">
        <v>0</v>
      </c>
    </row>
    <row r="2053" spans="1:14" x14ac:dyDescent="0.35">
      <c r="A2053" t="s">
        <v>85</v>
      </c>
      <c r="B2053">
        <v>202601</v>
      </c>
      <c r="C2053" t="str">
        <f>MID(analisis_productividad__4[[#This Row],[Periodo]],1,4)</f>
        <v>2026</v>
      </c>
      <c r="D2053" t="str">
        <f>MID(analisis_productividad__4[[#This Row],[Periodo]],5,2)</f>
        <v>01</v>
      </c>
      <c r="E2053" t="s">
        <v>11</v>
      </c>
      <c r="F2053" t="s">
        <v>14</v>
      </c>
      <c r="G2053">
        <v>74195</v>
      </c>
      <c r="H2053">
        <v>3565543</v>
      </c>
      <c r="I2053">
        <v>48.056693548387102</v>
      </c>
      <c r="J2053">
        <v>69377.560690968239</v>
      </c>
      <c r="K2053">
        <v>60.5</v>
      </c>
      <c r="L2053">
        <v>57.5</v>
      </c>
      <c r="M2053">
        <v>51.161312105083525</v>
      </c>
      <c r="N2053">
        <v>3549447</v>
      </c>
    </row>
    <row r="2054" spans="1:14" x14ac:dyDescent="0.35">
      <c r="A2054" t="s">
        <v>100</v>
      </c>
      <c r="B2054">
        <v>202503</v>
      </c>
      <c r="C2054" t="str">
        <f>MID(analisis_productividad__4[[#This Row],[Periodo]],1,4)</f>
        <v>2025</v>
      </c>
      <c r="D2054" t="str">
        <f>MID(analisis_productividad__4[[#This Row],[Periodo]],5,2)</f>
        <v>03</v>
      </c>
      <c r="E2054" t="s">
        <v>34</v>
      </c>
      <c r="F2054" t="s">
        <v>35</v>
      </c>
      <c r="G2054">
        <v>74135</v>
      </c>
      <c r="H2054">
        <v>2771957</v>
      </c>
      <c r="I2054">
        <v>37.390819892473125</v>
      </c>
      <c r="J2054">
        <v>77020.584407557573</v>
      </c>
      <c r="K2054">
        <v>44</v>
      </c>
      <c r="L2054">
        <v>40.5</v>
      </c>
      <c r="M2054">
        <v>35.989821179907906</v>
      </c>
      <c r="N2054">
        <v>2903506</v>
      </c>
    </row>
    <row r="2055" spans="1:14" x14ac:dyDescent="0.35">
      <c r="A2055" t="s">
        <v>101</v>
      </c>
      <c r="B2055">
        <v>202604</v>
      </c>
      <c r="C2055" t="str">
        <f>MID(analisis_productividad__4[[#This Row],[Periodo]],1,4)</f>
        <v>2026</v>
      </c>
      <c r="D2055" t="str">
        <f>MID(analisis_productividad__4[[#This Row],[Periodo]],5,2)</f>
        <v>04</v>
      </c>
      <c r="E2055" t="s">
        <v>9</v>
      </c>
      <c r="F2055" t="s">
        <v>9</v>
      </c>
      <c r="G2055">
        <v>74105</v>
      </c>
      <c r="H2055">
        <v>343397</v>
      </c>
      <c r="I2055">
        <v>4.6339027777777773</v>
      </c>
      <c r="J2055">
        <v>49195.819611452709</v>
      </c>
      <c r="K2055">
        <v>8.5</v>
      </c>
      <c r="L2055">
        <v>6.5</v>
      </c>
      <c r="M2055">
        <v>7.4225653700663532</v>
      </c>
      <c r="N2055">
        <v>365159</v>
      </c>
    </row>
    <row r="2056" spans="1:14" x14ac:dyDescent="0.35">
      <c r="A2056" t="s">
        <v>48</v>
      </c>
      <c r="B2056">
        <v>202402</v>
      </c>
      <c r="C2056" t="str">
        <f>MID(analisis_productividad__4[[#This Row],[Periodo]],1,4)</f>
        <v>2024</v>
      </c>
      <c r="D2056" t="str">
        <f>MID(analisis_productividad__4[[#This Row],[Periodo]],5,2)</f>
        <v>02</v>
      </c>
      <c r="E2056" t="s">
        <v>16</v>
      </c>
      <c r="F2056" t="s">
        <v>21</v>
      </c>
      <c r="G2056">
        <v>74105</v>
      </c>
      <c r="H2056">
        <v>4406496</v>
      </c>
      <c r="I2056">
        <v>59.463038793103429</v>
      </c>
      <c r="J2056">
        <v>0</v>
      </c>
      <c r="K2056">
        <v>56</v>
      </c>
      <c r="L2056">
        <v>60</v>
      </c>
      <c r="N2056">
        <v>0</v>
      </c>
    </row>
    <row r="2057" spans="1:14" x14ac:dyDescent="0.35">
      <c r="A2057" t="s">
        <v>86</v>
      </c>
      <c r="B2057">
        <v>202409</v>
      </c>
      <c r="C2057" t="str">
        <f>MID(analisis_productividad__4[[#This Row],[Periodo]],1,4)</f>
        <v>2024</v>
      </c>
      <c r="D2057" t="str">
        <f>MID(analisis_productividad__4[[#This Row],[Periodo]],5,2)</f>
        <v>09</v>
      </c>
      <c r="E2057" t="s">
        <v>11</v>
      </c>
      <c r="F2057" t="s">
        <v>14</v>
      </c>
      <c r="G2057">
        <v>74092</v>
      </c>
      <c r="H2057">
        <v>4498150</v>
      </c>
      <c r="I2057">
        <v>60.710027777777789</v>
      </c>
      <c r="J2057">
        <v>0</v>
      </c>
      <c r="K2057">
        <v>69.5</v>
      </c>
      <c r="L2057">
        <v>59</v>
      </c>
      <c r="N2057">
        <v>0</v>
      </c>
    </row>
    <row r="2058" spans="1:14" x14ac:dyDescent="0.35">
      <c r="A2058" t="s">
        <v>48</v>
      </c>
      <c r="B2058">
        <v>202406</v>
      </c>
      <c r="C2058" t="str">
        <f>MID(analisis_productividad__4[[#This Row],[Periodo]],1,4)</f>
        <v>2024</v>
      </c>
      <c r="D2058" t="str">
        <f>MID(analisis_productividad__4[[#This Row],[Periodo]],5,2)</f>
        <v>06</v>
      </c>
      <c r="E2058" t="s">
        <v>16</v>
      </c>
      <c r="F2058" t="s">
        <v>21</v>
      </c>
      <c r="G2058">
        <v>74056</v>
      </c>
      <c r="H2058">
        <v>4311110</v>
      </c>
      <c r="I2058">
        <v>58.213847222222206</v>
      </c>
      <c r="J2058">
        <v>0</v>
      </c>
      <c r="K2058">
        <v>56</v>
      </c>
      <c r="L2058">
        <v>60</v>
      </c>
      <c r="N2058">
        <v>0</v>
      </c>
    </row>
    <row r="2059" spans="1:14" x14ac:dyDescent="0.35">
      <c r="A2059" t="s">
        <v>120</v>
      </c>
      <c r="B2059">
        <v>202406</v>
      </c>
      <c r="C2059" t="str">
        <f>MID(analisis_productividad__4[[#This Row],[Periodo]],1,4)</f>
        <v>2024</v>
      </c>
      <c r="D2059" t="str">
        <f>MID(analisis_productividad__4[[#This Row],[Periodo]],5,2)</f>
        <v>06</v>
      </c>
      <c r="E2059" t="s">
        <v>9</v>
      </c>
      <c r="F2059" t="s">
        <v>9</v>
      </c>
      <c r="G2059">
        <v>74051</v>
      </c>
      <c r="H2059">
        <v>796514</v>
      </c>
      <c r="I2059">
        <v>10.756277777777777</v>
      </c>
      <c r="J2059">
        <v>0</v>
      </c>
      <c r="K2059">
        <v>11.5</v>
      </c>
      <c r="L2059">
        <v>12</v>
      </c>
      <c r="N2059">
        <v>0</v>
      </c>
    </row>
    <row r="2060" spans="1:14" x14ac:dyDescent="0.35">
      <c r="A2060" t="s">
        <v>109</v>
      </c>
      <c r="B2060">
        <v>202606</v>
      </c>
      <c r="C2060" t="str">
        <f>MID(analisis_productividad__4[[#This Row],[Periodo]],1,4)</f>
        <v>2026</v>
      </c>
      <c r="D2060" t="str">
        <f>MID(analisis_productividad__4[[#This Row],[Periodo]],5,2)</f>
        <v>06</v>
      </c>
      <c r="E2060" t="s">
        <v>9</v>
      </c>
      <c r="F2060" t="s">
        <v>9</v>
      </c>
      <c r="G2060">
        <v>74037</v>
      </c>
      <c r="H2060">
        <v>489090</v>
      </c>
      <c r="I2060">
        <v>6.6060069444444443</v>
      </c>
      <c r="J2060">
        <v>53405.598474347331</v>
      </c>
      <c r="K2060">
        <v>10</v>
      </c>
      <c r="L2060">
        <v>9</v>
      </c>
      <c r="M2060">
        <v>8.1521894564878892</v>
      </c>
      <c r="N2060">
        <v>435373</v>
      </c>
    </row>
    <row r="2061" spans="1:14" x14ac:dyDescent="0.35">
      <c r="A2061" t="s">
        <v>58</v>
      </c>
      <c r="B2061">
        <v>202411</v>
      </c>
      <c r="C2061" t="str">
        <f>MID(analisis_productividad__4[[#This Row],[Periodo]],1,4)</f>
        <v>2024</v>
      </c>
      <c r="D2061" t="str">
        <f>MID(analisis_productividad__4[[#This Row],[Periodo]],5,2)</f>
        <v>11</v>
      </c>
      <c r="E2061" t="s">
        <v>34</v>
      </c>
      <c r="F2061" t="s">
        <v>35</v>
      </c>
      <c r="G2061">
        <v>74001</v>
      </c>
      <c r="H2061">
        <v>3293911</v>
      </c>
      <c r="I2061">
        <v>44.511590277777785</v>
      </c>
      <c r="J2061">
        <v>0</v>
      </c>
      <c r="K2061">
        <v>53.5</v>
      </c>
      <c r="L2061">
        <v>52</v>
      </c>
      <c r="N2061">
        <v>0</v>
      </c>
    </row>
    <row r="2062" spans="1:14" x14ac:dyDescent="0.35">
      <c r="A2062" t="s">
        <v>86</v>
      </c>
      <c r="B2062">
        <v>202405</v>
      </c>
      <c r="C2062" t="str">
        <f>MID(analisis_productividad__4[[#This Row],[Periodo]],1,4)</f>
        <v>2024</v>
      </c>
      <c r="D2062" t="str">
        <f>MID(analisis_productividad__4[[#This Row],[Periodo]],5,2)</f>
        <v>05</v>
      </c>
      <c r="E2062" t="s">
        <v>11</v>
      </c>
      <c r="F2062" t="s">
        <v>14</v>
      </c>
      <c r="G2062">
        <v>73990</v>
      </c>
      <c r="H2062">
        <v>4843053</v>
      </c>
      <c r="I2062">
        <v>65.455221774193532</v>
      </c>
      <c r="J2062">
        <v>0</v>
      </c>
      <c r="K2062">
        <v>69.5</v>
      </c>
      <c r="L2062">
        <v>59</v>
      </c>
      <c r="N2062">
        <v>0</v>
      </c>
    </row>
    <row r="2063" spans="1:14" x14ac:dyDescent="0.35">
      <c r="A2063" t="s">
        <v>114</v>
      </c>
      <c r="B2063">
        <v>202401</v>
      </c>
      <c r="C2063" t="str">
        <f>MID(analisis_productividad__4[[#This Row],[Periodo]],1,4)</f>
        <v>2024</v>
      </c>
      <c r="D2063" t="str">
        <f>MID(analisis_productividad__4[[#This Row],[Periodo]],5,2)</f>
        <v>01</v>
      </c>
      <c r="E2063" t="s">
        <v>9</v>
      </c>
      <c r="F2063" t="s">
        <v>9</v>
      </c>
      <c r="G2063">
        <v>73981</v>
      </c>
      <c r="H2063">
        <v>993713</v>
      </c>
      <c r="I2063">
        <v>13.432096774193548</v>
      </c>
      <c r="J2063">
        <v>0</v>
      </c>
      <c r="K2063">
        <v>13.5</v>
      </c>
      <c r="L2063">
        <v>14.5</v>
      </c>
      <c r="N2063">
        <v>0</v>
      </c>
    </row>
    <row r="2064" spans="1:14" x14ac:dyDescent="0.35">
      <c r="A2064" t="s">
        <v>87</v>
      </c>
      <c r="B2064">
        <v>202508</v>
      </c>
      <c r="C2064" t="str">
        <f>MID(analisis_productividad__4[[#This Row],[Periodo]],1,4)</f>
        <v>2025</v>
      </c>
      <c r="D2064" t="str">
        <f>MID(analisis_productividad__4[[#This Row],[Periodo]],5,2)</f>
        <v>08</v>
      </c>
      <c r="E2064" t="s">
        <v>9</v>
      </c>
      <c r="F2064" t="s">
        <v>9</v>
      </c>
      <c r="G2064">
        <v>73975</v>
      </c>
      <c r="H2064">
        <v>887713</v>
      </c>
      <c r="I2064">
        <v>12.000154569892471</v>
      </c>
      <c r="J2064">
        <v>87803.36417942305</v>
      </c>
      <c r="K2064">
        <v>13.5</v>
      </c>
      <c r="L2064">
        <v>12</v>
      </c>
      <c r="M2064">
        <v>10.110240630256374</v>
      </c>
      <c r="N2064">
        <v>1032923</v>
      </c>
    </row>
    <row r="2065" spans="1:14" x14ac:dyDescent="0.35">
      <c r="A2065" t="s">
        <v>18</v>
      </c>
      <c r="B2065">
        <v>202505</v>
      </c>
      <c r="C2065" t="str">
        <f>MID(analisis_productividad__4[[#This Row],[Periodo]],1,4)</f>
        <v>2025</v>
      </c>
      <c r="D2065" t="str">
        <f>MID(analisis_productividad__4[[#This Row],[Periodo]],5,2)</f>
        <v>05</v>
      </c>
      <c r="E2065" t="s">
        <v>16</v>
      </c>
      <c r="F2065" t="s">
        <v>19</v>
      </c>
      <c r="G2065">
        <v>73966</v>
      </c>
      <c r="H2065">
        <v>4831829</v>
      </c>
      <c r="I2065">
        <v>65.324771505376361</v>
      </c>
      <c r="J2065">
        <v>76922.584217211683</v>
      </c>
      <c r="K2065">
        <v>70.5</v>
      </c>
      <c r="L2065">
        <v>69.5</v>
      </c>
      <c r="M2065">
        <v>62.814173225850411</v>
      </c>
      <c r="N2065">
        <v>4659850</v>
      </c>
    </row>
    <row r="2066" spans="1:14" x14ac:dyDescent="0.35">
      <c r="A2066" t="s">
        <v>66</v>
      </c>
      <c r="B2066">
        <v>202406</v>
      </c>
      <c r="C2066" t="str">
        <f>MID(analisis_productividad__4[[#This Row],[Periodo]],1,4)</f>
        <v>2024</v>
      </c>
      <c r="D2066" t="str">
        <f>MID(analisis_productividad__4[[#This Row],[Periodo]],5,2)</f>
        <v>06</v>
      </c>
      <c r="E2066" t="s">
        <v>11</v>
      </c>
      <c r="F2066" t="s">
        <v>12</v>
      </c>
      <c r="G2066">
        <v>73959</v>
      </c>
      <c r="H2066">
        <v>5909546</v>
      </c>
      <c r="I2066">
        <v>79.902715277777801</v>
      </c>
      <c r="J2066">
        <v>0</v>
      </c>
      <c r="K2066">
        <v>80</v>
      </c>
      <c r="L2066">
        <v>80.5</v>
      </c>
      <c r="N2066">
        <v>0</v>
      </c>
    </row>
    <row r="2067" spans="1:14" x14ac:dyDescent="0.35">
      <c r="A2067" t="s">
        <v>106</v>
      </c>
      <c r="B2067">
        <v>202606</v>
      </c>
      <c r="C2067" t="str">
        <f>MID(analisis_productividad__4[[#This Row],[Periodo]],1,4)</f>
        <v>2026</v>
      </c>
      <c r="D2067" t="str">
        <f>MID(analisis_productividad__4[[#This Row],[Periodo]],5,2)</f>
        <v>06</v>
      </c>
      <c r="E2067" t="s">
        <v>34</v>
      </c>
      <c r="F2067" t="s">
        <v>35</v>
      </c>
      <c r="G2067">
        <v>73943</v>
      </c>
      <c r="H2067">
        <v>3126983</v>
      </c>
      <c r="I2067">
        <v>42.289041666666293</v>
      </c>
      <c r="J2067">
        <v>76177.788076487588</v>
      </c>
      <c r="K2067">
        <v>51</v>
      </c>
      <c r="L2067">
        <v>49</v>
      </c>
      <c r="M2067">
        <v>41.451897990651069</v>
      </c>
      <c r="N2067">
        <v>3157714</v>
      </c>
    </row>
    <row r="2068" spans="1:14" x14ac:dyDescent="0.35">
      <c r="A2068" t="s">
        <v>85</v>
      </c>
      <c r="B2068">
        <v>202602</v>
      </c>
      <c r="C2068" t="str">
        <f>MID(analisis_productividad__4[[#This Row],[Periodo]],1,4)</f>
        <v>2026</v>
      </c>
      <c r="D2068" t="str">
        <f>MID(analisis_productividad__4[[#This Row],[Periodo]],5,2)</f>
        <v>02</v>
      </c>
      <c r="E2068" t="s">
        <v>11</v>
      </c>
      <c r="F2068" t="s">
        <v>14</v>
      </c>
      <c r="G2068">
        <v>73922</v>
      </c>
      <c r="H2068">
        <v>3822749</v>
      </c>
      <c r="I2068">
        <v>51.713541666666679</v>
      </c>
      <c r="J2068">
        <v>71304.762110225856</v>
      </c>
      <c r="K2068">
        <v>60.5</v>
      </c>
      <c r="L2068">
        <v>57.5</v>
      </c>
      <c r="M2068">
        <v>51.161312105083525</v>
      </c>
      <c r="N2068">
        <v>3648045</v>
      </c>
    </row>
    <row r="2069" spans="1:14" x14ac:dyDescent="0.35">
      <c r="A2069" t="s">
        <v>82</v>
      </c>
      <c r="B2069">
        <v>202606</v>
      </c>
      <c r="C2069" t="str">
        <f>MID(analisis_productividad__4[[#This Row],[Periodo]],1,4)</f>
        <v>2026</v>
      </c>
      <c r="D2069" t="str">
        <f>MID(analisis_productividad__4[[#This Row],[Periodo]],5,2)</f>
        <v>06</v>
      </c>
      <c r="E2069" t="s">
        <v>11</v>
      </c>
      <c r="F2069" t="s">
        <v>12</v>
      </c>
      <c r="G2069">
        <v>73911</v>
      </c>
      <c r="H2069">
        <v>3678585</v>
      </c>
      <c r="I2069">
        <v>49.770583333332979</v>
      </c>
      <c r="J2069">
        <v>83595.802487209105</v>
      </c>
      <c r="K2069">
        <v>53.5</v>
      </c>
      <c r="L2069">
        <v>54</v>
      </c>
      <c r="M2069">
        <v>47.165198395018514</v>
      </c>
      <c r="N2069">
        <v>3942813</v>
      </c>
    </row>
    <row r="2070" spans="1:14" x14ac:dyDescent="0.35">
      <c r="A2070" t="s">
        <v>59</v>
      </c>
      <c r="B2070">
        <v>202401</v>
      </c>
      <c r="C2070" t="str">
        <f>MID(analisis_productividad__4[[#This Row],[Periodo]],1,4)</f>
        <v>2024</v>
      </c>
      <c r="D2070" t="str">
        <f>MID(analisis_productividad__4[[#This Row],[Periodo]],5,2)</f>
        <v>01</v>
      </c>
      <c r="E2070" t="s">
        <v>11</v>
      </c>
      <c r="F2070" t="s">
        <v>12</v>
      </c>
      <c r="G2070">
        <v>73885</v>
      </c>
      <c r="H2070">
        <v>6715409</v>
      </c>
      <c r="I2070">
        <v>90.890483870967714</v>
      </c>
      <c r="J2070">
        <v>0</v>
      </c>
      <c r="K2070">
        <v>94.5</v>
      </c>
      <c r="L2070">
        <v>97</v>
      </c>
      <c r="N2070">
        <v>0</v>
      </c>
    </row>
    <row r="2071" spans="1:14" x14ac:dyDescent="0.35">
      <c r="A2071" t="s">
        <v>100</v>
      </c>
      <c r="B2071">
        <v>202508</v>
      </c>
      <c r="C2071" t="str">
        <f>MID(analisis_productividad__4[[#This Row],[Periodo]],1,4)</f>
        <v>2025</v>
      </c>
      <c r="D2071" t="str">
        <f>MID(analisis_productividad__4[[#This Row],[Periodo]],5,2)</f>
        <v>08</v>
      </c>
      <c r="E2071" t="s">
        <v>34</v>
      </c>
      <c r="F2071" t="s">
        <v>35</v>
      </c>
      <c r="G2071">
        <v>73845</v>
      </c>
      <c r="H2071">
        <v>2514628</v>
      </c>
      <c r="I2071">
        <v>34.052647849462367</v>
      </c>
      <c r="J2071">
        <v>81306.985637451202</v>
      </c>
      <c r="K2071">
        <v>44</v>
      </c>
      <c r="L2071">
        <v>40.5</v>
      </c>
      <c r="M2071">
        <v>30.927577996960267</v>
      </c>
      <c r="N2071">
        <v>2716346</v>
      </c>
    </row>
    <row r="2072" spans="1:14" x14ac:dyDescent="0.35">
      <c r="A2072" t="s">
        <v>120</v>
      </c>
      <c r="B2072">
        <v>202403</v>
      </c>
      <c r="C2072" t="str">
        <f>MID(analisis_productividad__4[[#This Row],[Periodo]],1,4)</f>
        <v>2024</v>
      </c>
      <c r="D2072" t="str">
        <f>MID(analisis_productividad__4[[#This Row],[Periodo]],5,2)</f>
        <v>03</v>
      </c>
      <c r="E2072" t="s">
        <v>9</v>
      </c>
      <c r="F2072" t="s">
        <v>9</v>
      </c>
      <c r="G2072">
        <v>73827</v>
      </c>
      <c r="H2072">
        <v>847372</v>
      </c>
      <c r="I2072">
        <v>11.477836021505381</v>
      </c>
      <c r="J2072">
        <v>0</v>
      </c>
      <c r="K2072">
        <v>11.5</v>
      </c>
      <c r="L2072">
        <v>12</v>
      </c>
      <c r="N2072">
        <v>0</v>
      </c>
    </row>
    <row r="2073" spans="1:14" x14ac:dyDescent="0.35">
      <c r="A2073" t="s">
        <v>86</v>
      </c>
      <c r="B2073">
        <v>202601</v>
      </c>
      <c r="C2073" t="str">
        <f>MID(analisis_productividad__4[[#This Row],[Periodo]],1,4)</f>
        <v>2026</v>
      </c>
      <c r="D2073" t="str">
        <f>MID(analisis_productividad__4[[#This Row],[Periodo]],5,2)</f>
        <v>01</v>
      </c>
      <c r="E2073" t="s">
        <v>11</v>
      </c>
      <c r="F2073" t="s">
        <v>14</v>
      </c>
      <c r="G2073">
        <v>73798</v>
      </c>
      <c r="H2073">
        <v>3993660</v>
      </c>
      <c r="I2073">
        <v>54.116256720430108</v>
      </c>
      <c r="J2073">
        <v>80385.83038773913</v>
      </c>
      <c r="K2073">
        <v>69.5</v>
      </c>
      <c r="L2073">
        <v>59</v>
      </c>
      <c r="M2073">
        <v>57.926444284268129</v>
      </c>
      <c r="N2073">
        <v>4656465</v>
      </c>
    </row>
    <row r="2074" spans="1:14" x14ac:dyDescent="0.35">
      <c r="A2074" t="s">
        <v>83</v>
      </c>
      <c r="B2074">
        <v>202409</v>
      </c>
      <c r="C2074" t="str">
        <f>MID(analisis_productividad__4[[#This Row],[Periodo]],1,4)</f>
        <v>2024</v>
      </c>
      <c r="D2074" t="str">
        <f>MID(analisis_productividad__4[[#This Row],[Periodo]],5,2)</f>
        <v>09</v>
      </c>
      <c r="E2074" t="s">
        <v>16</v>
      </c>
      <c r="F2074" t="s">
        <v>17</v>
      </c>
      <c r="G2074">
        <v>73795</v>
      </c>
      <c r="H2074">
        <v>3238743</v>
      </c>
      <c r="I2074">
        <v>43.888493055555564</v>
      </c>
      <c r="J2074">
        <v>0</v>
      </c>
      <c r="K2074">
        <v>52</v>
      </c>
      <c r="L2074">
        <v>52</v>
      </c>
      <c r="N2074">
        <v>0</v>
      </c>
    </row>
    <row r="2075" spans="1:14" x14ac:dyDescent="0.35">
      <c r="A2075" t="s">
        <v>66</v>
      </c>
      <c r="B2075">
        <v>202509</v>
      </c>
      <c r="C2075" t="str">
        <f>MID(analisis_productividad__4[[#This Row],[Periodo]],1,4)</f>
        <v>2025</v>
      </c>
      <c r="D2075" t="str">
        <f>MID(analisis_productividad__4[[#This Row],[Periodo]],5,2)</f>
        <v>09</v>
      </c>
      <c r="E2075" t="s">
        <v>11</v>
      </c>
      <c r="F2075" t="s">
        <v>12</v>
      </c>
      <c r="G2075">
        <v>73787</v>
      </c>
      <c r="H2075">
        <v>4966132</v>
      </c>
      <c r="I2075">
        <v>67.303833333333358</v>
      </c>
      <c r="J2075">
        <v>74655.010215610964</v>
      </c>
      <c r="K2075">
        <v>80</v>
      </c>
      <c r="L2075">
        <v>80.5</v>
      </c>
      <c r="M2075">
        <v>66.521074950727709</v>
      </c>
      <c r="N2075">
        <v>6280385</v>
      </c>
    </row>
    <row r="2076" spans="1:14" x14ac:dyDescent="0.35">
      <c r="A2076" t="s">
        <v>87</v>
      </c>
      <c r="B2076">
        <v>202502</v>
      </c>
      <c r="C2076" t="str">
        <f>MID(analisis_productividad__4[[#This Row],[Periodo]],1,4)</f>
        <v>2025</v>
      </c>
      <c r="D2076" t="str">
        <f>MID(analisis_productividad__4[[#This Row],[Periodo]],5,2)</f>
        <v>02</v>
      </c>
      <c r="E2076" t="s">
        <v>9</v>
      </c>
      <c r="F2076" t="s">
        <v>9</v>
      </c>
      <c r="G2076">
        <v>73759</v>
      </c>
      <c r="H2076">
        <v>832190</v>
      </c>
      <c r="I2076">
        <v>11.282552083333334</v>
      </c>
      <c r="J2076">
        <v>88657.532303219152</v>
      </c>
      <c r="K2076">
        <v>13.5</v>
      </c>
      <c r="L2076">
        <v>12</v>
      </c>
      <c r="M2076">
        <v>9.3865735756530082</v>
      </c>
      <c r="N2076">
        <v>964835</v>
      </c>
    </row>
    <row r="2077" spans="1:14" x14ac:dyDescent="0.35">
      <c r="A2077" t="s">
        <v>74</v>
      </c>
      <c r="B2077">
        <v>202405</v>
      </c>
      <c r="C2077" t="str">
        <f>MID(analisis_productividad__4[[#This Row],[Periodo]],1,4)</f>
        <v>2024</v>
      </c>
      <c r="D2077" t="str">
        <f>MID(analisis_productividad__4[[#This Row],[Periodo]],5,2)</f>
        <v>05</v>
      </c>
      <c r="E2077" t="s">
        <v>16</v>
      </c>
      <c r="F2077" t="s">
        <v>19</v>
      </c>
      <c r="G2077">
        <v>73747</v>
      </c>
      <c r="H2077">
        <v>3772178</v>
      </c>
      <c r="I2077">
        <v>51.150524193548364</v>
      </c>
      <c r="J2077">
        <v>0</v>
      </c>
      <c r="K2077">
        <v>50.5</v>
      </c>
      <c r="L2077">
        <v>51.5</v>
      </c>
      <c r="N2077">
        <v>0</v>
      </c>
    </row>
    <row r="2078" spans="1:14" x14ac:dyDescent="0.35">
      <c r="A2078" t="s">
        <v>106</v>
      </c>
      <c r="B2078">
        <v>202509</v>
      </c>
      <c r="C2078" t="str">
        <f>MID(analisis_productividad__4[[#This Row],[Periodo]],1,4)</f>
        <v>2025</v>
      </c>
      <c r="D2078" t="str">
        <f>MID(analisis_productividad__4[[#This Row],[Periodo]],5,2)</f>
        <v>09</v>
      </c>
      <c r="E2078" t="s">
        <v>34</v>
      </c>
      <c r="F2078" t="s">
        <v>35</v>
      </c>
      <c r="G2078">
        <v>73721</v>
      </c>
      <c r="H2078">
        <v>2920182</v>
      </c>
      <c r="I2078">
        <v>39.611055555555538</v>
      </c>
      <c r="J2078">
        <v>77935.313252459935</v>
      </c>
      <c r="K2078">
        <v>51</v>
      </c>
      <c r="L2078">
        <v>49</v>
      </c>
      <c r="M2078">
        <v>37.469305994068456</v>
      </c>
      <c r="N2078">
        <v>3523581</v>
      </c>
    </row>
    <row r="2079" spans="1:14" x14ac:dyDescent="0.35">
      <c r="A2079" t="s">
        <v>96</v>
      </c>
      <c r="B2079">
        <v>202603</v>
      </c>
      <c r="C2079" t="str">
        <f>MID(analisis_productividad__4[[#This Row],[Periodo]],1,4)</f>
        <v>2026</v>
      </c>
      <c r="D2079" t="str">
        <f>MID(analisis_productividad__4[[#This Row],[Periodo]],5,2)</f>
        <v>03</v>
      </c>
      <c r="E2079" t="s">
        <v>16</v>
      </c>
      <c r="F2079" t="s">
        <v>17</v>
      </c>
      <c r="G2079">
        <v>73717</v>
      </c>
      <c r="H2079">
        <v>5888404</v>
      </c>
      <c r="I2079">
        <v>79.87898521505376</v>
      </c>
      <c r="J2079">
        <v>63297.49062142858</v>
      </c>
      <c r="K2079">
        <v>84</v>
      </c>
      <c r="L2079">
        <v>76.5</v>
      </c>
      <c r="M2079">
        <v>84</v>
      </c>
      <c r="N2079">
        <v>5316989</v>
      </c>
    </row>
    <row r="2080" spans="1:14" x14ac:dyDescent="0.35">
      <c r="A2080" t="s">
        <v>95</v>
      </c>
      <c r="B2080">
        <v>202407</v>
      </c>
      <c r="C2080" t="str">
        <f>MID(analisis_productividad__4[[#This Row],[Periodo]],1,4)</f>
        <v>2024</v>
      </c>
      <c r="D2080" t="str">
        <f>MID(analisis_productividad__4[[#This Row],[Periodo]],5,2)</f>
        <v>07</v>
      </c>
      <c r="E2080" t="s">
        <v>9</v>
      </c>
      <c r="F2080" t="s">
        <v>9</v>
      </c>
      <c r="G2080">
        <v>73716</v>
      </c>
      <c r="H2080">
        <v>688852</v>
      </c>
      <c r="I2080">
        <v>9.3446706989247321</v>
      </c>
      <c r="J2080">
        <v>0</v>
      </c>
      <c r="K2080">
        <v>11</v>
      </c>
      <c r="L2080">
        <v>11</v>
      </c>
      <c r="N2080">
        <v>0</v>
      </c>
    </row>
    <row r="2081" spans="1:14" x14ac:dyDescent="0.35">
      <c r="A2081" t="s">
        <v>98</v>
      </c>
      <c r="B2081">
        <v>202410</v>
      </c>
      <c r="C2081" t="str">
        <f>MID(analisis_productividad__4[[#This Row],[Periodo]],1,4)</f>
        <v>2024</v>
      </c>
      <c r="D2081" t="str">
        <f>MID(analisis_productividad__4[[#This Row],[Periodo]],5,2)</f>
        <v>10</v>
      </c>
      <c r="E2081" t="s">
        <v>11</v>
      </c>
      <c r="F2081" t="s">
        <v>14</v>
      </c>
      <c r="G2081">
        <v>73703</v>
      </c>
      <c r="H2081">
        <v>3699229</v>
      </c>
      <c r="I2081">
        <v>50.19084677419356</v>
      </c>
      <c r="J2081">
        <v>0</v>
      </c>
      <c r="K2081">
        <v>61.5</v>
      </c>
      <c r="L2081">
        <v>56</v>
      </c>
      <c r="N2081">
        <v>0</v>
      </c>
    </row>
    <row r="2082" spans="1:14" x14ac:dyDescent="0.35">
      <c r="A2082" t="s">
        <v>103</v>
      </c>
      <c r="B2082">
        <v>202605</v>
      </c>
      <c r="C2082" t="str">
        <f>MID(analisis_productividad__4[[#This Row],[Periodo]],1,4)</f>
        <v>2026</v>
      </c>
      <c r="D2082" t="str">
        <f>MID(analisis_productividad__4[[#This Row],[Periodo]],5,2)</f>
        <v>05</v>
      </c>
      <c r="E2082" t="s">
        <v>104</v>
      </c>
      <c r="F2082" t="s">
        <v>104</v>
      </c>
      <c r="G2082">
        <v>73684</v>
      </c>
      <c r="H2082">
        <v>5697147</v>
      </c>
      <c r="I2082">
        <v>77.318716397849016</v>
      </c>
      <c r="J2082">
        <v>71502.784526909949</v>
      </c>
      <c r="K2082">
        <v>94</v>
      </c>
      <c r="L2082">
        <v>77.5</v>
      </c>
      <c r="M2082">
        <v>81.023149648384276</v>
      </c>
      <c r="N2082">
        <v>5793381</v>
      </c>
    </row>
    <row r="2083" spans="1:14" x14ac:dyDescent="0.35">
      <c r="A2083" t="s">
        <v>82</v>
      </c>
      <c r="B2083">
        <v>202510</v>
      </c>
      <c r="C2083" t="str">
        <f>MID(analisis_productividad__4[[#This Row],[Periodo]],1,4)</f>
        <v>2025</v>
      </c>
      <c r="D2083" t="str">
        <f>MID(analisis_productividad__4[[#This Row],[Periodo]],5,2)</f>
        <v>10</v>
      </c>
      <c r="E2083" t="s">
        <v>11</v>
      </c>
      <c r="F2083" t="s">
        <v>12</v>
      </c>
      <c r="G2083">
        <v>73629</v>
      </c>
      <c r="H2083">
        <v>3544848</v>
      </c>
      <c r="I2083">
        <v>48.144852150537616</v>
      </c>
      <c r="J2083">
        <v>76273.111973167703</v>
      </c>
      <c r="K2083">
        <v>53.5</v>
      </c>
      <c r="L2083">
        <v>54</v>
      </c>
      <c r="M2083">
        <v>46.475727399808349</v>
      </c>
      <c r="N2083">
        <v>4139919</v>
      </c>
    </row>
    <row r="2084" spans="1:14" x14ac:dyDescent="0.35">
      <c r="A2084" t="s">
        <v>71</v>
      </c>
      <c r="B2084">
        <v>202406</v>
      </c>
      <c r="C2084" t="str">
        <f>MID(analisis_productividad__4[[#This Row],[Periodo]],1,4)</f>
        <v>2024</v>
      </c>
      <c r="D2084" t="str">
        <f>MID(analisis_productividad__4[[#This Row],[Periodo]],5,2)</f>
        <v>06</v>
      </c>
      <c r="E2084" t="s">
        <v>16</v>
      </c>
      <c r="F2084" t="s">
        <v>19</v>
      </c>
      <c r="G2084">
        <v>73613</v>
      </c>
      <c r="H2084">
        <v>2351662</v>
      </c>
      <c r="I2084">
        <v>31.946444444444445</v>
      </c>
      <c r="J2084">
        <v>0</v>
      </c>
      <c r="K2084">
        <v>41.5</v>
      </c>
      <c r="L2084">
        <v>35.5</v>
      </c>
      <c r="N2084">
        <v>0</v>
      </c>
    </row>
    <row r="2085" spans="1:14" x14ac:dyDescent="0.35">
      <c r="A2085" t="s">
        <v>43</v>
      </c>
      <c r="B2085">
        <v>202502</v>
      </c>
      <c r="C2085" t="str">
        <f>MID(analisis_productividad__4[[#This Row],[Periodo]],1,4)</f>
        <v>2025</v>
      </c>
      <c r="D2085" t="str">
        <f>MID(analisis_productividad__4[[#This Row],[Periodo]],5,2)</f>
        <v>02</v>
      </c>
      <c r="E2085" t="s">
        <v>11</v>
      </c>
      <c r="F2085" t="s">
        <v>12</v>
      </c>
      <c r="G2085">
        <v>73610</v>
      </c>
      <c r="H2085">
        <v>5195536</v>
      </c>
      <c r="I2085">
        <v>70.582187500000003</v>
      </c>
      <c r="J2085">
        <v>87532.266105166374</v>
      </c>
      <c r="K2085">
        <v>84.5</v>
      </c>
      <c r="L2085">
        <v>86.5</v>
      </c>
      <c r="M2085">
        <v>59.355668500090928</v>
      </c>
      <c r="N2085">
        <v>6389988</v>
      </c>
    </row>
    <row r="2086" spans="1:14" x14ac:dyDescent="0.35">
      <c r="A2086" t="s">
        <v>100</v>
      </c>
      <c r="B2086">
        <v>202405</v>
      </c>
      <c r="C2086" t="str">
        <f>MID(analisis_productividad__4[[#This Row],[Periodo]],1,4)</f>
        <v>2024</v>
      </c>
      <c r="D2086" t="str">
        <f>MID(analisis_productividad__4[[#This Row],[Periodo]],5,2)</f>
        <v>05</v>
      </c>
      <c r="E2086" t="s">
        <v>34</v>
      </c>
      <c r="F2086" t="s">
        <v>35</v>
      </c>
      <c r="G2086">
        <v>73592</v>
      </c>
      <c r="H2086">
        <v>2583157</v>
      </c>
      <c r="I2086">
        <v>35.100907258064531</v>
      </c>
      <c r="J2086">
        <v>0</v>
      </c>
      <c r="K2086">
        <v>44</v>
      </c>
      <c r="L2086">
        <v>40.5</v>
      </c>
      <c r="N2086">
        <v>0</v>
      </c>
    </row>
    <row r="2087" spans="1:14" x14ac:dyDescent="0.35">
      <c r="A2087" t="s">
        <v>60</v>
      </c>
      <c r="B2087">
        <v>202402</v>
      </c>
      <c r="C2087" t="str">
        <f>MID(analisis_productividad__4[[#This Row],[Periodo]],1,4)</f>
        <v>2024</v>
      </c>
      <c r="D2087" t="str">
        <f>MID(analisis_productividad__4[[#This Row],[Periodo]],5,2)</f>
        <v>02</v>
      </c>
      <c r="E2087" t="s">
        <v>11</v>
      </c>
      <c r="F2087" t="s">
        <v>14</v>
      </c>
      <c r="G2087">
        <v>73591</v>
      </c>
      <c r="H2087">
        <v>5403245</v>
      </c>
      <c r="I2087">
        <v>73.423110632183892</v>
      </c>
      <c r="J2087">
        <v>0</v>
      </c>
      <c r="K2087">
        <v>75.5</v>
      </c>
      <c r="L2087">
        <v>74</v>
      </c>
      <c r="N2087">
        <v>0</v>
      </c>
    </row>
    <row r="2088" spans="1:14" x14ac:dyDescent="0.35">
      <c r="A2088" t="s">
        <v>85</v>
      </c>
      <c r="B2088">
        <v>202408</v>
      </c>
      <c r="C2088" t="str">
        <f>MID(analisis_productividad__4[[#This Row],[Periodo]],1,4)</f>
        <v>2024</v>
      </c>
      <c r="D2088" t="str">
        <f>MID(analisis_productividad__4[[#This Row],[Periodo]],5,2)</f>
        <v>08</v>
      </c>
      <c r="E2088" t="s">
        <v>11</v>
      </c>
      <c r="F2088" t="s">
        <v>14</v>
      </c>
      <c r="G2088">
        <v>73585</v>
      </c>
      <c r="H2088">
        <v>3677372</v>
      </c>
      <c r="I2088">
        <v>49.974213709677414</v>
      </c>
      <c r="J2088">
        <v>0</v>
      </c>
      <c r="K2088">
        <v>60.5</v>
      </c>
      <c r="L2088">
        <v>57.5</v>
      </c>
      <c r="N2088">
        <v>0</v>
      </c>
    </row>
    <row r="2089" spans="1:14" x14ac:dyDescent="0.35">
      <c r="A2089" t="s">
        <v>83</v>
      </c>
      <c r="B2089">
        <v>202509</v>
      </c>
      <c r="C2089" t="str">
        <f>MID(analisis_productividad__4[[#This Row],[Periodo]],1,4)</f>
        <v>2025</v>
      </c>
      <c r="D2089" t="str">
        <f>MID(analisis_productividad__4[[#This Row],[Periodo]],5,2)</f>
        <v>09</v>
      </c>
      <c r="E2089" t="s">
        <v>16</v>
      </c>
      <c r="F2089" t="s">
        <v>17</v>
      </c>
      <c r="G2089">
        <v>73569</v>
      </c>
      <c r="H2089">
        <v>3186003</v>
      </c>
      <c r="I2089">
        <v>43.306569444444456</v>
      </c>
      <c r="J2089">
        <v>77484.555136019408</v>
      </c>
      <c r="K2089">
        <v>52</v>
      </c>
      <c r="L2089">
        <v>52</v>
      </c>
      <c r="M2089">
        <v>41.117913039665339</v>
      </c>
      <c r="N2089">
        <v>3532718</v>
      </c>
    </row>
    <row r="2090" spans="1:14" x14ac:dyDescent="0.35">
      <c r="A2090" t="s">
        <v>95</v>
      </c>
      <c r="B2090">
        <v>202603</v>
      </c>
      <c r="C2090" t="str">
        <f>MID(analisis_productividad__4[[#This Row],[Periodo]],1,4)</f>
        <v>2026</v>
      </c>
      <c r="D2090" t="str">
        <f>MID(analisis_productividad__4[[#This Row],[Periodo]],5,2)</f>
        <v>03</v>
      </c>
      <c r="E2090" t="s">
        <v>9</v>
      </c>
      <c r="F2090" t="s">
        <v>9</v>
      </c>
      <c r="G2090">
        <v>73555</v>
      </c>
      <c r="H2090">
        <v>742546</v>
      </c>
      <c r="I2090">
        <v>10.095147849462366</v>
      </c>
      <c r="J2090">
        <v>69574.495254115493</v>
      </c>
      <c r="K2090">
        <v>11</v>
      </c>
      <c r="L2090">
        <v>11</v>
      </c>
      <c r="M2090">
        <v>10.04229432420742</v>
      </c>
      <c r="N2090">
        <v>698688</v>
      </c>
    </row>
    <row r="2091" spans="1:14" x14ac:dyDescent="0.35">
      <c r="A2091" t="s">
        <v>91</v>
      </c>
      <c r="B2091">
        <v>202403</v>
      </c>
      <c r="C2091" t="str">
        <f>MID(analisis_productividad__4[[#This Row],[Periodo]],1,4)</f>
        <v>2024</v>
      </c>
      <c r="D2091" t="str">
        <f>MID(analisis_productividad__4[[#This Row],[Periodo]],5,2)</f>
        <v>03</v>
      </c>
      <c r="E2091" t="s">
        <v>11</v>
      </c>
      <c r="F2091" t="s">
        <v>12</v>
      </c>
      <c r="G2091">
        <v>73549</v>
      </c>
      <c r="H2091">
        <v>4347740</v>
      </c>
      <c r="I2091">
        <v>59.113165322580635</v>
      </c>
      <c r="J2091">
        <v>0</v>
      </c>
      <c r="K2091">
        <v>55</v>
      </c>
      <c r="L2091">
        <v>55.5</v>
      </c>
      <c r="N2091">
        <v>0</v>
      </c>
    </row>
    <row r="2092" spans="1:14" x14ac:dyDescent="0.35">
      <c r="A2092" t="s">
        <v>53</v>
      </c>
      <c r="B2092">
        <v>202502</v>
      </c>
      <c r="C2092" t="str">
        <f>MID(analisis_productividad__4[[#This Row],[Periodo]],1,4)</f>
        <v>2025</v>
      </c>
      <c r="D2092" t="str">
        <f>MID(analisis_productividad__4[[#This Row],[Periodo]],5,2)</f>
        <v>02</v>
      </c>
      <c r="E2092" t="s">
        <v>11</v>
      </c>
      <c r="F2092" t="s">
        <v>12</v>
      </c>
      <c r="G2092">
        <v>73548</v>
      </c>
      <c r="H2092">
        <v>5643194</v>
      </c>
      <c r="I2092">
        <v>76.727656249999995</v>
      </c>
      <c r="J2092">
        <v>94018.511933103538</v>
      </c>
      <c r="K2092">
        <v>81</v>
      </c>
      <c r="L2092">
        <v>77</v>
      </c>
      <c r="M2092">
        <v>60.022160465752428</v>
      </c>
      <c r="N2092">
        <v>6408999</v>
      </c>
    </row>
    <row r="2093" spans="1:14" x14ac:dyDescent="0.35">
      <c r="A2093" t="s">
        <v>113</v>
      </c>
      <c r="B2093">
        <v>202508</v>
      </c>
      <c r="C2093" t="str">
        <f>MID(analisis_productividad__4[[#This Row],[Periodo]],1,4)</f>
        <v>2025</v>
      </c>
      <c r="D2093" t="str">
        <f>MID(analisis_productividad__4[[#This Row],[Periodo]],5,2)</f>
        <v>08</v>
      </c>
      <c r="E2093" t="s">
        <v>9</v>
      </c>
      <c r="F2093" t="s">
        <v>9</v>
      </c>
      <c r="G2093">
        <v>73544</v>
      </c>
      <c r="H2093">
        <v>592531</v>
      </c>
      <c r="I2093">
        <v>8.0568212365591396</v>
      </c>
      <c r="J2093">
        <v>60646.399546899738</v>
      </c>
      <c r="K2093">
        <v>11.5</v>
      </c>
      <c r="L2093">
        <v>10</v>
      </c>
      <c r="M2093">
        <v>9.7702542018471785</v>
      </c>
      <c r="N2093">
        <v>663428</v>
      </c>
    </row>
    <row r="2094" spans="1:14" x14ac:dyDescent="0.35">
      <c r="A2094" t="s">
        <v>47</v>
      </c>
      <c r="B2094">
        <v>202406</v>
      </c>
      <c r="C2094" t="str">
        <f>MID(analisis_productividad__4[[#This Row],[Periodo]],1,4)</f>
        <v>2024</v>
      </c>
      <c r="D2094" t="str">
        <f>MID(analisis_productividad__4[[#This Row],[Periodo]],5,2)</f>
        <v>06</v>
      </c>
      <c r="E2094" t="s">
        <v>11</v>
      </c>
      <c r="F2094" t="s">
        <v>14</v>
      </c>
      <c r="G2094">
        <v>73535</v>
      </c>
      <c r="H2094">
        <v>4639843</v>
      </c>
      <c r="I2094">
        <v>63.096784722222232</v>
      </c>
      <c r="J2094">
        <v>0</v>
      </c>
      <c r="K2094">
        <v>61.5</v>
      </c>
      <c r="L2094">
        <v>48.5</v>
      </c>
      <c r="N2094">
        <v>0</v>
      </c>
    </row>
    <row r="2095" spans="1:14" x14ac:dyDescent="0.35">
      <c r="A2095" t="s">
        <v>107</v>
      </c>
      <c r="B2095">
        <v>202605</v>
      </c>
      <c r="C2095" t="str">
        <f>MID(analisis_productividad__4[[#This Row],[Periodo]],1,4)</f>
        <v>2026</v>
      </c>
      <c r="D2095" t="str">
        <f>MID(analisis_productividad__4[[#This Row],[Periodo]],5,2)</f>
        <v>05</v>
      </c>
      <c r="E2095" t="s">
        <v>34</v>
      </c>
      <c r="F2095" t="s">
        <v>35</v>
      </c>
      <c r="G2095">
        <v>73532</v>
      </c>
      <c r="H2095">
        <v>5111049</v>
      </c>
      <c r="I2095">
        <v>69.507788978494958</v>
      </c>
      <c r="J2095">
        <v>69247.601854526831</v>
      </c>
      <c r="K2095">
        <v>87</v>
      </c>
      <c r="L2095">
        <v>77.5</v>
      </c>
      <c r="M2095">
        <v>73.970842069892498</v>
      </c>
      <c r="N2095">
        <v>5122303</v>
      </c>
    </row>
    <row r="2096" spans="1:14" x14ac:dyDescent="0.35">
      <c r="A2096" t="s">
        <v>83</v>
      </c>
      <c r="B2096">
        <v>202401</v>
      </c>
      <c r="C2096" t="str">
        <f>MID(analisis_productividad__4[[#This Row],[Periodo]],1,4)</f>
        <v>2024</v>
      </c>
      <c r="D2096" t="str">
        <f>MID(analisis_productividad__4[[#This Row],[Periodo]],5,2)</f>
        <v>01</v>
      </c>
      <c r="E2096" t="s">
        <v>16</v>
      </c>
      <c r="F2096" t="s">
        <v>17</v>
      </c>
      <c r="G2096">
        <v>73512</v>
      </c>
      <c r="H2096">
        <v>3495412</v>
      </c>
      <c r="I2096">
        <v>47.548958333333324</v>
      </c>
      <c r="J2096">
        <v>0</v>
      </c>
      <c r="K2096">
        <v>52</v>
      </c>
      <c r="L2096">
        <v>52</v>
      </c>
      <c r="N2096">
        <v>0</v>
      </c>
    </row>
    <row r="2097" spans="1:14" x14ac:dyDescent="0.35">
      <c r="A2097" t="s">
        <v>100</v>
      </c>
      <c r="B2097">
        <v>202606</v>
      </c>
      <c r="C2097" t="str">
        <f>MID(analisis_productividad__4[[#This Row],[Periodo]],1,4)</f>
        <v>2026</v>
      </c>
      <c r="D2097" t="str">
        <f>MID(analisis_productividad__4[[#This Row],[Periodo]],5,2)</f>
        <v>06</v>
      </c>
      <c r="E2097" t="s">
        <v>34</v>
      </c>
      <c r="F2097" t="s">
        <v>35</v>
      </c>
      <c r="G2097">
        <v>73488</v>
      </c>
      <c r="H2097">
        <v>2564150</v>
      </c>
      <c r="I2097">
        <v>34.892277777777515</v>
      </c>
      <c r="J2097">
        <v>72084.328293413564</v>
      </c>
      <c r="K2097">
        <v>44</v>
      </c>
      <c r="L2097">
        <v>40.5</v>
      </c>
      <c r="M2097">
        <v>35.762421795855829</v>
      </c>
      <c r="N2097">
        <v>2577910</v>
      </c>
    </row>
    <row r="2098" spans="1:14" x14ac:dyDescent="0.35">
      <c r="A2098" t="s">
        <v>62</v>
      </c>
      <c r="B2098">
        <v>202409</v>
      </c>
      <c r="C2098" t="str">
        <f>MID(analisis_productividad__4[[#This Row],[Periodo]],1,4)</f>
        <v>2024</v>
      </c>
      <c r="D2098" t="str">
        <f>MID(analisis_productividad__4[[#This Row],[Periodo]],5,2)</f>
        <v>09</v>
      </c>
      <c r="E2098" t="s">
        <v>16</v>
      </c>
      <c r="F2098" t="s">
        <v>17</v>
      </c>
      <c r="G2098">
        <v>73459</v>
      </c>
      <c r="H2098">
        <v>2033519</v>
      </c>
      <c r="I2098">
        <v>27.682277777777777</v>
      </c>
      <c r="J2098">
        <v>0</v>
      </c>
      <c r="K2098">
        <v>32.5</v>
      </c>
      <c r="L2098">
        <v>32</v>
      </c>
      <c r="N2098">
        <v>0</v>
      </c>
    </row>
    <row r="2099" spans="1:14" x14ac:dyDescent="0.35">
      <c r="A2099" t="s">
        <v>107</v>
      </c>
      <c r="B2099">
        <v>202604</v>
      </c>
      <c r="C2099" t="str">
        <f>MID(analisis_productividad__4[[#This Row],[Periodo]],1,4)</f>
        <v>2026</v>
      </c>
      <c r="D2099" t="str">
        <f>MID(analisis_productividad__4[[#This Row],[Periodo]],5,2)</f>
        <v>04</v>
      </c>
      <c r="E2099" t="s">
        <v>34</v>
      </c>
      <c r="F2099" t="s">
        <v>35</v>
      </c>
      <c r="G2099">
        <v>73443</v>
      </c>
      <c r="H2099">
        <v>4982382</v>
      </c>
      <c r="I2099">
        <v>67.839868055555783</v>
      </c>
      <c r="J2099">
        <v>66279.986475853919</v>
      </c>
      <c r="K2099">
        <v>87</v>
      </c>
      <c r="L2099">
        <v>77.5</v>
      </c>
      <c r="M2099">
        <v>73.970842069892498</v>
      </c>
      <c r="N2099">
        <v>4902786</v>
      </c>
    </row>
    <row r="2100" spans="1:14" x14ac:dyDescent="0.35">
      <c r="A2100" t="s">
        <v>86</v>
      </c>
      <c r="B2100">
        <v>202501</v>
      </c>
      <c r="C2100" t="str">
        <f>MID(analisis_productividad__4[[#This Row],[Periodo]],1,4)</f>
        <v>2025</v>
      </c>
      <c r="D2100" t="str">
        <f>MID(analisis_productividad__4[[#This Row],[Periodo]],5,2)</f>
        <v>01</v>
      </c>
      <c r="E2100" t="s">
        <v>11</v>
      </c>
      <c r="F2100" t="s">
        <v>14</v>
      </c>
      <c r="G2100">
        <v>73443</v>
      </c>
      <c r="H2100">
        <v>4422922</v>
      </c>
      <c r="I2100">
        <v>60.22281586021505</v>
      </c>
      <c r="J2100">
        <v>78812.265963874161</v>
      </c>
      <c r="K2100">
        <v>69.5</v>
      </c>
      <c r="L2100">
        <v>59</v>
      </c>
      <c r="M2100">
        <v>56.119718750725553</v>
      </c>
      <c r="N2100">
        <v>4869251</v>
      </c>
    </row>
    <row r="2101" spans="1:14" x14ac:dyDescent="0.35">
      <c r="A2101" t="s">
        <v>92</v>
      </c>
      <c r="B2101">
        <v>202408</v>
      </c>
      <c r="C2101" t="str">
        <f>MID(analisis_productividad__4[[#This Row],[Periodo]],1,4)</f>
        <v>2024</v>
      </c>
      <c r="D2101" t="str">
        <f>MID(analisis_productividad__4[[#This Row],[Periodo]],5,2)</f>
        <v>08</v>
      </c>
      <c r="E2101" t="s">
        <v>11</v>
      </c>
      <c r="F2101" t="s">
        <v>14</v>
      </c>
      <c r="G2101">
        <v>73418</v>
      </c>
      <c r="H2101">
        <v>3774225</v>
      </c>
      <c r="I2101">
        <v>51.407284946236565</v>
      </c>
      <c r="J2101">
        <v>0</v>
      </c>
      <c r="K2101">
        <v>63</v>
      </c>
      <c r="L2101">
        <v>59</v>
      </c>
      <c r="N2101">
        <v>0</v>
      </c>
    </row>
    <row r="2102" spans="1:14" x14ac:dyDescent="0.35">
      <c r="A2102" t="s">
        <v>26</v>
      </c>
      <c r="B2102">
        <v>202405</v>
      </c>
      <c r="C2102" t="str">
        <f>MID(analisis_productividad__4[[#This Row],[Periodo]],1,4)</f>
        <v>2024</v>
      </c>
      <c r="D2102" t="str">
        <f>MID(analisis_productividad__4[[#This Row],[Periodo]],5,2)</f>
        <v>05</v>
      </c>
      <c r="E2102" t="s">
        <v>11</v>
      </c>
      <c r="F2102" t="s">
        <v>12</v>
      </c>
      <c r="G2102">
        <v>73391</v>
      </c>
      <c r="H2102">
        <v>4711532</v>
      </c>
      <c r="I2102">
        <v>64.197338709677425</v>
      </c>
      <c r="J2102">
        <v>0</v>
      </c>
      <c r="K2102">
        <v>65.5</v>
      </c>
      <c r="L2102">
        <v>63</v>
      </c>
      <c r="N2102">
        <v>0</v>
      </c>
    </row>
    <row r="2103" spans="1:14" x14ac:dyDescent="0.35">
      <c r="A2103" t="s">
        <v>84</v>
      </c>
      <c r="B2103">
        <v>202402</v>
      </c>
      <c r="C2103" t="str">
        <f>MID(analisis_productividad__4[[#This Row],[Periodo]],1,4)</f>
        <v>2024</v>
      </c>
      <c r="D2103" t="str">
        <f>MID(analisis_productividad__4[[#This Row],[Periodo]],5,2)</f>
        <v>02</v>
      </c>
      <c r="E2103" t="s">
        <v>11</v>
      </c>
      <c r="F2103" t="s">
        <v>52</v>
      </c>
      <c r="G2103">
        <v>73387</v>
      </c>
      <c r="H2103">
        <v>8578090</v>
      </c>
      <c r="I2103">
        <v>116.8879310344828</v>
      </c>
      <c r="J2103">
        <v>0</v>
      </c>
      <c r="K2103">
        <v>123</v>
      </c>
      <c r="L2103">
        <v>115.5</v>
      </c>
      <c r="N2103">
        <v>0</v>
      </c>
    </row>
    <row r="2104" spans="1:14" x14ac:dyDescent="0.35">
      <c r="A2104" t="s">
        <v>77</v>
      </c>
      <c r="B2104">
        <v>202406</v>
      </c>
      <c r="C2104" t="str">
        <f>MID(analisis_productividad__4[[#This Row],[Periodo]],1,4)</f>
        <v>2024</v>
      </c>
      <c r="D2104" t="str">
        <f>MID(analisis_productividad__4[[#This Row],[Periodo]],5,2)</f>
        <v>06</v>
      </c>
      <c r="E2104" t="s">
        <v>16</v>
      </c>
      <c r="F2104" t="s">
        <v>21</v>
      </c>
      <c r="G2104">
        <v>73383</v>
      </c>
      <c r="H2104">
        <v>4794611</v>
      </c>
      <c r="I2104">
        <v>65.336930555555554</v>
      </c>
      <c r="J2104">
        <v>0</v>
      </c>
      <c r="K2104">
        <v>60.5</v>
      </c>
      <c r="L2104">
        <v>60.5</v>
      </c>
      <c r="N2104">
        <v>0</v>
      </c>
    </row>
    <row r="2105" spans="1:14" x14ac:dyDescent="0.35">
      <c r="A2105" t="s">
        <v>106</v>
      </c>
      <c r="B2105">
        <v>202510</v>
      </c>
      <c r="C2105" t="str">
        <f>MID(analisis_productividad__4[[#This Row],[Periodo]],1,4)</f>
        <v>2025</v>
      </c>
      <c r="D2105" t="str">
        <f>MID(analisis_productividad__4[[#This Row],[Periodo]],5,2)</f>
        <v>10</v>
      </c>
      <c r="E2105" t="s">
        <v>34</v>
      </c>
      <c r="F2105" t="s">
        <v>35</v>
      </c>
      <c r="G2105">
        <v>73353</v>
      </c>
      <c r="H2105">
        <v>3001171</v>
      </c>
      <c r="I2105">
        <v>40.913870967741936</v>
      </c>
      <c r="J2105">
        <v>83281.28995008707</v>
      </c>
      <c r="K2105">
        <v>51</v>
      </c>
      <c r="L2105">
        <v>49</v>
      </c>
      <c r="M2105">
        <v>36.03656141491912</v>
      </c>
      <c r="N2105">
        <v>3624264</v>
      </c>
    </row>
    <row r="2106" spans="1:14" x14ac:dyDescent="0.35">
      <c r="A2106" t="s">
        <v>100</v>
      </c>
      <c r="B2106">
        <v>202403</v>
      </c>
      <c r="C2106" t="str">
        <f>MID(analisis_productividad__4[[#This Row],[Periodo]],1,4)</f>
        <v>2024</v>
      </c>
      <c r="D2106" t="str">
        <f>MID(analisis_productividad__4[[#This Row],[Periodo]],5,2)</f>
        <v>03</v>
      </c>
      <c r="E2106" t="s">
        <v>34</v>
      </c>
      <c r="F2106" t="s">
        <v>35</v>
      </c>
      <c r="G2106">
        <v>73353</v>
      </c>
      <c r="H2106">
        <v>2923311</v>
      </c>
      <c r="I2106">
        <v>39.852674731182788</v>
      </c>
      <c r="J2106">
        <v>0</v>
      </c>
      <c r="K2106">
        <v>44</v>
      </c>
      <c r="L2106">
        <v>40.5</v>
      </c>
      <c r="N2106">
        <v>0</v>
      </c>
    </row>
    <row r="2107" spans="1:14" x14ac:dyDescent="0.35">
      <c r="A2107" t="s">
        <v>106</v>
      </c>
      <c r="B2107">
        <v>202501</v>
      </c>
      <c r="C2107" t="str">
        <f>MID(analisis_productividad__4[[#This Row],[Periodo]],1,4)</f>
        <v>2025</v>
      </c>
      <c r="D2107" t="str">
        <f>MID(analisis_productividad__4[[#This Row],[Periodo]],5,2)</f>
        <v>01</v>
      </c>
      <c r="E2107" t="s">
        <v>34</v>
      </c>
      <c r="F2107" t="s">
        <v>35</v>
      </c>
      <c r="G2107">
        <v>73353</v>
      </c>
      <c r="H2107">
        <v>3222757</v>
      </c>
      <c r="I2107">
        <v>43.93506720430107</v>
      </c>
      <c r="J2107">
        <v>79231.322432734945</v>
      </c>
      <c r="K2107">
        <v>51</v>
      </c>
      <c r="L2107">
        <v>49</v>
      </c>
      <c r="M2107">
        <v>40.675295085930522</v>
      </c>
      <c r="N2107">
        <v>3386464</v>
      </c>
    </row>
    <row r="2108" spans="1:14" x14ac:dyDescent="0.35">
      <c r="A2108" t="s">
        <v>37</v>
      </c>
      <c r="B2108">
        <v>202402</v>
      </c>
      <c r="C2108" t="str">
        <f>MID(analisis_productividad__4[[#This Row],[Periodo]],1,4)</f>
        <v>2024</v>
      </c>
      <c r="D2108" t="str">
        <f>MID(analisis_productividad__4[[#This Row],[Periodo]],5,2)</f>
        <v>02</v>
      </c>
      <c r="E2108" t="s">
        <v>16</v>
      </c>
      <c r="F2108" t="s">
        <v>17</v>
      </c>
      <c r="G2108">
        <v>73347</v>
      </c>
      <c r="H2108">
        <v>7496296</v>
      </c>
      <c r="I2108">
        <v>102.20326867816098</v>
      </c>
      <c r="J2108">
        <v>0</v>
      </c>
      <c r="K2108">
        <v>107.5</v>
      </c>
      <c r="L2108">
        <v>102.5</v>
      </c>
      <c r="N2108">
        <v>0</v>
      </c>
    </row>
    <row r="2109" spans="1:14" x14ac:dyDescent="0.35">
      <c r="A2109" t="s">
        <v>95</v>
      </c>
      <c r="B2109">
        <v>202412</v>
      </c>
      <c r="C2109" t="str">
        <f>MID(analisis_productividad__4[[#This Row],[Periodo]],1,4)</f>
        <v>2024</v>
      </c>
      <c r="D2109" t="str">
        <f>MID(analisis_productividad__4[[#This Row],[Periodo]],5,2)</f>
        <v>12</v>
      </c>
      <c r="E2109" t="s">
        <v>9</v>
      </c>
      <c r="F2109" t="s">
        <v>9</v>
      </c>
      <c r="G2109">
        <v>73328</v>
      </c>
      <c r="H2109">
        <v>803609</v>
      </c>
      <c r="I2109">
        <v>10.959045698924733</v>
      </c>
      <c r="J2109">
        <v>0</v>
      </c>
      <c r="K2109">
        <v>11</v>
      </c>
      <c r="L2109">
        <v>11</v>
      </c>
      <c r="N2109">
        <v>0</v>
      </c>
    </row>
    <row r="2110" spans="1:14" x14ac:dyDescent="0.35">
      <c r="A2110" t="s">
        <v>45</v>
      </c>
      <c r="B2110">
        <v>202603</v>
      </c>
      <c r="C2110" t="str">
        <f>MID(analisis_productividad__4[[#This Row],[Periodo]],1,4)</f>
        <v>2026</v>
      </c>
      <c r="D2110" t="str">
        <f>MID(analisis_productividad__4[[#This Row],[Periodo]],5,2)</f>
        <v>03</v>
      </c>
      <c r="E2110" t="s">
        <v>34</v>
      </c>
      <c r="F2110" t="s">
        <v>35</v>
      </c>
      <c r="G2110">
        <v>73322</v>
      </c>
      <c r="H2110">
        <v>1656529</v>
      </c>
      <c r="I2110">
        <v>22.592594086021517</v>
      </c>
      <c r="J2110">
        <v>97279.004892406097</v>
      </c>
      <c r="K2110">
        <v>22.5</v>
      </c>
      <c r="L2110">
        <v>21</v>
      </c>
      <c r="M2110">
        <v>19.647967156057994</v>
      </c>
      <c r="N2110">
        <v>1911335</v>
      </c>
    </row>
    <row r="2111" spans="1:14" x14ac:dyDescent="0.35">
      <c r="A2111" t="s">
        <v>33</v>
      </c>
      <c r="B2111">
        <v>202508</v>
      </c>
      <c r="C2111" t="str">
        <f>MID(analisis_productividad__4[[#This Row],[Periodo]],1,4)</f>
        <v>2025</v>
      </c>
      <c r="D2111" t="str">
        <f>MID(analisis_productividad__4[[#This Row],[Periodo]],5,2)</f>
        <v>08</v>
      </c>
      <c r="E2111" t="s">
        <v>34</v>
      </c>
      <c r="F2111" t="s">
        <v>35</v>
      </c>
      <c r="G2111">
        <v>73303</v>
      </c>
      <c r="H2111">
        <v>1095381</v>
      </c>
      <c r="I2111">
        <v>14.943259408602147</v>
      </c>
      <c r="J2111">
        <v>84746.670876349483</v>
      </c>
      <c r="K2111">
        <v>15</v>
      </c>
      <c r="L2111">
        <v>15</v>
      </c>
      <c r="M2111">
        <v>12.925362243411637</v>
      </c>
      <c r="N2111">
        <v>1108959</v>
      </c>
    </row>
    <row r="2112" spans="1:14" x14ac:dyDescent="0.35">
      <c r="A2112" t="s">
        <v>83</v>
      </c>
      <c r="B2112">
        <v>202411</v>
      </c>
      <c r="C2112" t="str">
        <f>MID(analisis_productividad__4[[#This Row],[Periodo]],1,4)</f>
        <v>2024</v>
      </c>
      <c r="D2112" t="str">
        <f>MID(analisis_productividad__4[[#This Row],[Periodo]],5,2)</f>
        <v>11</v>
      </c>
      <c r="E2112" t="s">
        <v>16</v>
      </c>
      <c r="F2112" t="s">
        <v>17</v>
      </c>
      <c r="G2112">
        <v>73297</v>
      </c>
      <c r="H2112">
        <v>3610543</v>
      </c>
      <c r="I2112">
        <v>49.259048611111098</v>
      </c>
      <c r="J2112">
        <v>0</v>
      </c>
      <c r="K2112">
        <v>52</v>
      </c>
      <c r="L2112">
        <v>52</v>
      </c>
      <c r="N2112">
        <v>0</v>
      </c>
    </row>
    <row r="2113" spans="1:14" x14ac:dyDescent="0.35">
      <c r="A2113" t="s">
        <v>100</v>
      </c>
      <c r="B2113">
        <v>202401</v>
      </c>
      <c r="C2113" t="str">
        <f>MID(analisis_productividad__4[[#This Row],[Periodo]],1,4)</f>
        <v>2024</v>
      </c>
      <c r="D2113" t="str">
        <f>MID(analisis_productividad__4[[#This Row],[Periodo]],5,2)</f>
        <v>01</v>
      </c>
      <c r="E2113" t="s">
        <v>34</v>
      </c>
      <c r="F2113" t="s">
        <v>35</v>
      </c>
      <c r="G2113">
        <v>73284</v>
      </c>
      <c r="H2113">
        <v>2644882</v>
      </c>
      <c r="I2113">
        <v>36.090974462365594</v>
      </c>
      <c r="J2113">
        <v>0</v>
      </c>
      <c r="K2113">
        <v>44</v>
      </c>
      <c r="L2113">
        <v>40.5</v>
      </c>
      <c r="N2113">
        <v>0</v>
      </c>
    </row>
    <row r="2114" spans="1:14" x14ac:dyDescent="0.35">
      <c r="A2114" t="s">
        <v>18</v>
      </c>
      <c r="B2114">
        <v>202405</v>
      </c>
      <c r="C2114" t="str">
        <f>MID(analisis_productividad__4[[#This Row],[Periodo]],1,4)</f>
        <v>2024</v>
      </c>
      <c r="D2114" t="str">
        <f>MID(analisis_productividad__4[[#This Row],[Periodo]],5,2)</f>
        <v>05</v>
      </c>
      <c r="E2114" t="s">
        <v>16</v>
      </c>
      <c r="F2114" t="s">
        <v>19</v>
      </c>
      <c r="G2114">
        <v>73260</v>
      </c>
      <c r="H2114">
        <v>4625987</v>
      </c>
      <c r="I2114">
        <v>63.145127688172074</v>
      </c>
      <c r="J2114">
        <v>0</v>
      </c>
      <c r="K2114">
        <v>70.5</v>
      </c>
      <c r="L2114">
        <v>69.5</v>
      </c>
      <c r="N2114">
        <v>0</v>
      </c>
    </row>
    <row r="2115" spans="1:14" x14ac:dyDescent="0.35">
      <c r="A2115" t="s">
        <v>89</v>
      </c>
      <c r="B2115">
        <v>202506</v>
      </c>
      <c r="C2115" t="str">
        <f>MID(analisis_productividad__4[[#This Row],[Periodo]],1,4)</f>
        <v>2025</v>
      </c>
      <c r="D2115" t="str">
        <f>MID(analisis_productividad__4[[#This Row],[Periodo]],5,2)</f>
        <v>06</v>
      </c>
      <c r="E2115" t="s">
        <v>9</v>
      </c>
      <c r="F2115" t="s">
        <v>9</v>
      </c>
      <c r="G2115">
        <v>73258</v>
      </c>
      <c r="H2115">
        <v>936717</v>
      </c>
      <c r="I2115">
        <v>12.786520833333336</v>
      </c>
      <c r="J2115">
        <v>74062.059031598794</v>
      </c>
      <c r="K2115">
        <v>17</v>
      </c>
      <c r="L2115">
        <v>13.5</v>
      </c>
      <c r="M2115">
        <v>12.64772951559917</v>
      </c>
      <c r="N2115">
        <v>1094734</v>
      </c>
    </row>
    <row r="2116" spans="1:14" x14ac:dyDescent="0.35">
      <c r="A2116" t="s">
        <v>66</v>
      </c>
      <c r="B2116">
        <v>202510</v>
      </c>
      <c r="C2116" t="str">
        <f>MID(analisis_productividad__4[[#This Row],[Periodo]],1,4)</f>
        <v>2025</v>
      </c>
      <c r="D2116" t="str">
        <f>MID(analisis_productividad__4[[#This Row],[Periodo]],5,2)</f>
        <v>10</v>
      </c>
      <c r="E2116" t="s">
        <v>11</v>
      </c>
      <c r="F2116" t="s">
        <v>12</v>
      </c>
      <c r="G2116">
        <v>73254</v>
      </c>
      <c r="H2116">
        <v>4954457</v>
      </c>
      <c r="I2116">
        <v>67.633783602150544</v>
      </c>
      <c r="J2116">
        <v>78227.004123902967</v>
      </c>
      <c r="K2116">
        <v>80</v>
      </c>
      <c r="L2116">
        <v>80.5</v>
      </c>
      <c r="M2116">
        <v>63.334357559605451</v>
      </c>
      <c r="N2116">
        <v>6290140</v>
      </c>
    </row>
    <row r="2117" spans="1:14" x14ac:dyDescent="0.35">
      <c r="A2117" t="s">
        <v>90</v>
      </c>
      <c r="B2117">
        <v>202601</v>
      </c>
      <c r="C2117" t="str">
        <f>MID(analisis_productividad__4[[#This Row],[Periodo]],1,4)</f>
        <v>2026</v>
      </c>
      <c r="D2117" t="str">
        <f>MID(analisis_productividad__4[[#This Row],[Periodo]],5,2)</f>
        <v>01</v>
      </c>
      <c r="E2117" t="s">
        <v>11</v>
      </c>
      <c r="F2117" t="s">
        <v>14</v>
      </c>
      <c r="G2117">
        <v>73234</v>
      </c>
      <c r="H2117">
        <v>5631449</v>
      </c>
      <c r="I2117">
        <v>76.89674059139783</v>
      </c>
      <c r="J2117">
        <v>78326.139695577149</v>
      </c>
      <c r="K2117">
        <v>84.5</v>
      </c>
      <c r="L2117">
        <v>78.5</v>
      </c>
      <c r="M2117">
        <v>72.494656792343278</v>
      </c>
      <c r="N2117">
        <v>5678227</v>
      </c>
    </row>
    <row r="2118" spans="1:14" x14ac:dyDescent="0.35">
      <c r="A2118" t="s">
        <v>94</v>
      </c>
      <c r="B2118">
        <v>202509</v>
      </c>
      <c r="C2118" t="str">
        <f>MID(analisis_productividad__4[[#This Row],[Periodo]],1,4)</f>
        <v>2025</v>
      </c>
      <c r="D2118" t="str">
        <f>MID(analisis_productividad__4[[#This Row],[Periodo]],5,2)</f>
        <v>09</v>
      </c>
      <c r="E2118" t="s">
        <v>11</v>
      </c>
      <c r="F2118" t="s">
        <v>52</v>
      </c>
      <c r="G2118">
        <v>73232</v>
      </c>
      <c r="H2118">
        <v>4336969</v>
      </c>
      <c r="I2118">
        <v>59.222381944444471</v>
      </c>
      <c r="J2118">
        <v>71479.203381137835</v>
      </c>
      <c r="K2118">
        <v>75.5</v>
      </c>
      <c r="L2118">
        <v>70.5</v>
      </c>
      <c r="M2118">
        <v>60.67456035953046</v>
      </c>
      <c r="N2118">
        <v>5321722</v>
      </c>
    </row>
    <row r="2119" spans="1:14" x14ac:dyDescent="0.35">
      <c r="A2119" t="s">
        <v>110</v>
      </c>
      <c r="B2119">
        <v>202604</v>
      </c>
      <c r="C2119" t="str">
        <f>MID(analisis_productividad__4[[#This Row],[Periodo]],1,4)</f>
        <v>2026</v>
      </c>
      <c r="D2119" t="str">
        <f>MID(analisis_productividad__4[[#This Row],[Periodo]],5,2)</f>
        <v>04</v>
      </c>
      <c r="E2119" t="s">
        <v>34</v>
      </c>
      <c r="F2119" t="s">
        <v>35</v>
      </c>
      <c r="G2119">
        <v>73180</v>
      </c>
      <c r="H2119">
        <v>2112674</v>
      </c>
      <c r="I2119">
        <v>28.869506944444428</v>
      </c>
      <c r="J2119">
        <v>66021.987994702213</v>
      </c>
      <c r="K2119">
        <v>41.5</v>
      </c>
      <c r="L2119">
        <v>43</v>
      </c>
      <c r="M2119">
        <v>33.730466012000377</v>
      </c>
      <c r="N2119">
        <v>2226952</v>
      </c>
    </row>
    <row r="2120" spans="1:14" x14ac:dyDescent="0.35">
      <c r="A2120" t="s">
        <v>103</v>
      </c>
      <c r="B2120">
        <v>202512</v>
      </c>
      <c r="C2120" t="str">
        <f>MID(analisis_productividad__4[[#This Row],[Periodo]],1,4)</f>
        <v>2025</v>
      </c>
      <c r="D2120" t="str">
        <f>MID(analisis_productividad__4[[#This Row],[Periodo]],5,2)</f>
        <v>12</v>
      </c>
      <c r="E2120" t="s">
        <v>104</v>
      </c>
      <c r="F2120" t="s">
        <v>104</v>
      </c>
      <c r="G2120">
        <v>73172</v>
      </c>
      <c r="H2120">
        <v>6243182</v>
      </c>
      <c r="I2120">
        <v>85.322049731182716</v>
      </c>
      <c r="J2120">
        <v>76710.920715149448</v>
      </c>
      <c r="K2120">
        <v>94</v>
      </c>
      <c r="L2120">
        <v>77.5</v>
      </c>
      <c r="M2120">
        <v>81.38583231431673</v>
      </c>
      <c r="N2120">
        <v>6733325</v>
      </c>
    </row>
    <row r="2121" spans="1:14" x14ac:dyDescent="0.35">
      <c r="A2121" t="s">
        <v>44</v>
      </c>
      <c r="B2121">
        <v>202506</v>
      </c>
      <c r="C2121" t="str">
        <f>MID(analisis_productividad__4[[#This Row],[Periodo]],1,4)</f>
        <v>2025</v>
      </c>
      <c r="D2121" t="str">
        <f>MID(analisis_productividad__4[[#This Row],[Periodo]],5,2)</f>
        <v>06</v>
      </c>
      <c r="E2121" t="s">
        <v>11</v>
      </c>
      <c r="F2121" t="s">
        <v>12</v>
      </c>
      <c r="G2121">
        <v>73156</v>
      </c>
      <c r="H2121">
        <v>5266541</v>
      </c>
      <c r="I2121">
        <v>71.990965277777789</v>
      </c>
      <c r="J2121">
        <v>102171.83682787306</v>
      </c>
      <c r="K2121">
        <v>78</v>
      </c>
      <c r="L2121">
        <v>74.5</v>
      </c>
      <c r="M2121">
        <v>51.545917480885066</v>
      </c>
      <c r="N2121">
        <v>6014389</v>
      </c>
    </row>
    <row r="2122" spans="1:14" x14ac:dyDescent="0.35">
      <c r="A2122" t="s">
        <v>103</v>
      </c>
      <c r="B2122">
        <v>202503</v>
      </c>
      <c r="C2122" t="str">
        <f>MID(analisis_productividad__4[[#This Row],[Periodo]],1,4)</f>
        <v>2025</v>
      </c>
      <c r="D2122" t="str">
        <f>MID(analisis_productividad__4[[#This Row],[Periodo]],5,2)</f>
        <v>03</v>
      </c>
      <c r="E2122" t="s">
        <v>104</v>
      </c>
      <c r="F2122" t="s">
        <v>104</v>
      </c>
      <c r="G2122">
        <v>73090</v>
      </c>
      <c r="H2122">
        <v>5723821</v>
      </c>
      <c r="I2122">
        <v>78.312358870967785</v>
      </c>
      <c r="J2122">
        <v>72824.594489602867</v>
      </c>
      <c r="K2122">
        <v>94</v>
      </c>
      <c r="L2122">
        <v>77.5</v>
      </c>
      <c r="M2122">
        <v>78.597365493290681</v>
      </c>
      <c r="N2122">
        <v>5633688</v>
      </c>
    </row>
    <row r="2123" spans="1:14" x14ac:dyDescent="0.35">
      <c r="A2123" t="s">
        <v>86</v>
      </c>
      <c r="B2123">
        <v>202502</v>
      </c>
      <c r="C2123" t="str">
        <f>MID(analisis_productividad__4[[#This Row],[Periodo]],1,4)</f>
        <v>2025</v>
      </c>
      <c r="D2123" t="str">
        <f>MID(analisis_productividad__4[[#This Row],[Periodo]],5,2)</f>
        <v>02</v>
      </c>
      <c r="E2123" t="s">
        <v>11</v>
      </c>
      <c r="F2123" t="s">
        <v>14</v>
      </c>
      <c r="G2123">
        <v>73078</v>
      </c>
      <c r="H2123">
        <v>4529475</v>
      </c>
      <c r="I2123">
        <v>61.981406250000013</v>
      </c>
      <c r="J2123">
        <v>81670.789990737147</v>
      </c>
      <c r="K2123">
        <v>69.5</v>
      </c>
      <c r="L2123">
        <v>59</v>
      </c>
      <c r="M2123">
        <v>55.460153997698797</v>
      </c>
      <c r="N2123">
        <v>5119402</v>
      </c>
    </row>
    <row r="2124" spans="1:14" x14ac:dyDescent="0.35">
      <c r="A2124" t="s">
        <v>83</v>
      </c>
      <c r="B2124">
        <v>202510</v>
      </c>
      <c r="C2124" t="str">
        <f>MID(analisis_productividad__4[[#This Row],[Periodo]],1,4)</f>
        <v>2025</v>
      </c>
      <c r="D2124" t="str">
        <f>MID(analisis_productividad__4[[#This Row],[Periodo]],5,2)</f>
        <v>10</v>
      </c>
      <c r="E2124" t="s">
        <v>16</v>
      </c>
      <c r="F2124" t="s">
        <v>17</v>
      </c>
      <c r="G2124">
        <v>73074</v>
      </c>
      <c r="H2124">
        <v>3299508</v>
      </c>
      <c r="I2124">
        <v>45.152822580645157</v>
      </c>
      <c r="J2124">
        <v>75390.906769903289</v>
      </c>
      <c r="K2124">
        <v>52</v>
      </c>
      <c r="L2124">
        <v>52</v>
      </c>
      <c r="M2124">
        <v>43.765326766399809</v>
      </c>
      <c r="N2124">
        <v>3502858</v>
      </c>
    </row>
    <row r="2125" spans="1:14" x14ac:dyDescent="0.35">
      <c r="A2125" t="s">
        <v>103</v>
      </c>
      <c r="B2125">
        <v>202412</v>
      </c>
      <c r="C2125" t="str">
        <f>MID(analisis_productividad__4[[#This Row],[Periodo]],1,4)</f>
        <v>2024</v>
      </c>
      <c r="D2125" t="str">
        <f>MID(analisis_productividad__4[[#This Row],[Periodo]],5,2)</f>
        <v>12</v>
      </c>
      <c r="E2125" t="s">
        <v>104</v>
      </c>
      <c r="F2125" t="s">
        <v>104</v>
      </c>
      <c r="G2125">
        <v>73058</v>
      </c>
      <c r="H2125">
        <v>6494566</v>
      </c>
      <c r="I2125">
        <v>88.896001344086031</v>
      </c>
      <c r="J2125">
        <v>0</v>
      </c>
      <c r="K2125">
        <v>94</v>
      </c>
      <c r="L2125">
        <v>77.5</v>
      </c>
      <c r="N2125">
        <v>0</v>
      </c>
    </row>
    <row r="2126" spans="1:14" x14ac:dyDescent="0.35">
      <c r="A2126" t="s">
        <v>90</v>
      </c>
      <c r="B2126">
        <v>202501</v>
      </c>
      <c r="C2126" t="str">
        <f>MID(analisis_productividad__4[[#This Row],[Periodo]],1,4)</f>
        <v>2025</v>
      </c>
      <c r="D2126" t="str">
        <f>MID(analisis_productividad__4[[#This Row],[Periodo]],5,2)</f>
        <v>01</v>
      </c>
      <c r="E2126" t="s">
        <v>11</v>
      </c>
      <c r="F2126" t="s">
        <v>14</v>
      </c>
      <c r="G2126">
        <v>73057</v>
      </c>
      <c r="H2126">
        <v>5564635</v>
      </c>
      <c r="I2126">
        <v>76.168138440860119</v>
      </c>
      <c r="J2126">
        <v>71183.375077397199</v>
      </c>
      <c r="K2126">
        <v>84.5</v>
      </c>
      <c r="L2126">
        <v>78.5</v>
      </c>
      <c r="M2126">
        <v>78.173245985451089</v>
      </c>
      <c r="N2126">
        <v>5578169</v>
      </c>
    </row>
    <row r="2127" spans="1:14" x14ac:dyDescent="0.35">
      <c r="A2127" t="s">
        <v>91</v>
      </c>
      <c r="B2127">
        <v>202507</v>
      </c>
      <c r="C2127" t="str">
        <f>MID(analisis_productividad__4[[#This Row],[Periodo]],1,4)</f>
        <v>2025</v>
      </c>
      <c r="D2127" t="str">
        <f>MID(analisis_productividad__4[[#This Row],[Periodo]],5,2)</f>
        <v>07</v>
      </c>
      <c r="E2127" t="s">
        <v>11</v>
      </c>
      <c r="F2127" t="s">
        <v>12</v>
      </c>
      <c r="G2127">
        <v>73023</v>
      </c>
      <c r="H2127">
        <v>4188129</v>
      </c>
      <c r="I2127">
        <v>57.353803763440858</v>
      </c>
      <c r="J2127">
        <v>83648.713136982347</v>
      </c>
      <c r="K2127">
        <v>55</v>
      </c>
      <c r="L2127">
        <v>55.5</v>
      </c>
      <c r="M2127">
        <v>50.06805786888269</v>
      </c>
      <c r="N2127">
        <v>4338730</v>
      </c>
    </row>
    <row r="2128" spans="1:14" x14ac:dyDescent="0.35">
      <c r="A2128" t="s">
        <v>98</v>
      </c>
      <c r="B2128">
        <v>202401</v>
      </c>
      <c r="C2128" t="str">
        <f>MID(analisis_productividad__4[[#This Row],[Periodo]],1,4)</f>
        <v>2024</v>
      </c>
      <c r="D2128" t="str">
        <f>MID(analisis_productividad__4[[#This Row],[Periodo]],5,2)</f>
        <v>01</v>
      </c>
      <c r="E2128" t="s">
        <v>11</v>
      </c>
      <c r="F2128" t="s">
        <v>14</v>
      </c>
      <c r="G2128">
        <v>73004</v>
      </c>
      <c r="H2128">
        <v>3682621</v>
      </c>
      <c r="I2128">
        <v>50.444220430107549</v>
      </c>
      <c r="J2128">
        <v>0</v>
      </c>
      <c r="K2128">
        <v>61.5</v>
      </c>
      <c r="L2128">
        <v>56</v>
      </c>
      <c r="N2128">
        <v>0</v>
      </c>
    </row>
    <row r="2129" spans="1:14" x14ac:dyDescent="0.35">
      <c r="A2129" t="s">
        <v>111</v>
      </c>
      <c r="B2129">
        <v>202603</v>
      </c>
      <c r="C2129" t="str">
        <f>MID(analisis_productividad__4[[#This Row],[Periodo]],1,4)</f>
        <v>2026</v>
      </c>
      <c r="D2129" t="str">
        <f>MID(analisis_productividad__4[[#This Row],[Periodo]],5,2)</f>
        <v>03</v>
      </c>
      <c r="E2129" t="s">
        <v>34</v>
      </c>
      <c r="F2129" t="s">
        <v>35</v>
      </c>
      <c r="G2129">
        <v>72993</v>
      </c>
      <c r="H2129">
        <v>2766432</v>
      </c>
      <c r="I2129">
        <v>37.899966397849461</v>
      </c>
      <c r="J2129">
        <v>68513.959981004096</v>
      </c>
      <c r="K2129">
        <v>45.5</v>
      </c>
      <c r="L2129">
        <v>42.5</v>
      </c>
      <c r="M2129">
        <v>36.981595266169094</v>
      </c>
      <c r="N2129">
        <v>2533756</v>
      </c>
    </row>
    <row r="2130" spans="1:14" x14ac:dyDescent="0.35">
      <c r="A2130" t="s">
        <v>106</v>
      </c>
      <c r="B2130">
        <v>202405</v>
      </c>
      <c r="C2130" t="str">
        <f>MID(analisis_productividad__4[[#This Row],[Periodo]],1,4)</f>
        <v>2024</v>
      </c>
      <c r="D2130" t="str">
        <f>MID(analisis_productividad__4[[#This Row],[Periodo]],5,2)</f>
        <v>05</v>
      </c>
      <c r="E2130" t="s">
        <v>34</v>
      </c>
      <c r="F2130" t="s">
        <v>35</v>
      </c>
      <c r="G2130">
        <v>72918</v>
      </c>
      <c r="H2130">
        <v>3348839</v>
      </c>
      <c r="I2130">
        <v>45.926256720430089</v>
      </c>
      <c r="J2130">
        <v>0</v>
      </c>
      <c r="K2130">
        <v>51</v>
      </c>
      <c r="L2130">
        <v>49</v>
      </c>
      <c r="N2130">
        <v>0</v>
      </c>
    </row>
    <row r="2131" spans="1:14" x14ac:dyDescent="0.35">
      <c r="A2131" t="s">
        <v>60</v>
      </c>
      <c r="B2131">
        <v>202510</v>
      </c>
      <c r="C2131" t="str">
        <f>MID(analisis_productividad__4[[#This Row],[Periodo]],1,4)</f>
        <v>2025</v>
      </c>
      <c r="D2131" t="str">
        <f>MID(analisis_productividad__4[[#This Row],[Periodo]],5,2)</f>
        <v>10</v>
      </c>
      <c r="E2131" t="s">
        <v>11</v>
      </c>
      <c r="F2131" t="s">
        <v>14</v>
      </c>
      <c r="G2131">
        <v>72894</v>
      </c>
      <c r="H2131">
        <v>4382270</v>
      </c>
      <c r="I2131">
        <v>60.118380376344106</v>
      </c>
      <c r="J2131">
        <v>79984.252568728698</v>
      </c>
      <c r="K2131">
        <v>75.5</v>
      </c>
      <c r="L2131">
        <v>74</v>
      </c>
      <c r="M2131">
        <v>54.789163857403196</v>
      </c>
      <c r="N2131">
        <v>6628934</v>
      </c>
    </row>
    <row r="2132" spans="1:14" x14ac:dyDescent="0.35">
      <c r="A2132" t="s">
        <v>86</v>
      </c>
      <c r="B2132">
        <v>202606</v>
      </c>
      <c r="C2132" t="str">
        <f>MID(analisis_productividad__4[[#This Row],[Periodo]],1,4)</f>
        <v>2026</v>
      </c>
      <c r="D2132" t="str">
        <f>MID(analisis_productividad__4[[#This Row],[Periodo]],5,2)</f>
        <v>06</v>
      </c>
      <c r="E2132" t="s">
        <v>11</v>
      </c>
      <c r="F2132" t="s">
        <v>14</v>
      </c>
      <c r="G2132">
        <v>72885</v>
      </c>
      <c r="H2132">
        <v>3636438</v>
      </c>
      <c r="I2132">
        <v>49.892645833333241</v>
      </c>
      <c r="J2132">
        <v>74231.660731639335</v>
      </c>
      <c r="K2132">
        <v>69.5</v>
      </c>
      <c r="L2132">
        <v>59</v>
      </c>
      <c r="M2132">
        <v>57.926444284268129</v>
      </c>
      <c r="N2132">
        <v>4299976</v>
      </c>
    </row>
    <row r="2133" spans="1:14" x14ac:dyDescent="0.35">
      <c r="A2133" t="s">
        <v>78</v>
      </c>
      <c r="B2133">
        <v>202509</v>
      </c>
      <c r="C2133" t="str">
        <f>MID(analisis_productividad__4[[#This Row],[Periodo]],1,4)</f>
        <v>2025</v>
      </c>
      <c r="D2133" t="str">
        <f>MID(analisis_productividad__4[[#This Row],[Periodo]],5,2)</f>
        <v>09</v>
      </c>
      <c r="E2133" t="s">
        <v>11</v>
      </c>
      <c r="F2133" t="s">
        <v>14</v>
      </c>
      <c r="G2133">
        <v>72883</v>
      </c>
      <c r="H2133">
        <v>4752266</v>
      </c>
      <c r="I2133">
        <v>65.204173611111145</v>
      </c>
      <c r="J2133">
        <v>72504.170119938004</v>
      </c>
      <c r="K2133">
        <v>79.5</v>
      </c>
      <c r="L2133">
        <v>67</v>
      </c>
      <c r="M2133">
        <v>65.544729111976523</v>
      </c>
      <c r="N2133">
        <v>4983333</v>
      </c>
    </row>
    <row r="2134" spans="1:14" x14ac:dyDescent="0.35">
      <c r="A2134" t="s">
        <v>107</v>
      </c>
      <c r="B2134">
        <v>202603</v>
      </c>
      <c r="C2134" t="str">
        <f>MID(analisis_productividad__4[[#This Row],[Periodo]],1,4)</f>
        <v>2026</v>
      </c>
      <c r="D2134" t="str">
        <f>MID(analisis_productividad__4[[#This Row],[Periodo]],5,2)</f>
        <v>03</v>
      </c>
      <c r="E2134" t="s">
        <v>34</v>
      </c>
      <c r="F2134" t="s">
        <v>35</v>
      </c>
      <c r="G2134">
        <v>72883</v>
      </c>
      <c r="H2134">
        <v>5404223</v>
      </c>
      <c r="I2134">
        <v>74.149758064516135</v>
      </c>
      <c r="J2134">
        <v>72725.683286355183</v>
      </c>
      <c r="K2134">
        <v>87</v>
      </c>
      <c r="L2134">
        <v>77.5</v>
      </c>
      <c r="M2134">
        <v>73.970842069892498</v>
      </c>
      <c r="N2134">
        <v>5379580</v>
      </c>
    </row>
    <row r="2135" spans="1:14" x14ac:dyDescent="0.35">
      <c r="A2135" t="s">
        <v>82</v>
      </c>
      <c r="B2135">
        <v>202504</v>
      </c>
      <c r="C2135" t="str">
        <f>MID(analisis_productividad__4[[#This Row],[Periodo]],1,4)</f>
        <v>2025</v>
      </c>
      <c r="D2135" t="str">
        <f>MID(analisis_productividad__4[[#This Row],[Periodo]],5,2)</f>
        <v>04</v>
      </c>
      <c r="E2135" t="s">
        <v>11</v>
      </c>
      <c r="F2135" t="s">
        <v>12</v>
      </c>
      <c r="G2135">
        <v>72860</v>
      </c>
      <c r="H2135">
        <v>3736759</v>
      </c>
      <c r="I2135">
        <v>51.28656944444446</v>
      </c>
      <c r="J2135">
        <v>64211.291223798486</v>
      </c>
      <c r="K2135">
        <v>53.5</v>
      </c>
      <c r="L2135">
        <v>54</v>
      </c>
      <c r="M2135">
        <v>58.194741279631096</v>
      </c>
      <c r="N2135">
        <v>4032579</v>
      </c>
    </row>
    <row r="2136" spans="1:14" x14ac:dyDescent="0.35">
      <c r="A2136" t="s">
        <v>33</v>
      </c>
      <c r="B2136">
        <v>202501</v>
      </c>
      <c r="C2136" t="str">
        <f>MID(analisis_productividad__4[[#This Row],[Periodo]],1,4)</f>
        <v>2025</v>
      </c>
      <c r="D2136" t="str">
        <f>MID(analisis_productividad__4[[#This Row],[Periodo]],5,2)</f>
        <v>01</v>
      </c>
      <c r="E2136" t="s">
        <v>34</v>
      </c>
      <c r="F2136" t="s">
        <v>35</v>
      </c>
      <c r="G2136">
        <v>72853</v>
      </c>
      <c r="H2136">
        <v>1035404</v>
      </c>
      <c r="I2136">
        <v>14.212211021505381</v>
      </c>
      <c r="J2136">
        <v>83327.937777939413</v>
      </c>
      <c r="K2136">
        <v>15</v>
      </c>
      <c r="L2136">
        <v>15</v>
      </c>
      <c r="M2136">
        <v>12.425649999394526</v>
      </c>
      <c r="N2136">
        <v>1048469</v>
      </c>
    </row>
    <row r="2137" spans="1:14" x14ac:dyDescent="0.35">
      <c r="A2137" t="s">
        <v>81</v>
      </c>
      <c r="B2137">
        <v>202411</v>
      </c>
      <c r="C2137" t="str">
        <f>MID(analisis_productividad__4[[#This Row],[Periodo]],1,4)</f>
        <v>2024</v>
      </c>
      <c r="D2137" t="str">
        <f>MID(analisis_productividad__4[[#This Row],[Periodo]],5,2)</f>
        <v>11</v>
      </c>
      <c r="E2137" t="s">
        <v>34</v>
      </c>
      <c r="F2137" t="s">
        <v>35</v>
      </c>
      <c r="G2137">
        <v>72846</v>
      </c>
      <c r="H2137">
        <v>7280778</v>
      </c>
      <c r="I2137">
        <v>99.947749999999971</v>
      </c>
      <c r="J2137">
        <v>0</v>
      </c>
      <c r="K2137">
        <v>106</v>
      </c>
      <c r="L2137">
        <v>94.5</v>
      </c>
      <c r="N2137">
        <v>0</v>
      </c>
    </row>
    <row r="2138" spans="1:14" x14ac:dyDescent="0.35">
      <c r="A2138" t="s">
        <v>71</v>
      </c>
      <c r="B2138">
        <v>202501</v>
      </c>
      <c r="C2138" t="str">
        <f>MID(analisis_productividad__4[[#This Row],[Periodo]],1,4)</f>
        <v>2025</v>
      </c>
      <c r="D2138" t="str">
        <f>MID(analisis_productividad__4[[#This Row],[Periodo]],5,2)</f>
        <v>01</v>
      </c>
      <c r="E2138" t="s">
        <v>16</v>
      </c>
      <c r="F2138" t="s">
        <v>19</v>
      </c>
      <c r="G2138">
        <v>72842</v>
      </c>
      <c r="H2138">
        <v>2380725</v>
      </c>
      <c r="I2138">
        <v>32.683555107526892</v>
      </c>
      <c r="J2138">
        <v>64571.915303091155</v>
      </c>
      <c r="K2138">
        <v>41.5</v>
      </c>
      <c r="L2138">
        <v>35.5</v>
      </c>
      <c r="M2138">
        <v>36.869355025713958</v>
      </c>
      <c r="N2138">
        <v>2126328</v>
      </c>
    </row>
    <row r="2139" spans="1:14" x14ac:dyDescent="0.35">
      <c r="A2139" t="s">
        <v>79</v>
      </c>
      <c r="B2139">
        <v>202401</v>
      </c>
      <c r="C2139" t="str">
        <f>MID(analisis_productividad__4[[#This Row],[Periodo]],1,4)</f>
        <v>2024</v>
      </c>
      <c r="D2139" t="str">
        <f>MID(analisis_productividad__4[[#This Row],[Periodo]],5,2)</f>
        <v>01</v>
      </c>
      <c r="E2139" t="s">
        <v>11</v>
      </c>
      <c r="F2139" t="s">
        <v>12</v>
      </c>
      <c r="G2139">
        <v>72772</v>
      </c>
      <c r="H2139">
        <v>4915108</v>
      </c>
      <c r="I2139">
        <v>67.540779569892422</v>
      </c>
      <c r="J2139">
        <v>0</v>
      </c>
      <c r="K2139">
        <v>64.5</v>
      </c>
      <c r="L2139">
        <v>64</v>
      </c>
      <c r="N2139">
        <v>0</v>
      </c>
    </row>
    <row r="2140" spans="1:14" x14ac:dyDescent="0.35">
      <c r="A2140" t="s">
        <v>73</v>
      </c>
      <c r="B2140">
        <v>202406</v>
      </c>
      <c r="C2140" t="str">
        <f>MID(analisis_productividad__4[[#This Row],[Periodo]],1,4)</f>
        <v>2024</v>
      </c>
      <c r="D2140" t="str">
        <f>MID(analisis_productividad__4[[#This Row],[Periodo]],5,2)</f>
        <v>06</v>
      </c>
      <c r="E2140" t="s">
        <v>16</v>
      </c>
      <c r="F2140" t="s">
        <v>21</v>
      </c>
      <c r="G2140">
        <v>72750</v>
      </c>
      <c r="H2140">
        <v>2912127</v>
      </c>
      <c r="I2140">
        <v>40.029062500000009</v>
      </c>
      <c r="J2140">
        <v>0</v>
      </c>
      <c r="K2140">
        <v>43.5</v>
      </c>
      <c r="L2140">
        <v>41</v>
      </c>
      <c r="N2140">
        <v>0</v>
      </c>
    </row>
    <row r="2141" spans="1:14" x14ac:dyDescent="0.35">
      <c r="A2141" t="s">
        <v>78</v>
      </c>
      <c r="B2141">
        <v>202501</v>
      </c>
      <c r="C2141" t="str">
        <f>MID(analisis_productividad__4[[#This Row],[Periodo]],1,4)</f>
        <v>2025</v>
      </c>
      <c r="D2141" t="str">
        <f>MID(analisis_productividad__4[[#This Row],[Periodo]],5,2)</f>
        <v>01</v>
      </c>
      <c r="E2141" t="s">
        <v>11</v>
      </c>
      <c r="F2141" t="s">
        <v>14</v>
      </c>
      <c r="G2141">
        <v>72719</v>
      </c>
      <c r="H2141">
        <v>5042939</v>
      </c>
      <c r="I2141">
        <v>69.348360215053759</v>
      </c>
      <c r="J2141">
        <v>78402.290783592398</v>
      </c>
      <c r="K2141">
        <v>79.5</v>
      </c>
      <c r="L2141">
        <v>67</v>
      </c>
      <c r="M2141">
        <v>64.321320838948736</v>
      </c>
      <c r="N2141">
        <v>5001147</v>
      </c>
    </row>
    <row r="2142" spans="1:14" x14ac:dyDescent="0.35">
      <c r="A2142" t="s">
        <v>97</v>
      </c>
      <c r="B2142">
        <v>202405</v>
      </c>
      <c r="C2142" t="str">
        <f>MID(analisis_productividad__4[[#This Row],[Periodo]],1,4)</f>
        <v>2024</v>
      </c>
      <c r="D2142" t="str">
        <f>MID(analisis_productividad__4[[#This Row],[Periodo]],5,2)</f>
        <v>05</v>
      </c>
      <c r="E2142" t="s">
        <v>11</v>
      </c>
      <c r="F2142" t="s">
        <v>12</v>
      </c>
      <c r="G2142">
        <v>72691</v>
      </c>
      <c r="H2142">
        <v>4660940</v>
      </c>
      <c r="I2142">
        <v>64.120235215053754</v>
      </c>
      <c r="J2142">
        <v>0</v>
      </c>
      <c r="K2142">
        <v>66.5</v>
      </c>
      <c r="L2142">
        <v>63.5</v>
      </c>
      <c r="N2142">
        <v>0</v>
      </c>
    </row>
    <row r="2143" spans="1:14" x14ac:dyDescent="0.35">
      <c r="A2143" t="s">
        <v>89</v>
      </c>
      <c r="B2143">
        <v>202508</v>
      </c>
      <c r="C2143" t="str">
        <f>MID(analisis_productividad__4[[#This Row],[Periodo]],1,4)</f>
        <v>2025</v>
      </c>
      <c r="D2143" t="str">
        <f>MID(analisis_productividad__4[[#This Row],[Periodo]],5,2)</f>
        <v>08</v>
      </c>
      <c r="E2143" t="s">
        <v>9</v>
      </c>
      <c r="F2143" t="s">
        <v>9</v>
      </c>
      <c r="G2143">
        <v>72644</v>
      </c>
      <c r="H2143">
        <v>960818</v>
      </c>
      <c r="I2143">
        <v>13.226424731182792</v>
      </c>
      <c r="J2143">
        <v>69490.023691203591</v>
      </c>
      <c r="K2143">
        <v>17</v>
      </c>
      <c r="L2143">
        <v>13.5</v>
      </c>
      <c r="M2143">
        <v>13.826697545386294</v>
      </c>
      <c r="N2143">
        <v>1106307</v>
      </c>
    </row>
    <row r="2144" spans="1:14" x14ac:dyDescent="0.35">
      <c r="A2144" t="s">
        <v>82</v>
      </c>
      <c r="B2144">
        <v>202410</v>
      </c>
      <c r="C2144" t="str">
        <f>MID(analisis_productividad__4[[#This Row],[Periodo]],1,4)</f>
        <v>2024</v>
      </c>
      <c r="D2144" t="str">
        <f>MID(analisis_productividad__4[[#This Row],[Periodo]],5,2)</f>
        <v>10</v>
      </c>
      <c r="E2144" t="s">
        <v>11</v>
      </c>
      <c r="F2144" t="s">
        <v>12</v>
      </c>
      <c r="G2144">
        <v>72641</v>
      </c>
      <c r="H2144">
        <v>3755473</v>
      </c>
      <c r="I2144">
        <v>51.699045698924721</v>
      </c>
      <c r="J2144">
        <v>0</v>
      </c>
      <c r="K2144">
        <v>53.5</v>
      </c>
      <c r="L2144">
        <v>54</v>
      </c>
      <c r="N2144">
        <v>0</v>
      </c>
    </row>
    <row r="2145" spans="1:14" x14ac:dyDescent="0.35">
      <c r="A2145" t="s">
        <v>42</v>
      </c>
      <c r="B2145">
        <v>202404</v>
      </c>
      <c r="C2145" t="str">
        <f>MID(analisis_productividad__4[[#This Row],[Periodo]],1,4)</f>
        <v>2024</v>
      </c>
      <c r="D2145" t="str">
        <f>MID(analisis_productividad__4[[#This Row],[Periodo]],5,2)</f>
        <v>04</v>
      </c>
      <c r="E2145" t="s">
        <v>16</v>
      </c>
      <c r="F2145" t="s">
        <v>19</v>
      </c>
      <c r="G2145">
        <v>72608</v>
      </c>
      <c r="H2145">
        <v>4437183</v>
      </c>
      <c r="I2145">
        <v>61.111749999999994</v>
      </c>
      <c r="J2145">
        <v>0</v>
      </c>
      <c r="K2145">
        <v>62</v>
      </c>
      <c r="L2145">
        <v>58</v>
      </c>
      <c r="N2145">
        <v>0</v>
      </c>
    </row>
    <row r="2146" spans="1:14" x14ac:dyDescent="0.35">
      <c r="A2146" t="s">
        <v>71</v>
      </c>
      <c r="B2146">
        <v>202409</v>
      </c>
      <c r="C2146" t="str">
        <f>MID(analisis_productividad__4[[#This Row],[Periodo]],1,4)</f>
        <v>2024</v>
      </c>
      <c r="D2146" t="str">
        <f>MID(analisis_productividad__4[[#This Row],[Periodo]],5,2)</f>
        <v>09</v>
      </c>
      <c r="E2146" t="s">
        <v>16</v>
      </c>
      <c r="F2146" t="s">
        <v>19</v>
      </c>
      <c r="G2146">
        <v>72601</v>
      </c>
      <c r="H2146">
        <v>2573365</v>
      </c>
      <c r="I2146">
        <v>35.445083333333329</v>
      </c>
      <c r="J2146">
        <v>0</v>
      </c>
      <c r="K2146">
        <v>41.5</v>
      </c>
      <c r="L2146">
        <v>35.5</v>
      </c>
      <c r="N2146">
        <v>0</v>
      </c>
    </row>
    <row r="2147" spans="1:14" x14ac:dyDescent="0.35">
      <c r="A2147" t="s">
        <v>97</v>
      </c>
      <c r="B2147">
        <v>202404</v>
      </c>
      <c r="C2147" t="str">
        <f>MID(analisis_productividad__4[[#This Row],[Periodo]],1,4)</f>
        <v>2024</v>
      </c>
      <c r="D2147" t="str">
        <f>MID(analisis_productividad__4[[#This Row],[Periodo]],5,2)</f>
        <v>04</v>
      </c>
      <c r="E2147" t="s">
        <v>11</v>
      </c>
      <c r="F2147" t="s">
        <v>12</v>
      </c>
      <c r="G2147">
        <v>72585</v>
      </c>
      <c r="H2147">
        <v>4708195</v>
      </c>
      <c r="I2147">
        <v>64.864187500000014</v>
      </c>
      <c r="J2147">
        <v>0</v>
      </c>
      <c r="K2147">
        <v>66.5</v>
      </c>
      <c r="L2147">
        <v>63.5</v>
      </c>
      <c r="N2147">
        <v>0</v>
      </c>
    </row>
    <row r="2148" spans="1:14" x14ac:dyDescent="0.35">
      <c r="A2148" t="s">
        <v>118</v>
      </c>
      <c r="B2148">
        <v>202412</v>
      </c>
      <c r="C2148" t="str">
        <f>MID(analisis_productividad__4[[#This Row],[Periodo]],1,4)</f>
        <v>2024</v>
      </c>
      <c r="D2148" t="str">
        <f>MID(analisis_productividad__4[[#This Row],[Periodo]],5,2)</f>
        <v>12</v>
      </c>
      <c r="E2148" t="s">
        <v>34</v>
      </c>
      <c r="F2148" t="s">
        <v>35</v>
      </c>
      <c r="G2148">
        <v>72564</v>
      </c>
      <c r="H2148">
        <v>1532013</v>
      </c>
      <c r="I2148">
        <v>21.112479838709675</v>
      </c>
      <c r="J2148">
        <v>0</v>
      </c>
      <c r="K2148">
        <v>19</v>
      </c>
      <c r="L2148">
        <v>21.5</v>
      </c>
      <c r="N2148">
        <v>0</v>
      </c>
    </row>
    <row r="2149" spans="1:14" x14ac:dyDescent="0.35">
      <c r="A2149" t="s">
        <v>8</v>
      </c>
      <c r="B2149">
        <v>202403</v>
      </c>
      <c r="C2149" t="str">
        <f>MID(analisis_productividad__4[[#This Row],[Periodo]],1,4)</f>
        <v>2024</v>
      </c>
      <c r="D2149" t="str">
        <f>MID(analisis_productividad__4[[#This Row],[Periodo]],5,2)</f>
        <v>03</v>
      </c>
      <c r="E2149" t="s">
        <v>9</v>
      </c>
      <c r="F2149" t="s">
        <v>9</v>
      </c>
      <c r="G2149">
        <v>72564</v>
      </c>
      <c r="H2149">
        <v>960131</v>
      </c>
      <c r="I2149">
        <v>13.231599462365594</v>
      </c>
      <c r="J2149">
        <v>0</v>
      </c>
      <c r="K2149">
        <v>13.5</v>
      </c>
      <c r="L2149">
        <v>12.5</v>
      </c>
      <c r="N2149">
        <v>0</v>
      </c>
    </row>
    <row r="2150" spans="1:14" x14ac:dyDescent="0.35">
      <c r="A2150" t="s">
        <v>116</v>
      </c>
      <c r="B2150">
        <v>202412</v>
      </c>
      <c r="C2150" t="str">
        <f>MID(analisis_productividad__4[[#This Row],[Periodo]],1,4)</f>
        <v>2024</v>
      </c>
      <c r="D2150" t="str">
        <f>MID(analisis_productividad__4[[#This Row],[Periodo]],5,2)</f>
        <v>12</v>
      </c>
      <c r="E2150" t="s">
        <v>9</v>
      </c>
      <c r="F2150" t="s">
        <v>9</v>
      </c>
      <c r="G2150">
        <v>72552</v>
      </c>
      <c r="H2150">
        <v>816362</v>
      </c>
      <c r="I2150">
        <v>11.252170698924735</v>
      </c>
      <c r="J2150">
        <v>0</v>
      </c>
      <c r="K2150">
        <v>11.5</v>
      </c>
      <c r="L2150">
        <v>10</v>
      </c>
      <c r="N2150">
        <v>0</v>
      </c>
    </row>
    <row r="2151" spans="1:14" x14ac:dyDescent="0.35">
      <c r="A2151" t="s">
        <v>85</v>
      </c>
      <c r="B2151">
        <v>202501</v>
      </c>
      <c r="C2151" t="str">
        <f>MID(analisis_productividad__4[[#This Row],[Periodo]],1,4)</f>
        <v>2025</v>
      </c>
      <c r="D2151" t="str">
        <f>MID(analisis_productividad__4[[#This Row],[Periodo]],5,2)</f>
        <v>01</v>
      </c>
      <c r="E2151" t="s">
        <v>11</v>
      </c>
      <c r="F2151" t="s">
        <v>14</v>
      </c>
      <c r="G2151">
        <v>72530</v>
      </c>
      <c r="H2151">
        <v>3618133</v>
      </c>
      <c r="I2151">
        <v>49.884361559139812</v>
      </c>
      <c r="J2151">
        <v>69997.757721901507</v>
      </c>
      <c r="K2151">
        <v>60.5</v>
      </c>
      <c r="L2151">
        <v>57.5</v>
      </c>
      <c r="M2151">
        <v>51.689263024320105</v>
      </c>
      <c r="N2151">
        <v>3361862</v>
      </c>
    </row>
    <row r="2152" spans="1:14" x14ac:dyDescent="0.35">
      <c r="A2152" t="s">
        <v>90</v>
      </c>
      <c r="B2152">
        <v>202511</v>
      </c>
      <c r="C2152" t="str">
        <f>MID(analisis_productividad__4[[#This Row],[Periodo]],1,4)</f>
        <v>2025</v>
      </c>
      <c r="D2152" t="str">
        <f>MID(analisis_productividad__4[[#This Row],[Periodo]],5,2)</f>
        <v>11</v>
      </c>
      <c r="E2152" t="s">
        <v>11</v>
      </c>
      <c r="F2152" t="s">
        <v>14</v>
      </c>
      <c r="G2152">
        <v>72498</v>
      </c>
      <c r="H2152">
        <v>5624534</v>
      </c>
      <c r="I2152">
        <v>77.582361111111211</v>
      </c>
      <c r="J2152">
        <v>74494.673903316143</v>
      </c>
      <c r="K2152">
        <v>84.5</v>
      </c>
      <c r="L2152">
        <v>78.5</v>
      </c>
      <c r="M2152">
        <v>75.502498706147406</v>
      </c>
      <c r="N2152">
        <v>5798059</v>
      </c>
    </row>
    <row r="2153" spans="1:14" x14ac:dyDescent="0.35">
      <c r="A2153" t="s">
        <v>120</v>
      </c>
      <c r="B2153">
        <v>202503</v>
      </c>
      <c r="C2153" t="str">
        <f>MID(analisis_productividad__4[[#This Row],[Periodo]],1,4)</f>
        <v>2025</v>
      </c>
      <c r="D2153" t="str">
        <f>MID(analisis_productividad__4[[#This Row],[Periodo]],5,2)</f>
        <v>03</v>
      </c>
      <c r="E2153" t="s">
        <v>9</v>
      </c>
      <c r="F2153" t="s">
        <v>9</v>
      </c>
      <c r="G2153">
        <v>72466</v>
      </c>
      <c r="H2153">
        <v>814927</v>
      </c>
      <c r="I2153">
        <v>11.245584677419355</v>
      </c>
      <c r="J2153">
        <v>77518.152405465866</v>
      </c>
      <c r="K2153">
        <v>11.5</v>
      </c>
      <c r="L2153">
        <v>12</v>
      </c>
      <c r="M2153">
        <v>10.512726306187592</v>
      </c>
      <c r="N2153">
        <v>828927</v>
      </c>
    </row>
    <row r="2154" spans="1:14" x14ac:dyDescent="0.35">
      <c r="A2154" t="s">
        <v>106</v>
      </c>
      <c r="B2154">
        <v>202601</v>
      </c>
      <c r="C2154" t="str">
        <f>MID(analisis_productividad__4[[#This Row],[Periodo]],1,4)</f>
        <v>2026</v>
      </c>
      <c r="D2154" t="str">
        <f>MID(analisis_productividad__4[[#This Row],[Periodo]],5,2)</f>
        <v>01</v>
      </c>
      <c r="E2154" t="s">
        <v>34</v>
      </c>
      <c r="F2154" t="s">
        <v>35</v>
      </c>
      <c r="G2154">
        <v>72434</v>
      </c>
      <c r="H2154">
        <v>3047886</v>
      </c>
      <c r="I2154">
        <v>42.077950268817197</v>
      </c>
      <c r="J2154">
        <v>84340.915088821697</v>
      </c>
      <c r="K2154">
        <v>51</v>
      </c>
      <c r="L2154">
        <v>49</v>
      </c>
      <c r="M2154">
        <v>41.451897990651069</v>
      </c>
      <c r="N2154">
        <v>3496091</v>
      </c>
    </row>
    <row r="2155" spans="1:14" x14ac:dyDescent="0.35">
      <c r="A2155" t="s">
        <v>99</v>
      </c>
      <c r="B2155">
        <v>202412</v>
      </c>
      <c r="C2155" t="str">
        <f>MID(analisis_productividad__4[[#This Row],[Periodo]],1,4)</f>
        <v>2024</v>
      </c>
      <c r="D2155" t="str">
        <f>MID(analisis_productividad__4[[#This Row],[Periodo]],5,2)</f>
        <v>12</v>
      </c>
      <c r="E2155" t="s">
        <v>11</v>
      </c>
      <c r="F2155" t="s">
        <v>12</v>
      </c>
      <c r="G2155">
        <v>72431</v>
      </c>
      <c r="H2155">
        <v>2149342</v>
      </c>
      <c r="I2155">
        <v>29.674448924731184</v>
      </c>
      <c r="J2155">
        <v>0</v>
      </c>
      <c r="K2155">
        <v>27</v>
      </c>
      <c r="L2155">
        <v>27</v>
      </c>
      <c r="N2155">
        <v>0</v>
      </c>
    </row>
    <row r="2156" spans="1:14" x14ac:dyDescent="0.35">
      <c r="A2156" t="s">
        <v>91</v>
      </c>
      <c r="B2156">
        <v>202502</v>
      </c>
      <c r="C2156" t="str">
        <f>MID(analisis_productividad__4[[#This Row],[Periodo]],1,4)</f>
        <v>2025</v>
      </c>
      <c r="D2156" t="str">
        <f>MID(analisis_productividad__4[[#This Row],[Periodo]],5,2)</f>
        <v>02</v>
      </c>
      <c r="E2156" t="s">
        <v>11</v>
      </c>
      <c r="F2156" t="s">
        <v>12</v>
      </c>
      <c r="G2156">
        <v>72430</v>
      </c>
      <c r="H2156">
        <v>3734887</v>
      </c>
      <c r="I2156">
        <v>51.56541666666665</v>
      </c>
      <c r="J2156">
        <v>66736.408601227798</v>
      </c>
      <c r="K2156">
        <v>55</v>
      </c>
      <c r="L2156">
        <v>55.5</v>
      </c>
      <c r="M2156">
        <v>55.964759690878644</v>
      </c>
      <c r="N2156">
        <v>3481997</v>
      </c>
    </row>
    <row r="2157" spans="1:14" x14ac:dyDescent="0.35">
      <c r="A2157" t="s">
        <v>58</v>
      </c>
      <c r="B2157">
        <v>202604</v>
      </c>
      <c r="C2157" t="str">
        <f>MID(analisis_productividad__4[[#This Row],[Periodo]],1,4)</f>
        <v>2026</v>
      </c>
      <c r="D2157" t="str">
        <f>MID(analisis_productividad__4[[#This Row],[Periodo]],5,2)</f>
        <v>04</v>
      </c>
      <c r="E2157" t="s">
        <v>34</v>
      </c>
      <c r="F2157" t="s">
        <v>35</v>
      </c>
      <c r="G2157">
        <v>72425</v>
      </c>
      <c r="H2157">
        <v>3010500</v>
      </c>
      <c r="I2157">
        <v>41.566972222222326</v>
      </c>
      <c r="J2157">
        <v>70225.550716718993</v>
      </c>
      <c r="K2157">
        <v>53.5</v>
      </c>
      <c r="L2157">
        <v>52</v>
      </c>
      <c r="M2157">
        <v>43.483853774506514</v>
      </c>
      <c r="N2157">
        <v>3053678</v>
      </c>
    </row>
    <row r="2158" spans="1:14" x14ac:dyDescent="0.35">
      <c r="A2158" t="s">
        <v>112</v>
      </c>
      <c r="B2158">
        <v>202604</v>
      </c>
      <c r="C2158" t="str">
        <f>MID(analisis_productividad__4[[#This Row],[Periodo]],1,4)</f>
        <v>2026</v>
      </c>
      <c r="D2158" t="str">
        <f>MID(analisis_productividad__4[[#This Row],[Periodo]],5,2)</f>
        <v>04</v>
      </c>
      <c r="E2158" t="s">
        <v>34</v>
      </c>
      <c r="F2158" t="s">
        <v>35</v>
      </c>
      <c r="G2158">
        <v>72382</v>
      </c>
      <c r="H2158">
        <v>1607803</v>
      </c>
      <c r="I2158">
        <v>22.212749999999989</v>
      </c>
      <c r="J2158">
        <v>54606.774989499521</v>
      </c>
      <c r="K2158">
        <v>31</v>
      </c>
      <c r="L2158">
        <v>27</v>
      </c>
      <c r="M2158">
        <v>27.070532526124346</v>
      </c>
      <c r="N2158">
        <v>1478234</v>
      </c>
    </row>
    <row r="2159" spans="1:14" x14ac:dyDescent="0.35">
      <c r="A2159" t="s">
        <v>90</v>
      </c>
      <c r="B2159">
        <v>202602</v>
      </c>
      <c r="C2159" t="str">
        <f>MID(analisis_productividad__4[[#This Row],[Periodo]],1,4)</f>
        <v>2026</v>
      </c>
      <c r="D2159" t="str">
        <f>MID(analisis_productividad__4[[#This Row],[Periodo]],5,2)</f>
        <v>02</v>
      </c>
      <c r="E2159" t="s">
        <v>11</v>
      </c>
      <c r="F2159" t="s">
        <v>14</v>
      </c>
      <c r="G2159">
        <v>72365</v>
      </c>
      <c r="H2159">
        <v>5584141</v>
      </c>
      <c r="I2159">
        <v>77.166562499999998</v>
      </c>
      <c r="J2159">
        <v>75062.822124771192</v>
      </c>
      <c r="K2159">
        <v>84.5</v>
      </c>
      <c r="L2159">
        <v>78.5</v>
      </c>
      <c r="M2159">
        <v>72.494656792343278</v>
      </c>
      <c r="N2159">
        <v>5441654</v>
      </c>
    </row>
    <row r="2160" spans="1:14" x14ac:dyDescent="0.35">
      <c r="A2160" t="s">
        <v>64</v>
      </c>
      <c r="B2160">
        <v>202405</v>
      </c>
      <c r="C2160" t="str">
        <f>MID(analisis_productividad__4[[#This Row],[Periodo]],1,4)</f>
        <v>2024</v>
      </c>
      <c r="D2160" t="str">
        <f>MID(analisis_productividad__4[[#This Row],[Periodo]],5,2)</f>
        <v>05</v>
      </c>
      <c r="E2160" t="s">
        <v>16</v>
      </c>
      <c r="F2160" t="s">
        <v>21</v>
      </c>
      <c r="G2160">
        <v>72249</v>
      </c>
      <c r="H2160">
        <v>5971887</v>
      </c>
      <c r="I2160">
        <v>82.657486559139812</v>
      </c>
      <c r="J2160">
        <v>0</v>
      </c>
      <c r="K2160">
        <v>88.5</v>
      </c>
      <c r="L2160">
        <v>92.5</v>
      </c>
      <c r="N2160">
        <v>0</v>
      </c>
    </row>
    <row r="2161" spans="1:14" x14ac:dyDescent="0.35">
      <c r="A2161" t="s">
        <v>94</v>
      </c>
      <c r="B2161">
        <v>202601</v>
      </c>
      <c r="C2161" t="str">
        <f>MID(analisis_productividad__4[[#This Row],[Periodo]],1,4)</f>
        <v>2026</v>
      </c>
      <c r="D2161" t="str">
        <f>MID(analisis_productividad__4[[#This Row],[Periodo]],5,2)</f>
        <v>01</v>
      </c>
      <c r="E2161" t="s">
        <v>11</v>
      </c>
      <c r="F2161" t="s">
        <v>52</v>
      </c>
      <c r="G2161">
        <v>72234</v>
      </c>
      <c r="H2161">
        <v>4956015</v>
      </c>
      <c r="I2161">
        <v>68.610772849462379</v>
      </c>
      <c r="J2161">
        <v>77006.41506107639</v>
      </c>
      <c r="K2161">
        <v>75.5</v>
      </c>
      <c r="L2161">
        <v>70.5</v>
      </c>
      <c r="M2161">
        <v>63.423114179855602</v>
      </c>
      <c r="N2161">
        <v>4883987</v>
      </c>
    </row>
    <row r="2162" spans="1:14" x14ac:dyDescent="0.35">
      <c r="A2162" t="s">
        <v>124</v>
      </c>
      <c r="B2162">
        <v>202412</v>
      </c>
      <c r="C2162" t="str">
        <f>MID(analisis_productividad__4[[#This Row],[Periodo]],1,4)</f>
        <v>2024</v>
      </c>
      <c r="D2162" t="str">
        <f>MID(analisis_productividad__4[[#This Row],[Periodo]],5,2)</f>
        <v>12</v>
      </c>
      <c r="E2162" t="s">
        <v>9</v>
      </c>
      <c r="F2162" t="s">
        <v>9</v>
      </c>
      <c r="G2162">
        <v>72219</v>
      </c>
      <c r="H2162">
        <v>793260</v>
      </c>
      <c r="I2162">
        <v>10.984025537634411</v>
      </c>
      <c r="J2162">
        <v>0</v>
      </c>
      <c r="K2162">
        <v>11</v>
      </c>
      <c r="L2162">
        <v>12</v>
      </c>
      <c r="N2162">
        <v>0</v>
      </c>
    </row>
    <row r="2163" spans="1:14" x14ac:dyDescent="0.35">
      <c r="A2163" t="s">
        <v>97</v>
      </c>
      <c r="B2163">
        <v>202602</v>
      </c>
      <c r="C2163" t="str">
        <f>MID(analisis_productividad__4[[#This Row],[Periodo]],1,4)</f>
        <v>2026</v>
      </c>
      <c r="D2163" t="str">
        <f>MID(analisis_productividad__4[[#This Row],[Periodo]],5,2)</f>
        <v>02</v>
      </c>
      <c r="E2163" t="s">
        <v>11</v>
      </c>
      <c r="F2163" t="s">
        <v>12</v>
      </c>
      <c r="G2163">
        <v>72204</v>
      </c>
      <c r="H2163">
        <v>4465768</v>
      </c>
      <c r="I2163">
        <v>61.849322916666658</v>
      </c>
      <c r="J2163">
        <v>96079.222940984459</v>
      </c>
      <c r="K2163">
        <v>66.5</v>
      </c>
      <c r="L2163">
        <v>63.5</v>
      </c>
      <c r="M2163">
        <v>54.652141241039438</v>
      </c>
      <c r="N2163">
        <v>5250935</v>
      </c>
    </row>
    <row r="2164" spans="1:14" x14ac:dyDescent="0.35">
      <c r="A2164" t="s">
        <v>62</v>
      </c>
      <c r="B2164">
        <v>202510</v>
      </c>
      <c r="C2164" t="str">
        <f>MID(analisis_productividad__4[[#This Row],[Periodo]],1,4)</f>
        <v>2025</v>
      </c>
      <c r="D2164" t="str">
        <f>MID(analisis_productividad__4[[#This Row],[Periodo]],5,2)</f>
        <v>10</v>
      </c>
      <c r="E2164" t="s">
        <v>16</v>
      </c>
      <c r="F2164" t="s">
        <v>17</v>
      </c>
      <c r="G2164">
        <v>72144</v>
      </c>
      <c r="H2164">
        <v>2259933</v>
      </c>
      <c r="I2164">
        <v>31.325094086021508</v>
      </c>
      <c r="J2164">
        <v>83962.654350323384</v>
      </c>
      <c r="K2164">
        <v>32.5</v>
      </c>
      <c r="L2164">
        <v>32</v>
      </c>
      <c r="M2164">
        <v>26.915931106354975</v>
      </c>
      <c r="N2164">
        <v>2262924</v>
      </c>
    </row>
    <row r="2165" spans="1:14" x14ac:dyDescent="0.35">
      <c r="A2165" t="s">
        <v>33</v>
      </c>
      <c r="B2165">
        <v>202510</v>
      </c>
      <c r="C2165" t="str">
        <f>MID(analisis_productividad__4[[#This Row],[Periodo]],1,4)</f>
        <v>2025</v>
      </c>
      <c r="D2165" t="str">
        <f>MID(analisis_productividad__4[[#This Row],[Periodo]],5,2)</f>
        <v>10</v>
      </c>
      <c r="E2165" t="s">
        <v>34</v>
      </c>
      <c r="F2165" t="s">
        <v>35</v>
      </c>
      <c r="G2165">
        <v>72133</v>
      </c>
      <c r="H2165">
        <v>1045521</v>
      </c>
      <c r="I2165">
        <v>14.494327956989247</v>
      </c>
      <c r="J2165">
        <v>88267.452543987223</v>
      </c>
      <c r="K2165">
        <v>15</v>
      </c>
      <c r="L2165">
        <v>15</v>
      </c>
      <c r="M2165">
        <v>11.844920181410865</v>
      </c>
      <c r="N2165">
        <v>1070703</v>
      </c>
    </row>
    <row r="2166" spans="1:14" x14ac:dyDescent="0.35">
      <c r="A2166" t="s">
        <v>33</v>
      </c>
      <c r="B2166">
        <v>202505</v>
      </c>
      <c r="C2166" t="str">
        <f>MID(analisis_productividad__4[[#This Row],[Periodo]],1,4)</f>
        <v>2025</v>
      </c>
      <c r="D2166" t="str">
        <f>MID(analisis_productividad__4[[#This Row],[Periodo]],5,2)</f>
        <v>05</v>
      </c>
      <c r="E2166" t="s">
        <v>34</v>
      </c>
      <c r="F2166" t="s">
        <v>35</v>
      </c>
      <c r="G2166">
        <v>72109</v>
      </c>
      <c r="H2166">
        <v>1074969</v>
      </c>
      <c r="I2166">
        <v>14.90750672043011</v>
      </c>
      <c r="J2166">
        <v>81553.2871903286</v>
      </c>
      <c r="K2166">
        <v>15</v>
      </c>
      <c r="L2166">
        <v>15</v>
      </c>
      <c r="M2166">
        <v>13.181180269180864</v>
      </c>
      <c r="N2166">
        <v>1126548</v>
      </c>
    </row>
    <row r="2167" spans="1:14" x14ac:dyDescent="0.35">
      <c r="A2167" t="s">
        <v>97</v>
      </c>
      <c r="B2167">
        <v>202402</v>
      </c>
      <c r="C2167" t="str">
        <f>MID(analisis_productividad__4[[#This Row],[Periodo]],1,4)</f>
        <v>2024</v>
      </c>
      <c r="D2167" t="str">
        <f>MID(analisis_productividad__4[[#This Row],[Periodo]],5,2)</f>
        <v>02</v>
      </c>
      <c r="E2167" t="s">
        <v>11</v>
      </c>
      <c r="F2167" t="s">
        <v>12</v>
      </c>
      <c r="G2167">
        <v>72037</v>
      </c>
      <c r="H2167">
        <v>4725625</v>
      </c>
      <c r="I2167">
        <v>65.599856321839098</v>
      </c>
      <c r="J2167">
        <v>0</v>
      </c>
      <c r="K2167">
        <v>66.5</v>
      </c>
      <c r="L2167">
        <v>63.5</v>
      </c>
      <c r="N2167">
        <v>0</v>
      </c>
    </row>
    <row r="2168" spans="1:14" x14ac:dyDescent="0.35">
      <c r="A2168" t="s">
        <v>91</v>
      </c>
      <c r="B2168">
        <v>202505</v>
      </c>
      <c r="C2168" t="str">
        <f>MID(analisis_productividad__4[[#This Row],[Periodo]],1,4)</f>
        <v>2025</v>
      </c>
      <c r="D2168" t="str">
        <f>MID(analisis_productividad__4[[#This Row],[Periodo]],5,2)</f>
        <v>05</v>
      </c>
      <c r="E2168" t="s">
        <v>11</v>
      </c>
      <c r="F2168" t="s">
        <v>12</v>
      </c>
      <c r="G2168">
        <v>72037</v>
      </c>
      <c r="H2168">
        <v>3962713</v>
      </c>
      <c r="I2168">
        <v>55.00950940860217</v>
      </c>
      <c r="J2168">
        <v>70010.566028617148</v>
      </c>
      <c r="K2168">
        <v>55</v>
      </c>
      <c r="L2168">
        <v>55.5</v>
      </c>
      <c r="M2168">
        <v>56.601641506229534</v>
      </c>
      <c r="N2168">
        <v>3869134</v>
      </c>
    </row>
    <row r="2169" spans="1:14" x14ac:dyDescent="0.35">
      <c r="A2169" t="s">
        <v>120</v>
      </c>
      <c r="B2169">
        <v>202501</v>
      </c>
      <c r="C2169" t="str">
        <f>MID(analisis_productividad__4[[#This Row],[Periodo]],1,4)</f>
        <v>2025</v>
      </c>
      <c r="D2169" t="str">
        <f>MID(analisis_productividad__4[[#This Row],[Periodo]],5,2)</f>
        <v>01</v>
      </c>
      <c r="E2169" t="s">
        <v>9</v>
      </c>
      <c r="F2169" t="s">
        <v>9</v>
      </c>
      <c r="G2169">
        <v>72009</v>
      </c>
      <c r="H2169">
        <v>750959</v>
      </c>
      <c r="I2169">
        <v>10.428682795698927</v>
      </c>
      <c r="J2169">
        <v>78947.918384486911</v>
      </c>
      <c r="K2169">
        <v>11.5</v>
      </c>
      <c r="L2169">
        <v>12</v>
      </c>
      <c r="M2169">
        <v>9.5120782835936275</v>
      </c>
      <c r="N2169">
        <v>835410</v>
      </c>
    </row>
    <row r="2170" spans="1:14" x14ac:dyDescent="0.35">
      <c r="A2170" t="s">
        <v>94</v>
      </c>
      <c r="B2170">
        <v>202406</v>
      </c>
      <c r="C2170" t="str">
        <f>MID(analisis_productividad__4[[#This Row],[Periodo]],1,4)</f>
        <v>2024</v>
      </c>
      <c r="D2170" t="str">
        <f>MID(analisis_productividad__4[[#This Row],[Periodo]],5,2)</f>
        <v>06</v>
      </c>
      <c r="E2170" t="s">
        <v>11</v>
      </c>
      <c r="F2170" t="s">
        <v>52</v>
      </c>
      <c r="G2170">
        <v>71979</v>
      </c>
      <c r="H2170">
        <v>5462441</v>
      </c>
      <c r="I2170">
        <v>75.889770833333358</v>
      </c>
      <c r="J2170">
        <v>0</v>
      </c>
      <c r="K2170">
        <v>75.5</v>
      </c>
      <c r="L2170">
        <v>70.5</v>
      </c>
      <c r="N2170">
        <v>0</v>
      </c>
    </row>
    <row r="2171" spans="1:14" x14ac:dyDescent="0.35">
      <c r="A2171" t="s">
        <v>71</v>
      </c>
      <c r="B2171">
        <v>202410</v>
      </c>
      <c r="C2171" t="str">
        <f>MID(analisis_productividad__4[[#This Row],[Periodo]],1,4)</f>
        <v>2024</v>
      </c>
      <c r="D2171" t="str">
        <f>MID(analisis_productividad__4[[#This Row],[Periodo]],5,2)</f>
        <v>10</v>
      </c>
      <c r="E2171" t="s">
        <v>16</v>
      </c>
      <c r="F2171" t="s">
        <v>19</v>
      </c>
      <c r="G2171">
        <v>71949</v>
      </c>
      <c r="H2171">
        <v>2606113</v>
      </c>
      <c r="I2171">
        <v>36.221518817204284</v>
      </c>
      <c r="J2171">
        <v>0</v>
      </c>
      <c r="K2171">
        <v>41.5</v>
      </c>
      <c r="L2171">
        <v>35.5</v>
      </c>
      <c r="N2171">
        <v>0</v>
      </c>
    </row>
    <row r="2172" spans="1:14" x14ac:dyDescent="0.35">
      <c r="A2172" t="s">
        <v>106</v>
      </c>
      <c r="B2172">
        <v>202402</v>
      </c>
      <c r="C2172" t="str">
        <f>MID(analisis_productividad__4[[#This Row],[Periodo]],1,4)</f>
        <v>2024</v>
      </c>
      <c r="D2172" t="str">
        <f>MID(analisis_productividad__4[[#This Row],[Periodo]],5,2)</f>
        <v>02</v>
      </c>
      <c r="E2172" t="s">
        <v>34</v>
      </c>
      <c r="F2172" t="s">
        <v>35</v>
      </c>
      <c r="G2172">
        <v>71942</v>
      </c>
      <c r="H2172">
        <v>3209254</v>
      </c>
      <c r="I2172">
        <v>44.608706896551723</v>
      </c>
      <c r="J2172">
        <v>0</v>
      </c>
      <c r="K2172">
        <v>51</v>
      </c>
      <c r="L2172">
        <v>49</v>
      </c>
      <c r="N2172">
        <v>0</v>
      </c>
    </row>
    <row r="2173" spans="1:14" x14ac:dyDescent="0.35">
      <c r="A2173" t="s">
        <v>113</v>
      </c>
      <c r="B2173">
        <v>202605</v>
      </c>
      <c r="C2173" t="str">
        <f>MID(analisis_productividad__4[[#This Row],[Periodo]],1,4)</f>
        <v>2026</v>
      </c>
      <c r="D2173" t="str">
        <f>MID(analisis_productividad__4[[#This Row],[Periodo]],5,2)</f>
        <v>05</v>
      </c>
      <c r="E2173" t="s">
        <v>9</v>
      </c>
      <c r="F2173" t="s">
        <v>9</v>
      </c>
      <c r="G2173">
        <v>71932</v>
      </c>
      <c r="H2173">
        <v>629010</v>
      </c>
      <c r="I2173">
        <v>8.7444959677419316</v>
      </c>
      <c r="J2173">
        <v>57870.213084584815</v>
      </c>
      <c r="K2173">
        <v>11.5</v>
      </c>
      <c r="L2173">
        <v>10</v>
      </c>
      <c r="M2173">
        <v>10.042294324207418</v>
      </c>
      <c r="N2173">
        <v>581150</v>
      </c>
    </row>
    <row r="2174" spans="1:14" x14ac:dyDescent="0.35">
      <c r="A2174" t="s">
        <v>47</v>
      </c>
      <c r="B2174">
        <v>202402</v>
      </c>
      <c r="C2174" t="str">
        <f>MID(analisis_productividad__4[[#This Row],[Periodo]],1,4)</f>
        <v>2024</v>
      </c>
      <c r="D2174" t="str">
        <f>MID(analisis_productividad__4[[#This Row],[Periodo]],5,2)</f>
        <v>02</v>
      </c>
      <c r="E2174" t="s">
        <v>11</v>
      </c>
      <c r="F2174" t="s">
        <v>14</v>
      </c>
      <c r="G2174">
        <v>71870</v>
      </c>
      <c r="H2174">
        <v>4454557</v>
      </c>
      <c r="I2174">
        <v>61.981077586206915</v>
      </c>
      <c r="J2174">
        <v>0</v>
      </c>
      <c r="K2174">
        <v>61.5</v>
      </c>
      <c r="L2174">
        <v>48.5</v>
      </c>
      <c r="N2174">
        <v>0</v>
      </c>
    </row>
    <row r="2175" spans="1:14" x14ac:dyDescent="0.35">
      <c r="A2175" t="s">
        <v>105</v>
      </c>
      <c r="B2175">
        <v>202603</v>
      </c>
      <c r="C2175" t="str">
        <f>MID(analisis_productividad__4[[#This Row],[Periodo]],1,4)</f>
        <v>2026</v>
      </c>
      <c r="D2175" t="str">
        <f>MID(analisis_productividad__4[[#This Row],[Periodo]],5,2)</f>
        <v>03</v>
      </c>
      <c r="E2175" t="s">
        <v>34</v>
      </c>
      <c r="F2175" t="s">
        <v>35</v>
      </c>
      <c r="G2175">
        <v>71867</v>
      </c>
      <c r="H2175">
        <v>2134888</v>
      </c>
      <c r="I2175">
        <v>29.706014784946237</v>
      </c>
      <c r="J2175">
        <v>0</v>
      </c>
      <c r="K2175">
        <v>33</v>
      </c>
      <c r="L2175">
        <v>31.5</v>
      </c>
      <c r="M2175">
        <v>35.22317754154448</v>
      </c>
      <c r="N2175">
        <v>0</v>
      </c>
    </row>
    <row r="2176" spans="1:14" x14ac:dyDescent="0.35">
      <c r="A2176" t="s">
        <v>107</v>
      </c>
      <c r="B2176">
        <v>202410</v>
      </c>
      <c r="C2176" t="str">
        <f>MID(analisis_productividad__4[[#This Row],[Periodo]],1,4)</f>
        <v>2024</v>
      </c>
      <c r="D2176" t="str">
        <f>MID(analisis_productividad__4[[#This Row],[Periodo]],5,2)</f>
        <v>10</v>
      </c>
      <c r="E2176" t="s">
        <v>34</v>
      </c>
      <c r="F2176" t="s">
        <v>35</v>
      </c>
      <c r="G2176">
        <v>71855</v>
      </c>
      <c r="H2176">
        <v>5529380</v>
      </c>
      <c r="I2176">
        <v>76.952110215053736</v>
      </c>
      <c r="J2176">
        <v>0</v>
      </c>
      <c r="K2176">
        <v>87</v>
      </c>
      <c r="L2176">
        <v>77.5</v>
      </c>
      <c r="N2176">
        <v>0</v>
      </c>
    </row>
    <row r="2177" spans="1:14" x14ac:dyDescent="0.35">
      <c r="A2177" t="s">
        <v>88</v>
      </c>
      <c r="B2177">
        <v>202508</v>
      </c>
      <c r="C2177" t="str">
        <f>MID(analisis_productividad__4[[#This Row],[Periodo]],1,4)</f>
        <v>2025</v>
      </c>
      <c r="D2177" t="str">
        <f>MID(analisis_productividad__4[[#This Row],[Periodo]],5,2)</f>
        <v>08</v>
      </c>
      <c r="E2177" t="s">
        <v>34</v>
      </c>
      <c r="F2177" t="s">
        <v>35</v>
      </c>
      <c r="G2177">
        <v>71848</v>
      </c>
      <c r="H2177">
        <v>1090271</v>
      </c>
      <c r="I2177">
        <v>15.174758064516125</v>
      </c>
      <c r="J2177">
        <v>86839.824264342169</v>
      </c>
      <c r="K2177">
        <v>15.5</v>
      </c>
      <c r="L2177">
        <v>14.5</v>
      </c>
      <c r="M2177">
        <v>12.554963454108265</v>
      </c>
      <c r="N2177">
        <v>1109423</v>
      </c>
    </row>
    <row r="2178" spans="1:14" x14ac:dyDescent="0.35">
      <c r="A2178" t="s">
        <v>83</v>
      </c>
      <c r="B2178">
        <v>202410</v>
      </c>
      <c r="C2178" t="str">
        <f>MID(analisis_productividad__4[[#This Row],[Periodo]],1,4)</f>
        <v>2024</v>
      </c>
      <c r="D2178" t="str">
        <f>MID(analisis_productividad__4[[#This Row],[Periodo]],5,2)</f>
        <v>10</v>
      </c>
      <c r="E2178" t="s">
        <v>16</v>
      </c>
      <c r="F2178" t="s">
        <v>17</v>
      </c>
      <c r="G2178">
        <v>71801</v>
      </c>
      <c r="H2178">
        <v>3378276</v>
      </c>
      <c r="I2178">
        <v>47.050631720430104</v>
      </c>
      <c r="J2178">
        <v>0</v>
      </c>
      <c r="K2178">
        <v>52</v>
      </c>
      <c r="L2178">
        <v>52</v>
      </c>
      <c r="N2178">
        <v>0</v>
      </c>
    </row>
    <row r="2179" spans="1:14" x14ac:dyDescent="0.35">
      <c r="A2179" t="s">
        <v>73</v>
      </c>
      <c r="B2179">
        <v>202501</v>
      </c>
      <c r="C2179" t="str">
        <f>MID(analisis_productividad__4[[#This Row],[Periodo]],1,4)</f>
        <v>2025</v>
      </c>
      <c r="D2179" t="str">
        <f>MID(analisis_productividad__4[[#This Row],[Periodo]],5,2)</f>
        <v>01</v>
      </c>
      <c r="E2179" t="s">
        <v>16</v>
      </c>
      <c r="F2179" t="s">
        <v>21</v>
      </c>
      <c r="G2179">
        <v>71775</v>
      </c>
      <c r="H2179">
        <v>2843180</v>
      </c>
      <c r="I2179">
        <v>39.612661290322599</v>
      </c>
      <c r="J2179">
        <v>69521.171297107896</v>
      </c>
      <c r="K2179">
        <v>43.5</v>
      </c>
      <c r="L2179">
        <v>41</v>
      </c>
      <c r="M2179">
        <v>40.896605407427558</v>
      </c>
      <c r="N2179">
        <v>3003677</v>
      </c>
    </row>
    <row r="2180" spans="1:14" x14ac:dyDescent="0.35">
      <c r="A2180" t="s">
        <v>64</v>
      </c>
      <c r="B2180">
        <v>202510</v>
      </c>
      <c r="C2180" t="str">
        <f>MID(analisis_productividad__4[[#This Row],[Periodo]],1,4)</f>
        <v>2025</v>
      </c>
      <c r="D2180" t="str">
        <f>MID(analisis_productividad__4[[#This Row],[Periodo]],5,2)</f>
        <v>10</v>
      </c>
      <c r="E2180" t="s">
        <v>16</v>
      </c>
      <c r="F2180" t="s">
        <v>21</v>
      </c>
      <c r="G2180">
        <v>71767</v>
      </c>
      <c r="H2180">
        <v>8080249</v>
      </c>
      <c r="I2180">
        <v>112.58940188172052</v>
      </c>
      <c r="J2180">
        <v>81000.243443003492</v>
      </c>
      <c r="K2180">
        <v>88.5</v>
      </c>
      <c r="L2180">
        <v>92.5</v>
      </c>
      <c r="M2180">
        <v>99.755858705359771</v>
      </c>
      <c r="N2180">
        <v>6368843</v>
      </c>
    </row>
    <row r="2181" spans="1:14" x14ac:dyDescent="0.35">
      <c r="A2181" t="s">
        <v>102</v>
      </c>
      <c r="B2181">
        <v>202503</v>
      </c>
      <c r="C2181" t="str">
        <f>MID(analisis_productividad__4[[#This Row],[Periodo]],1,4)</f>
        <v>2025</v>
      </c>
      <c r="D2181" t="str">
        <f>MID(analisis_productividad__4[[#This Row],[Periodo]],5,2)</f>
        <v>03</v>
      </c>
      <c r="E2181" t="s">
        <v>11</v>
      </c>
      <c r="F2181" t="s">
        <v>12</v>
      </c>
      <c r="G2181">
        <v>71746</v>
      </c>
      <c r="H2181">
        <v>2479490</v>
      </c>
      <c r="I2181">
        <v>34.559159946236555</v>
      </c>
      <c r="J2181">
        <v>71840.276422153634</v>
      </c>
      <c r="K2181">
        <v>34</v>
      </c>
      <c r="L2181">
        <v>34</v>
      </c>
      <c r="M2181">
        <v>34.513924827207255</v>
      </c>
      <c r="N2181">
        <v>2416430</v>
      </c>
    </row>
    <row r="2182" spans="1:14" x14ac:dyDescent="0.35">
      <c r="A2182" t="s">
        <v>77</v>
      </c>
      <c r="B2182">
        <v>202411</v>
      </c>
      <c r="C2182" t="str">
        <f>MID(analisis_productividad__4[[#This Row],[Periodo]],1,4)</f>
        <v>2024</v>
      </c>
      <c r="D2182" t="str">
        <f>MID(analisis_productividad__4[[#This Row],[Periodo]],5,2)</f>
        <v>11</v>
      </c>
      <c r="E2182" t="s">
        <v>16</v>
      </c>
      <c r="F2182" t="s">
        <v>21</v>
      </c>
      <c r="G2182">
        <v>71746</v>
      </c>
      <c r="H2182">
        <v>4582563</v>
      </c>
      <c r="I2182">
        <v>63.872423611111081</v>
      </c>
      <c r="J2182">
        <v>0</v>
      </c>
      <c r="K2182">
        <v>60.5</v>
      </c>
      <c r="L2182">
        <v>60.5</v>
      </c>
      <c r="N2182">
        <v>0</v>
      </c>
    </row>
    <row r="2183" spans="1:14" x14ac:dyDescent="0.35">
      <c r="A2183" t="s">
        <v>103</v>
      </c>
      <c r="B2183">
        <v>202604</v>
      </c>
      <c r="C2183" t="str">
        <f>MID(analisis_productividad__4[[#This Row],[Periodo]],1,4)</f>
        <v>2026</v>
      </c>
      <c r="D2183" t="str">
        <f>MID(analisis_productividad__4[[#This Row],[Periodo]],5,2)</f>
        <v>04</v>
      </c>
      <c r="E2183" t="s">
        <v>104</v>
      </c>
      <c r="F2183" t="s">
        <v>104</v>
      </c>
      <c r="G2183">
        <v>71742</v>
      </c>
      <c r="H2183">
        <v>5606053</v>
      </c>
      <c r="I2183">
        <v>78.141729166668043</v>
      </c>
      <c r="J2183">
        <v>71887.976023851748</v>
      </c>
      <c r="K2183">
        <v>94</v>
      </c>
      <c r="L2183">
        <v>77.5</v>
      </c>
      <c r="M2183">
        <v>81.023149648384276</v>
      </c>
      <c r="N2183">
        <v>5824590</v>
      </c>
    </row>
    <row r="2184" spans="1:14" x14ac:dyDescent="0.35">
      <c r="A2184" t="s">
        <v>120</v>
      </c>
      <c r="B2184">
        <v>202505</v>
      </c>
      <c r="C2184" t="str">
        <f>MID(analisis_productividad__4[[#This Row],[Periodo]],1,4)</f>
        <v>2025</v>
      </c>
      <c r="D2184" t="str">
        <f>MID(analisis_productividad__4[[#This Row],[Periodo]],5,2)</f>
        <v>05</v>
      </c>
      <c r="E2184" t="s">
        <v>9</v>
      </c>
      <c r="F2184" t="s">
        <v>9</v>
      </c>
      <c r="G2184">
        <v>71737</v>
      </c>
      <c r="H2184">
        <v>752476</v>
      </c>
      <c r="I2184">
        <v>10.489415322580646</v>
      </c>
      <c r="J2184">
        <v>74944.557617107945</v>
      </c>
      <c r="K2184">
        <v>11.5</v>
      </c>
      <c r="L2184">
        <v>12</v>
      </c>
      <c r="M2184">
        <v>10.040433674242259</v>
      </c>
      <c r="N2184">
        <v>820972</v>
      </c>
    </row>
    <row r="2185" spans="1:14" x14ac:dyDescent="0.35">
      <c r="A2185" t="s">
        <v>88</v>
      </c>
      <c r="B2185">
        <v>202404</v>
      </c>
      <c r="C2185" t="str">
        <f>MID(analisis_productividad__4[[#This Row],[Periodo]],1,4)</f>
        <v>2024</v>
      </c>
      <c r="D2185" t="str">
        <f>MID(analisis_productividad__4[[#This Row],[Periodo]],5,2)</f>
        <v>04</v>
      </c>
      <c r="E2185" t="s">
        <v>34</v>
      </c>
      <c r="F2185" t="s">
        <v>35</v>
      </c>
      <c r="G2185">
        <v>71733</v>
      </c>
      <c r="H2185">
        <v>1041122</v>
      </c>
      <c r="I2185">
        <v>14.513819444444444</v>
      </c>
      <c r="J2185">
        <v>0</v>
      </c>
      <c r="K2185">
        <v>15.5</v>
      </c>
      <c r="L2185">
        <v>14.5</v>
      </c>
      <c r="N2185">
        <v>0</v>
      </c>
    </row>
    <row r="2186" spans="1:14" x14ac:dyDescent="0.35">
      <c r="A2186" t="s">
        <v>100</v>
      </c>
      <c r="B2186">
        <v>202504</v>
      </c>
      <c r="C2186" t="str">
        <f>MID(analisis_productividad__4[[#This Row],[Periodo]],1,4)</f>
        <v>2025</v>
      </c>
      <c r="D2186" t="str">
        <f>MID(analisis_productividad__4[[#This Row],[Periodo]],5,2)</f>
        <v>04</v>
      </c>
      <c r="E2186" t="s">
        <v>34</v>
      </c>
      <c r="F2186" t="s">
        <v>35</v>
      </c>
      <c r="G2186">
        <v>71725</v>
      </c>
      <c r="H2186">
        <v>2544245</v>
      </c>
      <c r="I2186">
        <v>35.472159722222216</v>
      </c>
      <c r="J2186">
        <v>72354.913017415325</v>
      </c>
      <c r="K2186">
        <v>44</v>
      </c>
      <c r="L2186">
        <v>40.5</v>
      </c>
      <c r="M2186">
        <v>35.163406517918389</v>
      </c>
      <c r="N2186">
        <v>2741018</v>
      </c>
    </row>
    <row r="2187" spans="1:14" x14ac:dyDescent="0.35">
      <c r="A2187" t="s">
        <v>105</v>
      </c>
      <c r="B2187">
        <v>202604</v>
      </c>
      <c r="C2187" t="str">
        <f>MID(analisis_productividad__4[[#This Row],[Periodo]],1,4)</f>
        <v>2026</v>
      </c>
      <c r="D2187" t="str">
        <f>MID(analisis_productividad__4[[#This Row],[Periodo]],5,2)</f>
        <v>04</v>
      </c>
      <c r="E2187" t="s">
        <v>34</v>
      </c>
      <c r="F2187" t="s">
        <v>35</v>
      </c>
      <c r="G2187">
        <v>71680</v>
      </c>
      <c r="H2187">
        <v>2039024</v>
      </c>
      <c r="I2187">
        <v>28.446201388888674</v>
      </c>
      <c r="J2187">
        <v>0</v>
      </c>
      <c r="K2187">
        <v>33</v>
      </c>
      <c r="L2187">
        <v>31.5</v>
      </c>
      <c r="M2187">
        <v>35.22317754154448</v>
      </c>
    </row>
    <row r="2188" spans="1:14" x14ac:dyDescent="0.35">
      <c r="A2188" t="s">
        <v>86</v>
      </c>
      <c r="B2188">
        <v>202602</v>
      </c>
      <c r="C2188" t="str">
        <f>MID(analisis_productividad__4[[#This Row],[Periodo]],1,4)</f>
        <v>2026</v>
      </c>
      <c r="D2188" t="str">
        <f>MID(analisis_productividad__4[[#This Row],[Periodo]],5,2)</f>
        <v>02</v>
      </c>
      <c r="E2188" t="s">
        <v>11</v>
      </c>
      <c r="F2188" t="s">
        <v>14</v>
      </c>
      <c r="G2188">
        <v>71669</v>
      </c>
      <c r="H2188">
        <v>4138428</v>
      </c>
      <c r="I2188">
        <v>57.743645833333332</v>
      </c>
      <c r="J2188">
        <v>83303.730995802282</v>
      </c>
      <c r="K2188">
        <v>69.5</v>
      </c>
      <c r="L2188">
        <v>59</v>
      </c>
      <c r="M2188">
        <v>57.926444284268129</v>
      </c>
      <c r="N2188">
        <v>4825489</v>
      </c>
    </row>
    <row r="2189" spans="1:14" x14ac:dyDescent="0.35">
      <c r="A2189" t="s">
        <v>85</v>
      </c>
      <c r="B2189">
        <v>202511</v>
      </c>
      <c r="C2189" t="str">
        <f>MID(analisis_productividad__4[[#This Row],[Periodo]],1,4)</f>
        <v>2025</v>
      </c>
      <c r="D2189" t="str">
        <f>MID(analisis_productividad__4[[#This Row],[Periodo]],5,2)</f>
        <v>11</v>
      </c>
      <c r="E2189" t="s">
        <v>11</v>
      </c>
      <c r="F2189" t="s">
        <v>14</v>
      </c>
      <c r="G2189">
        <v>71643</v>
      </c>
      <c r="H2189">
        <v>3769598</v>
      </c>
      <c r="I2189">
        <v>52.616277777777782</v>
      </c>
      <c r="J2189">
        <v>72733.90955278599</v>
      </c>
      <c r="K2189">
        <v>60.5</v>
      </c>
      <c r="L2189">
        <v>57.5</v>
      </c>
      <c r="M2189">
        <v>51.827245547198956</v>
      </c>
      <c r="N2189">
        <v>3660767</v>
      </c>
    </row>
    <row r="2190" spans="1:14" x14ac:dyDescent="0.35">
      <c r="A2190" t="s">
        <v>107</v>
      </c>
      <c r="B2190">
        <v>202506</v>
      </c>
      <c r="C2190" t="str">
        <f>MID(analisis_productividad__4[[#This Row],[Periodo]],1,4)</f>
        <v>2025</v>
      </c>
      <c r="D2190" t="str">
        <f>MID(analisis_productividad__4[[#This Row],[Periodo]],5,2)</f>
        <v>06</v>
      </c>
      <c r="E2190" t="s">
        <v>34</v>
      </c>
      <c r="F2190" t="s">
        <v>35</v>
      </c>
      <c r="G2190">
        <v>71633</v>
      </c>
      <c r="H2190">
        <v>5241607</v>
      </c>
      <c r="I2190">
        <v>73.173527777777821</v>
      </c>
      <c r="J2190">
        <v>62695.975172654558</v>
      </c>
      <c r="K2190">
        <v>87</v>
      </c>
      <c r="L2190">
        <v>77.5</v>
      </c>
      <c r="M2190">
        <v>83.60356666541135</v>
      </c>
      <c r="N2190">
        <v>5318382</v>
      </c>
    </row>
    <row r="2191" spans="1:14" x14ac:dyDescent="0.35">
      <c r="A2191" t="s">
        <v>18</v>
      </c>
      <c r="B2191">
        <v>202409</v>
      </c>
      <c r="C2191" t="str">
        <f>MID(analisis_productividad__4[[#This Row],[Periodo]],1,4)</f>
        <v>2024</v>
      </c>
      <c r="D2191" t="str">
        <f>MID(analisis_productividad__4[[#This Row],[Periodo]],5,2)</f>
        <v>09</v>
      </c>
      <c r="E2191" t="s">
        <v>16</v>
      </c>
      <c r="F2191" t="s">
        <v>19</v>
      </c>
      <c r="G2191">
        <v>71592</v>
      </c>
      <c r="H2191">
        <v>4583148</v>
      </c>
      <c r="I2191">
        <v>64.017284722222243</v>
      </c>
      <c r="J2191">
        <v>0</v>
      </c>
      <c r="K2191">
        <v>70.5</v>
      </c>
      <c r="L2191">
        <v>69.5</v>
      </c>
      <c r="N2191">
        <v>0</v>
      </c>
    </row>
    <row r="2192" spans="1:14" x14ac:dyDescent="0.35">
      <c r="A2192" t="s">
        <v>90</v>
      </c>
      <c r="B2192">
        <v>202502</v>
      </c>
      <c r="C2192" t="str">
        <f>MID(analisis_productividad__4[[#This Row],[Periodo]],1,4)</f>
        <v>2025</v>
      </c>
      <c r="D2192" t="str">
        <f>MID(analisis_productividad__4[[#This Row],[Periodo]],5,2)</f>
        <v>02</v>
      </c>
      <c r="E2192" t="s">
        <v>11</v>
      </c>
      <c r="F2192" t="s">
        <v>14</v>
      </c>
      <c r="G2192">
        <v>71586</v>
      </c>
      <c r="H2192">
        <v>5423674</v>
      </c>
      <c r="I2192">
        <v>75.764062500000023</v>
      </c>
      <c r="J2192">
        <v>65727.196999850275</v>
      </c>
      <c r="K2192">
        <v>84.5</v>
      </c>
      <c r="L2192">
        <v>78.5</v>
      </c>
      <c r="M2192">
        <v>82.517962389486271</v>
      </c>
      <c r="N2192">
        <v>5350985</v>
      </c>
    </row>
    <row r="2193" spans="1:14" x14ac:dyDescent="0.35">
      <c r="A2193" t="s">
        <v>100</v>
      </c>
      <c r="B2193">
        <v>202402</v>
      </c>
      <c r="C2193" t="str">
        <f>MID(analisis_productividad__4[[#This Row],[Periodo]],1,4)</f>
        <v>2024</v>
      </c>
      <c r="D2193" t="str">
        <f>MID(analisis_productividad__4[[#This Row],[Periodo]],5,2)</f>
        <v>02</v>
      </c>
      <c r="E2193" t="s">
        <v>34</v>
      </c>
      <c r="F2193" t="s">
        <v>35</v>
      </c>
      <c r="G2193">
        <v>71549</v>
      </c>
      <c r="H2193">
        <v>2573890</v>
      </c>
      <c r="I2193">
        <v>35.973663793103455</v>
      </c>
      <c r="J2193">
        <v>0</v>
      </c>
      <c r="K2193">
        <v>44</v>
      </c>
      <c r="L2193">
        <v>40.5</v>
      </c>
      <c r="N2193">
        <v>0</v>
      </c>
    </row>
    <row r="2194" spans="1:14" x14ac:dyDescent="0.35">
      <c r="A2194" t="s">
        <v>86</v>
      </c>
      <c r="B2194">
        <v>202509</v>
      </c>
      <c r="C2194" t="str">
        <f>MID(analisis_productividad__4[[#This Row],[Periodo]],1,4)</f>
        <v>2025</v>
      </c>
      <c r="D2194" t="str">
        <f>MID(analisis_productividad__4[[#This Row],[Periodo]],5,2)</f>
        <v>09</v>
      </c>
      <c r="E2194" t="s">
        <v>11</v>
      </c>
      <c r="F2194" t="s">
        <v>14</v>
      </c>
      <c r="G2194">
        <v>71548</v>
      </c>
      <c r="H2194">
        <v>3775263</v>
      </c>
      <c r="I2194">
        <v>52.765270833333361</v>
      </c>
      <c r="J2194">
        <v>77796.983989007858</v>
      </c>
      <c r="K2194">
        <v>69.5</v>
      </c>
      <c r="L2194">
        <v>59</v>
      </c>
      <c r="M2194">
        <v>48.527118358899592</v>
      </c>
      <c r="N2194">
        <v>4978333</v>
      </c>
    </row>
    <row r="2195" spans="1:14" x14ac:dyDescent="0.35">
      <c r="A2195" t="s">
        <v>91</v>
      </c>
      <c r="B2195">
        <v>202508</v>
      </c>
      <c r="C2195" t="str">
        <f>MID(analisis_productividad__4[[#This Row],[Periodo]],1,4)</f>
        <v>2025</v>
      </c>
      <c r="D2195" t="str">
        <f>MID(analisis_productividad__4[[#This Row],[Periodo]],5,2)</f>
        <v>08</v>
      </c>
      <c r="E2195" t="s">
        <v>11</v>
      </c>
      <c r="F2195" t="s">
        <v>12</v>
      </c>
      <c r="G2195">
        <v>71540</v>
      </c>
      <c r="H2195">
        <v>3918882</v>
      </c>
      <c r="I2195">
        <v>54.778575268817235</v>
      </c>
      <c r="J2195">
        <v>85359.837322305844</v>
      </c>
      <c r="K2195">
        <v>55</v>
      </c>
      <c r="L2195">
        <v>55.5</v>
      </c>
      <c r="M2195">
        <v>45.910143375776272</v>
      </c>
      <c r="N2195">
        <v>4037493</v>
      </c>
    </row>
    <row r="2196" spans="1:14" x14ac:dyDescent="0.35">
      <c r="A2196" t="s">
        <v>47</v>
      </c>
      <c r="B2196">
        <v>202405</v>
      </c>
      <c r="C2196" t="str">
        <f>MID(analisis_productividad__4[[#This Row],[Periodo]],1,4)</f>
        <v>2024</v>
      </c>
      <c r="D2196" t="str">
        <f>MID(analisis_productividad__4[[#This Row],[Periodo]],5,2)</f>
        <v>05</v>
      </c>
      <c r="E2196" t="s">
        <v>11</v>
      </c>
      <c r="F2196" t="s">
        <v>14</v>
      </c>
      <c r="G2196">
        <v>71536</v>
      </c>
      <c r="H2196">
        <v>4561203</v>
      </c>
      <c r="I2196">
        <v>63.760920698924728</v>
      </c>
      <c r="J2196">
        <v>0</v>
      </c>
      <c r="K2196">
        <v>61.5</v>
      </c>
      <c r="L2196">
        <v>48.5</v>
      </c>
      <c r="N2196">
        <v>0</v>
      </c>
    </row>
    <row r="2197" spans="1:14" x14ac:dyDescent="0.35">
      <c r="A2197" t="s">
        <v>107</v>
      </c>
      <c r="B2197">
        <v>202403</v>
      </c>
      <c r="C2197" t="str">
        <f>MID(analisis_productividad__4[[#This Row],[Periodo]],1,4)</f>
        <v>2024</v>
      </c>
      <c r="D2197" t="str">
        <f>MID(analisis_productividad__4[[#This Row],[Periodo]],5,2)</f>
        <v>03</v>
      </c>
      <c r="E2197" t="s">
        <v>34</v>
      </c>
      <c r="F2197" t="s">
        <v>35</v>
      </c>
      <c r="G2197">
        <v>71441</v>
      </c>
      <c r="H2197">
        <v>5363460</v>
      </c>
      <c r="I2197">
        <v>75.07537634408601</v>
      </c>
      <c r="J2197">
        <v>0</v>
      </c>
      <c r="K2197">
        <v>87</v>
      </c>
      <c r="L2197">
        <v>77.5</v>
      </c>
      <c r="N2197">
        <v>0</v>
      </c>
    </row>
    <row r="2198" spans="1:14" x14ac:dyDescent="0.35">
      <c r="A2198" t="s">
        <v>77</v>
      </c>
      <c r="B2198">
        <v>202402</v>
      </c>
      <c r="C2198" t="str">
        <f>MID(analisis_productividad__4[[#This Row],[Periodo]],1,4)</f>
        <v>2024</v>
      </c>
      <c r="D2198" t="str">
        <f>MID(analisis_productividad__4[[#This Row],[Periodo]],5,2)</f>
        <v>02</v>
      </c>
      <c r="E2198" t="s">
        <v>16</v>
      </c>
      <c r="F2198" t="s">
        <v>21</v>
      </c>
      <c r="G2198">
        <v>71395</v>
      </c>
      <c r="H2198">
        <v>4789909</v>
      </c>
      <c r="I2198">
        <v>67.090323275862076</v>
      </c>
      <c r="J2198">
        <v>0</v>
      </c>
      <c r="K2198">
        <v>60.5</v>
      </c>
      <c r="L2198">
        <v>60.5</v>
      </c>
      <c r="N2198">
        <v>0</v>
      </c>
    </row>
    <row r="2199" spans="1:14" x14ac:dyDescent="0.35">
      <c r="A2199" t="s">
        <v>77</v>
      </c>
      <c r="B2199">
        <v>202409</v>
      </c>
      <c r="C2199" t="str">
        <f>MID(analisis_productividad__4[[#This Row],[Periodo]],1,4)</f>
        <v>2024</v>
      </c>
      <c r="D2199" t="str">
        <f>MID(analisis_productividad__4[[#This Row],[Periodo]],5,2)</f>
        <v>09</v>
      </c>
      <c r="E2199" t="s">
        <v>16</v>
      </c>
      <c r="F2199" t="s">
        <v>21</v>
      </c>
      <c r="G2199">
        <v>71394</v>
      </c>
      <c r="H2199">
        <v>4267169</v>
      </c>
      <c r="I2199">
        <v>59.769208333333317</v>
      </c>
      <c r="J2199">
        <v>0</v>
      </c>
      <c r="K2199">
        <v>60.5</v>
      </c>
      <c r="L2199">
        <v>60.5</v>
      </c>
      <c r="N2199">
        <v>0</v>
      </c>
    </row>
    <row r="2200" spans="1:14" x14ac:dyDescent="0.35">
      <c r="A2200" t="s">
        <v>120</v>
      </c>
      <c r="B2200">
        <v>202405</v>
      </c>
      <c r="C2200" t="str">
        <f>MID(analisis_productividad__4[[#This Row],[Periodo]],1,4)</f>
        <v>2024</v>
      </c>
      <c r="D2200" t="str">
        <f>MID(analisis_productividad__4[[#This Row],[Periodo]],5,2)</f>
        <v>05</v>
      </c>
      <c r="E2200" t="s">
        <v>9</v>
      </c>
      <c r="F2200" t="s">
        <v>9</v>
      </c>
      <c r="G2200">
        <v>71376</v>
      </c>
      <c r="H2200">
        <v>791350</v>
      </c>
      <c r="I2200">
        <v>11.087096774193547</v>
      </c>
      <c r="J2200">
        <v>0</v>
      </c>
      <c r="K2200">
        <v>11.5</v>
      </c>
      <c r="L2200">
        <v>12</v>
      </c>
      <c r="N2200">
        <v>0</v>
      </c>
    </row>
    <row r="2201" spans="1:14" x14ac:dyDescent="0.35">
      <c r="A2201" t="s">
        <v>107</v>
      </c>
      <c r="B2201">
        <v>202508</v>
      </c>
      <c r="C2201" t="str">
        <f>MID(analisis_productividad__4[[#This Row],[Periodo]],1,4)</f>
        <v>2025</v>
      </c>
      <c r="D2201" t="str">
        <f>MID(analisis_productividad__4[[#This Row],[Periodo]],5,2)</f>
        <v>08</v>
      </c>
      <c r="E2201" t="s">
        <v>34</v>
      </c>
      <c r="F2201" t="s">
        <v>35</v>
      </c>
      <c r="G2201">
        <v>71336</v>
      </c>
      <c r="H2201">
        <v>5175514</v>
      </c>
      <c r="I2201">
        <v>72.551048387096785</v>
      </c>
      <c r="J2201">
        <v>66488.263656043186</v>
      </c>
      <c r="K2201">
        <v>87</v>
      </c>
      <c r="L2201">
        <v>77.5</v>
      </c>
      <c r="M2201">
        <v>77.841013517422354</v>
      </c>
      <c r="N2201">
        <v>5462962</v>
      </c>
    </row>
    <row r="2202" spans="1:14" x14ac:dyDescent="0.35">
      <c r="A2202" t="s">
        <v>106</v>
      </c>
      <c r="B2202">
        <v>202406</v>
      </c>
      <c r="C2202" t="str">
        <f>MID(analisis_productividad__4[[#This Row],[Periodo]],1,4)</f>
        <v>2024</v>
      </c>
      <c r="D2202" t="str">
        <f>MID(analisis_productividad__4[[#This Row],[Periodo]],5,2)</f>
        <v>06</v>
      </c>
      <c r="E2202" t="s">
        <v>34</v>
      </c>
      <c r="F2202" t="s">
        <v>35</v>
      </c>
      <c r="G2202">
        <v>71335</v>
      </c>
      <c r="H2202">
        <v>3308607</v>
      </c>
      <c r="I2202">
        <v>46.381270833333346</v>
      </c>
      <c r="J2202">
        <v>0</v>
      </c>
      <c r="K2202">
        <v>51</v>
      </c>
      <c r="L2202">
        <v>49</v>
      </c>
      <c r="N2202">
        <v>0</v>
      </c>
    </row>
    <row r="2203" spans="1:14" x14ac:dyDescent="0.35">
      <c r="A2203" t="s">
        <v>88</v>
      </c>
      <c r="B2203">
        <v>202406</v>
      </c>
      <c r="C2203" t="str">
        <f>MID(analisis_productividad__4[[#This Row],[Periodo]],1,4)</f>
        <v>2024</v>
      </c>
      <c r="D2203" t="str">
        <f>MID(analisis_productividad__4[[#This Row],[Periodo]],5,2)</f>
        <v>06</v>
      </c>
      <c r="E2203" t="s">
        <v>34</v>
      </c>
      <c r="F2203" t="s">
        <v>35</v>
      </c>
      <c r="G2203">
        <v>71334</v>
      </c>
      <c r="H2203">
        <v>1037031</v>
      </c>
      <c r="I2203">
        <v>14.537687500000006</v>
      </c>
      <c r="J2203">
        <v>0</v>
      </c>
      <c r="K2203">
        <v>15.5</v>
      </c>
      <c r="L2203">
        <v>14.5</v>
      </c>
      <c r="N2203">
        <v>0</v>
      </c>
    </row>
    <row r="2204" spans="1:14" x14ac:dyDescent="0.35">
      <c r="A2204" t="s">
        <v>91</v>
      </c>
      <c r="B2204">
        <v>202406</v>
      </c>
      <c r="C2204" t="str">
        <f>MID(analisis_productividad__4[[#This Row],[Periodo]],1,4)</f>
        <v>2024</v>
      </c>
      <c r="D2204" t="str">
        <f>MID(analisis_productividad__4[[#This Row],[Periodo]],5,2)</f>
        <v>06</v>
      </c>
      <c r="E2204" t="s">
        <v>11</v>
      </c>
      <c r="F2204" t="s">
        <v>12</v>
      </c>
      <c r="G2204">
        <v>71317</v>
      </c>
      <c r="H2204">
        <v>3691100</v>
      </c>
      <c r="I2204">
        <v>51.756055555555555</v>
      </c>
      <c r="J2204">
        <v>0</v>
      </c>
      <c r="K2204">
        <v>55</v>
      </c>
      <c r="L2204">
        <v>55.5</v>
      </c>
      <c r="N2204">
        <v>0</v>
      </c>
    </row>
    <row r="2205" spans="1:14" x14ac:dyDescent="0.35">
      <c r="A2205" t="s">
        <v>86</v>
      </c>
      <c r="B2205">
        <v>202507</v>
      </c>
      <c r="C2205" t="str">
        <f>MID(analisis_productividad__4[[#This Row],[Periodo]],1,4)</f>
        <v>2025</v>
      </c>
      <c r="D2205" t="str">
        <f>MID(analisis_productividad__4[[#This Row],[Periodo]],5,2)</f>
        <v>07</v>
      </c>
      <c r="E2205" t="s">
        <v>11</v>
      </c>
      <c r="F2205" t="s">
        <v>14</v>
      </c>
      <c r="G2205">
        <v>71299</v>
      </c>
      <c r="H2205">
        <v>4398569</v>
      </c>
      <c r="I2205">
        <v>61.691451612903229</v>
      </c>
      <c r="J2205">
        <v>82779.102495847124</v>
      </c>
      <c r="K2205">
        <v>69.5</v>
      </c>
      <c r="L2205">
        <v>59</v>
      </c>
      <c r="M2205">
        <v>53.136223000493025</v>
      </c>
      <c r="N2205">
        <v>5248901</v>
      </c>
    </row>
    <row r="2206" spans="1:14" x14ac:dyDescent="0.35">
      <c r="A2206" t="s">
        <v>112</v>
      </c>
      <c r="B2206">
        <v>202605</v>
      </c>
      <c r="C2206" t="str">
        <f>MID(analisis_productividad__4[[#This Row],[Periodo]],1,4)</f>
        <v>2026</v>
      </c>
      <c r="D2206" t="str">
        <f>MID(analisis_productividad__4[[#This Row],[Periodo]],5,2)</f>
        <v>05</v>
      </c>
      <c r="E2206" t="s">
        <v>34</v>
      </c>
      <c r="F2206" t="s">
        <v>35</v>
      </c>
      <c r="G2206">
        <v>71291</v>
      </c>
      <c r="H2206">
        <v>1731113</v>
      </c>
      <c r="I2206">
        <v>24.282190860215206</v>
      </c>
      <c r="J2206">
        <v>58931.556494518583</v>
      </c>
      <c r="K2206">
        <v>31</v>
      </c>
      <c r="L2206">
        <v>27</v>
      </c>
      <c r="M2206">
        <v>27.070532526124346</v>
      </c>
      <c r="N2206">
        <v>1595309</v>
      </c>
    </row>
    <row r="2207" spans="1:14" x14ac:dyDescent="0.35">
      <c r="A2207" t="s">
        <v>98</v>
      </c>
      <c r="B2207">
        <v>202502</v>
      </c>
      <c r="C2207" t="str">
        <f>MID(analisis_productividad__4[[#This Row],[Periodo]],1,4)</f>
        <v>2025</v>
      </c>
      <c r="D2207" t="str">
        <f>MID(analisis_productividad__4[[#This Row],[Periodo]],5,2)</f>
        <v>02</v>
      </c>
      <c r="E2207" t="s">
        <v>11</v>
      </c>
      <c r="F2207" t="s">
        <v>14</v>
      </c>
      <c r="G2207">
        <v>71287</v>
      </c>
      <c r="H2207">
        <v>3811966</v>
      </c>
      <c r="I2207">
        <v>53.47369791666668</v>
      </c>
      <c r="J2207">
        <v>68211.041530521819</v>
      </c>
      <c r="K2207">
        <v>61.5</v>
      </c>
      <c r="L2207">
        <v>56</v>
      </c>
      <c r="M2207">
        <v>55.884889080520665</v>
      </c>
      <c r="N2207">
        <v>3723168</v>
      </c>
    </row>
    <row r="2208" spans="1:14" x14ac:dyDescent="0.35">
      <c r="A2208" t="s">
        <v>58</v>
      </c>
      <c r="B2208">
        <v>202402</v>
      </c>
      <c r="C2208" t="str">
        <f>MID(analisis_productividad__4[[#This Row],[Periodo]],1,4)</f>
        <v>2024</v>
      </c>
      <c r="D2208" t="str">
        <f>MID(analisis_productividad__4[[#This Row],[Periodo]],5,2)</f>
        <v>02</v>
      </c>
      <c r="E2208" t="s">
        <v>34</v>
      </c>
      <c r="F2208" t="s">
        <v>35</v>
      </c>
      <c r="G2208">
        <v>71261</v>
      </c>
      <c r="H2208">
        <v>3687926</v>
      </c>
      <c r="I2208">
        <v>51.752277298850608</v>
      </c>
      <c r="J2208">
        <v>0</v>
      </c>
      <c r="K2208">
        <v>53.5</v>
      </c>
      <c r="L2208">
        <v>52</v>
      </c>
      <c r="N2208">
        <v>0</v>
      </c>
    </row>
    <row r="2209" spans="1:14" x14ac:dyDescent="0.35">
      <c r="A2209" t="s">
        <v>73</v>
      </c>
      <c r="B2209">
        <v>202411</v>
      </c>
      <c r="C2209" t="str">
        <f>MID(analisis_productividad__4[[#This Row],[Periodo]],1,4)</f>
        <v>2024</v>
      </c>
      <c r="D2209" t="str">
        <f>MID(analisis_productividad__4[[#This Row],[Periodo]],5,2)</f>
        <v>11</v>
      </c>
      <c r="E2209" t="s">
        <v>16</v>
      </c>
      <c r="F2209" t="s">
        <v>21</v>
      </c>
      <c r="G2209">
        <v>71256</v>
      </c>
      <c r="H2209">
        <v>2693860</v>
      </c>
      <c r="I2209">
        <v>37.805395833333343</v>
      </c>
      <c r="J2209">
        <v>0</v>
      </c>
      <c r="K2209">
        <v>43.5</v>
      </c>
      <c r="L2209">
        <v>41</v>
      </c>
      <c r="N2209">
        <v>0</v>
      </c>
    </row>
    <row r="2210" spans="1:14" x14ac:dyDescent="0.35">
      <c r="A2210" t="s">
        <v>83</v>
      </c>
      <c r="B2210">
        <v>202402</v>
      </c>
      <c r="C2210" t="str">
        <f>MID(analisis_productividad__4[[#This Row],[Periodo]],1,4)</f>
        <v>2024</v>
      </c>
      <c r="D2210" t="str">
        <f>MID(analisis_productividad__4[[#This Row],[Periodo]],5,2)</f>
        <v>02</v>
      </c>
      <c r="E2210" t="s">
        <v>16</v>
      </c>
      <c r="F2210" t="s">
        <v>17</v>
      </c>
      <c r="G2210">
        <v>71250</v>
      </c>
      <c r="H2210">
        <v>3384962</v>
      </c>
      <c r="I2210">
        <v>47.508074712643669</v>
      </c>
      <c r="J2210">
        <v>0</v>
      </c>
      <c r="K2210">
        <v>52</v>
      </c>
      <c r="L2210">
        <v>52</v>
      </c>
      <c r="N2210">
        <v>0</v>
      </c>
    </row>
    <row r="2211" spans="1:14" x14ac:dyDescent="0.35">
      <c r="A2211" t="s">
        <v>69</v>
      </c>
      <c r="B2211">
        <v>202402</v>
      </c>
      <c r="C2211" t="str">
        <f>MID(analisis_productividad__4[[#This Row],[Periodo]],1,4)</f>
        <v>2024</v>
      </c>
      <c r="D2211" t="str">
        <f>MID(analisis_productividad__4[[#This Row],[Periodo]],5,2)</f>
        <v>02</v>
      </c>
      <c r="E2211" t="s">
        <v>11</v>
      </c>
      <c r="F2211" t="s">
        <v>52</v>
      </c>
      <c r="G2211">
        <v>71247</v>
      </c>
      <c r="H2211">
        <v>4671774</v>
      </c>
      <c r="I2211">
        <v>65.571192528735665</v>
      </c>
      <c r="J2211">
        <v>0</v>
      </c>
      <c r="K2211">
        <v>68</v>
      </c>
      <c r="L2211">
        <v>60.5</v>
      </c>
      <c r="N2211">
        <v>0</v>
      </c>
    </row>
    <row r="2212" spans="1:14" x14ac:dyDescent="0.35">
      <c r="A2212" t="s">
        <v>95</v>
      </c>
      <c r="B2212">
        <v>202604</v>
      </c>
      <c r="C2212" t="str">
        <f>MID(analisis_productividad__4[[#This Row],[Periodo]],1,4)</f>
        <v>2026</v>
      </c>
      <c r="D2212" t="str">
        <f>MID(analisis_productividad__4[[#This Row],[Periodo]],5,2)</f>
        <v>04</v>
      </c>
      <c r="E2212" t="s">
        <v>9</v>
      </c>
      <c r="F2212" t="s">
        <v>9</v>
      </c>
      <c r="G2212">
        <v>71246</v>
      </c>
      <c r="H2212">
        <v>679758</v>
      </c>
      <c r="I2212">
        <v>9.5409999999999933</v>
      </c>
      <c r="J2212">
        <v>67766.15641104606</v>
      </c>
      <c r="K2212">
        <v>11</v>
      </c>
      <c r="L2212">
        <v>11</v>
      </c>
      <c r="M2212">
        <v>10.04229432420742</v>
      </c>
      <c r="N2212">
        <v>680528</v>
      </c>
    </row>
    <row r="2213" spans="1:14" x14ac:dyDescent="0.35">
      <c r="A2213" t="s">
        <v>98</v>
      </c>
      <c r="B2213">
        <v>202501</v>
      </c>
      <c r="C2213" t="str">
        <f>MID(analisis_productividad__4[[#This Row],[Periodo]],1,4)</f>
        <v>2025</v>
      </c>
      <c r="D2213" t="str">
        <f>MID(analisis_productividad__4[[#This Row],[Periodo]],5,2)</f>
        <v>01</v>
      </c>
      <c r="E2213" t="s">
        <v>11</v>
      </c>
      <c r="F2213" t="s">
        <v>14</v>
      </c>
      <c r="G2213">
        <v>71241</v>
      </c>
      <c r="H2213">
        <v>3628386</v>
      </c>
      <c r="I2213">
        <v>50.931303763440873</v>
      </c>
      <c r="J2213">
        <v>76654.013116478571</v>
      </c>
      <c r="K2213">
        <v>61.5</v>
      </c>
      <c r="L2213">
        <v>56</v>
      </c>
      <c r="M2213">
        <v>47.334588398999223</v>
      </c>
      <c r="N2213">
        <v>3820388</v>
      </c>
    </row>
    <row r="2214" spans="1:14" x14ac:dyDescent="0.35">
      <c r="A2214" t="s">
        <v>124</v>
      </c>
      <c r="B2214">
        <v>202401</v>
      </c>
      <c r="C2214" t="str">
        <f>MID(analisis_productividad__4[[#This Row],[Periodo]],1,4)</f>
        <v>2024</v>
      </c>
      <c r="D2214" t="str">
        <f>MID(analisis_productividad__4[[#This Row],[Periodo]],5,2)</f>
        <v>01</v>
      </c>
      <c r="E2214" t="s">
        <v>9</v>
      </c>
      <c r="F2214" t="s">
        <v>9</v>
      </c>
      <c r="G2214">
        <v>71237</v>
      </c>
      <c r="H2214">
        <v>721389</v>
      </c>
      <c r="I2214">
        <v>10.126572580645162</v>
      </c>
      <c r="J2214">
        <v>0</v>
      </c>
      <c r="K2214">
        <v>11</v>
      </c>
      <c r="L2214">
        <v>12</v>
      </c>
      <c r="N2214">
        <v>0</v>
      </c>
    </row>
    <row r="2215" spans="1:14" x14ac:dyDescent="0.35">
      <c r="A2215" t="s">
        <v>71</v>
      </c>
      <c r="B2215">
        <v>202503</v>
      </c>
      <c r="C2215" t="str">
        <f>MID(analisis_productividad__4[[#This Row],[Periodo]],1,4)</f>
        <v>2025</v>
      </c>
      <c r="D2215" t="str">
        <f>MID(analisis_productividad__4[[#This Row],[Periodo]],5,2)</f>
        <v>03</v>
      </c>
      <c r="E2215" t="s">
        <v>16</v>
      </c>
      <c r="F2215" t="s">
        <v>19</v>
      </c>
      <c r="G2215">
        <v>71148</v>
      </c>
      <c r="H2215">
        <v>2573285</v>
      </c>
      <c r="I2215">
        <v>36.167842741935488</v>
      </c>
      <c r="J2215">
        <v>68548.90710025336</v>
      </c>
      <c r="K2215">
        <v>41.5</v>
      </c>
      <c r="L2215">
        <v>35.5</v>
      </c>
      <c r="M2215">
        <v>37.539407539153729</v>
      </c>
      <c r="N2215">
        <v>2454686</v>
      </c>
    </row>
    <row r="2216" spans="1:14" x14ac:dyDescent="0.35">
      <c r="A2216" t="s">
        <v>103</v>
      </c>
      <c r="B2216">
        <v>202505</v>
      </c>
      <c r="C2216" t="str">
        <f>MID(analisis_productividad__4[[#This Row],[Periodo]],1,4)</f>
        <v>2025</v>
      </c>
      <c r="D2216" t="str">
        <f>MID(analisis_productividad__4[[#This Row],[Periodo]],5,2)</f>
        <v>05</v>
      </c>
      <c r="E2216" t="s">
        <v>104</v>
      </c>
      <c r="F2216" t="s">
        <v>104</v>
      </c>
      <c r="G2216">
        <v>71144</v>
      </c>
      <c r="H2216">
        <v>5558760</v>
      </c>
      <c r="I2216">
        <v>78.133501344086028</v>
      </c>
      <c r="J2216">
        <v>66564.511309523441</v>
      </c>
      <c r="K2216">
        <v>94</v>
      </c>
      <c r="L2216">
        <v>77.5</v>
      </c>
      <c r="M2216">
        <v>83.509360177706313</v>
      </c>
      <c r="N2216">
        <v>5550094</v>
      </c>
    </row>
    <row r="2217" spans="1:14" x14ac:dyDescent="0.35">
      <c r="A2217" t="s">
        <v>77</v>
      </c>
      <c r="B2217">
        <v>202405</v>
      </c>
      <c r="C2217" t="str">
        <f>MID(analisis_productividad__4[[#This Row],[Periodo]],1,4)</f>
        <v>2024</v>
      </c>
      <c r="D2217" t="str">
        <f>MID(analisis_productividad__4[[#This Row],[Periodo]],5,2)</f>
        <v>05</v>
      </c>
      <c r="E2217" t="s">
        <v>16</v>
      </c>
      <c r="F2217" t="s">
        <v>21</v>
      </c>
      <c r="G2217">
        <v>71136</v>
      </c>
      <c r="H2217">
        <v>4580161</v>
      </c>
      <c r="I2217">
        <v>64.386122311827975</v>
      </c>
      <c r="J2217">
        <v>0</v>
      </c>
      <c r="K2217">
        <v>60.5</v>
      </c>
      <c r="L2217">
        <v>60.5</v>
      </c>
      <c r="N2217">
        <v>0</v>
      </c>
    </row>
    <row r="2218" spans="1:14" x14ac:dyDescent="0.35">
      <c r="A2218" t="s">
        <v>66</v>
      </c>
      <c r="B2218">
        <v>202409</v>
      </c>
      <c r="C2218" t="str">
        <f>MID(analisis_productividad__4[[#This Row],[Periodo]],1,4)</f>
        <v>2024</v>
      </c>
      <c r="D2218" t="str">
        <f>MID(analisis_productividad__4[[#This Row],[Periodo]],5,2)</f>
        <v>09</v>
      </c>
      <c r="E2218" t="s">
        <v>11</v>
      </c>
      <c r="F2218" t="s">
        <v>12</v>
      </c>
      <c r="G2218">
        <v>71100</v>
      </c>
      <c r="H2218">
        <v>5325657</v>
      </c>
      <c r="I2218">
        <v>74.903743055555566</v>
      </c>
      <c r="J2218">
        <v>0</v>
      </c>
      <c r="K2218">
        <v>80</v>
      </c>
      <c r="L2218">
        <v>80.5</v>
      </c>
      <c r="N2218">
        <v>0</v>
      </c>
    </row>
    <row r="2219" spans="1:14" x14ac:dyDescent="0.35">
      <c r="A2219" t="s">
        <v>71</v>
      </c>
      <c r="B2219">
        <v>202411</v>
      </c>
      <c r="C2219" t="str">
        <f>MID(analisis_productividad__4[[#This Row],[Periodo]],1,4)</f>
        <v>2024</v>
      </c>
      <c r="D2219" t="str">
        <f>MID(analisis_productividad__4[[#This Row],[Periodo]],5,2)</f>
        <v>11</v>
      </c>
      <c r="E2219" t="s">
        <v>16</v>
      </c>
      <c r="F2219" t="s">
        <v>19</v>
      </c>
      <c r="G2219">
        <v>71064</v>
      </c>
      <c r="H2219">
        <v>2730367</v>
      </c>
      <c r="I2219">
        <v>38.421006944444436</v>
      </c>
      <c r="J2219">
        <v>0</v>
      </c>
      <c r="K2219">
        <v>41.5</v>
      </c>
      <c r="L2219">
        <v>35.5</v>
      </c>
      <c r="N2219">
        <v>0</v>
      </c>
    </row>
    <row r="2220" spans="1:14" x14ac:dyDescent="0.35">
      <c r="A2220" t="s">
        <v>62</v>
      </c>
      <c r="B2220">
        <v>202509</v>
      </c>
      <c r="C2220" t="str">
        <f>MID(analisis_productividad__4[[#This Row],[Periodo]],1,4)</f>
        <v>2025</v>
      </c>
      <c r="D2220" t="str">
        <f>MID(analisis_productividad__4[[#This Row],[Periodo]],5,2)</f>
        <v>09</v>
      </c>
      <c r="E2220" t="s">
        <v>16</v>
      </c>
      <c r="F2220" t="s">
        <v>17</v>
      </c>
      <c r="G2220">
        <v>71059</v>
      </c>
      <c r="H2220">
        <v>2151722</v>
      </c>
      <c r="I2220">
        <v>30.28083333333333</v>
      </c>
      <c r="J2220">
        <v>77132.204009384266</v>
      </c>
      <c r="K2220">
        <v>32.5</v>
      </c>
      <c r="L2220">
        <v>32</v>
      </c>
      <c r="M2220">
        <v>27.896549795701571</v>
      </c>
      <c r="N2220">
        <v>2167554</v>
      </c>
    </row>
    <row r="2221" spans="1:14" x14ac:dyDescent="0.35">
      <c r="A2221" t="s">
        <v>93</v>
      </c>
      <c r="B2221">
        <v>202601</v>
      </c>
      <c r="C2221" t="str">
        <f>MID(analisis_productividad__4[[#This Row],[Periodo]],1,4)</f>
        <v>2026</v>
      </c>
      <c r="D2221" t="str">
        <f>MID(analisis_productividad__4[[#This Row],[Periodo]],5,2)</f>
        <v>01</v>
      </c>
      <c r="E2221" t="s">
        <v>16</v>
      </c>
      <c r="F2221" t="s">
        <v>17</v>
      </c>
      <c r="G2221">
        <v>71055</v>
      </c>
      <c r="H2221">
        <v>6021223</v>
      </c>
      <c r="I2221">
        <v>84.740315860215006</v>
      </c>
      <c r="J2221">
        <v>84608.166271428563</v>
      </c>
      <c r="K2221">
        <v>84</v>
      </c>
      <c r="L2221">
        <v>76</v>
      </c>
      <c r="M2221">
        <v>84</v>
      </c>
      <c r="N2221">
        <v>7107086</v>
      </c>
    </row>
    <row r="2222" spans="1:14" x14ac:dyDescent="0.35">
      <c r="A2222" t="s">
        <v>74</v>
      </c>
      <c r="B2222">
        <v>202404</v>
      </c>
      <c r="C2222" t="str">
        <f>MID(analisis_productividad__4[[#This Row],[Periodo]],1,4)</f>
        <v>2024</v>
      </c>
      <c r="D2222" t="str">
        <f>MID(analisis_productividad__4[[#This Row],[Periodo]],5,2)</f>
        <v>04</v>
      </c>
      <c r="E2222" t="s">
        <v>16</v>
      </c>
      <c r="F2222" t="s">
        <v>19</v>
      </c>
      <c r="G2222">
        <v>71048</v>
      </c>
      <c r="H2222">
        <v>3646882</v>
      </c>
      <c r="I2222">
        <v>51.329541666666685</v>
      </c>
      <c r="J2222">
        <v>0</v>
      </c>
      <c r="K2222">
        <v>50.5</v>
      </c>
      <c r="L2222">
        <v>51.5</v>
      </c>
      <c r="N2222">
        <v>0</v>
      </c>
    </row>
    <row r="2223" spans="1:14" x14ac:dyDescent="0.35">
      <c r="A2223" t="s">
        <v>107</v>
      </c>
      <c r="B2223">
        <v>202503</v>
      </c>
      <c r="C2223" t="str">
        <f>MID(analisis_productividad__4[[#This Row],[Periodo]],1,4)</f>
        <v>2025</v>
      </c>
      <c r="D2223" t="str">
        <f>MID(analisis_productividad__4[[#This Row],[Periodo]],5,2)</f>
        <v>03</v>
      </c>
      <c r="E2223" t="s">
        <v>34</v>
      </c>
      <c r="F2223" t="s">
        <v>35</v>
      </c>
      <c r="G2223">
        <v>71034</v>
      </c>
      <c r="H2223">
        <v>5331605</v>
      </c>
      <c r="I2223">
        <v>75.056935483870973</v>
      </c>
      <c r="J2223">
        <v>75013.053476935747</v>
      </c>
      <c r="K2223">
        <v>87</v>
      </c>
      <c r="L2223">
        <v>77.5</v>
      </c>
      <c r="M2223">
        <v>71.07569953327264</v>
      </c>
      <c r="N2223">
        <v>5407039</v>
      </c>
    </row>
    <row r="2224" spans="1:14" x14ac:dyDescent="0.35">
      <c r="A2224" t="s">
        <v>66</v>
      </c>
      <c r="B2224">
        <v>202404</v>
      </c>
      <c r="C2224" t="str">
        <f>MID(analisis_productividad__4[[#This Row],[Periodo]],1,4)</f>
        <v>2024</v>
      </c>
      <c r="D2224" t="str">
        <f>MID(analisis_productividad__4[[#This Row],[Periodo]],5,2)</f>
        <v>04</v>
      </c>
      <c r="E2224" t="s">
        <v>11</v>
      </c>
      <c r="F2224" t="s">
        <v>12</v>
      </c>
      <c r="G2224">
        <v>71021</v>
      </c>
      <c r="H2224">
        <v>5846282</v>
      </c>
      <c r="I2224">
        <v>82.317277777777775</v>
      </c>
      <c r="J2224">
        <v>0</v>
      </c>
      <c r="K2224">
        <v>80</v>
      </c>
      <c r="L2224">
        <v>80.5</v>
      </c>
      <c r="N2224">
        <v>0</v>
      </c>
    </row>
    <row r="2225" spans="1:14" x14ac:dyDescent="0.35">
      <c r="A2225" t="s">
        <v>113</v>
      </c>
      <c r="B2225">
        <v>202511</v>
      </c>
      <c r="C2225" t="str">
        <f>MID(analisis_productividad__4[[#This Row],[Periodo]],1,4)</f>
        <v>2025</v>
      </c>
      <c r="D2225" t="str">
        <f>MID(analisis_productividad__4[[#This Row],[Periodo]],5,2)</f>
        <v>11</v>
      </c>
      <c r="E2225" t="s">
        <v>9</v>
      </c>
      <c r="F2225" t="s">
        <v>9</v>
      </c>
      <c r="G2225">
        <v>71015</v>
      </c>
      <c r="H2225">
        <v>579949</v>
      </c>
      <c r="I2225">
        <v>8.1666180555555563</v>
      </c>
      <c r="J2225">
        <v>58434.685114101325</v>
      </c>
      <c r="K2225">
        <v>11.5</v>
      </c>
      <c r="L2225">
        <v>10</v>
      </c>
      <c r="M2225">
        <v>9.9247321837633766</v>
      </c>
      <c r="N2225">
        <v>646973</v>
      </c>
    </row>
    <row r="2226" spans="1:14" x14ac:dyDescent="0.35">
      <c r="A2226" t="s">
        <v>119</v>
      </c>
      <c r="B2226">
        <v>202407</v>
      </c>
      <c r="C2226" t="str">
        <f>MID(analisis_productividad__4[[#This Row],[Periodo]],1,4)</f>
        <v>2024</v>
      </c>
      <c r="D2226" t="str">
        <f>MID(analisis_productividad__4[[#This Row],[Periodo]],5,2)</f>
        <v>07</v>
      </c>
      <c r="E2226" t="s">
        <v>16</v>
      </c>
      <c r="F2226" t="s">
        <v>21</v>
      </c>
      <c r="G2226">
        <v>70959</v>
      </c>
      <c r="H2226">
        <v>3833552</v>
      </c>
      <c r="I2226">
        <v>54.024522849462365</v>
      </c>
      <c r="J2226">
        <v>0</v>
      </c>
      <c r="K2226">
        <v>52.5</v>
      </c>
      <c r="L2226">
        <v>52.5</v>
      </c>
      <c r="N2226">
        <v>0</v>
      </c>
    </row>
    <row r="2227" spans="1:14" x14ac:dyDescent="0.35">
      <c r="A2227" t="s">
        <v>90</v>
      </c>
      <c r="B2227">
        <v>202411</v>
      </c>
      <c r="C2227" t="str">
        <f>MID(analisis_productividad__4[[#This Row],[Periodo]],1,4)</f>
        <v>2024</v>
      </c>
      <c r="D2227" t="str">
        <f>MID(analisis_productividad__4[[#This Row],[Periodo]],5,2)</f>
        <v>11</v>
      </c>
      <c r="E2227" t="s">
        <v>11</v>
      </c>
      <c r="F2227" t="s">
        <v>14</v>
      </c>
      <c r="G2227">
        <v>70947</v>
      </c>
      <c r="H2227">
        <v>5649673</v>
      </c>
      <c r="I2227">
        <v>79.631951388888908</v>
      </c>
      <c r="J2227">
        <v>0</v>
      </c>
      <c r="K2227">
        <v>84.5</v>
      </c>
      <c r="L2227">
        <v>78.5</v>
      </c>
      <c r="N2227">
        <v>0</v>
      </c>
    </row>
    <row r="2228" spans="1:14" x14ac:dyDescent="0.35">
      <c r="A2228" t="s">
        <v>58</v>
      </c>
      <c r="B2228">
        <v>202508</v>
      </c>
      <c r="C2228" t="str">
        <f>MID(analisis_productividad__4[[#This Row],[Periodo]],1,4)</f>
        <v>2025</v>
      </c>
      <c r="D2228" t="str">
        <f>MID(analisis_productividad__4[[#This Row],[Periodo]],5,2)</f>
        <v>08</v>
      </c>
      <c r="E2228" t="s">
        <v>34</v>
      </c>
      <c r="F2228" t="s">
        <v>35</v>
      </c>
      <c r="G2228">
        <v>70917</v>
      </c>
      <c r="H2228">
        <v>2982382</v>
      </c>
      <c r="I2228">
        <v>42.054428763440839</v>
      </c>
      <c r="J2228">
        <v>68258.789738159176</v>
      </c>
      <c r="K2228">
        <v>53.5</v>
      </c>
      <c r="L2228">
        <v>52</v>
      </c>
      <c r="M2228">
        <v>43.692275990248611</v>
      </c>
      <c r="N2228">
        <v>3249228</v>
      </c>
    </row>
    <row r="2229" spans="1:14" x14ac:dyDescent="0.35">
      <c r="A2229" t="s">
        <v>92</v>
      </c>
      <c r="B2229">
        <v>202407</v>
      </c>
      <c r="C2229" t="str">
        <f>MID(analisis_productividad__4[[#This Row],[Periodo]],1,4)</f>
        <v>2024</v>
      </c>
      <c r="D2229" t="str">
        <f>MID(analisis_productividad__4[[#This Row],[Periodo]],5,2)</f>
        <v>07</v>
      </c>
      <c r="E2229" t="s">
        <v>11</v>
      </c>
      <c r="F2229" t="s">
        <v>14</v>
      </c>
      <c r="G2229">
        <v>70904</v>
      </c>
      <c r="H2229">
        <v>3769582</v>
      </c>
      <c r="I2229">
        <v>53.164341397849462</v>
      </c>
      <c r="J2229">
        <v>0</v>
      </c>
      <c r="K2229">
        <v>63</v>
      </c>
      <c r="L2229">
        <v>59</v>
      </c>
      <c r="N2229">
        <v>0</v>
      </c>
    </row>
    <row r="2230" spans="1:14" x14ac:dyDescent="0.35">
      <c r="A2230" t="s">
        <v>80</v>
      </c>
      <c r="B2230">
        <v>202502</v>
      </c>
      <c r="C2230" t="str">
        <f>MID(analisis_productividad__4[[#This Row],[Periodo]],1,4)</f>
        <v>2025</v>
      </c>
      <c r="D2230" t="str">
        <f>MID(analisis_productividad__4[[#This Row],[Periodo]],5,2)</f>
        <v>02</v>
      </c>
      <c r="E2230" t="s">
        <v>16</v>
      </c>
      <c r="F2230" t="s">
        <v>17</v>
      </c>
      <c r="G2230">
        <v>70899</v>
      </c>
      <c r="H2230">
        <v>3810704</v>
      </c>
      <c r="I2230">
        <v>53.748645833333356</v>
      </c>
      <c r="J2230">
        <v>80387.399760346962</v>
      </c>
      <c r="K2230">
        <v>58</v>
      </c>
      <c r="L2230">
        <v>58.5</v>
      </c>
      <c r="M2230">
        <v>47.404249563495931</v>
      </c>
      <c r="N2230">
        <v>4046501</v>
      </c>
    </row>
    <row r="2231" spans="1:14" x14ac:dyDescent="0.35">
      <c r="A2231" t="s">
        <v>65</v>
      </c>
      <c r="B2231">
        <v>202402</v>
      </c>
      <c r="C2231" t="str">
        <f>MID(analisis_productividad__4[[#This Row],[Periodo]],1,4)</f>
        <v>2024</v>
      </c>
      <c r="D2231" t="str">
        <f>MID(analisis_productividad__4[[#This Row],[Periodo]],5,2)</f>
        <v>02</v>
      </c>
      <c r="E2231" t="s">
        <v>16</v>
      </c>
      <c r="F2231" t="s">
        <v>19</v>
      </c>
      <c r="G2231">
        <v>70893</v>
      </c>
      <c r="H2231">
        <v>4474720</v>
      </c>
      <c r="I2231">
        <v>63.119331896551756</v>
      </c>
      <c r="J2231">
        <v>0</v>
      </c>
      <c r="K2231">
        <v>68</v>
      </c>
      <c r="L2231">
        <v>68.5</v>
      </c>
      <c r="N2231">
        <v>0</v>
      </c>
    </row>
    <row r="2232" spans="1:14" x14ac:dyDescent="0.35">
      <c r="A2232" t="s">
        <v>90</v>
      </c>
      <c r="B2232">
        <v>202410</v>
      </c>
      <c r="C2232" t="str">
        <f>MID(analisis_productividad__4[[#This Row],[Periodo]],1,4)</f>
        <v>2024</v>
      </c>
      <c r="D2232" t="str">
        <f>MID(analisis_productividad__4[[#This Row],[Periodo]],5,2)</f>
        <v>10</v>
      </c>
      <c r="E2232" t="s">
        <v>11</v>
      </c>
      <c r="F2232" t="s">
        <v>14</v>
      </c>
      <c r="G2232">
        <v>70893</v>
      </c>
      <c r="H2232">
        <v>5418427</v>
      </c>
      <c r="I2232">
        <v>76.431108870967762</v>
      </c>
      <c r="J2232">
        <v>0</v>
      </c>
      <c r="K2232">
        <v>84.5</v>
      </c>
      <c r="L2232">
        <v>78.5</v>
      </c>
      <c r="N2232">
        <v>0</v>
      </c>
    </row>
    <row r="2233" spans="1:14" x14ac:dyDescent="0.35">
      <c r="A2233" t="s">
        <v>95</v>
      </c>
      <c r="B2233">
        <v>202504</v>
      </c>
      <c r="C2233" t="str">
        <f>MID(analisis_productividad__4[[#This Row],[Periodo]],1,4)</f>
        <v>2025</v>
      </c>
      <c r="D2233" t="str">
        <f>MID(analisis_productividad__4[[#This Row],[Periodo]],5,2)</f>
        <v>04</v>
      </c>
      <c r="E2233" t="s">
        <v>9</v>
      </c>
      <c r="F2233" t="s">
        <v>9</v>
      </c>
      <c r="G2233">
        <v>70822</v>
      </c>
      <c r="H2233">
        <v>657392</v>
      </c>
      <c r="I2233">
        <v>9.282243055555556</v>
      </c>
      <c r="J2233">
        <v>66285.165630220232</v>
      </c>
      <c r="K2233">
        <v>11</v>
      </c>
      <c r="L2233">
        <v>11</v>
      </c>
      <c r="M2233">
        <v>9.9176274774259117</v>
      </c>
      <c r="N2233">
        <v>698243</v>
      </c>
    </row>
    <row r="2234" spans="1:14" x14ac:dyDescent="0.35">
      <c r="A2234" t="s">
        <v>71</v>
      </c>
      <c r="B2234">
        <v>202601</v>
      </c>
      <c r="C2234" t="str">
        <f>MID(analisis_productividad__4[[#This Row],[Periodo]],1,4)</f>
        <v>2026</v>
      </c>
      <c r="D2234" t="str">
        <f>MID(analisis_productividad__4[[#This Row],[Periodo]],5,2)</f>
        <v>01</v>
      </c>
      <c r="E2234" t="s">
        <v>16</v>
      </c>
      <c r="F2234" t="s">
        <v>19</v>
      </c>
      <c r="G2234">
        <v>70812</v>
      </c>
      <c r="H2234">
        <v>2723288</v>
      </c>
      <c r="I2234">
        <v>38.457802419354827</v>
      </c>
      <c r="J2234">
        <v>63000.275387293863</v>
      </c>
      <c r="K2234">
        <v>41.5</v>
      </c>
      <c r="L2234">
        <v>35.5</v>
      </c>
      <c r="M2234">
        <v>37.124878906032741</v>
      </c>
      <c r="N2234">
        <v>2338878</v>
      </c>
    </row>
    <row r="2235" spans="1:14" x14ac:dyDescent="0.35">
      <c r="A2235" t="s">
        <v>94</v>
      </c>
      <c r="B2235">
        <v>202602</v>
      </c>
      <c r="C2235" t="str">
        <f>MID(analisis_productividad__4[[#This Row],[Periodo]],1,4)</f>
        <v>2026</v>
      </c>
      <c r="D2235" t="str">
        <f>MID(analisis_productividad__4[[#This Row],[Periodo]],5,2)</f>
        <v>02</v>
      </c>
      <c r="E2235" t="s">
        <v>11</v>
      </c>
      <c r="F2235" t="s">
        <v>52</v>
      </c>
      <c r="G2235">
        <v>70812</v>
      </c>
      <c r="H2235">
        <v>4837239</v>
      </c>
      <c r="I2235">
        <v>68.310937499999994</v>
      </c>
      <c r="J2235">
        <v>72935.799661020879</v>
      </c>
      <c r="K2235">
        <v>75.5</v>
      </c>
      <c r="L2235">
        <v>70.5</v>
      </c>
      <c r="M2235">
        <v>63.423114179855602</v>
      </c>
      <c r="N2235">
        <v>4625816</v>
      </c>
    </row>
    <row r="2236" spans="1:14" x14ac:dyDescent="0.35">
      <c r="A2236" t="s">
        <v>94</v>
      </c>
      <c r="B2236">
        <v>202405</v>
      </c>
      <c r="C2236" t="str">
        <f>MID(analisis_productividad__4[[#This Row],[Periodo]],1,4)</f>
        <v>2024</v>
      </c>
      <c r="D2236" t="str">
        <f>MID(analisis_productividad__4[[#This Row],[Periodo]],5,2)</f>
        <v>05</v>
      </c>
      <c r="E2236" t="s">
        <v>11</v>
      </c>
      <c r="F2236" t="s">
        <v>52</v>
      </c>
      <c r="G2236">
        <v>70808</v>
      </c>
      <c r="H2236">
        <v>5276871</v>
      </c>
      <c r="I2236">
        <v>74.523467741935519</v>
      </c>
      <c r="J2236">
        <v>0</v>
      </c>
      <c r="K2236">
        <v>75.5</v>
      </c>
      <c r="L2236">
        <v>70.5</v>
      </c>
      <c r="N2236">
        <v>0</v>
      </c>
    </row>
    <row r="2237" spans="1:14" x14ac:dyDescent="0.35">
      <c r="A2237" t="s">
        <v>107</v>
      </c>
      <c r="B2237">
        <v>202401</v>
      </c>
      <c r="C2237" t="str">
        <f>MID(analisis_productividad__4[[#This Row],[Periodo]],1,4)</f>
        <v>2024</v>
      </c>
      <c r="D2237" t="str">
        <f>MID(analisis_productividad__4[[#This Row],[Periodo]],5,2)</f>
        <v>01</v>
      </c>
      <c r="E2237" t="s">
        <v>34</v>
      </c>
      <c r="F2237" t="s">
        <v>35</v>
      </c>
      <c r="G2237">
        <v>70783</v>
      </c>
      <c r="H2237">
        <v>5077161</v>
      </c>
      <c r="I2237">
        <v>71.728783602150543</v>
      </c>
      <c r="J2237">
        <v>0</v>
      </c>
      <c r="K2237">
        <v>87</v>
      </c>
      <c r="L2237">
        <v>77.5</v>
      </c>
      <c r="N2237">
        <v>0</v>
      </c>
    </row>
    <row r="2238" spans="1:14" x14ac:dyDescent="0.35">
      <c r="A2238" t="s">
        <v>83</v>
      </c>
      <c r="B2238">
        <v>202506</v>
      </c>
      <c r="C2238" t="str">
        <f>MID(analisis_productividad__4[[#This Row],[Periodo]],1,4)</f>
        <v>2025</v>
      </c>
      <c r="D2238" t="str">
        <f>MID(analisis_productividad__4[[#This Row],[Periodo]],5,2)</f>
        <v>06</v>
      </c>
      <c r="E2238" t="s">
        <v>16</v>
      </c>
      <c r="F2238" t="s">
        <v>17</v>
      </c>
      <c r="G2238">
        <v>70744</v>
      </c>
      <c r="H2238">
        <v>3300782</v>
      </c>
      <c r="I2238">
        <v>46.657965277777777</v>
      </c>
      <c r="J2238">
        <v>74256.967469096315</v>
      </c>
      <c r="K2238">
        <v>52</v>
      </c>
      <c r="L2238">
        <v>52</v>
      </c>
      <c r="M2238">
        <v>44.450810913786555</v>
      </c>
      <c r="N2238">
        <v>3274226</v>
      </c>
    </row>
    <row r="2239" spans="1:14" x14ac:dyDescent="0.35">
      <c r="A2239" t="s">
        <v>8</v>
      </c>
      <c r="B2239">
        <v>202412</v>
      </c>
      <c r="C2239" t="str">
        <f>MID(analisis_productividad__4[[#This Row],[Periodo]],1,4)</f>
        <v>2024</v>
      </c>
      <c r="D2239" t="str">
        <f>MID(analisis_productividad__4[[#This Row],[Periodo]],5,2)</f>
        <v>12</v>
      </c>
      <c r="E2239" t="s">
        <v>9</v>
      </c>
      <c r="F2239" t="s">
        <v>9</v>
      </c>
      <c r="G2239">
        <v>70744</v>
      </c>
      <c r="H2239">
        <v>1051277</v>
      </c>
      <c r="I2239">
        <v>14.860369623655917</v>
      </c>
      <c r="J2239">
        <v>0</v>
      </c>
      <c r="K2239">
        <v>13.5</v>
      </c>
      <c r="L2239">
        <v>12.5</v>
      </c>
      <c r="N2239">
        <v>0</v>
      </c>
    </row>
    <row r="2240" spans="1:14" x14ac:dyDescent="0.35">
      <c r="A2240" t="s">
        <v>83</v>
      </c>
      <c r="B2240">
        <v>202406</v>
      </c>
      <c r="C2240" t="str">
        <f>MID(analisis_productividad__4[[#This Row],[Periodo]],1,4)</f>
        <v>2024</v>
      </c>
      <c r="D2240" t="str">
        <f>MID(analisis_productividad__4[[#This Row],[Periodo]],5,2)</f>
        <v>06</v>
      </c>
      <c r="E2240" t="s">
        <v>16</v>
      </c>
      <c r="F2240" t="s">
        <v>17</v>
      </c>
      <c r="G2240">
        <v>70721</v>
      </c>
      <c r="H2240">
        <v>3358151</v>
      </c>
      <c r="I2240">
        <v>47.484548611111101</v>
      </c>
      <c r="J2240">
        <v>0</v>
      </c>
      <c r="K2240">
        <v>52</v>
      </c>
      <c r="L2240">
        <v>52</v>
      </c>
      <c r="N2240">
        <v>0</v>
      </c>
    </row>
    <row r="2241" spans="1:14" x14ac:dyDescent="0.35">
      <c r="A2241" t="s">
        <v>83</v>
      </c>
      <c r="B2241">
        <v>202504</v>
      </c>
      <c r="C2241" t="str">
        <f>MID(analisis_productividad__4[[#This Row],[Periodo]],1,4)</f>
        <v>2025</v>
      </c>
      <c r="D2241" t="str">
        <f>MID(analisis_productividad__4[[#This Row],[Periodo]],5,2)</f>
        <v>04</v>
      </c>
      <c r="E2241" t="s">
        <v>16</v>
      </c>
      <c r="F2241" t="s">
        <v>17</v>
      </c>
      <c r="G2241">
        <v>70689</v>
      </c>
      <c r="H2241">
        <v>3458485</v>
      </c>
      <c r="I2241">
        <v>48.925041666666651</v>
      </c>
      <c r="J2241">
        <v>69245.925712147931</v>
      </c>
      <c r="K2241">
        <v>52</v>
      </c>
      <c r="L2241">
        <v>52</v>
      </c>
      <c r="M2241">
        <v>49.944962023856256</v>
      </c>
      <c r="N2241">
        <v>3535540</v>
      </c>
    </row>
    <row r="2242" spans="1:14" x14ac:dyDescent="0.35">
      <c r="A2242" t="s">
        <v>80</v>
      </c>
      <c r="B2242">
        <v>202404</v>
      </c>
      <c r="C2242" t="str">
        <f>MID(analisis_productividad__4[[#This Row],[Periodo]],1,4)</f>
        <v>2024</v>
      </c>
      <c r="D2242" t="str">
        <f>MID(analisis_productividad__4[[#This Row],[Periodo]],5,2)</f>
        <v>04</v>
      </c>
      <c r="E2242" t="s">
        <v>16</v>
      </c>
      <c r="F2242" t="s">
        <v>17</v>
      </c>
      <c r="G2242">
        <v>70656</v>
      </c>
      <c r="H2242">
        <v>3990675</v>
      </c>
      <c r="I2242">
        <v>56.480277777777786</v>
      </c>
      <c r="J2242">
        <v>0</v>
      </c>
      <c r="K2242">
        <v>58</v>
      </c>
      <c r="L2242">
        <v>58.5</v>
      </c>
      <c r="N2242">
        <v>0</v>
      </c>
    </row>
    <row r="2243" spans="1:14" x14ac:dyDescent="0.35">
      <c r="A2243" t="s">
        <v>85</v>
      </c>
      <c r="B2243">
        <v>202409</v>
      </c>
      <c r="C2243" t="str">
        <f>MID(analisis_productividad__4[[#This Row],[Periodo]],1,4)</f>
        <v>2024</v>
      </c>
      <c r="D2243" t="str">
        <f>MID(analisis_productividad__4[[#This Row],[Periodo]],5,2)</f>
        <v>09</v>
      </c>
      <c r="E2243" t="s">
        <v>11</v>
      </c>
      <c r="F2243" t="s">
        <v>14</v>
      </c>
      <c r="G2243">
        <v>70633</v>
      </c>
      <c r="H2243">
        <v>3468131</v>
      </c>
      <c r="I2243">
        <v>49.101013888888879</v>
      </c>
      <c r="J2243">
        <v>0</v>
      </c>
      <c r="K2243">
        <v>60.5</v>
      </c>
      <c r="L2243">
        <v>57.5</v>
      </c>
      <c r="N2243">
        <v>0</v>
      </c>
    </row>
    <row r="2244" spans="1:14" x14ac:dyDescent="0.35">
      <c r="A2244" t="s">
        <v>103</v>
      </c>
      <c r="B2244">
        <v>202603</v>
      </c>
      <c r="C2244" t="str">
        <f>MID(analisis_productividad__4[[#This Row],[Periodo]],1,4)</f>
        <v>2026</v>
      </c>
      <c r="D2244" t="str">
        <f>MID(analisis_productividad__4[[#This Row],[Periodo]],5,2)</f>
        <v>03</v>
      </c>
      <c r="E2244" t="s">
        <v>104</v>
      </c>
      <c r="F2244" t="s">
        <v>104</v>
      </c>
      <c r="G2244">
        <v>70618</v>
      </c>
      <c r="H2244">
        <v>5651567</v>
      </c>
      <c r="I2244">
        <v>80.03004032258066</v>
      </c>
      <c r="J2244">
        <v>71839.239239153336</v>
      </c>
      <c r="K2244">
        <v>94</v>
      </c>
      <c r="L2244">
        <v>77.5</v>
      </c>
      <c r="M2244">
        <v>81.023149648384276</v>
      </c>
      <c r="N2244">
        <v>5820641</v>
      </c>
    </row>
    <row r="2245" spans="1:14" x14ac:dyDescent="0.35">
      <c r="A2245" t="s">
        <v>91</v>
      </c>
      <c r="B2245">
        <v>202411</v>
      </c>
      <c r="C2245" t="str">
        <f>MID(analisis_productividad__4[[#This Row],[Periodo]],1,4)</f>
        <v>2024</v>
      </c>
      <c r="D2245" t="str">
        <f>MID(analisis_productividad__4[[#This Row],[Periodo]],5,2)</f>
        <v>11</v>
      </c>
      <c r="E2245" t="s">
        <v>11</v>
      </c>
      <c r="F2245" t="s">
        <v>12</v>
      </c>
      <c r="G2245">
        <v>70550</v>
      </c>
      <c r="H2245">
        <v>3654668</v>
      </c>
      <c r="I2245">
        <v>51.802673611111111</v>
      </c>
      <c r="J2245">
        <v>0</v>
      </c>
      <c r="K2245">
        <v>55</v>
      </c>
      <c r="L2245">
        <v>55.5</v>
      </c>
      <c r="N2245">
        <v>0</v>
      </c>
    </row>
    <row r="2246" spans="1:14" x14ac:dyDescent="0.35">
      <c r="A2246" t="s">
        <v>58</v>
      </c>
      <c r="B2246">
        <v>202406</v>
      </c>
      <c r="C2246" t="str">
        <f>MID(analisis_productividad__4[[#This Row],[Periodo]],1,4)</f>
        <v>2024</v>
      </c>
      <c r="D2246" t="str">
        <f>MID(analisis_productividad__4[[#This Row],[Periodo]],5,2)</f>
        <v>06</v>
      </c>
      <c r="E2246" t="s">
        <v>34</v>
      </c>
      <c r="F2246" t="s">
        <v>35</v>
      </c>
      <c r="G2246">
        <v>70549</v>
      </c>
      <c r="H2246">
        <v>3291870</v>
      </c>
      <c r="I2246">
        <v>46.660687500000023</v>
      </c>
      <c r="J2246">
        <v>0</v>
      </c>
      <c r="K2246">
        <v>53.5</v>
      </c>
      <c r="L2246">
        <v>52</v>
      </c>
      <c r="N2246">
        <v>0</v>
      </c>
    </row>
    <row r="2247" spans="1:14" x14ac:dyDescent="0.35">
      <c r="A2247" t="s">
        <v>48</v>
      </c>
      <c r="B2247">
        <v>202408</v>
      </c>
      <c r="C2247" t="str">
        <f>MID(analisis_productividad__4[[#This Row],[Periodo]],1,4)</f>
        <v>2024</v>
      </c>
      <c r="D2247" t="str">
        <f>MID(analisis_productividad__4[[#This Row],[Periodo]],5,2)</f>
        <v>08</v>
      </c>
      <c r="E2247" t="s">
        <v>16</v>
      </c>
      <c r="F2247" t="s">
        <v>21</v>
      </c>
      <c r="G2247">
        <v>70548</v>
      </c>
      <c r="H2247">
        <v>4017919</v>
      </c>
      <c r="I2247">
        <v>56.952762096774201</v>
      </c>
      <c r="J2247">
        <v>0</v>
      </c>
      <c r="K2247">
        <v>56</v>
      </c>
      <c r="L2247">
        <v>60</v>
      </c>
      <c r="N2247">
        <v>0</v>
      </c>
    </row>
    <row r="2248" spans="1:14" x14ac:dyDescent="0.35">
      <c r="A2248" t="s">
        <v>89</v>
      </c>
      <c r="B2248">
        <v>202406</v>
      </c>
      <c r="C2248" t="str">
        <f>MID(analisis_productividad__4[[#This Row],[Periodo]],1,4)</f>
        <v>2024</v>
      </c>
      <c r="D2248" t="str">
        <f>MID(analisis_productividad__4[[#This Row],[Periodo]],5,2)</f>
        <v>06</v>
      </c>
      <c r="E2248" t="s">
        <v>9</v>
      </c>
      <c r="F2248" t="s">
        <v>9</v>
      </c>
      <c r="G2248">
        <v>70535</v>
      </c>
      <c r="H2248">
        <v>1046908</v>
      </c>
      <c r="I2248">
        <v>14.842333333333336</v>
      </c>
      <c r="J2248">
        <v>0</v>
      </c>
      <c r="K2248">
        <v>17</v>
      </c>
      <c r="L2248">
        <v>13.5</v>
      </c>
      <c r="N2248">
        <v>0</v>
      </c>
    </row>
    <row r="2249" spans="1:14" x14ac:dyDescent="0.35">
      <c r="A2249" t="s">
        <v>45</v>
      </c>
      <c r="B2249">
        <v>202512</v>
      </c>
      <c r="C2249" t="str">
        <f>MID(analisis_productividad__4[[#This Row],[Periodo]],1,4)</f>
        <v>2025</v>
      </c>
      <c r="D2249" t="str">
        <f>MID(analisis_productividad__4[[#This Row],[Periodo]],5,2)</f>
        <v>12</v>
      </c>
      <c r="E2249" t="s">
        <v>34</v>
      </c>
      <c r="F2249" t="s">
        <v>35</v>
      </c>
      <c r="G2249">
        <v>70518</v>
      </c>
      <c r="H2249">
        <v>1861936</v>
      </c>
      <c r="I2249">
        <v>26.403642473118239</v>
      </c>
      <c r="J2249">
        <v>68137.126129965865</v>
      </c>
      <c r="K2249">
        <v>22.5</v>
      </c>
      <c r="L2249">
        <v>21</v>
      </c>
      <c r="M2249">
        <v>27.326309689793966</v>
      </c>
      <c r="N2249">
        <v>1509344</v>
      </c>
    </row>
    <row r="2250" spans="1:14" x14ac:dyDescent="0.35">
      <c r="A2250" t="s">
        <v>92</v>
      </c>
      <c r="B2250">
        <v>202501</v>
      </c>
      <c r="C2250" t="str">
        <f>MID(analisis_productividad__4[[#This Row],[Periodo]],1,4)</f>
        <v>2025</v>
      </c>
      <c r="D2250" t="str">
        <f>MID(analisis_productividad__4[[#This Row],[Periodo]],5,2)</f>
        <v>01</v>
      </c>
      <c r="E2250" t="s">
        <v>11</v>
      </c>
      <c r="F2250" t="s">
        <v>14</v>
      </c>
      <c r="G2250">
        <v>70516</v>
      </c>
      <c r="H2250">
        <v>3637023</v>
      </c>
      <c r="I2250">
        <v>51.577251344086015</v>
      </c>
      <c r="J2250">
        <v>70196.308244983738</v>
      </c>
      <c r="K2250">
        <v>63</v>
      </c>
      <c r="L2250">
        <v>59</v>
      </c>
      <c r="M2250">
        <v>51.812175183157201</v>
      </c>
      <c r="N2250">
        <v>3729324</v>
      </c>
    </row>
    <row r="2251" spans="1:14" x14ac:dyDescent="0.35">
      <c r="A2251" t="s">
        <v>94</v>
      </c>
      <c r="B2251">
        <v>202502</v>
      </c>
      <c r="C2251" t="str">
        <f>MID(analisis_productividad__4[[#This Row],[Periodo]],1,4)</f>
        <v>2025</v>
      </c>
      <c r="D2251" t="str">
        <f>MID(analisis_productividad__4[[#This Row],[Periodo]],5,2)</f>
        <v>02</v>
      </c>
      <c r="E2251" t="s">
        <v>11</v>
      </c>
      <c r="F2251" t="s">
        <v>52</v>
      </c>
      <c r="G2251">
        <v>70511</v>
      </c>
      <c r="H2251">
        <v>4768710</v>
      </c>
      <c r="I2251">
        <v>67.630312500000002</v>
      </c>
      <c r="J2251">
        <v>68841.652684011482</v>
      </c>
      <c r="K2251">
        <v>75.5</v>
      </c>
      <c r="L2251">
        <v>70.5</v>
      </c>
      <c r="M2251">
        <v>69.270707254643469</v>
      </c>
      <c r="N2251">
        <v>5013216</v>
      </c>
    </row>
    <row r="2252" spans="1:14" x14ac:dyDescent="0.35">
      <c r="A2252" t="s">
        <v>94</v>
      </c>
      <c r="B2252">
        <v>202407</v>
      </c>
      <c r="C2252" t="str">
        <f>MID(analisis_productividad__4[[#This Row],[Periodo]],1,4)</f>
        <v>2024</v>
      </c>
      <c r="D2252" t="str">
        <f>MID(analisis_productividad__4[[#This Row],[Periodo]],5,2)</f>
        <v>07</v>
      </c>
      <c r="E2252" t="s">
        <v>11</v>
      </c>
      <c r="F2252" t="s">
        <v>52</v>
      </c>
      <c r="G2252">
        <v>70508</v>
      </c>
      <c r="H2252">
        <v>5385002</v>
      </c>
      <c r="I2252">
        <v>76.374139784946266</v>
      </c>
      <c r="J2252">
        <v>0</v>
      </c>
      <c r="K2252">
        <v>75.5</v>
      </c>
      <c r="L2252">
        <v>70.5</v>
      </c>
      <c r="N2252">
        <v>0</v>
      </c>
    </row>
    <row r="2253" spans="1:14" x14ac:dyDescent="0.35">
      <c r="A2253" t="s">
        <v>73</v>
      </c>
      <c r="B2253">
        <v>202606</v>
      </c>
      <c r="C2253" t="str">
        <f>MID(analisis_productividad__4[[#This Row],[Periodo]],1,4)</f>
        <v>2026</v>
      </c>
      <c r="D2253" t="str">
        <f>MID(analisis_productividad__4[[#This Row],[Periodo]],5,2)</f>
        <v>06</v>
      </c>
      <c r="E2253" t="s">
        <v>16</v>
      </c>
      <c r="F2253" t="s">
        <v>21</v>
      </c>
      <c r="G2253">
        <v>70493</v>
      </c>
      <c r="H2253">
        <v>2564085</v>
      </c>
      <c r="I2253">
        <v>36.37370138888847</v>
      </c>
      <c r="J2253">
        <v>70630.528090339227</v>
      </c>
      <c r="K2253">
        <v>43.5</v>
      </c>
      <c r="L2253">
        <v>41</v>
      </c>
      <c r="M2253">
        <v>38.914029696684921</v>
      </c>
      <c r="N2253">
        <v>2748518</v>
      </c>
    </row>
    <row r="2254" spans="1:14" x14ac:dyDescent="0.35">
      <c r="A2254" t="s">
        <v>88</v>
      </c>
      <c r="B2254">
        <v>202502</v>
      </c>
      <c r="C2254" t="str">
        <f>MID(analisis_productividad__4[[#This Row],[Periodo]],1,4)</f>
        <v>2025</v>
      </c>
      <c r="D2254" t="str">
        <f>MID(analisis_productividad__4[[#This Row],[Periodo]],5,2)</f>
        <v>02</v>
      </c>
      <c r="E2254" t="s">
        <v>34</v>
      </c>
      <c r="F2254" t="s">
        <v>35</v>
      </c>
      <c r="G2254">
        <v>70440</v>
      </c>
      <c r="H2254">
        <v>955543</v>
      </c>
      <c r="I2254">
        <v>13.565312499999999</v>
      </c>
      <c r="J2254">
        <v>84249.261670013162</v>
      </c>
      <c r="K2254">
        <v>15.5</v>
      </c>
      <c r="L2254">
        <v>14.5</v>
      </c>
      <c r="M2254">
        <v>11.341855715515504</v>
      </c>
      <c r="N2254">
        <v>1026553</v>
      </c>
    </row>
    <row r="2255" spans="1:14" x14ac:dyDescent="0.35">
      <c r="A2255" t="s">
        <v>58</v>
      </c>
      <c r="B2255">
        <v>202507</v>
      </c>
      <c r="C2255" t="str">
        <f>MID(analisis_productividad__4[[#This Row],[Periodo]],1,4)</f>
        <v>2025</v>
      </c>
      <c r="D2255" t="str">
        <f>MID(analisis_productividad__4[[#This Row],[Periodo]],5,2)</f>
        <v>07</v>
      </c>
      <c r="E2255" t="s">
        <v>34</v>
      </c>
      <c r="F2255" t="s">
        <v>35</v>
      </c>
      <c r="G2255">
        <v>70411</v>
      </c>
      <c r="H2255">
        <v>2992467</v>
      </c>
      <c r="I2255">
        <v>42.499973118279563</v>
      </c>
      <c r="J2255">
        <v>69566.043170247998</v>
      </c>
      <c r="K2255">
        <v>53.5</v>
      </c>
      <c r="L2255">
        <v>52</v>
      </c>
      <c r="M2255">
        <v>43.01620623551316</v>
      </c>
      <c r="N2255">
        <v>3250088</v>
      </c>
    </row>
    <row r="2256" spans="1:14" x14ac:dyDescent="0.35">
      <c r="A2256" t="s">
        <v>112</v>
      </c>
      <c r="B2256">
        <v>202603</v>
      </c>
      <c r="C2256" t="str">
        <f>MID(analisis_productividad__4[[#This Row],[Periodo]],1,4)</f>
        <v>2026</v>
      </c>
      <c r="D2256" t="str">
        <f>MID(analisis_productividad__4[[#This Row],[Periodo]],5,2)</f>
        <v>03</v>
      </c>
      <c r="E2256" t="s">
        <v>34</v>
      </c>
      <c r="F2256" t="s">
        <v>35</v>
      </c>
      <c r="G2256">
        <v>70390</v>
      </c>
      <c r="H2256">
        <v>1751367</v>
      </c>
      <c r="I2256">
        <v>24.880954301075274</v>
      </c>
      <c r="J2256">
        <v>76494.195457796741</v>
      </c>
      <c r="K2256">
        <v>31</v>
      </c>
      <c r="L2256">
        <v>27</v>
      </c>
      <c r="M2256">
        <v>27.070532526124346</v>
      </c>
      <c r="N2256">
        <v>2070739</v>
      </c>
    </row>
    <row r="2257" spans="1:14" x14ac:dyDescent="0.35">
      <c r="A2257" t="s">
        <v>88</v>
      </c>
      <c r="B2257">
        <v>202407</v>
      </c>
      <c r="C2257" t="str">
        <f>MID(analisis_productividad__4[[#This Row],[Periodo]],1,4)</f>
        <v>2024</v>
      </c>
      <c r="D2257" t="str">
        <f>MID(analisis_productividad__4[[#This Row],[Periodo]],5,2)</f>
        <v>07</v>
      </c>
      <c r="E2257" t="s">
        <v>34</v>
      </c>
      <c r="F2257" t="s">
        <v>35</v>
      </c>
      <c r="G2257">
        <v>70370</v>
      </c>
      <c r="H2257">
        <v>1018812</v>
      </c>
      <c r="I2257">
        <v>14.477862903225811</v>
      </c>
      <c r="J2257">
        <v>0</v>
      </c>
      <c r="K2257">
        <v>15.5</v>
      </c>
      <c r="L2257">
        <v>14.5</v>
      </c>
      <c r="N2257">
        <v>0</v>
      </c>
    </row>
    <row r="2258" spans="1:14" x14ac:dyDescent="0.35">
      <c r="A2258" t="s">
        <v>98</v>
      </c>
      <c r="B2258">
        <v>202408</v>
      </c>
      <c r="C2258" t="str">
        <f>MID(analisis_productividad__4[[#This Row],[Periodo]],1,4)</f>
        <v>2024</v>
      </c>
      <c r="D2258" t="str">
        <f>MID(analisis_productividad__4[[#This Row],[Periodo]],5,2)</f>
        <v>08</v>
      </c>
      <c r="E2258" t="s">
        <v>11</v>
      </c>
      <c r="F2258" t="s">
        <v>14</v>
      </c>
      <c r="G2258">
        <v>70366</v>
      </c>
      <c r="H2258">
        <v>3602962</v>
      </c>
      <c r="I2258">
        <v>51.203118279569871</v>
      </c>
      <c r="J2258">
        <v>0</v>
      </c>
      <c r="K2258">
        <v>61.5</v>
      </c>
      <c r="L2258">
        <v>56</v>
      </c>
      <c r="N2258">
        <v>0</v>
      </c>
    </row>
    <row r="2259" spans="1:14" x14ac:dyDescent="0.35">
      <c r="A2259" t="s">
        <v>58</v>
      </c>
      <c r="B2259">
        <v>202401</v>
      </c>
      <c r="C2259" t="str">
        <f>MID(analisis_productividad__4[[#This Row],[Periodo]],1,4)</f>
        <v>2024</v>
      </c>
      <c r="D2259" t="str">
        <f>MID(analisis_productividad__4[[#This Row],[Periodo]],5,2)</f>
        <v>01</v>
      </c>
      <c r="E2259" t="s">
        <v>34</v>
      </c>
      <c r="F2259" t="s">
        <v>35</v>
      </c>
      <c r="G2259">
        <v>70361</v>
      </c>
      <c r="H2259">
        <v>3228787</v>
      </c>
      <c r="I2259">
        <v>45.888810483870955</v>
      </c>
      <c r="J2259">
        <v>0</v>
      </c>
      <c r="K2259">
        <v>53.5</v>
      </c>
      <c r="L2259">
        <v>52</v>
      </c>
      <c r="N2259">
        <v>0</v>
      </c>
    </row>
    <row r="2260" spans="1:14" x14ac:dyDescent="0.35">
      <c r="A2260" t="s">
        <v>89</v>
      </c>
      <c r="B2260">
        <v>202602</v>
      </c>
      <c r="C2260" t="str">
        <f>MID(analisis_productividad__4[[#This Row],[Periodo]],1,4)</f>
        <v>2026</v>
      </c>
      <c r="D2260" t="str">
        <f>MID(analisis_productividad__4[[#This Row],[Periodo]],5,2)</f>
        <v>02</v>
      </c>
      <c r="E2260" t="s">
        <v>9</v>
      </c>
      <c r="F2260" t="s">
        <v>9</v>
      </c>
      <c r="G2260">
        <v>70360</v>
      </c>
      <c r="H2260">
        <v>930383</v>
      </c>
      <c r="I2260">
        <v>13.223177083333333</v>
      </c>
      <c r="J2260">
        <v>67875.893660940055</v>
      </c>
      <c r="K2260">
        <v>17</v>
      </c>
      <c r="L2260">
        <v>13.5</v>
      </c>
      <c r="M2260">
        <v>14.845130740132706</v>
      </c>
      <c r="N2260">
        <v>1007627</v>
      </c>
    </row>
    <row r="2261" spans="1:14" x14ac:dyDescent="0.35">
      <c r="A2261" t="s">
        <v>73</v>
      </c>
      <c r="B2261">
        <v>202504</v>
      </c>
      <c r="C2261" t="str">
        <f>MID(analisis_productividad__4[[#This Row],[Periodo]],1,4)</f>
        <v>2025</v>
      </c>
      <c r="D2261" t="str">
        <f>MID(analisis_productividad__4[[#This Row],[Periodo]],5,2)</f>
        <v>04</v>
      </c>
      <c r="E2261" t="s">
        <v>16</v>
      </c>
      <c r="F2261" t="s">
        <v>21</v>
      </c>
      <c r="G2261">
        <v>70330</v>
      </c>
      <c r="H2261">
        <v>2803706</v>
      </c>
      <c r="I2261">
        <v>39.864805555555563</v>
      </c>
      <c r="J2261">
        <v>65592.681755390629</v>
      </c>
      <c r="K2261">
        <v>43.5</v>
      </c>
      <c r="L2261">
        <v>41</v>
      </c>
      <c r="M2261">
        <v>42.744192415483646</v>
      </c>
      <c r="N2261">
        <v>3004173</v>
      </c>
    </row>
    <row r="2262" spans="1:14" x14ac:dyDescent="0.35">
      <c r="A2262" t="s">
        <v>90</v>
      </c>
      <c r="B2262">
        <v>202409</v>
      </c>
      <c r="C2262" t="str">
        <f>MID(analisis_productividad__4[[#This Row],[Periodo]],1,4)</f>
        <v>2024</v>
      </c>
      <c r="D2262" t="str">
        <f>MID(analisis_productividad__4[[#This Row],[Periodo]],5,2)</f>
        <v>09</v>
      </c>
      <c r="E2262" t="s">
        <v>11</v>
      </c>
      <c r="F2262" t="s">
        <v>14</v>
      </c>
      <c r="G2262">
        <v>70319</v>
      </c>
      <c r="H2262">
        <v>5410453</v>
      </c>
      <c r="I2262">
        <v>76.941375000000008</v>
      </c>
      <c r="J2262">
        <v>0</v>
      </c>
      <c r="K2262">
        <v>84.5</v>
      </c>
      <c r="L2262">
        <v>78.5</v>
      </c>
      <c r="N2262">
        <v>0</v>
      </c>
    </row>
    <row r="2263" spans="1:14" x14ac:dyDescent="0.35">
      <c r="A2263" t="s">
        <v>98</v>
      </c>
      <c r="B2263">
        <v>202606</v>
      </c>
      <c r="C2263" t="str">
        <f>MID(analisis_productividad__4[[#This Row],[Periodo]],1,4)</f>
        <v>2026</v>
      </c>
      <c r="D2263" t="str">
        <f>MID(analisis_productividad__4[[#This Row],[Periodo]],5,2)</f>
        <v>06</v>
      </c>
      <c r="E2263" t="s">
        <v>11</v>
      </c>
      <c r="F2263" t="s">
        <v>14</v>
      </c>
      <c r="G2263">
        <v>70314</v>
      </c>
      <c r="H2263">
        <v>3578619</v>
      </c>
      <c r="I2263">
        <v>50.894715277777991</v>
      </c>
      <c r="J2263">
        <v>68502.847204589416</v>
      </c>
      <c r="K2263">
        <v>61.5</v>
      </c>
      <c r="L2263">
        <v>56</v>
      </c>
      <c r="M2263">
        <v>52.842490794418893</v>
      </c>
      <c r="N2263">
        <v>3619861</v>
      </c>
    </row>
    <row r="2264" spans="1:14" x14ac:dyDescent="0.35">
      <c r="A2264" t="s">
        <v>73</v>
      </c>
      <c r="B2264">
        <v>202410</v>
      </c>
      <c r="C2264" t="str">
        <f>MID(analisis_productividad__4[[#This Row],[Periodo]],1,4)</f>
        <v>2024</v>
      </c>
      <c r="D2264" t="str">
        <f>MID(analisis_productividad__4[[#This Row],[Periodo]],5,2)</f>
        <v>10</v>
      </c>
      <c r="E2264" t="s">
        <v>16</v>
      </c>
      <c r="F2264" t="s">
        <v>21</v>
      </c>
      <c r="G2264">
        <v>70296</v>
      </c>
      <c r="H2264">
        <v>2523442</v>
      </c>
      <c r="I2264">
        <v>35.897157258064517</v>
      </c>
      <c r="J2264">
        <v>0</v>
      </c>
      <c r="K2264">
        <v>43.5</v>
      </c>
      <c r="L2264">
        <v>41</v>
      </c>
      <c r="N2264">
        <v>0</v>
      </c>
    </row>
    <row r="2265" spans="1:14" x14ac:dyDescent="0.35">
      <c r="A2265" t="s">
        <v>107</v>
      </c>
      <c r="B2265">
        <v>202412</v>
      </c>
      <c r="C2265" t="str">
        <f>MID(analisis_productividad__4[[#This Row],[Periodo]],1,4)</f>
        <v>2024</v>
      </c>
      <c r="D2265" t="str">
        <f>MID(analisis_productividad__4[[#This Row],[Periodo]],5,2)</f>
        <v>12</v>
      </c>
      <c r="E2265" t="s">
        <v>34</v>
      </c>
      <c r="F2265" t="s">
        <v>35</v>
      </c>
      <c r="G2265">
        <v>70255</v>
      </c>
      <c r="H2265">
        <v>6132746</v>
      </c>
      <c r="I2265">
        <v>87.292399193548349</v>
      </c>
      <c r="J2265">
        <v>0</v>
      </c>
      <c r="K2265">
        <v>87</v>
      </c>
      <c r="L2265">
        <v>77.5</v>
      </c>
      <c r="N2265">
        <v>0</v>
      </c>
    </row>
    <row r="2266" spans="1:14" x14ac:dyDescent="0.35">
      <c r="A2266" t="s">
        <v>58</v>
      </c>
      <c r="B2266">
        <v>202601</v>
      </c>
      <c r="C2266" t="str">
        <f>MID(analisis_productividad__4[[#This Row],[Periodo]],1,4)</f>
        <v>2026</v>
      </c>
      <c r="D2266" t="str">
        <f>MID(analisis_productividad__4[[#This Row],[Periodo]],5,2)</f>
        <v>01</v>
      </c>
      <c r="E2266" t="s">
        <v>34</v>
      </c>
      <c r="F2266" t="s">
        <v>35</v>
      </c>
      <c r="G2266">
        <v>70242</v>
      </c>
      <c r="H2266">
        <v>2990520</v>
      </c>
      <c r="I2266">
        <v>42.574583333333337</v>
      </c>
      <c r="J2266">
        <v>72859.643322539327</v>
      </c>
      <c r="K2266">
        <v>53.5</v>
      </c>
      <c r="L2266">
        <v>52</v>
      </c>
      <c r="M2266">
        <v>43.483853774506514</v>
      </c>
      <c r="N2266">
        <v>3168218</v>
      </c>
    </row>
    <row r="2267" spans="1:14" x14ac:dyDescent="0.35">
      <c r="A2267" t="s">
        <v>33</v>
      </c>
      <c r="B2267">
        <v>202509</v>
      </c>
      <c r="C2267" t="str">
        <f>MID(analisis_productividad__4[[#This Row],[Periodo]],1,4)</f>
        <v>2025</v>
      </c>
      <c r="D2267" t="str">
        <f>MID(analisis_productividad__4[[#This Row],[Periodo]],5,2)</f>
        <v>09</v>
      </c>
      <c r="E2267" t="s">
        <v>34</v>
      </c>
      <c r="F2267" t="s">
        <v>35</v>
      </c>
      <c r="G2267">
        <v>70223</v>
      </c>
      <c r="H2267">
        <v>1018441</v>
      </c>
      <c r="I2267">
        <v>14.502881944444439</v>
      </c>
      <c r="J2267">
        <v>85196.494534109312</v>
      </c>
      <c r="K2267">
        <v>15</v>
      </c>
      <c r="L2267">
        <v>15</v>
      </c>
      <c r="M2267">
        <v>11.954025873591037</v>
      </c>
      <c r="N2267">
        <v>983476</v>
      </c>
    </row>
    <row r="2268" spans="1:14" x14ac:dyDescent="0.35">
      <c r="A2268" t="s">
        <v>85</v>
      </c>
      <c r="B2268">
        <v>202406</v>
      </c>
      <c r="C2268" t="str">
        <f>MID(analisis_productividad__4[[#This Row],[Periodo]],1,4)</f>
        <v>2024</v>
      </c>
      <c r="D2268" t="str">
        <f>MID(analisis_productividad__4[[#This Row],[Periodo]],5,2)</f>
        <v>06</v>
      </c>
      <c r="E2268" t="s">
        <v>11</v>
      </c>
      <c r="F2268" t="s">
        <v>14</v>
      </c>
      <c r="G2268">
        <v>70200</v>
      </c>
      <c r="H2268">
        <v>3731997</v>
      </c>
      <c r="I2268">
        <v>53.162666666666667</v>
      </c>
      <c r="J2268">
        <v>0</v>
      </c>
      <c r="K2268">
        <v>60.5</v>
      </c>
      <c r="L2268">
        <v>57.5</v>
      </c>
      <c r="N2268">
        <v>0</v>
      </c>
    </row>
    <row r="2269" spans="1:14" x14ac:dyDescent="0.35">
      <c r="A2269" t="s">
        <v>98</v>
      </c>
      <c r="B2269">
        <v>202511</v>
      </c>
      <c r="C2269" t="str">
        <f>MID(analisis_productividad__4[[#This Row],[Periodo]],1,4)</f>
        <v>2025</v>
      </c>
      <c r="D2269" t="str">
        <f>MID(analisis_productividad__4[[#This Row],[Periodo]],5,2)</f>
        <v>11</v>
      </c>
      <c r="E2269" t="s">
        <v>11</v>
      </c>
      <c r="F2269" t="s">
        <v>14</v>
      </c>
      <c r="G2269">
        <v>70188</v>
      </c>
      <c r="H2269">
        <v>3660686</v>
      </c>
      <c r="I2269">
        <v>52.155250000000024</v>
      </c>
      <c r="J2269">
        <v>78285.192257043527</v>
      </c>
      <c r="K2269">
        <v>61.5</v>
      </c>
      <c r="L2269">
        <v>56</v>
      </c>
      <c r="M2269">
        <v>46.760904514105448</v>
      </c>
      <c r="N2269">
        <v>3798326</v>
      </c>
    </row>
    <row r="2270" spans="1:14" x14ac:dyDescent="0.35">
      <c r="A2270" t="s">
        <v>98</v>
      </c>
      <c r="B2270">
        <v>202602</v>
      </c>
      <c r="C2270" t="str">
        <f>MID(analisis_productividad__4[[#This Row],[Periodo]],1,4)</f>
        <v>2026</v>
      </c>
      <c r="D2270" t="str">
        <f>MID(analisis_productividad__4[[#This Row],[Periodo]],5,2)</f>
        <v>02</v>
      </c>
      <c r="E2270" t="s">
        <v>11</v>
      </c>
      <c r="F2270" t="s">
        <v>14</v>
      </c>
      <c r="G2270">
        <v>70178</v>
      </c>
      <c r="H2270">
        <v>3926842</v>
      </c>
      <c r="I2270">
        <v>55.955520833333317</v>
      </c>
      <c r="J2270">
        <v>74826.504166560117</v>
      </c>
      <c r="K2270">
        <v>61.5</v>
      </c>
      <c r="L2270">
        <v>56</v>
      </c>
      <c r="M2270">
        <v>52.842490794418893</v>
      </c>
      <c r="N2270">
        <v>3954019</v>
      </c>
    </row>
    <row r="2271" spans="1:14" x14ac:dyDescent="0.35">
      <c r="A2271" t="s">
        <v>88</v>
      </c>
      <c r="B2271">
        <v>202405</v>
      </c>
      <c r="C2271" t="str">
        <f>MID(analisis_productividad__4[[#This Row],[Periodo]],1,4)</f>
        <v>2024</v>
      </c>
      <c r="D2271" t="str">
        <f>MID(analisis_productividad__4[[#This Row],[Periodo]],5,2)</f>
        <v>05</v>
      </c>
      <c r="E2271" t="s">
        <v>34</v>
      </c>
      <c r="F2271" t="s">
        <v>35</v>
      </c>
      <c r="G2271">
        <v>70150</v>
      </c>
      <c r="H2271">
        <v>1035298</v>
      </c>
      <c r="I2271">
        <v>14.758333333333338</v>
      </c>
      <c r="J2271">
        <v>0</v>
      </c>
      <c r="K2271">
        <v>15.5</v>
      </c>
      <c r="L2271">
        <v>14.5</v>
      </c>
      <c r="N2271">
        <v>0</v>
      </c>
    </row>
    <row r="2272" spans="1:14" x14ac:dyDescent="0.35">
      <c r="A2272" t="s">
        <v>82</v>
      </c>
      <c r="B2272">
        <v>202401</v>
      </c>
      <c r="C2272" t="str">
        <f>MID(analisis_productividad__4[[#This Row],[Periodo]],1,4)</f>
        <v>2024</v>
      </c>
      <c r="D2272" t="str">
        <f>MID(analisis_productividad__4[[#This Row],[Periodo]],5,2)</f>
        <v>01</v>
      </c>
      <c r="E2272" t="s">
        <v>11</v>
      </c>
      <c r="F2272" t="s">
        <v>12</v>
      </c>
      <c r="G2272">
        <v>70149</v>
      </c>
      <c r="H2272">
        <v>3587589</v>
      </c>
      <c r="I2272">
        <v>51.142056451612909</v>
      </c>
      <c r="J2272">
        <v>0</v>
      </c>
      <c r="K2272">
        <v>53.5</v>
      </c>
      <c r="L2272">
        <v>54</v>
      </c>
      <c r="N2272">
        <v>0</v>
      </c>
    </row>
    <row r="2273" spans="1:14" x14ac:dyDescent="0.35">
      <c r="A2273" t="s">
        <v>83</v>
      </c>
      <c r="B2273">
        <v>202505</v>
      </c>
      <c r="C2273" t="str">
        <f>MID(analisis_productividad__4[[#This Row],[Periodo]],1,4)</f>
        <v>2025</v>
      </c>
      <c r="D2273" t="str">
        <f>MID(analisis_productividad__4[[#This Row],[Periodo]],5,2)</f>
        <v>05</v>
      </c>
      <c r="E2273" t="s">
        <v>16</v>
      </c>
      <c r="F2273" t="s">
        <v>17</v>
      </c>
      <c r="G2273">
        <v>70149</v>
      </c>
      <c r="H2273">
        <v>3582139</v>
      </c>
      <c r="I2273">
        <v>51.064482526881697</v>
      </c>
      <c r="J2273">
        <v>71777.200461531625</v>
      </c>
      <c r="K2273">
        <v>52</v>
      </c>
      <c r="L2273">
        <v>52</v>
      </c>
      <c r="M2273">
        <v>49.906362563134756</v>
      </c>
      <c r="N2273">
        <v>3538124</v>
      </c>
    </row>
    <row r="2274" spans="1:14" x14ac:dyDescent="0.35">
      <c r="A2274" t="s">
        <v>58</v>
      </c>
      <c r="B2274">
        <v>202605</v>
      </c>
      <c r="C2274" t="str">
        <f>MID(analisis_productividad__4[[#This Row],[Periodo]],1,4)</f>
        <v>2026</v>
      </c>
      <c r="D2274" t="str">
        <f>MID(analisis_productividad__4[[#This Row],[Periodo]],5,2)</f>
        <v>05</v>
      </c>
      <c r="E2274" t="s">
        <v>34</v>
      </c>
      <c r="F2274" t="s">
        <v>35</v>
      </c>
      <c r="G2274">
        <v>70139</v>
      </c>
      <c r="H2274">
        <v>3170605</v>
      </c>
      <c r="I2274">
        <v>45.204852150537803</v>
      </c>
      <c r="J2274">
        <v>73725.175832495152</v>
      </c>
      <c r="K2274">
        <v>53.5</v>
      </c>
      <c r="L2274">
        <v>52</v>
      </c>
      <c r="M2274">
        <v>43.483853774506514</v>
      </c>
      <c r="N2274">
        <v>3205855</v>
      </c>
    </row>
    <row r="2275" spans="1:14" x14ac:dyDescent="0.35">
      <c r="A2275" t="s">
        <v>100</v>
      </c>
      <c r="B2275">
        <v>202509</v>
      </c>
      <c r="C2275" t="str">
        <f>MID(analisis_productividad__4[[#This Row],[Periodo]],1,4)</f>
        <v>2025</v>
      </c>
      <c r="D2275" t="str">
        <f>MID(analisis_productividad__4[[#This Row],[Periodo]],5,2)</f>
        <v>09</v>
      </c>
      <c r="E2275" t="s">
        <v>34</v>
      </c>
      <c r="F2275" t="s">
        <v>35</v>
      </c>
      <c r="G2275">
        <v>70113</v>
      </c>
      <c r="H2275">
        <v>2340837</v>
      </c>
      <c r="I2275">
        <v>33.386791666666674</v>
      </c>
      <c r="J2275">
        <v>70259.926068114321</v>
      </c>
      <c r="K2275">
        <v>44</v>
      </c>
      <c r="L2275">
        <v>40.5</v>
      </c>
      <c r="M2275">
        <v>33.316808613357324</v>
      </c>
      <c r="N2275">
        <v>2773529</v>
      </c>
    </row>
    <row r="2276" spans="1:14" x14ac:dyDescent="0.35">
      <c r="A2276" t="s">
        <v>107</v>
      </c>
      <c r="B2276">
        <v>202601</v>
      </c>
      <c r="C2276" t="str">
        <f>MID(analisis_productividad__4[[#This Row],[Periodo]],1,4)</f>
        <v>2026</v>
      </c>
      <c r="D2276" t="str">
        <f>MID(analisis_productividad__4[[#This Row],[Periodo]],5,2)</f>
        <v>01</v>
      </c>
      <c r="E2276" t="s">
        <v>34</v>
      </c>
      <c r="F2276" t="s">
        <v>35</v>
      </c>
      <c r="G2276">
        <v>70105</v>
      </c>
      <c r="H2276">
        <v>4804352</v>
      </c>
      <c r="I2276">
        <v>68.530987903225807</v>
      </c>
      <c r="J2276">
        <v>75710.403406093581</v>
      </c>
      <c r="K2276">
        <v>87</v>
      </c>
      <c r="L2276">
        <v>77.5</v>
      </c>
      <c r="M2276">
        <v>73.970842069892498</v>
      </c>
      <c r="N2276">
        <v>5600362</v>
      </c>
    </row>
    <row r="2277" spans="1:14" x14ac:dyDescent="0.35">
      <c r="A2277" t="s">
        <v>107</v>
      </c>
      <c r="B2277">
        <v>202510</v>
      </c>
      <c r="C2277" t="str">
        <f>MID(analisis_productividad__4[[#This Row],[Periodo]],1,4)</f>
        <v>2025</v>
      </c>
      <c r="D2277" t="str">
        <f>MID(analisis_productividad__4[[#This Row],[Periodo]],5,2)</f>
        <v>10</v>
      </c>
      <c r="E2277" t="s">
        <v>34</v>
      </c>
      <c r="F2277" t="s">
        <v>35</v>
      </c>
      <c r="G2277">
        <v>70051</v>
      </c>
      <c r="H2277">
        <v>4876260</v>
      </c>
      <c r="I2277">
        <v>69.60996639784949</v>
      </c>
      <c r="J2277">
        <v>75447.556249915957</v>
      </c>
      <c r="K2277">
        <v>87</v>
      </c>
      <c r="L2277">
        <v>77.5</v>
      </c>
      <c r="M2277">
        <v>64.631117724312404</v>
      </c>
      <c r="N2277">
        <v>5460769</v>
      </c>
    </row>
    <row r="2278" spans="1:14" x14ac:dyDescent="0.35">
      <c r="A2278" t="s">
        <v>88</v>
      </c>
      <c r="B2278">
        <v>202507</v>
      </c>
      <c r="C2278" t="str">
        <f>MID(analisis_productividad__4[[#This Row],[Periodo]],1,4)</f>
        <v>2025</v>
      </c>
      <c r="D2278" t="str">
        <f>MID(analisis_productividad__4[[#This Row],[Periodo]],5,2)</f>
        <v>07</v>
      </c>
      <c r="E2278" t="s">
        <v>34</v>
      </c>
      <c r="F2278" t="s">
        <v>35</v>
      </c>
      <c r="G2278">
        <v>70041</v>
      </c>
      <c r="H2278">
        <v>1039442</v>
      </c>
      <c r="I2278">
        <v>14.840470430107526</v>
      </c>
      <c r="J2278">
        <v>73888.81602557849</v>
      </c>
      <c r="K2278">
        <v>15.5</v>
      </c>
      <c r="L2278">
        <v>14.5</v>
      </c>
      <c r="M2278">
        <v>14.067648338554656</v>
      </c>
      <c r="N2278">
        <v>1071057</v>
      </c>
    </row>
    <row r="2279" spans="1:14" x14ac:dyDescent="0.35">
      <c r="A2279" t="s">
        <v>107</v>
      </c>
      <c r="B2279">
        <v>202411</v>
      </c>
      <c r="C2279" t="str">
        <f>MID(analisis_productividad__4[[#This Row],[Periodo]],1,4)</f>
        <v>2024</v>
      </c>
      <c r="D2279" t="str">
        <f>MID(analisis_productividad__4[[#This Row],[Periodo]],5,2)</f>
        <v>11</v>
      </c>
      <c r="E2279" t="s">
        <v>34</v>
      </c>
      <c r="F2279" t="s">
        <v>35</v>
      </c>
      <c r="G2279">
        <v>70035</v>
      </c>
      <c r="H2279">
        <v>5447213</v>
      </c>
      <c r="I2279">
        <v>77.777972222222218</v>
      </c>
      <c r="J2279">
        <v>0</v>
      </c>
      <c r="K2279">
        <v>87</v>
      </c>
      <c r="L2279">
        <v>77.5</v>
      </c>
      <c r="N2279">
        <v>0</v>
      </c>
    </row>
    <row r="2280" spans="1:14" x14ac:dyDescent="0.35">
      <c r="A2280" t="s">
        <v>101</v>
      </c>
      <c r="B2280">
        <v>202508</v>
      </c>
      <c r="C2280" t="str">
        <f>MID(analisis_productividad__4[[#This Row],[Periodo]],1,4)</f>
        <v>2025</v>
      </c>
      <c r="D2280" t="str">
        <f>MID(analisis_productividad__4[[#This Row],[Periodo]],5,2)</f>
        <v>08</v>
      </c>
      <c r="E2280" t="s">
        <v>9</v>
      </c>
      <c r="F2280" t="s">
        <v>9</v>
      </c>
      <c r="G2280">
        <v>69984</v>
      </c>
      <c r="H2280">
        <v>328881</v>
      </c>
      <c r="I2280">
        <v>4.6993615591397848</v>
      </c>
      <c r="J2280">
        <v>53413.00596444527</v>
      </c>
      <c r="K2280">
        <v>8.5</v>
      </c>
      <c r="L2280">
        <v>6.5</v>
      </c>
      <c r="M2280">
        <v>6.1573211254749811</v>
      </c>
      <c r="N2280">
        <v>379288</v>
      </c>
    </row>
    <row r="2281" spans="1:14" x14ac:dyDescent="0.35">
      <c r="A2281" t="s">
        <v>95</v>
      </c>
      <c r="B2281">
        <v>202401</v>
      </c>
      <c r="C2281" t="str">
        <f>MID(analisis_productividad__4[[#This Row],[Periodo]],1,4)</f>
        <v>2024</v>
      </c>
      <c r="D2281" t="str">
        <f>MID(analisis_productividad__4[[#This Row],[Periodo]],5,2)</f>
        <v>01</v>
      </c>
      <c r="E2281" t="s">
        <v>9</v>
      </c>
      <c r="F2281" t="s">
        <v>9</v>
      </c>
      <c r="G2281">
        <v>69982</v>
      </c>
      <c r="H2281">
        <v>649660</v>
      </c>
      <c r="I2281">
        <v>9.2832795698924766</v>
      </c>
      <c r="J2281">
        <v>0</v>
      </c>
      <c r="K2281">
        <v>11</v>
      </c>
      <c r="L2281">
        <v>11</v>
      </c>
      <c r="N2281">
        <v>0</v>
      </c>
    </row>
    <row r="2282" spans="1:14" x14ac:dyDescent="0.35">
      <c r="A2282" t="s">
        <v>91</v>
      </c>
      <c r="B2282">
        <v>202401</v>
      </c>
      <c r="C2282" t="str">
        <f>MID(analisis_productividad__4[[#This Row],[Periodo]],1,4)</f>
        <v>2024</v>
      </c>
      <c r="D2282" t="str">
        <f>MID(analisis_productividad__4[[#This Row],[Periodo]],5,2)</f>
        <v>01</v>
      </c>
      <c r="E2282" t="s">
        <v>11</v>
      </c>
      <c r="F2282" t="s">
        <v>12</v>
      </c>
      <c r="G2282">
        <v>69944</v>
      </c>
      <c r="H2282">
        <v>3497009</v>
      </c>
      <c r="I2282">
        <v>49.997499999999995</v>
      </c>
      <c r="J2282">
        <v>0</v>
      </c>
      <c r="K2282">
        <v>55</v>
      </c>
      <c r="L2282">
        <v>55.5</v>
      </c>
      <c r="N2282">
        <v>0</v>
      </c>
    </row>
    <row r="2283" spans="1:14" x14ac:dyDescent="0.35">
      <c r="A2283" t="s">
        <v>73</v>
      </c>
      <c r="B2283">
        <v>202402</v>
      </c>
      <c r="C2283" t="str">
        <f>MID(analisis_productividad__4[[#This Row],[Periodo]],1,4)</f>
        <v>2024</v>
      </c>
      <c r="D2283" t="str">
        <f>MID(analisis_productividad__4[[#This Row],[Periodo]],5,2)</f>
        <v>02</v>
      </c>
      <c r="E2283" t="s">
        <v>16</v>
      </c>
      <c r="F2283" t="s">
        <v>21</v>
      </c>
      <c r="G2283">
        <v>69936</v>
      </c>
      <c r="H2283">
        <v>3053011</v>
      </c>
      <c r="I2283">
        <v>43.654554597701143</v>
      </c>
      <c r="J2283">
        <v>0</v>
      </c>
      <c r="K2283">
        <v>43.5</v>
      </c>
      <c r="L2283">
        <v>41</v>
      </c>
      <c r="N2283">
        <v>0</v>
      </c>
    </row>
    <row r="2284" spans="1:14" x14ac:dyDescent="0.35">
      <c r="A2284" t="s">
        <v>105</v>
      </c>
      <c r="B2284">
        <v>202606</v>
      </c>
      <c r="C2284" t="str">
        <f>MID(analisis_productividad__4[[#This Row],[Periodo]],1,4)</f>
        <v>2026</v>
      </c>
      <c r="D2284" t="str">
        <f>MID(analisis_productividad__4[[#This Row],[Periodo]],5,2)</f>
        <v>06</v>
      </c>
      <c r="E2284" t="s">
        <v>34</v>
      </c>
      <c r="F2284" t="s">
        <v>35</v>
      </c>
      <c r="G2284">
        <v>69936</v>
      </c>
      <c r="H2284">
        <v>1986541</v>
      </c>
      <c r="I2284">
        <v>28.405319444444427</v>
      </c>
      <c r="J2284">
        <v>0</v>
      </c>
      <c r="K2284">
        <v>33</v>
      </c>
      <c r="L2284">
        <v>31.5</v>
      </c>
      <c r="M2284">
        <v>35.22317754154448</v>
      </c>
    </row>
    <row r="2285" spans="1:14" x14ac:dyDescent="0.35">
      <c r="A2285" t="s">
        <v>120</v>
      </c>
      <c r="B2285">
        <v>202507</v>
      </c>
      <c r="C2285" t="str">
        <f>MID(analisis_productividad__4[[#This Row],[Periodo]],1,4)</f>
        <v>2025</v>
      </c>
      <c r="D2285" t="str">
        <f>MID(analisis_productividad__4[[#This Row],[Periodo]],5,2)</f>
        <v>07</v>
      </c>
      <c r="E2285" t="s">
        <v>9</v>
      </c>
      <c r="F2285" t="s">
        <v>9</v>
      </c>
      <c r="G2285">
        <v>69935</v>
      </c>
      <c r="H2285">
        <v>719985</v>
      </c>
      <c r="I2285">
        <v>10.29508064516129</v>
      </c>
      <c r="J2285">
        <v>82577.291277390177</v>
      </c>
      <c r="K2285">
        <v>11.5</v>
      </c>
      <c r="L2285">
        <v>12</v>
      </c>
      <c r="M2285">
        <v>8.7189279142307416</v>
      </c>
      <c r="N2285">
        <v>888569</v>
      </c>
    </row>
    <row r="2286" spans="1:14" x14ac:dyDescent="0.35">
      <c r="A2286" t="s">
        <v>92</v>
      </c>
      <c r="B2286">
        <v>202508</v>
      </c>
      <c r="C2286" t="str">
        <f>MID(analisis_productividad__4[[#This Row],[Periodo]],1,4)</f>
        <v>2025</v>
      </c>
      <c r="D2286" t="str">
        <f>MID(analisis_productividad__4[[#This Row],[Periodo]],5,2)</f>
        <v>08</v>
      </c>
      <c r="E2286" t="s">
        <v>11</v>
      </c>
      <c r="F2286" t="s">
        <v>14</v>
      </c>
      <c r="G2286">
        <v>69927</v>
      </c>
      <c r="H2286">
        <v>3498120</v>
      </c>
      <c r="I2286">
        <v>50.025255376344091</v>
      </c>
      <c r="J2286">
        <v>77089.001182314329</v>
      </c>
      <c r="K2286">
        <v>63</v>
      </c>
      <c r="L2286">
        <v>59</v>
      </c>
      <c r="M2286">
        <v>45.377683409426965</v>
      </c>
      <c r="N2286">
        <v>3970265</v>
      </c>
    </row>
    <row r="2287" spans="1:14" x14ac:dyDescent="0.35">
      <c r="A2287" t="s">
        <v>98</v>
      </c>
      <c r="B2287">
        <v>202601</v>
      </c>
      <c r="C2287" t="str">
        <f>MID(analisis_productividad__4[[#This Row],[Periodo]],1,4)</f>
        <v>2026</v>
      </c>
      <c r="D2287" t="str">
        <f>MID(analisis_productividad__4[[#This Row],[Periodo]],5,2)</f>
        <v>01</v>
      </c>
      <c r="E2287" t="s">
        <v>11</v>
      </c>
      <c r="F2287" t="s">
        <v>14</v>
      </c>
      <c r="G2287">
        <v>69897</v>
      </c>
      <c r="H2287">
        <v>3799222</v>
      </c>
      <c r="I2287">
        <v>54.354247311827969</v>
      </c>
      <c r="J2287">
        <v>71821.342059084825</v>
      </c>
      <c r="K2287">
        <v>61.5</v>
      </c>
      <c r="L2287">
        <v>56</v>
      </c>
      <c r="M2287">
        <v>52.842490794418893</v>
      </c>
      <c r="N2287">
        <v>3795219</v>
      </c>
    </row>
    <row r="2288" spans="1:14" x14ac:dyDescent="0.35">
      <c r="A2288" t="s">
        <v>98</v>
      </c>
      <c r="B2288">
        <v>202409</v>
      </c>
      <c r="C2288" t="str">
        <f>MID(analisis_productividad__4[[#This Row],[Periodo]],1,4)</f>
        <v>2024</v>
      </c>
      <c r="D2288" t="str">
        <f>MID(analisis_productividad__4[[#This Row],[Periodo]],5,2)</f>
        <v>09</v>
      </c>
      <c r="E2288" t="s">
        <v>11</v>
      </c>
      <c r="F2288" t="s">
        <v>14</v>
      </c>
      <c r="G2288">
        <v>69853</v>
      </c>
      <c r="H2288">
        <v>3378992</v>
      </c>
      <c r="I2288">
        <v>48.373062500000017</v>
      </c>
      <c r="J2288">
        <v>0</v>
      </c>
      <c r="K2288">
        <v>61.5</v>
      </c>
      <c r="L2288">
        <v>56</v>
      </c>
      <c r="N2288">
        <v>0</v>
      </c>
    </row>
    <row r="2289" spans="1:14" x14ac:dyDescent="0.35">
      <c r="A2289" t="s">
        <v>114</v>
      </c>
      <c r="B2289">
        <v>202603</v>
      </c>
      <c r="C2289" t="str">
        <f>MID(analisis_productividad__4[[#This Row],[Periodo]],1,4)</f>
        <v>2026</v>
      </c>
      <c r="D2289" t="str">
        <f>MID(analisis_productividad__4[[#This Row],[Periodo]],5,2)</f>
        <v>03</v>
      </c>
      <c r="E2289" t="s">
        <v>9</v>
      </c>
      <c r="F2289" t="s">
        <v>9</v>
      </c>
      <c r="G2289">
        <v>69811</v>
      </c>
      <c r="H2289">
        <v>999878</v>
      </c>
      <c r="I2289">
        <v>14.322668010752686</v>
      </c>
      <c r="J2289">
        <v>62586.084885250384</v>
      </c>
      <c r="K2289">
        <v>13.5</v>
      </c>
      <c r="L2289">
        <v>14.5</v>
      </c>
      <c r="M2289">
        <v>13.189776457714554</v>
      </c>
      <c r="N2289">
        <v>825496</v>
      </c>
    </row>
    <row r="2290" spans="1:14" x14ac:dyDescent="0.35">
      <c r="A2290" t="s">
        <v>103</v>
      </c>
      <c r="B2290">
        <v>202501</v>
      </c>
      <c r="C2290" t="str">
        <f>MID(analisis_productividad__4[[#This Row],[Periodo]],1,4)</f>
        <v>2025</v>
      </c>
      <c r="D2290" t="str">
        <f>MID(analisis_productividad__4[[#This Row],[Periodo]],5,2)</f>
        <v>01</v>
      </c>
      <c r="E2290" t="s">
        <v>104</v>
      </c>
      <c r="F2290" t="s">
        <v>104</v>
      </c>
      <c r="G2290">
        <v>69803</v>
      </c>
      <c r="H2290">
        <v>5320582</v>
      </c>
      <c r="I2290">
        <v>76.222379032258061</v>
      </c>
      <c r="J2290">
        <v>68388.997441059095</v>
      </c>
      <c r="K2290">
        <v>94</v>
      </c>
      <c r="L2290">
        <v>77.5</v>
      </c>
      <c r="M2290">
        <v>77.798803449129807</v>
      </c>
      <c r="N2290">
        <v>5172297</v>
      </c>
    </row>
    <row r="2291" spans="1:14" x14ac:dyDescent="0.35">
      <c r="A2291" t="s">
        <v>103</v>
      </c>
      <c r="B2291">
        <v>202508</v>
      </c>
      <c r="C2291" t="str">
        <f>MID(analisis_productividad__4[[#This Row],[Periodo]],1,4)</f>
        <v>2025</v>
      </c>
      <c r="D2291" t="str">
        <f>MID(analisis_productividad__4[[#This Row],[Periodo]],5,2)</f>
        <v>08</v>
      </c>
      <c r="E2291" t="s">
        <v>104</v>
      </c>
      <c r="F2291" t="s">
        <v>104</v>
      </c>
      <c r="G2291">
        <v>69789</v>
      </c>
      <c r="H2291">
        <v>5398976</v>
      </c>
      <c r="I2291">
        <v>77.361760752688184</v>
      </c>
      <c r="J2291">
        <v>71586.952448746131</v>
      </c>
      <c r="K2291">
        <v>94</v>
      </c>
      <c r="L2291">
        <v>77.5</v>
      </c>
      <c r="M2291">
        <v>75.41843974801813</v>
      </c>
      <c r="N2291">
        <v>5557073</v>
      </c>
    </row>
    <row r="2292" spans="1:14" x14ac:dyDescent="0.35">
      <c r="A2292" t="s">
        <v>95</v>
      </c>
      <c r="B2292">
        <v>202408</v>
      </c>
      <c r="C2292" t="str">
        <f>MID(analisis_productividad__4[[#This Row],[Periodo]],1,4)</f>
        <v>2024</v>
      </c>
      <c r="D2292" t="str">
        <f>MID(analisis_productividad__4[[#This Row],[Periodo]],5,2)</f>
        <v>08</v>
      </c>
      <c r="E2292" t="s">
        <v>9</v>
      </c>
      <c r="F2292" t="s">
        <v>9</v>
      </c>
      <c r="G2292">
        <v>69746</v>
      </c>
      <c r="H2292">
        <v>665656</v>
      </c>
      <c r="I2292">
        <v>9.5440389784946262</v>
      </c>
      <c r="J2292">
        <v>0</v>
      </c>
      <c r="K2292">
        <v>11</v>
      </c>
      <c r="L2292">
        <v>11</v>
      </c>
      <c r="N2292">
        <v>0</v>
      </c>
    </row>
    <row r="2293" spans="1:14" x14ac:dyDescent="0.35">
      <c r="A2293" t="s">
        <v>88</v>
      </c>
      <c r="B2293">
        <v>202509</v>
      </c>
      <c r="C2293" t="str">
        <f>MID(analisis_productividad__4[[#This Row],[Periodo]],1,4)</f>
        <v>2025</v>
      </c>
      <c r="D2293" t="str">
        <f>MID(analisis_productividad__4[[#This Row],[Periodo]],5,2)</f>
        <v>09</v>
      </c>
      <c r="E2293" t="s">
        <v>34</v>
      </c>
      <c r="F2293" t="s">
        <v>35</v>
      </c>
      <c r="G2293">
        <v>69728</v>
      </c>
      <c r="H2293">
        <v>1006904</v>
      </c>
      <c r="I2293">
        <v>14.440465277777774</v>
      </c>
      <c r="J2293">
        <v>81223.637300053</v>
      </c>
      <c r="K2293">
        <v>15.5</v>
      </c>
      <c r="L2293">
        <v>14.5</v>
      </c>
      <c r="M2293">
        <v>12.396685785941072</v>
      </c>
      <c r="N2293">
        <v>1215443</v>
      </c>
    </row>
    <row r="2294" spans="1:14" x14ac:dyDescent="0.35">
      <c r="A2294" t="s">
        <v>71</v>
      </c>
      <c r="B2294">
        <v>202506</v>
      </c>
      <c r="C2294" t="str">
        <f>MID(analisis_productividad__4[[#This Row],[Periodo]],1,4)</f>
        <v>2025</v>
      </c>
      <c r="D2294" t="str">
        <f>MID(analisis_productividad__4[[#This Row],[Periodo]],5,2)</f>
        <v>06</v>
      </c>
      <c r="E2294" t="s">
        <v>16</v>
      </c>
      <c r="F2294" t="s">
        <v>19</v>
      </c>
      <c r="G2294">
        <v>69711</v>
      </c>
      <c r="H2294">
        <v>2536119</v>
      </c>
      <c r="I2294">
        <v>36.380555555555553</v>
      </c>
      <c r="J2294">
        <v>77293.265946827698</v>
      </c>
      <c r="K2294">
        <v>41.5</v>
      </c>
      <c r="L2294">
        <v>35.5</v>
      </c>
      <c r="M2294">
        <v>32.811636420495816</v>
      </c>
      <c r="N2294">
        <v>2568338</v>
      </c>
    </row>
    <row r="2295" spans="1:14" x14ac:dyDescent="0.35">
      <c r="A2295" t="s">
        <v>100</v>
      </c>
      <c r="B2295">
        <v>202407</v>
      </c>
      <c r="C2295" t="str">
        <f>MID(analisis_productividad__4[[#This Row],[Periodo]],1,4)</f>
        <v>2024</v>
      </c>
      <c r="D2295" t="str">
        <f>MID(analisis_productividad__4[[#This Row],[Periodo]],5,2)</f>
        <v>07</v>
      </c>
      <c r="E2295" t="s">
        <v>34</v>
      </c>
      <c r="F2295" t="s">
        <v>35</v>
      </c>
      <c r="G2295">
        <v>69697</v>
      </c>
      <c r="H2295">
        <v>2595941</v>
      </c>
      <c r="I2295">
        <v>37.246209677419351</v>
      </c>
      <c r="J2295">
        <v>0</v>
      </c>
      <c r="K2295">
        <v>44</v>
      </c>
      <c r="L2295">
        <v>40.5</v>
      </c>
      <c r="N2295">
        <v>0</v>
      </c>
    </row>
    <row r="2296" spans="1:14" x14ac:dyDescent="0.35">
      <c r="A2296" t="s">
        <v>120</v>
      </c>
      <c r="B2296">
        <v>202402</v>
      </c>
      <c r="C2296" t="str">
        <f>MID(analisis_productividad__4[[#This Row],[Periodo]],1,4)</f>
        <v>2024</v>
      </c>
      <c r="D2296" t="str">
        <f>MID(analisis_productividad__4[[#This Row],[Periodo]],5,2)</f>
        <v>02</v>
      </c>
      <c r="E2296" t="s">
        <v>9</v>
      </c>
      <c r="F2296" t="s">
        <v>9</v>
      </c>
      <c r="G2296">
        <v>69686</v>
      </c>
      <c r="H2296">
        <v>788843</v>
      </c>
      <c r="I2296">
        <v>11.31998563218391</v>
      </c>
      <c r="J2296">
        <v>0</v>
      </c>
      <c r="K2296">
        <v>11.5</v>
      </c>
      <c r="L2296">
        <v>12</v>
      </c>
      <c r="N2296">
        <v>0</v>
      </c>
    </row>
    <row r="2297" spans="1:14" x14ac:dyDescent="0.35">
      <c r="A2297" t="s">
        <v>107</v>
      </c>
      <c r="B2297">
        <v>202511</v>
      </c>
      <c r="C2297" t="str">
        <f>MID(analisis_productividad__4[[#This Row],[Periodo]],1,4)</f>
        <v>2025</v>
      </c>
      <c r="D2297" t="str">
        <f>MID(analisis_productividad__4[[#This Row],[Periodo]],5,2)</f>
        <v>11</v>
      </c>
      <c r="E2297" t="s">
        <v>34</v>
      </c>
      <c r="F2297" t="s">
        <v>35</v>
      </c>
      <c r="G2297">
        <v>69644</v>
      </c>
      <c r="H2297">
        <v>4891799</v>
      </c>
      <c r="I2297">
        <v>70.24004166666667</v>
      </c>
      <c r="J2297">
        <v>73537.185582036036</v>
      </c>
      <c r="K2297">
        <v>87</v>
      </c>
      <c r="L2297">
        <v>77.5</v>
      </c>
      <c r="M2297">
        <v>66.521437981099297</v>
      </c>
      <c r="N2297">
        <v>5441491</v>
      </c>
    </row>
    <row r="2298" spans="1:14" x14ac:dyDescent="0.35">
      <c r="A2298" t="s">
        <v>115</v>
      </c>
      <c r="B2298">
        <v>202412</v>
      </c>
      <c r="C2298" t="str">
        <f>MID(analisis_productividad__4[[#This Row],[Periodo]],1,4)</f>
        <v>2024</v>
      </c>
      <c r="D2298" t="str">
        <f>MID(analisis_productividad__4[[#This Row],[Periodo]],5,2)</f>
        <v>12</v>
      </c>
      <c r="E2298" t="s">
        <v>34</v>
      </c>
      <c r="F2298" t="s">
        <v>35</v>
      </c>
      <c r="G2298">
        <v>69629</v>
      </c>
      <c r="H2298">
        <v>4111245</v>
      </c>
      <c r="I2298">
        <v>59.04481182795702</v>
      </c>
      <c r="J2298">
        <v>0</v>
      </c>
      <c r="K2298">
        <v>53.5</v>
      </c>
      <c r="L2298">
        <v>51</v>
      </c>
      <c r="N2298">
        <v>0</v>
      </c>
    </row>
    <row r="2299" spans="1:14" x14ac:dyDescent="0.35">
      <c r="A2299" t="s">
        <v>108</v>
      </c>
      <c r="B2299">
        <v>202503</v>
      </c>
      <c r="C2299" t="str">
        <f>MID(analisis_productividad__4[[#This Row],[Periodo]],1,4)</f>
        <v>2025</v>
      </c>
      <c r="D2299" t="str">
        <f>MID(analisis_productividad__4[[#This Row],[Periodo]],5,2)</f>
        <v>03</v>
      </c>
      <c r="E2299" t="s">
        <v>11</v>
      </c>
      <c r="F2299" t="s">
        <v>14</v>
      </c>
      <c r="G2299">
        <v>69617</v>
      </c>
      <c r="H2299">
        <v>3465965</v>
      </c>
      <c r="I2299">
        <v>49.786041666666662</v>
      </c>
      <c r="J2299">
        <v>80360.202417633787</v>
      </c>
      <c r="K2299">
        <v>47.5</v>
      </c>
      <c r="L2299">
        <v>43</v>
      </c>
      <c r="M2299">
        <v>43.130371324692533</v>
      </c>
      <c r="N2299">
        <v>3956911</v>
      </c>
    </row>
    <row r="2300" spans="1:14" x14ac:dyDescent="0.35">
      <c r="A2300" t="s">
        <v>89</v>
      </c>
      <c r="B2300">
        <v>202505</v>
      </c>
      <c r="C2300" t="str">
        <f>MID(analisis_productividad__4[[#This Row],[Periodo]],1,4)</f>
        <v>2025</v>
      </c>
      <c r="D2300" t="str">
        <f>MID(analisis_productividad__4[[#This Row],[Periodo]],5,2)</f>
        <v>05</v>
      </c>
      <c r="E2300" t="s">
        <v>9</v>
      </c>
      <c r="F2300" t="s">
        <v>9</v>
      </c>
      <c r="G2300">
        <v>69598</v>
      </c>
      <c r="H2300">
        <v>1000164</v>
      </c>
      <c r="I2300">
        <v>14.370510752688176</v>
      </c>
      <c r="J2300">
        <v>84060.725206066098</v>
      </c>
      <c r="K2300">
        <v>17</v>
      </c>
      <c r="L2300">
        <v>13.5</v>
      </c>
      <c r="M2300">
        <v>11.898109819397858</v>
      </c>
      <c r="N2300">
        <v>1090567</v>
      </c>
    </row>
    <row r="2301" spans="1:14" x14ac:dyDescent="0.35">
      <c r="A2301" t="s">
        <v>18</v>
      </c>
      <c r="B2301">
        <v>202510</v>
      </c>
      <c r="C2301" t="str">
        <f>MID(analisis_productividad__4[[#This Row],[Periodo]],1,4)</f>
        <v>2025</v>
      </c>
      <c r="D2301" t="str">
        <f>MID(analisis_productividad__4[[#This Row],[Periodo]],5,2)</f>
        <v>10</v>
      </c>
      <c r="E2301" t="s">
        <v>16</v>
      </c>
      <c r="F2301" t="s">
        <v>19</v>
      </c>
      <c r="G2301">
        <v>69594</v>
      </c>
      <c r="H2301">
        <v>4269464</v>
      </c>
      <c r="I2301">
        <v>61.347849462365573</v>
      </c>
      <c r="J2301">
        <v>81165.451874847902</v>
      </c>
      <c r="K2301">
        <v>70.5</v>
      </c>
      <c r="L2301">
        <v>69.5</v>
      </c>
      <c r="M2301">
        <v>52.601989410263492</v>
      </c>
      <c r="N2301">
        <v>5217601</v>
      </c>
    </row>
    <row r="2302" spans="1:14" x14ac:dyDescent="0.35">
      <c r="A2302" t="s">
        <v>106</v>
      </c>
      <c r="B2302">
        <v>202407</v>
      </c>
      <c r="C2302" t="str">
        <f>MID(analisis_productividad__4[[#This Row],[Periodo]],1,4)</f>
        <v>2024</v>
      </c>
      <c r="D2302" t="str">
        <f>MID(analisis_productividad__4[[#This Row],[Periodo]],5,2)</f>
        <v>07</v>
      </c>
      <c r="E2302" t="s">
        <v>34</v>
      </c>
      <c r="F2302" t="s">
        <v>35</v>
      </c>
      <c r="G2302">
        <v>69585</v>
      </c>
      <c r="H2302">
        <v>3256569</v>
      </c>
      <c r="I2302">
        <v>46.800127688172033</v>
      </c>
      <c r="J2302">
        <v>0</v>
      </c>
      <c r="K2302">
        <v>51</v>
      </c>
      <c r="L2302">
        <v>49</v>
      </c>
      <c r="N2302">
        <v>0</v>
      </c>
    </row>
    <row r="2303" spans="1:14" x14ac:dyDescent="0.35">
      <c r="A2303" t="s">
        <v>105</v>
      </c>
      <c r="B2303">
        <v>202508</v>
      </c>
      <c r="C2303" t="str">
        <f>MID(analisis_productividad__4[[#This Row],[Periodo]],1,4)</f>
        <v>2025</v>
      </c>
      <c r="D2303" t="str">
        <f>MID(analisis_productividad__4[[#This Row],[Periodo]],5,2)</f>
        <v>08</v>
      </c>
      <c r="E2303" t="s">
        <v>34</v>
      </c>
      <c r="F2303" t="s">
        <v>35</v>
      </c>
      <c r="G2303">
        <v>69567</v>
      </c>
      <c r="H2303">
        <v>2243869</v>
      </c>
      <c r="I2303">
        <v>32.254993279569895</v>
      </c>
      <c r="J2303">
        <v>59099.758750926645</v>
      </c>
      <c r="K2303">
        <v>33</v>
      </c>
      <c r="L2303">
        <v>31.5</v>
      </c>
      <c r="M2303">
        <v>37.967479519784284</v>
      </c>
      <c r="N2303">
        <v>2524542</v>
      </c>
    </row>
    <row r="2304" spans="1:14" x14ac:dyDescent="0.35">
      <c r="A2304" t="s">
        <v>107</v>
      </c>
      <c r="B2304">
        <v>202505</v>
      </c>
      <c r="C2304" t="str">
        <f>MID(analisis_productividad__4[[#This Row],[Periodo]],1,4)</f>
        <v>2025</v>
      </c>
      <c r="D2304" t="str">
        <f>MID(analisis_productividad__4[[#This Row],[Periodo]],5,2)</f>
        <v>05</v>
      </c>
      <c r="E2304" t="s">
        <v>34</v>
      </c>
      <c r="F2304" t="s">
        <v>35</v>
      </c>
      <c r="G2304">
        <v>69526</v>
      </c>
      <c r="H2304">
        <v>5120724</v>
      </c>
      <c r="I2304">
        <v>73.652090053763445</v>
      </c>
      <c r="J2304">
        <v>65970.444233809394</v>
      </c>
      <c r="K2304">
        <v>87</v>
      </c>
      <c r="L2304">
        <v>77.5</v>
      </c>
      <c r="M2304">
        <v>77.621481247744356</v>
      </c>
      <c r="N2304">
        <v>5606297</v>
      </c>
    </row>
    <row r="2305" spans="1:14" x14ac:dyDescent="0.35">
      <c r="A2305" t="s">
        <v>74</v>
      </c>
      <c r="B2305">
        <v>202402</v>
      </c>
      <c r="C2305" t="str">
        <f>MID(analisis_productividad__4[[#This Row],[Periodo]],1,4)</f>
        <v>2024</v>
      </c>
      <c r="D2305" t="str">
        <f>MID(analisis_productividad__4[[#This Row],[Periodo]],5,2)</f>
        <v>02</v>
      </c>
      <c r="E2305" t="s">
        <v>16</v>
      </c>
      <c r="F2305" t="s">
        <v>19</v>
      </c>
      <c r="G2305">
        <v>69499</v>
      </c>
      <c r="H2305">
        <v>3815119</v>
      </c>
      <c r="I2305">
        <v>54.894683908045977</v>
      </c>
      <c r="J2305">
        <v>0</v>
      </c>
      <c r="K2305">
        <v>50.5</v>
      </c>
      <c r="L2305">
        <v>51.5</v>
      </c>
      <c r="N2305">
        <v>0</v>
      </c>
    </row>
    <row r="2306" spans="1:14" x14ac:dyDescent="0.35">
      <c r="A2306" t="s">
        <v>89</v>
      </c>
      <c r="B2306">
        <v>202401</v>
      </c>
      <c r="C2306" t="str">
        <f>MID(analisis_productividad__4[[#This Row],[Periodo]],1,4)</f>
        <v>2024</v>
      </c>
      <c r="D2306" t="str">
        <f>MID(analisis_productividad__4[[#This Row],[Periodo]],5,2)</f>
        <v>01</v>
      </c>
      <c r="E2306" t="s">
        <v>9</v>
      </c>
      <c r="F2306" t="s">
        <v>9</v>
      </c>
      <c r="G2306">
        <v>69467</v>
      </c>
      <c r="H2306">
        <v>1018705</v>
      </c>
      <c r="I2306">
        <v>14.664576612903225</v>
      </c>
      <c r="J2306">
        <v>0</v>
      </c>
      <c r="K2306">
        <v>17</v>
      </c>
      <c r="L2306">
        <v>13.5</v>
      </c>
      <c r="N2306">
        <v>0</v>
      </c>
    </row>
    <row r="2307" spans="1:14" x14ac:dyDescent="0.35">
      <c r="A2307" t="s">
        <v>99</v>
      </c>
      <c r="B2307">
        <v>202503</v>
      </c>
      <c r="C2307" t="str">
        <f>MID(analisis_productividad__4[[#This Row],[Periodo]],1,4)</f>
        <v>2025</v>
      </c>
      <c r="D2307" t="str">
        <f>MID(analisis_productividad__4[[#This Row],[Periodo]],5,2)</f>
        <v>03</v>
      </c>
      <c r="E2307" t="s">
        <v>11</v>
      </c>
      <c r="F2307" t="s">
        <v>12</v>
      </c>
      <c r="G2307">
        <v>69426</v>
      </c>
      <c r="H2307">
        <v>1823537</v>
      </c>
      <c r="I2307">
        <v>26.265806451612917</v>
      </c>
      <c r="J2307">
        <v>68787.720419018064</v>
      </c>
      <c r="K2307">
        <v>27</v>
      </c>
      <c r="L2307">
        <v>27</v>
      </c>
      <c r="M2307">
        <v>26.509624666902589</v>
      </c>
      <c r="N2307">
        <v>1779198</v>
      </c>
    </row>
    <row r="2308" spans="1:14" x14ac:dyDescent="0.35">
      <c r="A2308" t="s">
        <v>107</v>
      </c>
      <c r="B2308">
        <v>202404</v>
      </c>
      <c r="C2308" t="str">
        <f>MID(analisis_productividad__4[[#This Row],[Periodo]],1,4)</f>
        <v>2024</v>
      </c>
      <c r="D2308" t="str">
        <f>MID(analisis_productividad__4[[#This Row],[Periodo]],5,2)</f>
        <v>04</v>
      </c>
      <c r="E2308" t="s">
        <v>34</v>
      </c>
      <c r="F2308" t="s">
        <v>35</v>
      </c>
      <c r="G2308">
        <v>69418</v>
      </c>
      <c r="H2308">
        <v>5245136</v>
      </c>
      <c r="I2308">
        <v>75.558534722222234</v>
      </c>
      <c r="J2308">
        <v>0</v>
      </c>
      <c r="K2308">
        <v>87</v>
      </c>
      <c r="L2308">
        <v>77.5</v>
      </c>
      <c r="N2308">
        <v>0</v>
      </c>
    </row>
    <row r="2309" spans="1:14" x14ac:dyDescent="0.35">
      <c r="A2309" t="s">
        <v>64</v>
      </c>
      <c r="B2309">
        <v>202509</v>
      </c>
      <c r="C2309" t="str">
        <f>MID(analisis_productividad__4[[#This Row],[Periodo]],1,4)</f>
        <v>2025</v>
      </c>
      <c r="D2309" t="str">
        <f>MID(analisis_productividad__4[[#This Row],[Periodo]],5,2)</f>
        <v>09</v>
      </c>
      <c r="E2309" t="s">
        <v>16</v>
      </c>
      <c r="F2309" t="s">
        <v>21</v>
      </c>
      <c r="G2309">
        <v>69413</v>
      </c>
      <c r="H2309">
        <v>8045446</v>
      </c>
      <c r="I2309">
        <v>115.90629166666677</v>
      </c>
      <c r="J2309">
        <v>81772.043333732538</v>
      </c>
      <c r="K2309">
        <v>88.5</v>
      </c>
      <c r="L2309">
        <v>92.5</v>
      </c>
      <c r="M2309">
        <v>98.388709050163826</v>
      </c>
      <c r="N2309">
        <v>6210214</v>
      </c>
    </row>
    <row r="2310" spans="1:14" x14ac:dyDescent="0.35">
      <c r="A2310" t="s">
        <v>98</v>
      </c>
      <c r="B2310">
        <v>202403</v>
      </c>
      <c r="C2310" t="str">
        <f>MID(analisis_productividad__4[[#This Row],[Periodo]],1,4)</f>
        <v>2024</v>
      </c>
      <c r="D2310" t="str">
        <f>MID(analisis_productividad__4[[#This Row],[Periodo]],5,2)</f>
        <v>03</v>
      </c>
      <c r="E2310" t="s">
        <v>11</v>
      </c>
      <c r="F2310" t="s">
        <v>14</v>
      </c>
      <c r="G2310">
        <v>69396</v>
      </c>
      <c r="H2310">
        <v>4362813</v>
      </c>
      <c r="I2310">
        <v>62.868467741935497</v>
      </c>
      <c r="J2310">
        <v>0</v>
      </c>
      <c r="K2310">
        <v>61.5</v>
      </c>
      <c r="L2310">
        <v>56</v>
      </c>
      <c r="N2310">
        <v>0</v>
      </c>
    </row>
    <row r="2311" spans="1:14" x14ac:dyDescent="0.35">
      <c r="A2311" t="s">
        <v>103</v>
      </c>
      <c r="B2311">
        <v>202403</v>
      </c>
      <c r="C2311" t="str">
        <f>MID(analisis_productividad__4[[#This Row],[Periodo]],1,4)</f>
        <v>2024</v>
      </c>
      <c r="D2311" t="str">
        <f>MID(analisis_productividad__4[[#This Row],[Periodo]],5,2)</f>
        <v>03</v>
      </c>
      <c r="E2311" t="s">
        <v>104</v>
      </c>
      <c r="F2311" t="s">
        <v>104</v>
      </c>
      <c r="G2311">
        <v>69357</v>
      </c>
      <c r="H2311">
        <v>5572566</v>
      </c>
      <c r="I2311">
        <v>80.346404569892513</v>
      </c>
      <c r="J2311">
        <v>0</v>
      </c>
      <c r="K2311">
        <v>94</v>
      </c>
      <c r="L2311">
        <v>77.5</v>
      </c>
      <c r="N2311">
        <v>0</v>
      </c>
    </row>
    <row r="2312" spans="1:14" x14ac:dyDescent="0.35">
      <c r="A2312" t="s">
        <v>58</v>
      </c>
      <c r="B2312">
        <v>202410</v>
      </c>
      <c r="C2312" t="str">
        <f>MID(analisis_productividad__4[[#This Row],[Periodo]],1,4)</f>
        <v>2024</v>
      </c>
      <c r="D2312" t="str">
        <f>MID(analisis_productividad__4[[#This Row],[Periodo]],5,2)</f>
        <v>10</v>
      </c>
      <c r="E2312" t="s">
        <v>34</v>
      </c>
      <c r="F2312" t="s">
        <v>35</v>
      </c>
      <c r="G2312">
        <v>69350</v>
      </c>
      <c r="H2312">
        <v>3226436</v>
      </c>
      <c r="I2312">
        <v>46.523985215053756</v>
      </c>
      <c r="J2312">
        <v>0</v>
      </c>
      <c r="K2312">
        <v>53.5</v>
      </c>
      <c r="L2312">
        <v>52</v>
      </c>
      <c r="N2312">
        <v>0</v>
      </c>
    </row>
    <row r="2313" spans="1:14" x14ac:dyDescent="0.35">
      <c r="A2313" t="s">
        <v>105</v>
      </c>
      <c r="B2313">
        <v>202505</v>
      </c>
      <c r="C2313" t="str">
        <f>MID(analisis_productividad__4[[#This Row],[Periodo]],1,4)</f>
        <v>2025</v>
      </c>
      <c r="D2313" t="str">
        <f>MID(analisis_productividad__4[[#This Row],[Periodo]],5,2)</f>
        <v>05</v>
      </c>
      <c r="E2313" t="s">
        <v>34</v>
      </c>
      <c r="F2313" t="s">
        <v>35</v>
      </c>
      <c r="G2313">
        <v>69337</v>
      </c>
      <c r="H2313">
        <v>2358692</v>
      </c>
      <c r="I2313">
        <v>34.017836021505374</v>
      </c>
      <c r="J2313">
        <v>60133.840312378794</v>
      </c>
      <c r="K2313">
        <v>33</v>
      </c>
      <c r="L2313">
        <v>31.5</v>
      </c>
      <c r="M2313">
        <v>39.224041367510225</v>
      </c>
      <c r="N2313">
        <v>2590234</v>
      </c>
    </row>
    <row r="2314" spans="1:14" x14ac:dyDescent="0.35">
      <c r="A2314" t="s">
        <v>69</v>
      </c>
      <c r="B2314">
        <v>202502</v>
      </c>
      <c r="C2314" t="str">
        <f>MID(analisis_productividad__4[[#This Row],[Periodo]],1,4)</f>
        <v>2025</v>
      </c>
      <c r="D2314" t="str">
        <f>MID(analisis_productividad__4[[#This Row],[Periodo]],5,2)</f>
        <v>02</v>
      </c>
      <c r="E2314" t="s">
        <v>11</v>
      </c>
      <c r="F2314" t="s">
        <v>52</v>
      </c>
      <c r="G2314">
        <v>69324</v>
      </c>
      <c r="H2314">
        <v>4604128</v>
      </c>
      <c r="I2314">
        <v>66.415104166666652</v>
      </c>
      <c r="J2314">
        <v>74809.724161266306</v>
      </c>
      <c r="K2314">
        <v>68</v>
      </c>
      <c r="L2314">
        <v>60.5</v>
      </c>
      <c r="M2314">
        <v>61.544518999628202</v>
      </c>
      <c r="N2314">
        <v>4732624</v>
      </c>
    </row>
    <row r="2315" spans="1:14" x14ac:dyDescent="0.35">
      <c r="A2315" t="s">
        <v>47</v>
      </c>
      <c r="B2315">
        <v>202404</v>
      </c>
      <c r="C2315" t="str">
        <f>MID(analisis_productividad__4[[#This Row],[Periodo]],1,4)</f>
        <v>2024</v>
      </c>
      <c r="D2315" t="str">
        <f>MID(analisis_productividad__4[[#This Row],[Periodo]],5,2)</f>
        <v>04</v>
      </c>
      <c r="E2315" t="s">
        <v>11</v>
      </c>
      <c r="F2315" t="s">
        <v>14</v>
      </c>
      <c r="G2315">
        <v>69299</v>
      </c>
      <c r="H2315">
        <v>4445652</v>
      </c>
      <c r="I2315">
        <v>64.152083333333337</v>
      </c>
      <c r="J2315">
        <v>0</v>
      </c>
      <c r="K2315">
        <v>61.5</v>
      </c>
      <c r="L2315">
        <v>48.5</v>
      </c>
      <c r="N2315">
        <v>0</v>
      </c>
    </row>
    <row r="2316" spans="1:14" x14ac:dyDescent="0.35">
      <c r="A2316" t="s">
        <v>86</v>
      </c>
      <c r="B2316">
        <v>202504</v>
      </c>
      <c r="C2316" t="str">
        <f>MID(analisis_productividad__4[[#This Row],[Periodo]],1,4)</f>
        <v>2025</v>
      </c>
      <c r="D2316" t="str">
        <f>MID(analisis_productividad__4[[#This Row],[Periodo]],5,2)</f>
        <v>04</v>
      </c>
      <c r="E2316" t="s">
        <v>11</v>
      </c>
      <c r="F2316" t="s">
        <v>14</v>
      </c>
      <c r="G2316">
        <v>69296</v>
      </c>
      <c r="H2316">
        <v>4241333</v>
      </c>
      <c r="I2316">
        <v>61.20566666666668</v>
      </c>
      <c r="J2316">
        <v>79980.22752204827</v>
      </c>
      <c r="K2316">
        <v>69.5</v>
      </c>
      <c r="L2316">
        <v>59</v>
      </c>
      <c r="M2316">
        <v>53.029772500094289</v>
      </c>
      <c r="N2316">
        <v>5098134</v>
      </c>
    </row>
    <row r="2317" spans="1:14" x14ac:dyDescent="0.35">
      <c r="A2317" t="s">
        <v>90</v>
      </c>
      <c r="B2317">
        <v>202407</v>
      </c>
      <c r="C2317" t="str">
        <f>MID(analisis_productividad__4[[#This Row],[Periodo]],1,4)</f>
        <v>2024</v>
      </c>
      <c r="D2317" t="str">
        <f>MID(analisis_productividad__4[[#This Row],[Periodo]],5,2)</f>
        <v>07</v>
      </c>
      <c r="E2317" t="s">
        <v>11</v>
      </c>
      <c r="F2317" t="s">
        <v>14</v>
      </c>
      <c r="G2317">
        <v>69288</v>
      </c>
      <c r="H2317">
        <v>5884099</v>
      </c>
      <c r="I2317">
        <v>84.921760752688201</v>
      </c>
      <c r="J2317">
        <v>0</v>
      </c>
      <c r="K2317">
        <v>84.5</v>
      </c>
      <c r="L2317">
        <v>78.5</v>
      </c>
      <c r="N2317">
        <v>0</v>
      </c>
    </row>
    <row r="2318" spans="1:14" x14ac:dyDescent="0.35">
      <c r="A2318" t="s">
        <v>85</v>
      </c>
      <c r="B2318">
        <v>202411</v>
      </c>
      <c r="C2318" t="str">
        <f>MID(analisis_productividad__4[[#This Row],[Periodo]],1,4)</f>
        <v>2024</v>
      </c>
      <c r="D2318" t="str">
        <f>MID(analisis_productividad__4[[#This Row],[Periodo]],5,2)</f>
        <v>11</v>
      </c>
      <c r="E2318" t="s">
        <v>11</v>
      </c>
      <c r="F2318" t="s">
        <v>14</v>
      </c>
      <c r="G2318">
        <v>69270</v>
      </c>
      <c r="H2318">
        <v>3567039</v>
      </c>
      <c r="I2318">
        <v>51.494430555555581</v>
      </c>
      <c r="J2318">
        <v>0</v>
      </c>
      <c r="K2318">
        <v>60.5</v>
      </c>
      <c r="L2318">
        <v>57.5</v>
      </c>
      <c r="N2318">
        <v>0</v>
      </c>
    </row>
    <row r="2319" spans="1:14" x14ac:dyDescent="0.35">
      <c r="A2319" t="s">
        <v>78</v>
      </c>
      <c r="B2319">
        <v>202410</v>
      </c>
      <c r="C2319" t="str">
        <f>MID(analisis_productividad__4[[#This Row],[Periodo]],1,4)</f>
        <v>2024</v>
      </c>
      <c r="D2319" t="str">
        <f>MID(analisis_productividad__4[[#This Row],[Periodo]],5,2)</f>
        <v>10</v>
      </c>
      <c r="E2319" t="s">
        <v>11</v>
      </c>
      <c r="F2319" t="s">
        <v>14</v>
      </c>
      <c r="G2319">
        <v>69260</v>
      </c>
      <c r="H2319">
        <v>4833644</v>
      </c>
      <c r="I2319">
        <v>69.789670698924724</v>
      </c>
      <c r="J2319">
        <v>0</v>
      </c>
      <c r="K2319">
        <v>79.5</v>
      </c>
      <c r="L2319">
        <v>67</v>
      </c>
      <c r="N2319">
        <v>0</v>
      </c>
    </row>
    <row r="2320" spans="1:14" x14ac:dyDescent="0.35">
      <c r="A2320" t="s">
        <v>109</v>
      </c>
      <c r="B2320">
        <v>202403</v>
      </c>
      <c r="C2320" t="str">
        <f>MID(analisis_productividad__4[[#This Row],[Periodo]],1,4)</f>
        <v>2024</v>
      </c>
      <c r="D2320" t="str">
        <f>MID(analisis_productividad__4[[#This Row],[Periodo]],5,2)</f>
        <v>03</v>
      </c>
      <c r="E2320" t="s">
        <v>9</v>
      </c>
      <c r="F2320" t="s">
        <v>9</v>
      </c>
      <c r="G2320">
        <v>69259</v>
      </c>
      <c r="H2320">
        <v>582289</v>
      </c>
      <c r="I2320">
        <v>8.4073857526881728</v>
      </c>
      <c r="J2320">
        <v>0</v>
      </c>
      <c r="K2320">
        <v>10</v>
      </c>
      <c r="L2320">
        <v>9</v>
      </c>
      <c r="N2320">
        <v>0</v>
      </c>
    </row>
    <row r="2321" spans="1:14" x14ac:dyDescent="0.35">
      <c r="A2321" t="s">
        <v>115</v>
      </c>
      <c r="B2321">
        <v>202606</v>
      </c>
      <c r="C2321" t="str">
        <f>MID(analisis_productividad__4[[#This Row],[Periodo]],1,4)</f>
        <v>2026</v>
      </c>
      <c r="D2321" t="str">
        <f>MID(analisis_productividad__4[[#This Row],[Periodo]],5,2)</f>
        <v>06</v>
      </c>
      <c r="E2321" t="s">
        <v>34</v>
      </c>
      <c r="F2321" t="s">
        <v>35</v>
      </c>
      <c r="G2321">
        <v>69154</v>
      </c>
      <c r="H2321">
        <v>2929767</v>
      </c>
      <c r="I2321">
        <v>42.365895833333198</v>
      </c>
      <c r="J2321">
        <v>65058.938479453682</v>
      </c>
      <c r="K2321">
        <v>53.5</v>
      </c>
      <c r="L2321">
        <v>51</v>
      </c>
      <c r="M2321">
        <v>45.515809558361951</v>
      </c>
      <c r="N2321">
        <v>2961210</v>
      </c>
    </row>
    <row r="2322" spans="1:14" x14ac:dyDescent="0.35">
      <c r="A2322" t="s">
        <v>95</v>
      </c>
      <c r="B2322">
        <v>202409</v>
      </c>
      <c r="C2322" t="str">
        <f>MID(analisis_productividad__4[[#This Row],[Periodo]],1,4)</f>
        <v>2024</v>
      </c>
      <c r="D2322" t="str">
        <f>MID(analisis_productividad__4[[#This Row],[Periodo]],5,2)</f>
        <v>09</v>
      </c>
      <c r="E2322" t="s">
        <v>9</v>
      </c>
      <c r="F2322" t="s">
        <v>9</v>
      </c>
      <c r="G2322">
        <v>69135</v>
      </c>
      <c r="H2322">
        <v>634753</v>
      </c>
      <c r="I2322">
        <v>9.1813263888888912</v>
      </c>
      <c r="J2322">
        <v>0</v>
      </c>
      <c r="K2322">
        <v>11</v>
      </c>
      <c r="L2322">
        <v>11</v>
      </c>
      <c r="N2322">
        <v>0</v>
      </c>
    </row>
    <row r="2323" spans="1:14" x14ac:dyDescent="0.35">
      <c r="A2323" t="s">
        <v>112</v>
      </c>
      <c r="B2323">
        <v>202606</v>
      </c>
      <c r="C2323" t="str">
        <f>MID(analisis_productividad__4[[#This Row],[Periodo]],1,4)</f>
        <v>2026</v>
      </c>
      <c r="D2323" t="str">
        <f>MID(analisis_productividad__4[[#This Row],[Periodo]],5,2)</f>
        <v>06</v>
      </c>
      <c r="E2323" t="s">
        <v>34</v>
      </c>
      <c r="F2323" t="s">
        <v>35</v>
      </c>
      <c r="G2323">
        <v>69056</v>
      </c>
      <c r="H2323">
        <v>1641535</v>
      </c>
      <c r="I2323">
        <v>23.771222222222271</v>
      </c>
      <c r="J2323">
        <v>57171.470313944978</v>
      </c>
      <c r="K2323">
        <v>31</v>
      </c>
      <c r="L2323">
        <v>27</v>
      </c>
      <c r="M2323">
        <v>27.070532526124346</v>
      </c>
      <c r="N2323">
        <v>1547662</v>
      </c>
    </row>
    <row r="2324" spans="1:14" x14ac:dyDescent="0.35">
      <c r="A2324" t="s">
        <v>78</v>
      </c>
      <c r="B2324">
        <v>202409</v>
      </c>
      <c r="C2324" t="str">
        <f>MID(analisis_productividad__4[[#This Row],[Periodo]],1,4)</f>
        <v>2024</v>
      </c>
      <c r="D2324" t="str">
        <f>MID(analisis_productividad__4[[#This Row],[Periodo]],5,2)</f>
        <v>09</v>
      </c>
      <c r="E2324" t="s">
        <v>11</v>
      </c>
      <c r="F2324" t="s">
        <v>14</v>
      </c>
      <c r="G2324">
        <v>69052</v>
      </c>
      <c r="H2324">
        <v>4776219</v>
      </c>
      <c r="I2324">
        <v>69.168847222222226</v>
      </c>
      <c r="J2324">
        <v>0</v>
      </c>
      <c r="K2324">
        <v>79.5</v>
      </c>
      <c r="L2324">
        <v>67</v>
      </c>
      <c r="N2324">
        <v>0</v>
      </c>
    </row>
    <row r="2325" spans="1:14" x14ac:dyDescent="0.35">
      <c r="A2325" t="s">
        <v>64</v>
      </c>
      <c r="B2325">
        <v>202404</v>
      </c>
      <c r="C2325" t="str">
        <f>MID(analisis_productividad__4[[#This Row],[Periodo]],1,4)</f>
        <v>2024</v>
      </c>
      <c r="D2325" t="str">
        <f>MID(analisis_productividad__4[[#This Row],[Periodo]],5,2)</f>
        <v>04</v>
      </c>
      <c r="E2325" t="s">
        <v>16</v>
      </c>
      <c r="F2325" t="s">
        <v>21</v>
      </c>
      <c r="G2325">
        <v>69045</v>
      </c>
      <c r="H2325">
        <v>5627454</v>
      </c>
      <c r="I2325">
        <v>81.504645833333328</v>
      </c>
      <c r="J2325">
        <v>0</v>
      </c>
      <c r="K2325">
        <v>88.5</v>
      </c>
      <c r="L2325">
        <v>92.5</v>
      </c>
      <c r="N2325">
        <v>0</v>
      </c>
    </row>
    <row r="2326" spans="1:14" x14ac:dyDescent="0.35">
      <c r="A2326" t="s">
        <v>94</v>
      </c>
      <c r="B2326">
        <v>202401</v>
      </c>
      <c r="C2326" t="str">
        <f>MID(analisis_productividad__4[[#This Row],[Periodo]],1,4)</f>
        <v>2024</v>
      </c>
      <c r="D2326" t="str">
        <f>MID(analisis_productividad__4[[#This Row],[Periodo]],5,2)</f>
        <v>01</v>
      </c>
      <c r="E2326" t="s">
        <v>11</v>
      </c>
      <c r="F2326" t="s">
        <v>52</v>
      </c>
      <c r="G2326">
        <v>69021</v>
      </c>
      <c r="H2326">
        <v>5052296</v>
      </c>
      <c r="I2326">
        <v>73.199536290322541</v>
      </c>
      <c r="J2326">
        <v>0</v>
      </c>
      <c r="K2326">
        <v>75.5</v>
      </c>
      <c r="L2326">
        <v>70.5</v>
      </c>
      <c r="N2326">
        <v>0</v>
      </c>
    </row>
    <row r="2327" spans="1:14" x14ac:dyDescent="0.35">
      <c r="A2327" t="s">
        <v>98</v>
      </c>
      <c r="B2327">
        <v>202504</v>
      </c>
      <c r="C2327" t="str">
        <f>MID(analisis_productividad__4[[#This Row],[Periodo]],1,4)</f>
        <v>2025</v>
      </c>
      <c r="D2327" t="str">
        <f>MID(analisis_productividad__4[[#This Row],[Periodo]],5,2)</f>
        <v>04</v>
      </c>
      <c r="E2327" t="s">
        <v>11</v>
      </c>
      <c r="F2327" t="s">
        <v>14</v>
      </c>
      <c r="G2327">
        <v>68990</v>
      </c>
      <c r="H2327">
        <v>3569671</v>
      </c>
      <c r="I2327">
        <v>51.741763888888897</v>
      </c>
      <c r="J2327">
        <v>64328.061858291352</v>
      </c>
      <c r="K2327">
        <v>61.5</v>
      </c>
      <c r="L2327">
        <v>56</v>
      </c>
      <c r="M2327">
        <v>55.491655536951313</v>
      </c>
      <c r="N2327">
        <v>3964103</v>
      </c>
    </row>
    <row r="2328" spans="1:14" x14ac:dyDescent="0.35">
      <c r="A2328" t="s">
        <v>58</v>
      </c>
      <c r="B2328">
        <v>202502</v>
      </c>
      <c r="C2328" t="str">
        <f>MID(analisis_productividad__4[[#This Row],[Periodo]],1,4)</f>
        <v>2025</v>
      </c>
      <c r="D2328" t="str">
        <f>MID(analisis_productividad__4[[#This Row],[Periodo]],5,2)</f>
        <v>02</v>
      </c>
      <c r="E2328" t="s">
        <v>34</v>
      </c>
      <c r="F2328" t="s">
        <v>35</v>
      </c>
      <c r="G2328">
        <v>68981</v>
      </c>
      <c r="H2328">
        <v>3056310</v>
      </c>
      <c r="I2328">
        <v>44.306718750000002</v>
      </c>
      <c r="J2328">
        <v>74824.192578787304</v>
      </c>
      <c r="K2328">
        <v>53.5</v>
      </c>
      <c r="L2328">
        <v>52</v>
      </c>
      <c r="M2328">
        <v>40.846547816494109</v>
      </c>
      <c r="N2328">
        <v>3421756</v>
      </c>
    </row>
    <row r="2329" spans="1:14" x14ac:dyDescent="0.35">
      <c r="A2329" t="s">
        <v>113</v>
      </c>
      <c r="B2329">
        <v>202507</v>
      </c>
      <c r="C2329" t="str">
        <f>MID(analisis_productividad__4[[#This Row],[Periodo]],1,4)</f>
        <v>2025</v>
      </c>
      <c r="D2329" t="str">
        <f>MID(analisis_productividad__4[[#This Row],[Periodo]],5,2)</f>
        <v>07</v>
      </c>
      <c r="E2329" t="s">
        <v>9</v>
      </c>
      <c r="F2329" t="s">
        <v>9</v>
      </c>
      <c r="G2329">
        <v>68979</v>
      </c>
      <c r="H2329">
        <v>598305</v>
      </c>
      <c r="I2329">
        <v>8.673790322580647</v>
      </c>
      <c r="J2329">
        <v>68438.707285598284</v>
      </c>
      <c r="K2329">
        <v>11.5</v>
      </c>
      <c r="L2329">
        <v>10</v>
      </c>
      <c r="M2329">
        <v>8.7422044297716131</v>
      </c>
      <c r="N2329">
        <v>678355</v>
      </c>
    </row>
    <row r="2330" spans="1:14" x14ac:dyDescent="0.35">
      <c r="A2330" t="s">
        <v>77</v>
      </c>
      <c r="B2330">
        <v>202404</v>
      </c>
      <c r="C2330" t="str">
        <f>MID(analisis_productividad__4[[#This Row],[Periodo]],1,4)</f>
        <v>2024</v>
      </c>
      <c r="D2330" t="str">
        <f>MID(analisis_productividad__4[[#This Row],[Periodo]],5,2)</f>
        <v>04</v>
      </c>
      <c r="E2330" t="s">
        <v>16</v>
      </c>
      <c r="F2330" t="s">
        <v>21</v>
      </c>
      <c r="G2330">
        <v>68963</v>
      </c>
      <c r="H2330">
        <v>4550700</v>
      </c>
      <c r="I2330">
        <v>65.987444444444435</v>
      </c>
      <c r="J2330">
        <v>0</v>
      </c>
      <c r="K2330">
        <v>60.5</v>
      </c>
      <c r="L2330">
        <v>60.5</v>
      </c>
      <c r="N2330">
        <v>0</v>
      </c>
    </row>
    <row r="2331" spans="1:14" x14ac:dyDescent="0.35">
      <c r="A2331" t="s">
        <v>78</v>
      </c>
      <c r="B2331">
        <v>202506</v>
      </c>
      <c r="C2331" t="str">
        <f>MID(analisis_productividad__4[[#This Row],[Periodo]],1,4)</f>
        <v>2025</v>
      </c>
      <c r="D2331" t="str">
        <f>MID(analisis_productividad__4[[#This Row],[Periodo]],5,2)</f>
        <v>06</v>
      </c>
      <c r="E2331" t="s">
        <v>11</v>
      </c>
      <c r="F2331" t="s">
        <v>14</v>
      </c>
      <c r="G2331">
        <v>68942</v>
      </c>
      <c r="H2331">
        <v>4864150</v>
      </c>
      <c r="I2331">
        <v>70.553923611111102</v>
      </c>
      <c r="J2331">
        <v>79688.842944106204</v>
      </c>
      <c r="K2331">
        <v>79.5</v>
      </c>
      <c r="L2331">
        <v>67</v>
      </c>
      <c r="M2331">
        <v>61.039287939112356</v>
      </c>
      <c r="N2331">
        <v>5574830</v>
      </c>
    </row>
    <row r="2332" spans="1:14" x14ac:dyDescent="0.35">
      <c r="A2332" t="s">
        <v>88</v>
      </c>
      <c r="B2332">
        <v>202506</v>
      </c>
      <c r="C2332" t="str">
        <f>MID(analisis_productividad__4[[#This Row],[Periodo]],1,4)</f>
        <v>2025</v>
      </c>
      <c r="D2332" t="str">
        <f>MID(analisis_productividad__4[[#This Row],[Periodo]],5,2)</f>
        <v>06</v>
      </c>
      <c r="E2332" t="s">
        <v>34</v>
      </c>
      <c r="F2332" t="s">
        <v>35</v>
      </c>
      <c r="G2332">
        <v>68936</v>
      </c>
      <c r="H2332">
        <v>1033362</v>
      </c>
      <c r="I2332">
        <v>14.990159722222224</v>
      </c>
      <c r="J2332">
        <v>74900.673267326711</v>
      </c>
      <c r="K2332">
        <v>15.5</v>
      </c>
      <c r="L2332">
        <v>14.5</v>
      </c>
      <c r="M2332">
        <v>13.796425785277616</v>
      </c>
      <c r="N2332">
        <v>1086062</v>
      </c>
    </row>
    <row r="2333" spans="1:14" x14ac:dyDescent="0.35">
      <c r="A2333" t="s">
        <v>100</v>
      </c>
      <c r="B2333">
        <v>202404</v>
      </c>
      <c r="C2333" t="str">
        <f>MID(analisis_productividad__4[[#This Row],[Periodo]],1,4)</f>
        <v>2024</v>
      </c>
      <c r="D2333" t="str">
        <f>MID(analisis_productividad__4[[#This Row],[Periodo]],5,2)</f>
        <v>04</v>
      </c>
      <c r="E2333" t="s">
        <v>34</v>
      </c>
      <c r="F2333" t="s">
        <v>35</v>
      </c>
      <c r="G2333">
        <v>68909</v>
      </c>
      <c r="H2333">
        <v>2564931</v>
      </c>
      <c r="I2333">
        <v>37.221770833333338</v>
      </c>
      <c r="J2333">
        <v>0</v>
      </c>
      <c r="K2333">
        <v>44</v>
      </c>
      <c r="L2333">
        <v>40.5</v>
      </c>
      <c r="N2333">
        <v>0</v>
      </c>
    </row>
    <row r="2334" spans="1:14" x14ac:dyDescent="0.35">
      <c r="A2334" t="s">
        <v>103</v>
      </c>
      <c r="B2334">
        <v>202601</v>
      </c>
      <c r="C2334" t="str">
        <f>MID(analisis_productividad__4[[#This Row],[Periodo]],1,4)</f>
        <v>2026</v>
      </c>
      <c r="D2334" t="str">
        <f>MID(analisis_productividad__4[[#This Row],[Periodo]],5,2)</f>
        <v>01</v>
      </c>
      <c r="E2334" t="s">
        <v>104</v>
      </c>
      <c r="F2334" t="s">
        <v>104</v>
      </c>
      <c r="G2334">
        <v>68903</v>
      </c>
      <c r="H2334">
        <v>5175743</v>
      </c>
      <c r="I2334">
        <v>75.116162634408568</v>
      </c>
      <c r="J2334">
        <v>67196.4127157154</v>
      </c>
      <c r="K2334">
        <v>94</v>
      </c>
      <c r="L2334">
        <v>77.5</v>
      </c>
      <c r="M2334">
        <v>81.023149648384276</v>
      </c>
      <c r="N2334">
        <v>5444465</v>
      </c>
    </row>
    <row r="2335" spans="1:14" x14ac:dyDescent="0.35">
      <c r="A2335" t="s">
        <v>106</v>
      </c>
      <c r="B2335">
        <v>202404</v>
      </c>
      <c r="C2335" t="str">
        <f>MID(analisis_productividad__4[[#This Row],[Periodo]],1,4)</f>
        <v>2024</v>
      </c>
      <c r="D2335" t="str">
        <f>MID(analisis_productividad__4[[#This Row],[Periodo]],5,2)</f>
        <v>04</v>
      </c>
      <c r="E2335" t="s">
        <v>34</v>
      </c>
      <c r="F2335" t="s">
        <v>35</v>
      </c>
      <c r="G2335">
        <v>68807</v>
      </c>
      <c r="H2335">
        <v>3359027</v>
      </c>
      <c r="I2335">
        <v>48.817756944444447</v>
      </c>
      <c r="J2335">
        <v>0</v>
      </c>
      <c r="K2335">
        <v>51</v>
      </c>
      <c r="L2335">
        <v>49</v>
      </c>
      <c r="N2335">
        <v>0</v>
      </c>
    </row>
    <row r="2336" spans="1:14" x14ac:dyDescent="0.35">
      <c r="A2336" t="s">
        <v>119</v>
      </c>
      <c r="B2336">
        <v>202408</v>
      </c>
      <c r="C2336" t="str">
        <f>MID(analisis_productividad__4[[#This Row],[Periodo]],1,4)</f>
        <v>2024</v>
      </c>
      <c r="D2336" t="str">
        <f>MID(analisis_productividad__4[[#This Row],[Periodo]],5,2)</f>
        <v>08</v>
      </c>
      <c r="E2336" t="s">
        <v>16</v>
      </c>
      <c r="F2336" t="s">
        <v>21</v>
      </c>
      <c r="G2336">
        <v>68799</v>
      </c>
      <c r="H2336">
        <v>3556032</v>
      </c>
      <c r="I2336">
        <v>51.686908602150538</v>
      </c>
      <c r="J2336">
        <v>0</v>
      </c>
      <c r="K2336">
        <v>52.5</v>
      </c>
      <c r="L2336">
        <v>52.5</v>
      </c>
      <c r="N2336">
        <v>0</v>
      </c>
    </row>
    <row r="2337" spans="1:14" x14ac:dyDescent="0.35">
      <c r="A2337" t="s">
        <v>116</v>
      </c>
      <c r="B2337">
        <v>202605</v>
      </c>
      <c r="C2337" t="str">
        <f>MID(analisis_productividad__4[[#This Row],[Periodo]],1,4)</f>
        <v>2026</v>
      </c>
      <c r="D2337" t="str">
        <f>MID(analisis_productividad__4[[#This Row],[Periodo]],5,2)</f>
        <v>05</v>
      </c>
      <c r="E2337" t="s">
        <v>9</v>
      </c>
      <c r="F2337" t="s">
        <v>9</v>
      </c>
      <c r="G2337">
        <v>68767</v>
      </c>
      <c r="H2337">
        <v>657953</v>
      </c>
      <c r="I2337">
        <v>9.5677956989247388</v>
      </c>
      <c r="J2337">
        <v>61076.217754492849</v>
      </c>
      <c r="K2337">
        <v>11.5</v>
      </c>
      <c r="L2337">
        <v>10</v>
      </c>
      <c r="M2337">
        <v>10.042294324207418</v>
      </c>
      <c r="N2337">
        <v>613345</v>
      </c>
    </row>
    <row r="2338" spans="1:14" x14ac:dyDescent="0.35">
      <c r="A2338" t="s">
        <v>18</v>
      </c>
      <c r="B2338">
        <v>202509</v>
      </c>
      <c r="C2338" t="str">
        <f>MID(analisis_productividad__4[[#This Row],[Periodo]],1,4)</f>
        <v>2025</v>
      </c>
      <c r="D2338" t="str">
        <f>MID(analisis_productividad__4[[#This Row],[Periodo]],5,2)</f>
        <v>09</v>
      </c>
      <c r="E2338" t="s">
        <v>16</v>
      </c>
      <c r="F2338" t="s">
        <v>19</v>
      </c>
      <c r="G2338">
        <v>68734</v>
      </c>
      <c r="H2338">
        <v>4292560</v>
      </c>
      <c r="I2338">
        <v>62.452152777777805</v>
      </c>
      <c r="J2338">
        <v>75171.977769458725</v>
      </c>
      <c r="K2338">
        <v>70.5</v>
      </c>
      <c r="L2338">
        <v>69.5</v>
      </c>
      <c r="M2338">
        <v>57.103188945814921</v>
      </c>
      <c r="N2338">
        <v>4925299</v>
      </c>
    </row>
    <row r="2339" spans="1:14" x14ac:dyDescent="0.35">
      <c r="A2339" t="s">
        <v>85</v>
      </c>
      <c r="B2339">
        <v>202410</v>
      </c>
      <c r="C2339" t="str">
        <f>MID(analisis_productividad__4[[#This Row],[Periodo]],1,4)</f>
        <v>2024</v>
      </c>
      <c r="D2339" t="str">
        <f>MID(analisis_productividad__4[[#This Row],[Periodo]],5,2)</f>
        <v>10</v>
      </c>
      <c r="E2339" t="s">
        <v>11</v>
      </c>
      <c r="F2339" t="s">
        <v>14</v>
      </c>
      <c r="G2339">
        <v>68717</v>
      </c>
      <c r="H2339">
        <v>3492481</v>
      </c>
      <c r="I2339">
        <v>50.824422043010749</v>
      </c>
      <c r="J2339">
        <v>0</v>
      </c>
      <c r="K2339">
        <v>60.5</v>
      </c>
      <c r="L2339">
        <v>57.5</v>
      </c>
      <c r="N2339">
        <v>0</v>
      </c>
    </row>
    <row r="2340" spans="1:14" x14ac:dyDescent="0.35">
      <c r="A2340" t="s">
        <v>81</v>
      </c>
      <c r="B2340">
        <v>202502</v>
      </c>
      <c r="C2340" t="str">
        <f>MID(analisis_productividad__4[[#This Row],[Periodo]],1,4)</f>
        <v>2025</v>
      </c>
      <c r="D2340" t="str">
        <f>MID(analisis_productividad__4[[#This Row],[Periodo]],5,2)</f>
        <v>02</v>
      </c>
      <c r="E2340" t="s">
        <v>34</v>
      </c>
      <c r="F2340" t="s">
        <v>35</v>
      </c>
      <c r="G2340">
        <v>68621</v>
      </c>
      <c r="H2340">
        <v>6659969</v>
      </c>
      <c r="I2340">
        <v>97.053749999999994</v>
      </c>
      <c r="J2340">
        <v>83583.715735030972</v>
      </c>
      <c r="K2340">
        <v>106</v>
      </c>
      <c r="L2340">
        <v>94.5</v>
      </c>
      <c r="M2340">
        <v>79.680220859201711</v>
      </c>
      <c r="N2340">
        <v>6974699</v>
      </c>
    </row>
    <row r="2341" spans="1:14" x14ac:dyDescent="0.35">
      <c r="A2341" t="s">
        <v>89</v>
      </c>
      <c r="B2341">
        <v>202407</v>
      </c>
      <c r="C2341" t="str">
        <f>MID(analisis_productividad__4[[#This Row],[Periodo]],1,4)</f>
        <v>2024</v>
      </c>
      <c r="D2341" t="str">
        <f>MID(analisis_productividad__4[[#This Row],[Periodo]],5,2)</f>
        <v>07</v>
      </c>
      <c r="E2341" t="s">
        <v>9</v>
      </c>
      <c r="F2341" t="s">
        <v>9</v>
      </c>
      <c r="G2341">
        <v>68611</v>
      </c>
      <c r="H2341">
        <v>1072349</v>
      </c>
      <c r="I2341">
        <v>15.629334677419358</v>
      </c>
      <c r="J2341">
        <v>0</v>
      </c>
      <c r="K2341">
        <v>17</v>
      </c>
      <c r="L2341">
        <v>13.5</v>
      </c>
      <c r="N2341">
        <v>0</v>
      </c>
    </row>
    <row r="2342" spans="1:14" x14ac:dyDescent="0.35">
      <c r="A2342" t="s">
        <v>110</v>
      </c>
      <c r="B2342">
        <v>202603</v>
      </c>
      <c r="C2342" t="str">
        <f>MID(analisis_productividad__4[[#This Row],[Periodo]],1,4)</f>
        <v>2026</v>
      </c>
      <c r="D2342" t="str">
        <f>MID(analisis_productividad__4[[#This Row],[Periodo]],5,2)</f>
        <v>03</v>
      </c>
      <c r="E2342" t="s">
        <v>34</v>
      </c>
      <c r="F2342" t="s">
        <v>35</v>
      </c>
      <c r="G2342">
        <v>68611</v>
      </c>
      <c r="H2342">
        <v>2244985</v>
      </c>
      <c r="I2342">
        <v>32.72048387096774</v>
      </c>
      <c r="J2342">
        <v>68538.880218183403</v>
      </c>
      <c r="K2342">
        <v>41.5</v>
      </c>
      <c r="L2342">
        <v>43</v>
      </c>
      <c r="M2342">
        <v>33.730466012000377</v>
      </c>
      <c r="N2342">
        <v>2311848</v>
      </c>
    </row>
    <row r="2343" spans="1:14" x14ac:dyDescent="0.35">
      <c r="A2343" t="s">
        <v>73</v>
      </c>
      <c r="B2343">
        <v>202409</v>
      </c>
      <c r="C2343" t="str">
        <f>MID(analisis_productividad__4[[#This Row],[Periodo]],1,4)</f>
        <v>2024</v>
      </c>
      <c r="D2343" t="str">
        <f>MID(analisis_productividad__4[[#This Row],[Periodo]],5,2)</f>
        <v>09</v>
      </c>
      <c r="E2343" t="s">
        <v>16</v>
      </c>
      <c r="F2343" t="s">
        <v>21</v>
      </c>
      <c r="G2343">
        <v>68609</v>
      </c>
      <c r="H2343">
        <v>2688404</v>
      </c>
      <c r="I2343">
        <v>39.184590277777751</v>
      </c>
      <c r="J2343">
        <v>0</v>
      </c>
      <c r="K2343">
        <v>43.5</v>
      </c>
      <c r="L2343">
        <v>41</v>
      </c>
      <c r="N2343">
        <v>0</v>
      </c>
    </row>
    <row r="2344" spans="1:14" x14ac:dyDescent="0.35">
      <c r="A2344" t="s">
        <v>94</v>
      </c>
      <c r="B2344">
        <v>202411</v>
      </c>
      <c r="C2344" t="str">
        <f>MID(analisis_productividad__4[[#This Row],[Periodo]],1,4)</f>
        <v>2024</v>
      </c>
      <c r="D2344" t="str">
        <f>MID(analisis_productividad__4[[#This Row],[Periodo]],5,2)</f>
        <v>11</v>
      </c>
      <c r="E2344" t="s">
        <v>11</v>
      </c>
      <c r="F2344" t="s">
        <v>52</v>
      </c>
      <c r="G2344">
        <v>68589</v>
      </c>
      <c r="H2344">
        <v>5053187</v>
      </c>
      <c r="I2344">
        <v>73.673347222222233</v>
      </c>
      <c r="J2344">
        <v>0</v>
      </c>
      <c r="K2344">
        <v>75.5</v>
      </c>
      <c r="L2344">
        <v>70.5</v>
      </c>
      <c r="N2344">
        <v>0</v>
      </c>
    </row>
    <row r="2345" spans="1:14" x14ac:dyDescent="0.35">
      <c r="A2345" t="s">
        <v>58</v>
      </c>
      <c r="B2345">
        <v>202504</v>
      </c>
      <c r="C2345" t="str">
        <f>MID(analisis_productividad__4[[#This Row],[Periodo]],1,4)</f>
        <v>2025</v>
      </c>
      <c r="D2345" t="str">
        <f>MID(analisis_productividad__4[[#This Row],[Periodo]],5,2)</f>
        <v>04</v>
      </c>
      <c r="E2345" t="s">
        <v>34</v>
      </c>
      <c r="F2345" t="s">
        <v>35</v>
      </c>
      <c r="G2345">
        <v>68517</v>
      </c>
      <c r="H2345">
        <v>2984682</v>
      </c>
      <c r="I2345">
        <v>43.56143749999999</v>
      </c>
      <c r="J2345">
        <v>71378.63395667811</v>
      </c>
      <c r="K2345">
        <v>53.5</v>
      </c>
      <c r="L2345">
        <v>52</v>
      </c>
      <c r="M2345">
        <v>41.81478622596638</v>
      </c>
      <c r="N2345">
        <v>3139985</v>
      </c>
    </row>
    <row r="2346" spans="1:14" x14ac:dyDescent="0.35">
      <c r="A2346" t="s">
        <v>116</v>
      </c>
      <c r="B2346">
        <v>202603</v>
      </c>
      <c r="C2346" t="str">
        <f>MID(analisis_productividad__4[[#This Row],[Periodo]],1,4)</f>
        <v>2026</v>
      </c>
      <c r="D2346" t="str">
        <f>MID(analisis_productividad__4[[#This Row],[Periodo]],5,2)</f>
        <v>03</v>
      </c>
      <c r="E2346" t="s">
        <v>9</v>
      </c>
      <c r="F2346" t="s">
        <v>9</v>
      </c>
      <c r="G2346">
        <v>68503</v>
      </c>
      <c r="H2346">
        <v>707382</v>
      </c>
      <c r="I2346">
        <v>10.326223118279572</v>
      </c>
      <c r="J2346">
        <v>71490.500340086583</v>
      </c>
      <c r="K2346">
        <v>11.5</v>
      </c>
      <c r="L2346">
        <v>10</v>
      </c>
      <c r="M2346">
        <v>10.042294324207418</v>
      </c>
      <c r="N2346">
        <v>717929</v>
      </c>
    </row>
    <row r="2347" spans="1:14" x14ac:dyDescent="0.35">
      <c r="A2347" t="s">
        <v>95</v>
      </c>
      <c r="B2347">
        <v>202503</v>
      </c>
      <c r="C2347" t="str">
        <f>MID(analisis_productividad__4[[#This Row],[Periodo]],1,4)</f>
        <v>2025</v>
      </c>
      <c r="D2347" t="str">
        <f>MID(analisis_productividad__4[[#This Row],[Periodo]],5,2)</f>
        <v>03</v>
      </c>
      <c r="E2347" t="s">
        <v>9</v>
      </c>
      <c r="F2347" t="s">
        <v>9</v>
      </c>
      <c r="G2347">
        <v>68484</v>
      </c>
      <c r="H2347">
        <v>686383</v>
      </c>
      <c r="I2347">
        <v>10.022466397849465</v>
      </c>
      <c r="J2347">
        <v>80092.759516213366</v>
      </c>
      <c r="K2347">
        <v>11</v>
      </c>
      <c r="L2347">
        <v>11</v>
      </c>
      <c r="M2347">
        <v>8.5698490618375303</v>
      </c>
      <c r="N2347">
        <v>745290</v>
      </c>
    </row>
    <row r="2348" spans="1:14" x14ac:dyDescent="0.35">
      <c r="A2348" t="s">
        <v>119</v>
      </c>
      <c r="B2348">
        <v>202505</v>
      </c>
      <c r="C2348" t="str">
        <f>MID(analisis_productividad__4[[#This Row],[Periodo]],1,4)</f>
        <v>2025</v>
      </c>
      <c r="D2348" t="str">
        <f>MID(analisis_productividad__4[[#This Row],[Periodo]],5,2)</f>
        <v>05</v>
      </c>
      <c r="E2348" t="s">
        <v>16</v>
      </c>
      <c r="F2348" t="s">
        <v>21</v>
      </c>
      <c r="G2348">
        <v>68483</v>
      </c>
      <c r="H2348">
        <v>3411281</v>
      </c>
      <c r="I2348">
        <v>49.812385752688165</v>
      </c>
      <c r="J2348">
        <v>59330.737594184888</v>
      </c>
      <c r="K2348">
        <v>52.5</v>
      </c>
      <c r="L2348">
        <v>52.5</v>
      </c>
      <c r="M2348">
        <v>57.496022269818297</v>
      </c>
      <c r="N2348">
        <v>3467483</v>
      </c>
    </row>
    <row r="2349" spans="1:14" x14ac:dyDescent="0.35">
      <c r="A2349" t="s">
        <v>58</v>
      </c>
      <c r="B2349">
        <v>202510</v>
      </c>
      <c r="C2349" t="str">
        <f>MID(analisis_productividad__4[[#This Row],[Periodo]],1,4)</f>
        <v>2025</v>
      </c>
      <c r="D2349" t="str">
        <f>MID(analisis_productividad__4[[#This Row],[Periodo]],5,2)</f>
        <v>10</v>
      </c>
      <c r="E2349" t="s">
        <v>34</v>
      </c>
      <c r="F2349" t="s">
        <v>35</v>
      </c>
      <c r="G2349">
        <v>68466</v>
      </c>
      <c r="H2349">
        <v>2795187</v>
      </c>
      <c r="I2349">
        <v>40.826182795698926</v>
      </c>
      <c r="J2349">
        <v>72817.453628280811</v>
      </c>
      <c r="K2349">
        <v>53.5</v>
      </c>
      <c r="L2349">
        <v>52</v>
      </c>
      <c r="M2349">
        <v>38.38621993387595</v>
      </c>
      <c r="N2349">
        <v>3327061</v>
      </c>
    </row>
    <row r="2350" spans="1:14" x14ac:dyDescent="0.35">
      <c r="A2350" t="s">
        <v>120</v>
      </c>
      <c r="B2350">
        <v>202508</v>
      </c>
      <c r="C2350" t="str">
        <f>MID(analisis_productividad__4[[#This Row],[Periodo]],1,4)</f>
        <v>2025</v>
      </c>
      <c r="D2350" t="str">
        <f>MID(analisis_productividad__4[[#This Row],[Periodo]],5,2)</f>
        <v>08</v>
      </c>
      <c r="E2350" t="s">
        <v>9</v>
      </c>
      <c r="F2350" t="s">
        <v>9</v>
      </c>
      <c r="G2350">
        <v>68421</v>
      </c>
      <c r="H2350">
        <v>686361</v>
      </c>
      <c r="I2350">
        <v>10.031404569892471</v>
      </c>
      <c r="J2350">
        <v>80955.405872449803</v>
      </c>
      <c r="K2350">
        <v>11.5</v>
      </c>
      <c r="L2350">
        <v>12</v>
      </c>
      <c r="M2350">
        <v>8.478263095628277</v>
      </c>
      <c r="N2350">
        <v>829307</v>
      </c>
    </row>
    <row r="2351" spans="1:14" x14ac:dyDescent="0.35">
      <c r="A2351" t="s">
        <v>102</v>
      </c>
      <c r="B2351">
        <v>202403</v>
      </c>
      <c r="C2351" t="str">
        <f>MID(analisis_productividad__4[[#This Row],[Periodo]],1,4)</f>
        <v>2024</v>
      </c>
      <c r="D2351" t="str">
        <f>MID(analisis_productividad__4[[#This Row],[Periodo]],5,2)</f>
        <v>03</v>
      </c>
      <c r="E2351" t="s">
        <v>11</v>
      </c>
      <c r="F2351" t="s">
        <v>12</v>
      </c>
      <c r="G2351">
        <v>68419</v>
      </c>
      <c r="H2351">
        <v>2416952</v>
      </c>
      <c r="I2351">
        <v>35.32558467741935</v>
      </c>
      <c r="J2351">
        <v>0</v>
      </c>
      <c r="K2351">
        <v>34</v>
      </c>
      <c r="L2351">
        <v>34</v>
      </c>
      <c r="N2351">
        <v>0</v>
      </c>
    </row>
    <row r="2352" spans="1:14" x14ac:dyDescent="0.35">
      <c r="A2352" t="s">
        <v>114</v>
      </c>
      <c r="B2352">
        <v>202403</v>
      </c>
      <c r="C2352" t="str">
        <f>MID(analisis_productividad__4[[#This Row],[Periodo]],1,4)</f>
        <v>2024</v>
      </c>
      <c r="D2352" t="str">
        <f>MID(analisis_productividad__4[[#This Row],[Periodo]],5,2)</f>
        <v>03</v>
      </c>
      <c r="E2352" t="s">
        <v>9</v>
      </c>
      <c r="F2352" t="s">
        <v>9</v>
      </c>
      <c r="G2352">
        <v>68396</v>
      </c>
      <c r="H2352">
        <v>1041441</v>
      </c>
      <c r="I2352">
        <v>15.226646505376346</v>
      </c>
      <c r="J2352">
        <v>0</v>
      </c>
      <c r="K2352">
        <v>13.5</v>
      </c>
      <c r="L2352">
        <v>14.5</v>
      </c>
      <c r="N2352">
        <v>0</v>
      </c>
    </row>
    <row r="2353" spans="1:14" x14ac:dyDescent="0.35">
      <c r="A2353" t="s">
        <v>83</v>
      </c>
      <c r="B2353">
        <v>202405</v>
      </c>
      <c r="C2353" t="str">
        <f>MID(analisis_productividad__4[[#This Row],[Periodo]],1,4)</f>
        <v>2024</v>
      </c>
      <c r="D2353" t="str">
        <f>MID(analisis_productividad__4[[#This Row],[Periodo]],5,2)</f>
        <v>05</v>
      </c>
      <c r="E2353" t="s">
        <v>16</v>
      </c>
      <c r="F2353" t="s">
        <v>17</v>
      </c>
      <c r="G2353">
        <v>68359</v>
      </c>
      <c r="H2353">
        <v>3408610</v>
      </c>
      <c r="I2353">
        <v>49.863192204301079</v>
      </c>
      <c r="J2353">
        <v>0</v>
      </c>
      <c r="K2353">
        <v>52</v>
      </c>
      <c r="L2353">
        <v>52</v>
      </c>
      <c r="N2353">
        <v>0</v>
      </c>
    </row>
    <row r="2354" spans="1:14" x14ac:dyDescent="0.35">
      <c r="A2354" t="s">
        <v>100</v>
      </c>
      <c r="B2354">
        <v>202502</v>
      </c>
      <c r="C2354" t="str">
        <f>MID(analisis_productividad__4[[#This Row],[Periodo]],1,4)</f>
        <v>2025</v>
      </c>
      <c r="D2354" t="str">
        <f>MID(analisis_productividad__4[[#This Row],[Periodo]],5,2)</f>
        <v>02</v>
      </c>
      <c r="E2354" t="s">
        <v>34</v>
      </c>
      <c r="F2354" t="s">
        <v>35</v>
      </c>
      <c r="G2354">
        <v>68342</v>
      </c>
      <c r="H2354">
        <v>2406858</v>
      </c>
      <c r="I2354">
        <v>35.217968750000004</v>
      </c>
      <c r="J2354">
        <v>75126.74506948929</v>
      </c>
      <c r="K2354">
        <v>44</v>
      </c>
      <c r="L2354">
        <v>40.5</v>
      </c>
      <c r="M2354">
        <v>32.037302797742008</v>
      </c>
      <c r="N2354">
        <v>2496087</v>
      </c>
    </row>
    <row r="2355" spans="1:14" x14ac:dyDescent="0.35">
      <c r="A2355" t="s">
        <v>118</v>
      </c>
      <c r="B2355">
        <v>202503</v>
      </c>
      <c r="C2355" t="str">
        <f>MID(analisis_productividad__4[[#This Row],[Periodo]],1,4)</f>
        <v>2025</v>
      </c>
      <c r="D2355" t="str">
        <f>MID(analisis_productividad__4[[#This Row],[Periodo]],5,2)</f>
        <v>03</v>
      </c>
      <c r="E2355" t="s">
        <v>34</v>
      </c>
      <c r="F2355" t="s">
        <v>35</v>
      </c>
      <c r="G2355">
        <v>68339</v>
      </c>
      <c r="H2355">
        <v>1319679</v>
      </c>
      <c r="I2355">
        <v>19.310685483870966</v>
      </c>
      <c r="J2355">
        <v>71216.252269302175</v>
      </c>
      <c r="K2355">
        <v>19</v>
      </c>
      <c r="L2355">
        <v>21.5</v>
      </c>
      <c r="M2355">
        <v>18.530591514555848</v>
      </c>
      <c r="N2355">
        <v>1421687</v>
      </c>
    </row>
    <row r="2356" spans="1:14" x14ac:dyDescent="0.35">
      <c r="A2356" t="s">
        <v>78</v>
      </c>
      <c r="B2356">
        <v>202510</v>
      </c>
      <c r="C2356" t="str">
        <f>MID(analisis_productividad__4[[#This Row],[Periodo]],1,4)</f>
        <v>2025</v>
      </c>
      <c r="D2356" t="str">
        <f>MID(analisis_productividad__4[[#This Row],[Periodo]],5,2)</f>
        <v>10</v>
      </c>
      <c r="E2356" t="s">
        <v>11</v>
      </c>
      <c r="F2356" t="s">
        <v>14</v>
      </c>
      <c r="G2356">
        <v>68262</v>
      </c>
      <c r="H2356">
        <v>4516043</v>
      </c>
      <c r="I2356">
        <v>66.157244623655913</v>
      </c>
      <c r="J2356">
        <v>72723.172830190728</v>
      </c>
      <c r="K2356">
        <v>79.5</v>
      </c>
      <c r="L2356">
        <v>67</v>
      </c>
      <c r="M2356">
        <v>62.099085398061511</v>
      </c>
      <c r="N2356">
        <v>5292564</v>
      </c>
    </row>
    <row r="2357" spans="1:14" x14ac:dyDescent="0.35">
      <c r="A2357" t="s">
        <v>116</v>
      </c>
      <c r="B2357">
        <v>202401</v>
      </c>
      <c r="C2357" t="str">
        <f>MID(analisis_productividad__4[[#This Row],[Periodo]],1,4)</f>
        <v>2024</v>
      </c>
      <c r="D2357" t="str">
        <f>MID(analisis_productividad__4[[#This Row],[Periodo]],5,2)</f>
        <v>01</v>
      </c>
      <c r="E2357" t="s">
        <v>9</v>
      </c>
      <c r="F2357" t="s">
        <v>9</v>
      </c>
      <c r="G2357">
        <v>68258</v>
      </c>
      <c r="H2357">
        <v>709637</v>
      </c>
      <c r="I2357">
        <v>10.396317204301075</v>
      </c>
      <c r="J2357">
        <v>0</v>
      </c>
      <c r="K2357">
        <v>11.5</v>
      </c>
      <c r="L2357">
        <v>10</v>
      </c>
      <c r="N2357">
        <v>0</v>
      </c>
    </row>
    <row r="2358" spans="1:14" x14ac:dyDescent="0.35">
      <c r="A2358" t="s">
        <v>113</v>
      </c>
      <c r="B2358">
        <v>202606</v>
      </c>
      <c r="C2358" t="str">
        <f>MID(analisis_productividad__4[[#This Row],[Periodo]],1,4)</f>
        <v>2026</v>
      </c>
      <c r="D2358" t="str">
        <f>MID(analisis_productividad__4[[#This Row],[Periodo]],5,2)</f>
        <v>06</v>
      </c>
      <c r="E2358" t="s">
        <v>9</v>
      </c>
      <c r="F2358" t="s">
        <v>9</v>
      </c>
      <c r="G2358">
        <v>68246</v>
      </c>
      <c r="H2358">
        <v>592249</v>
      </c>
      <c r="I2358">
        <v>8.6781041666666745</v>
      </c>
      <c r="J2358">
        <v>53792.800664865514</v>
      </c>
      <c r="K2358">
        <v>11.5</v>
      </c>
      <c r="L2358">
        <v>10</v>
      </c>
      <c r="M2358">
        <v>10.042294324207418</v>
      </c>
      <c r="N2358">
        <v>540203</v>
      </c>
    </row>
    <row r="2359" spans="1:14" x14ac:dyDescent="0.35">
      <c r="A2359" t="s">
        <v>103</v>
      </c>
      <c r="B2359">
        <v>202408</v>
      </c>
      <c r="C2359" t="str">
        <f>MID(analisis_productividad__4[[#This Row],[Periodo]],1,4)</f>
        <v>2024</v>
      </c>
      <c r="D2359" t="str">
        <f>MID(analisis_productividad__4[[#This Row],[Periodo]],5,2)</f>
        <v>08</v>
      </c>
      <c r="E2359" t="s">
        <v>104</v>
      </c>
      <c r="F2359" t="s">
        <v>104</v>
      </c>
      <c r="G2359">
        <v>68178</v>
      </c>
      <c r="H2359">
        <v>5388798</v>
      </c>
      <c r="I2359">
        <v>79.040067204301081</v>
      </c>
      <c r="J2359">
        <v>0</v>
      </c>
      <c r="K2359">
        <v>94</v>
      </c>
      <c r="L2359">
        <v>77.5</v>
      </c>
      <c r="N2359">
        <v>0</v>
      </c>
    </row>
    <row r="2360" spans="1:14" x14ac:dyDescent="0.35">
      <c r="A2360" t="s">
        <v>90</v>
      </c>
      <c r="B2360">
        <v>202406</v>
      </c>
      <c r="C2360" t="str">
        <f>MID(analisis_productividad__4[[#This Row],[Periodo]],1,4)</f>
        <v>2024</v>
      </c>
      <c r="D2360" t="str">
        <f>MID(analisis_productividad__4[[#This Row],[Periodo]],5,2)</f>
        <v>06</v>
      </c>
      <c r="E2360" t="s">
        <v>11</v>
      </c>
      <c r="F2360" t="s">
        <v>14</v>
      </c>
      <c r="G2360">
        <v>68167</v>
      </c>
      <c r="H2360">
        <v>5714080</v>
      </c>
      <c r="I2360">
        <v>83.825097222222226</v>
      </c>
      <c r="J2360">
        <v>0</v>
      </c>
      <c r="K2360">
        <v>84.5</v>
      </c>
      <c r="L2360">
        <v>78.5</v>
      </c>
      <c r="N2360">
        <v>0</v>
      </c>
    </row>
    <row r="2361" spans="1:14" x14ac:dyDescent="0.35">
      <c r="A2361" t="s">
        <v>116</v>
      </c>
      <c r="B2361">
        <v>202403</v>
      </c>
      <c r="C2361" t="str">
        <f>MID(analisis_productividad__4[[#This Row],[Periodo]],1,4)</f>
        <v>2024</v>
      </c>
      <c r="D2361" t="str">
        <f>MID(analisis_productividad__4[[#This Row],[Periodo]],5,2)</f>
        <v>03</v>
      </c>
      <c r="E2361" t="s">
        <v>9</v>
      </c>
      <c r="F2361" t="s">
        <v>9</v>
      </c>
      <c r="G2361">
        <v>68146</v>
      </c>
      <c r="H2361">
        <v>778503</v>
      </c>
      <c r="I2361">
        <v>11.424018817204304</v>
      </c>
      <c r="J2361">
        <v>0</v>
      </c>
      <c r="K2361">
        <v>11.5</v>
      </c>
      <c r="L2361">
        <v>10</v>
      </c>
      <c r="N2361">
        <v>0</v>
      </c>
    </row>
    <row r="2362" spans="1:14" x14ac:dyDescent="0.35">
      <c r="A2362" t="s">
        <v>111</v>
      </c>
      <c r="B2362">
        <v>202503</v>
      </c>
      <c r="C2362" t="str">
        <f>MID(analisis_productividad__4[[#This Row],[Periodo]],1,4)</f>
        <v>2025</v>
      </c>
      <c r="D2362" t="str">
        <f>MID(analisis_productividad__4[[#This Row],[Periodo]],5,2)</f>
        <v>03</v>
      </c>
      <c r="E2362" t="s">
        <v>34</v>
      </c>
      <c r="F2362" t="s">
        <v>35</v>
      </c>
      <c r="G2362">
        <v>68114</v>
      </c>
      <c r="H2362">
        <v>2551029</v>
      </c>
      <c r="I2362">
        <v>37.452446236559133</v>
      </c>
      <c r="J2362">
        <v>63044.220982479579</v>
      </c>
      <c r="K2362">
        <v>45.5</v>
      </c>
      <c r="L2362">
        <v>42.5</v>
      </c>
      <c r="M2362">
        <v>40.464126770778066</v>
      </c>
      <c r="N2362">
        <v>2645582</v>
      </c>
    </row>
    <row r="2363" spans="1:14" x14ac:dyDescent="0.35">
      <c r="A2363" t="s">
        <v>117</v>
      </c>
      <c r="B2363">
        <v>202603</v>
      </c>
      <c r="C2363" t="str">
        <f>MID(analisis_productividad__4[[#This Row],[Periodo]],1,4)</f>
        <v>2026</v>
      </c>
      <c r="D2363" t="str">
        <f>MID(analisis_productividad__4[[#This Row],[Periodo]],5,2)</f>
        <v>03</v>
      </c>
      <c r="E2363" t="s">
        <v>104</v>
      </c>
      <c r="F2363" t="s">
        <v>104</v>
      </c>
      <c r="G2363">
        <v>68100</v>
      </c>
      <c r="H2363">
        <v>3979052</v>
      </c>
      <c r="I2363">
        <v>58.429865591397864</v>
      </c>
      <c r="J2363">
        <v>63702.456785033522</v>
      </c>
      <c r="K2363">
        <v>66</v>
      </c>
      <c r="L2363">
        <v>65.5</v>
      </c>
      <c r="M2363">
        <v>58.116081161406527</v>
      </c>
      <c r="N2363">
        <v>3702137</v>
      </c>
    </row>
    <row r="2364" spans="1:14" x14ac:dyDescent="0.35">
      <c r="A2364" t="s">
        <v>18</v>
      </c>
      <c r="B2364">
        <v>202506</v>
      </c>
      <c r="C2364" t="str">
        <f>MID(analisis_productividad__4[[#This Row],[Periodo]],1,4)</f>
        <v>2025</v>
      </c>
      <c r="D2364" t="str">
        <f>MID(analisis_productividad__4[[#This Row],[Periodo]],5,2)</f>
        <v>06</v>
      </c>
      <c r="E2364" t="s">
        <v>16</v>
      </c>
      <c r="F2364" t="s">
        <v>19</v>
      </c>
      <c r="G2364">
        <v>68083</v>
      </c>
      <c r="H2364">
        <v>4488061</v>
      </c>
      <c r="I2364">
        <v>65.920069444444437</v>
      </c>
      <c r="J2364">
        <v>80288.078520513984</v>
      </c>
      <c r="K2364">
        <v>70.5</v>
      </c>
      <c r="L2364">
        <v>69.5</v>
      </c>
      <c r="M2364">
        <v>55.899470166710728</v>
      </c>
      <c r="N2364">
        <v>4828109</v>
      </c>
    </row>
    <row r="2365" spans="1:14" x14ac:dyDescent="0.35">
      <c r="A2365" t="s">
        <v>100</v>
      </c>
      <c r="B2365">
        <v>202501</v>
      </c>
      <c r="C2365" t="str">
        <f>MID(analisis_productividad__4[[#This Row],[Periodo]],1,4)</f>
        <v>2025</v>
      </c>
      <c r="D2365" t="str">
        <f>MID(analisis_productividad__4[[#This Row],[Periodo]],5,2)</f>
        <v>01</v>
      </c>
      <c r="E2365" t="s">
        <v>34</v>
      </c>
      <c r="F2365" t="s">
        <v>35</v>
      </c>
      <c r="G2365">
        <v>68081</v>
      </c>
      <c r="H2365">
        <v>2516043</v>
      </c>
      <c r="I2365">
        <v>36.956801075268828</v>
      </c>
      <c r="J2365">
        <v>76947.930524732437</v>
      </c>
      <c r="K2365">
        <v>44</v>
      </c>
      <c r="L2365">
        <v>40.5</v>
      </c>
      <c r="M2365">
        <v>32.697991392910801</v>
      </c>
      <c r="N2365">
        <v>2720340</v>
      </c>
    </row>
    <row r="2366" spans="1:14" x14ac:dyDescent="0.35">
      <c r="A2366" t="s">
        <v>94</v>
      </c>
      <c r="B2366">
        <v>202409</v>
      </c>
      <c r="C2366" t="str">
        <f>MID(analisis_productividad__4[[#This Row],[Periodo]],1,4)</f>
        <v>2024</v>
      </c>
      <c r="D2366" t="str">
        <f>MID(analisis_productividad__4[[#This Row],[Periodo]],5,2)</f>
        <v>09</v>
      </c>
      <c r="E2366" t="s">
        <v>11</v>
      </c>
      <c r="F2366" t="s">
        <v>52</v>
      </c>
      <c r="G2366">
        <v>68075</v>
      </c>
      <c r="H2366">
        <v>4742536</v>
      </c>
      <c r="I2366">
        <v>69.66589583333338</v>
      </c>
      <c r="J2366">
        <v>0</v>
      </c>
      <c r="K2366">
        <v>75.5</v>
      </c>
      <c r="L2366">
        <v>70.5</v>
      </c>
      <c r="N2366">
        <v>0</v>
      </c>
    </row>
    <row r="2367" spans="1:14" x14ac:dyDescent="0.35">
      <c r="A2367" t="s">
        <v>59</v>
      </c>
      <c r="B2367">
        <v>202502</v>
      </c>
      <c r="C2367" t="str">
        <f>MID(analisis_productividad__4[[#This Row],[Periodo]],1,4)</f>
        <v>2025</v>
      </c>
      <c r="D2367" t="str">
        <f>MID(analisis_productividad__4[[#This Row],[Periodo]],5,2)</f>
        <v>02</v>
      </c>
      <c r="E2367" t="s">
        <v>11</v>
      </c>
      <c r="F2367" t="s">
        <v>12</v>
      </c>
      <c r="G2367">
        <v>68029</v>
      </c>
      <c r="H2367">
        <v>5721232</v>
      </c>
      <c r="I2367">
        <v>84.099947916666665</v>
      </c>
      <c r="J2367">
        <v>80481.167801453019</v>
      </c>
      <c r="K2367">
        <v>94.5</v>
      </c>
      <c r="L2367">
        <v>97</v>
      </c>
      <c r="M2367">
        <v>71.087833542801931</v>
      </c>
      <c r="N2367">
        <v>7170208</v>
      </c>
    </row>
    <row r="2368" spans="1:14" x14ac:dyDescent="0.35">
      <c r="A2368" t="s">
        <v>109</v>
      </c>
      <c r="B2368">
        <v>202409</v>
      </c>
      <c r="C2368" t="str">
        <f>MID(analisis_productividad__4[[#This Row],[Periodo]],1,4)</f>
        <v>2024</v>
      </c>
      <c r="D2368" t="str">
        <f>MID(analisis_productividad__4[[#This Row],[Periodo]],5,2)</f>
        <v>09</v>
      </c>
      <c r="E2368" t="s">
        <v>9</v>
      </c>
      <c r="F2368" t="s">
        <v>9</v>
      </c>
      <c r="G2368">
        <v>68012</v>
      </c>
      <c r="H2368">
        <v>528126</v>
      </c>
      <c r="I2368">
        <v>7.7651875000000006</v>
      </c>
      <c r="J2368">
        <v>0</v>
      </c>
      <c r="K2368">
        <v>10</v>
      </c>
      <c r="L2368">
        <v>9</v>
      </c>
      <c r="N2368">
        <v>0</v>
      </c>
    </row>
    <row r="2369" spans="1:14" x14ac:dyDescent="0.35">
      <c r="A2369" t="s">
        <v>112</v>
      </c>
      <c r="B2369">
        <v>202511</v>
      </c>
      <c r="C2369" t="str">
        <f>MID(analisis_productividad__4[[#This Row],[Periodo]],1,4)</f>
        <v>2025</v>
      </c>
      <c r="D2369" t="str">
        <f>MID(analisis_productividad__4[[#This Row],[Periodo]],5,2)</f>
        <v>11</v>
      </c>
      <c r="E2369" t="s">
        <v>34</v>
      </c>
      <c r="F2369" t="s">
        <v>35</v>
      </c>
      <c r="G2369">
        <v>68009</v>
      </c>
      <c r="H2369">
        <v>1650909</v>
      </c>
      <c r="I2369">
        <v>24.274784722222218</v>
      </c>
      <c r="J2369">
        <v>68980.111963511372</v>
      </c>
      <c r="K2369">
        <v>31</v>
      </c>
      <c r="L2369">
        <v>27</v>
      </c>
      <c r="M2369">
        <v>23.93311612589563</v>
      </c>
      <c r="N2369">
        <v>1579422</v>
      </c>
    </row>
    <row r="2370" spans="1:14" x14ac:dyDescent="0.35">
      <c r="A2370" t="s">
        <v>118</v>
      </c>
      <c r="B2370">
        <v>202601</v>
      </c>
      <c r="C2370" t="str">
        <f>MID(analisis_productividad__4[[#This Row],[Periodo]],1,4)</f>
        <v>2026</v>
      </c>
      <c r="D2370" t="str">
        <f>MID(analisis_productividad__4[[#This Row],[Periodo]],5,2)</f>
        <v>01</v>
      </c>
      <c r="E2370" t="s">
        <v>34</v>
      </c>
      <c r="F2370" t="s">
        <v>35</v>
      </c>
      <c r="G2370">
        <v>68004</v>
      </c>
      <c r="H2370">
        <v>1117393</v>
      </c>
      <c r="I2370">
        <v>16.431323924731185</v>
      </c>
      <c r="J2370">
        <v>65993.62656648735</v>
      </c>
      <c r="K2370">
        <v>19</v>
      </c>
      <c r="L2370">
        <v>21.5</v>
      </c>
      <c r="M2370">
        <v>17.464859694273773</v>
      </c>
      <c r="N2370">
        <v>1152569</v>
      </c>
    </row>
    <row r="2371" spans="1:14" x14ac:dyDescent="0.35">
      <c r="A2371" t="s">
        <v>100</v>
      </c>
      <c r="B2371">
        <v>202411</v>
      </c>
      <c r="C2371" t="str">
        <f>MID(analisis_productividad__4[[#This Row],[Periodo]],1,4)</f>
        <v>2024</v>
      </c>
      <c r="D2371" t="str">
        <f>MID(analisis_productividad__4[[#This Row],[Periodo]],5,2)</f>
        <v>11</v>
      </c>
      <c r="E2371" t="s">
        <v>34</v>
      </c>
      <c r="F2371" t="s">
        <v>35</v>
      </c>
      <c r="G2371">
        <v>67986</v>
      </c>
      <c r="H2371">
        <v>2567285</v>
      </c>
      <c r="I2371">
        <v>37.762131944444448</v>
      </c>
      <c r="J2371">
        <v>0</v>
      </c>
      <c r="K2371">
        <v>44</v>
      </c>
      <c r="L2371">
        <v>40.5</v>
      </c>
      <c r="N2371">
        <v>0</v>
      </c>
    </row>
    <row r="2372" spans="1:14" x14ac:dyDescent="0.35">
      <c r="A2372" t="s">
        <v>112</v>
      </c>
      <c r="B2372">
        <v>202407</v>
      </c>
      <c r="C2372" t="str">
        <f>MID(analisis_productividad__4[[#This Row],[Periodo]],1,4)</f>
        <v>2024</v>
      </c>
      <c r="D2372" t="str">
        <f>MID(analisis_productividad__4[[#This Row],[Periodo]],5,2)</f>
        <v>07</v>
      </c>
      <c r="E2372" t="s">
        <v>34</v>
      </c>
      <c r="F2372" t="s">
        <v>35</v>
      </c>
      <c r="G2372">
        <v>67984</v>
      </c>
      <c r="H2372">
        <v>1757976</v>
      </c>
      <c r="I2372">
        <v>25.858649193548384</v>
      </c>
      <c r="J2372">
        <v>0</v>
      </c>
      <c r="K2372">
        <v>31</v>
      </c>
      <c r="L2372">
        <v>27</v>
      </c>
      <c r="N2372">
        <v>0</v>
      </c>
    </row>
    <row r="2373" spans="1:14" x14ac:dyDescent="0.35">
      <c r="A2373" t="s">
        <v>58</v>
      </c>
      <c r="B2373">
        <v>202404</v>
      </c>
      <c r="C2373" t="str">
        <f>MID(analisis_productividad__4[[#This Row],[Periodo]],1,4)</f>
        <v>2024</v>
      </c>
      <c r="D2373" t="str">
        <f>MID(analisis_productividad__4[[#This Row],[Periodo]],5,2)</f>
        <v>04</v>
      </c>
      <c r="E2373" t="s">
        <v>34</v>
      </c>
      <c r="F2373" t="s">
        <v>35</v>
      </c>
      <c r="G2373">
        <v>67980</v>
      </c>
      <c r="H2373">
        <v>3227990</v>
      </c>
      <c r="I2373">
        <v>47.484645833333332</v>
      </c>
      <c r="J2373">
        <v>0</v>
      </c>
      <c r="K2373">
        <v>53.5</v>
      </c>
      <c r="L2373">
        <v>52</v>
      </c>
      <c r="N2373">
        <v>0</v>
      </c>
    </row>
    <row r="2374" spans="1:14" x14ac:dyDescent="0.35">
      <c r="A2374" t="s">
        <v>100</v>
      </c>
      <c r="B2374">
        <v>202507</v>
      </c>
      <c r="C2374" t="str">
        <f>MID(analisis_productividad__4[[#This Row],[Periodo]],1,4)</f>
        <v>2025</v>
      </c>
      <c r="D2374" t="str">
        <f>MID(analisis_productividad__4[[#This Row],[Periodo]],5,2)</f>
        <v>07</v>
      </c>
      <c r="E2374" t="s">
        <v>34</v>
      </c>
      <c r="F2374" t="s">
        <v>35</v>
      </c>
      <c r="G2374">
        <v>67976</v>
      </c>
      <c r="H2374">
        <v>2465488</v>
      </c>
      <c r="I2374">
        <v>36.270020161290326</v>
      </c>
      <c r="J2374">
        <v>73181.619797208215</v>
      </c>
      <c r="K2374">
        <v>44</v>
      </c>
      <c r="L2374">
        <v>40.5</v>
      </c>
      <c r="M2374">
        <v>33.689988235188743</v>
      </c>
      <c r="N2374">
        <v>2696459</v>
      </c>
    </row>
    <row r="2375" spans="1:14" x14ac:dyDescent="0.35">
      <c r="A2375" t="s">
        <v>64</v>
      </c>
      <c r="B2375">
        <v>202504</v>
      </c>
      <c r="C2375" t="str">
        <f>MID(analisis_productividad__4[[#This Row],[Periodo]],1,4)</f>
        <v>2025</v>
      </c>
      <c r="D2375" t="str">
        <f>MID(analisis_productividad__4[[#This Row],[Periodo]],5,2)</f>
        <v>04</v>
      </c>
      <c r="E2375" t="s">
        <v>16</v>
      </c>
      <c r="F2375" t="s">
        <v>21</v>
      </c>
      <c r="G2375">
        <v>67974</v>
      </c>
      <c r="H2375">
        <v>9037321</v>
      </c>
      <c r="I2375">
        <v>132.95187499999997</v>
      </c>
      <c r="J2375">
        <v>72496.814802223686</v>
      </c>
      <c r="K2375">
        <v>88.5</v>
      </c>
      <c r="L2375">
        <v>92.5</v>
      </c>
      <c r="M2375">
        <v>124.65818442719775</v>
      </c>
      <c r="N2375">
        <v>6319758</v>
      </c>
    </row>
    <row r="2376" spans="1:14" x14ac:dyDescent="0.35">
      <c r="A2376" t="s">
        <v>119</v>
      </c>
      <c r="B2376">
        <v>202403</v>
      </c>
      <c r="C2376" t="str">
        <f>MID(analisis_productividad__4[[#This Row],[Periodo]],1,4)</f>
        <v>2024</v>
      </c>
      <c r="D2376" t="str">
        <f>MID(analisis_productividad__4[[#This Row],[Periodo]],5,2)</f>
        <v>03</v>
      </c>
      <c r="E2376" t="s">
        <v>16</v>
      </c>
      <c r="F2376" t="s">
        <v>21</v>
      </c>
      <c r="G2376">
        <v>67963</v>
      </c>
      <c r="H2376">
        <v>3774569</v>
      </c>
      <c r="I2376">
        <v>55.538366935483872</v>
      </c>
      <c r="J2376">
        <v>0</v>
      </c>
      <c r="K2376">
        <v>52.5</v>
      </c>
      <c r="L2376">
        <v>52.5</v>
      </c>
      <c r="N2376">
        <v>0</v>
      </c>
    </row>
    <row r="2377" spans="1:14" x14ac:dyDescent="0.35">
      <c r="A2377" t="s">
        <v>98</v>
      </c>
      <c r="B2377">
        <v>202505</v>
      </c>
      <c r="C2377" t="str">
        <f>MID(analisis_productividad__4[[#This Row],[Periodo]],1,4)</f>
        <v>2025</v>
      </c>
      <c r="D2377" t="str">
        <f>MID(analisis_productividad__4[[#This Row],[Periodo]],5,2)</f>
        <v>05</v>
      </c>
      <c r="E2377" t="s">
        <v>11</v>
      </c>
      <c r="F2377" t="s">
        <v>14</v>
      </c>
      <c r="G2377">
        <v>67962</v>
      </c>
      <c r="H2377">
        <v>3684553</v>
      </c>
      <c r="I2377">
        <v>54.214717741935495</v>
      </c>
      <c r="J2377">
        <v>66469.983829849618</v>
      </c>
      <c r="K2377">
        <v>61.5</v>
      </c>
      <c r="L2377">
        <v>56</v>
      </c>
      <c r="M2377">
        <v>55.43182813812242</v>
      </c>
      <c r="N2377">
        <v>3923407</v>
      </c>
    </row>
    <row r="2378" spans="1:14" x14ac:dyDescent="0.35">
      <c r="A2378" t="s">
        <v>110</v>
      </c>
      <c r="B2378">
        <v>202511</v>
      </c>
      <c r="C2378" t="str">
        <f>MID(analisis_productividad__4[[#This Row],[Periodo]],1,4)</f>
        <v>2025</v>
      </c>
      <c r="D2378" t="str">
        <f>MID(analisis_productividad__4[[#This Row],[Periodo]],5,2)</f>
        <v>11</v>
      </c>
      <c r="E2378" t="s">
        <v>34</v>
      </c>
      <c r="F2378" t="s">
        <v>35</v>
      </c>
      <c r="G2378">
        <v>67950</v>
      </c>
      <c r="H2378">
        <v>2100302</v>
      </c>
      <c r="I2378">
        <v>30.909423611111116</v>
      </c>
      <c r="J2378">
        <v>64960.94646936137</v>
      </c>
      <c r="K2378">
        <v>41.5</v>
      </c>
      <c r="L2378">
        <v>43</v>
      </c>
      <c r="M2378">
        <v>32.331771074034478</v>
      </c>
      <c r="N2378">
        <v>2410746</v>
      </c>
    </row>
    <row r="2379" spans="1:14" x14ac:dyDescent="0.35">
      <c r="A2379" t="s">
        <v>33</v>
      </c>
      <c r="B2379">
        <v>202502</v>
      </c>
      <c r="C2379" t="str">
        <f>MID(analisis_productividad__4[[#This Row],[Periodo]],1,4)</f>
        <v>2025</v>
      </c>
      <c r="D2379" t="str">
        <f>MID(analisis_productividad__4[[#This Row],[Periodo]],5,2)</f>
        <v>02</v>
      </c>
      <c r="E2379" t="s">
        <v>34</v>
      </c>
      <c r="F2379" t="s">
        <v>35</v>
      </c>
      <c r="G2379">
        <v>67948</v>
      </c>
      <c r="H2379">
        <v>983161</v>
      </c>
      <c r="I2379">
        <v>14.469218750000001</v>
      </c>
      <c r="J2379">
        <v>86581.688609877034</v>
      </c>
      <c r="K2379">
        <v>15</v>
      </c>
      <c r="L2379">
        <v>15</v>
      </c>
      <c r="M2379">
        <v>11.355299091358255</v>
      </c>
      <c r="N2379">
        <v>1111856</v>
      </c>
    </row>
    <row r="2380" spans="1:14" x14ac:dyDescent="0.35">
      <c r="A2380" t="s">
        <v>8</v>
      </c>
      <c r="B2380">
        <v>202402</v>
      </c>
      <c r="C2380" t="str">
        <f>MID(analisis_productividad__4[[#This Row],[Periodo]],1,4)</f>
        <v>2024</v>
      </c>
      <c r="D2380" t="str">
        <f>MID(analisis_productividad__4[[#This Row],[Periodo]],5,2)</f>
        <v>02</v>
      </c>
      <c r="E2380" t="s">
        <v>9</v>
      </c>
      <c r="F2380" t="s">
        <v>9</v>
      </c>
      <c r="G2380">
        <v>67923</v>
      </c>
      <c r="H2380">
        <v>935322</v>
      </c>
      <c r="I2380">
        <v>13.770387931034488</v>
      </c>
      <c r="J2380">
        <v>0</v>
      </c>
      <c r="K2380">
        <v>13.5</v>
      </c>
      <c r="L2380">
        <v>12.5</v>
      </c>
      <c r="N2380">
        <v>0</v>
      </c>
    </row>
    <row r="2381" spans="1:14" x14ac:dyDescent="0.35">
      <c r="A2381" t="s">
        <v>112</v>
      </c>
      <c r="B2381">
        <v>202408</v>
      </c>
      <c r="C2381" t="str">
        <f>MID(analisis_productividad__4[[#This Row],[Periodo]],1,4)</f>
        <v>2024</v>
      </c>
      <c r="D2381" t="str">
        <f>MID(analisis_productividad__4[[#This Row],[Periodo]],5,2)</f>
        <v>08</v>
      </c>
      <c r="E2381" t="s">
        <v>34</v>
      </c>
      <c r="F2381" t="s">
        <v>35</v>
      </c>
      <c r="G2381">
        <v>67883</v>
      </c>
      <c r="H2381">
        <v>1795920</v>
      </c>
      <c r="I2381">
        <v>26.456095430107517</v>
      </c>
      <c r="J2381">
        <v>0</v>
      </c>
      <c r="K2381">
        <v>31</v>
      </c>
      <c r="L2381">
        <v>27</v>
      </c>
      <c r="N2381">
        <v>0</v>
      </c>
    </row>
    <row r="2382" spans="1:14" x14ac:dyDescent="0.35">
      <c r="A2382" t="s">
        <v>82</v>
      </c>
      <c r="B2382">
        <v>202409</v>
      </c>
      <c r="C2382" t="str">
        <f>MID(analisis_productividad__4[[#This Row],[Periodo]],1,4)</f>
        <v>2024</v>
      </c>
      <c r="D2382" t="str">
        <f>MID(analisis_productividad__4[[#This Row],[Periodo]],5,2)</f>
        <v>09</v>
      </c>
      <c r="E2382" t="s">
        <v>11</v>
      </c>
      <c r="F2382" t="s">
        <v>12</v>
      </c>
      <c r="G2382">
        <v>67882</v>
      </c>
      <c r="H2382">
        <v>3555248</v>
      </c>
      <c r="I2382">
        <v>52.373756944444445</v>
      </c>
      <c r="J2382">
        <v>0</v>
      </c>
      <c r="K2382">
        <v>53.5</v>
      </c>
      <c r="L2382">
        <v>54</v>
      </c>
      <c r="N2382">
        <v>0</v>
      </c>
    </row>
    <row r="2383" spans="1:14" x14ac:dyDescent="0.35">
      <c r="A2383" t="s">
        <v>48</v>
      </c>
      <c r="B2383">
        <v>202501</v>
      </c>
      <c r="C2383" t="str">
        <f>MID(analisis_productividad__4[[#This Row],[Periodo]],1,4)</f>
        <v>2025</v>
      </c>
      <c r="D2383" t="str">
        <f>MID(analisis_productividad__4[[#This Row],[Periodo]],5,2)</f>
        <v>01</v>
      </c>
      <c r="E2383" t="s">
        <v>16</v>
      </c>
      <c r="F2383" t="s">
        <v>21</v>
      </c>
      <c r="G2383">
        <v>67864</v>
      </c>
      <c r="H2383">
        <v>3602615</v>
      </c>
      <c r="I2383">
        <v>53.085685483870954</v>
      </c>
      <c r="J2383">
        <v>78938.844917223963</v>
      </c>
      <c r="K2383">
        <v>56</v>
      </c>
      <c r="L2383">
        <v>60</v>
      </c>
      <c r="M2383">
        <v>45.6380504905758</v>
      </c>
      <c r="N2383">
        <v>4553715</v>
      </c>
    </row>
    <row r="2384" spans="1:14" x14ac:dyDescent="0.35">
      <c r="A2384" t="s">
        <v>77</v>
      </c>
      <c r="B2384">
        <v>202410</v>
      </c>
      <c r="C2384" t="str">
        <f>MID(analisis_productividad__4[[#This Row],[Periodo]],1,4)</f>
        <v>2024</v>
      </c>
      <c r="D2384" t="str">
        <f>MID(analisis_productividad__4[[#This Row],[Periodo]],5,2)</f>
        <v>10</v>
      </c>
      <c r="E2384" t="s">
        <v>16</v>
      </c>
      <c r="F2384" t="s">
        <v>21</v>
      </c>
      <c r="G2384">
        <v>67854</v>
      </c>
      <c r="H2384">
        <v>4277187</v>
      </c>
      <c r="I2384">
        <v>63.03547043010753</v>
      </c>
      <c r="J2384">
        <v>0</v>
      </c>
      <c r="K2384">
        <v>60.5</v>
      </c>
      <c r="L2384">
        <v>60.5</v>
      </c>
      <c r="N2384">
        <v>0</v>
      </c>
    </row>
    <row r="2385" spans="1:14" x14ac:dyDescent="0.35">
      <c r="A2385" t="s">
        <v>118</v>
      </c>
      <c r="B2385">
        <v>202403</v>
      </c>
      <c r="C2385" t="str">
        <f>MID(analisis_productividad__4[[#This Row],[Periodo]],1,4)</f>
        <v>2024</v>
      </c>
      <c r="D2385" t="str">
        <f>MID(analisis_productividad__4[[#This Row],[Periodo]],5,2)</f>
        <v>03</v>
      </c>
      <c r="E2385" t="s">
        <v>34</v>
      </c>
      <c r="F2385" t="s">
        <v>35</v>
      </c>
      <c r="G2385">
        <v>67825</v>
      </c>
      <c r="H2385">
        <v>1426973</v>
      </c>
      <c r="I2385">
        <v>21.039045698924728</v>
      </c>
      <c r="J2385">
        <v>0</v>
      </c>
      <c r="K2385">
        <v>19</v>
      </c>
      <c r="L2385">
        <v>21.5</v>
      </c>
      <c r="N2385">
        <v>0</v>
      </c>
    </row>
    <row r="2386" spans="1:14" x14ac:dyDescent="0.35">
      <c r="A2386" t="s">
        <v>120</v>
      </c>
      <c r="B2386">
        <v>202411</v>
      </c>
      <c r="C2386" t="str">
        <f>MID(analisis_productividad__4[[#This Row],[Periodo]],1,4)</f>
        <v>2024</v>
      </c>
      <c r="D2386" t="str">
        <f>MID(analisis_productividad__4[[#This Row],[Periodo]],5,2)</f>
        <v>11</v>
      </c>
      <c r="E2386" t="s">
        <v>9</v>
      </c>
      <c r="F2386" t="s">
        <v>9</v>
      </c>
      <c r="G2386">
        <v>67814</v>
      </c>
      <c r="H2386">
        <v>782567</v>
      </c>
      <c r="I2386">
        <v>11.539937500000001</v>
      </c>
      <c r="J2386">
        <v>0</v>
      </c>
      <c r="K2386">
        <v>11.5</v>
      </c>
      <c r="L2386">
        <v>12</v>
      </c>
      <c r="N2386">
        <v>0</v>
      </c>
    </row>
    <row r="2387" spans="1:14" x14ac:dyDescent="0.35">
      <c r="A2387" t="s">
        <v>90</v>
      </c>
      <c r="B2387">
        <v>202401</v>
      </c>
      <c r="C2387" t="str">
        <f>MID(analisis_productividad__4[[#This Row],[Periodo]],1,4)</f>
        <v>2024</v>
      </c>
      <c r="D2387" t="str">
        <f>MID(analisis_productividad__4[[#This Row],[Periodo]],5,2)</f>
        <v>01</v>
      </c>
      <c r="E2387" t="s">
        <v>11</v>
      </c>
      <c r="F2387" t="s">
        <v>14</v>
      </c>
      <c r="G2387">
        <v>67794</v>
      </c>
      <c r="H2387">
        <v>5172368</v>
      </c>
      <c r="I2387">
        <v>76.295719086021506</v>
      </c>
      <c r="J2387">
        <v>0</v>
      </c>
      <c r="K2387">
        <v>84.5</v>
      </c>
      <c r="L2387">
        <v>78.5</v>
      </c>
      <c r="N2387">
        <v>0</v>
      </c>
    </row>
    <row r="2388" spans="1:14" x14ac:dyDescent="0.35">
      <c r="A2388" t="s">
        <v>123</v>
      </c>
      <c r="B2388">
        <v>202512</v>
      </c>
      <c r="C2388" t="str">
        <f>MID(analisis_productividad__4[[#This Row],[Periodo]],1,4)</f>
        <v>2025</v>
      </c>
      <c r="D2388" t="str">
        <f>MID(analisis_productividad__4[[#This Row],[Periodo]],5,2)</f>
        <v>12</v>
      </c>
      <c r="E2388" t="s">
        <v>9</v>
      </c>
      <c r="F2388" t="s">
        <v>9</v>
      </c>
      <c r="G2388">
        <v>67792</v>
      </c>
      <c r="H2388">
        <v>637678</v>
      </c>
      <c r="I2388">
        <v>9.4063911290322437</v>
      </c>
      <c r="J2388">
        <v>66384.576160026219</v>
      </c>
      <c r="K2388">
        <v>11</v>
      </c>
      <c r="L2388">
        <v>10</v>
      </c>
      <c r="M2388">
        <v>9.6058135320894138</v>
      </c>
      <c r="N2388">
        <v>668856</v>
      </c>
    </row>
    <row r="2389" spans="1:14" x14ac:dyDescent="0.35">
      <c r="A2389" t="s">
        <v>85</v>
      </c>
      <c r="B2389">
        <v>202606</v>
      </c>
      <c r="C2389" t="str">
        <f>MID(analisis_productividad__4[[#This Row],[Periodo]],1,4)</f>
        <v>2026</v>
      </c>
      <c r="D2389" t="str">
        <f>MID(analisis_productividad__4[[#This Row],[Periodo]],5,2)</f>
        <v>06</v>
      </c>
      <c r="E2389" t="s">
        <v>11</v>
      </c>
      <c r="F2389" t="s">
        <v>14</v>
      </c>
      <c r="G2389">
        <v>67768</v>
      </c>
      <c r="H2389">
        <v>3530697</v>
      </c>
      <c r="I2389">
        <v>52.099784722222182</v>
      </c>
      <c r="J2389">
        <v>71159.35823190627</v>
      </c>
      <c r="K2389">
        <v>60.5</v>
      </c>
      <c r="L2389">
        <v>57.5</v>
      </c>
      <c r="M2389">
        <v>51.161312105083525</v>
      </c>
      <c r="N2389">
        <v>3640606</v>
      </c>
    </row>
    <row r="2390" spans="1:14" x14ac:dyDescent="0.35">
      <c r="A2390" t="s">
        <v>119</v>
      </c>
      <c r="B2390">
        <v>202603</v>
      </c>
      <c r="C2390" t="str">
        <f>MID(analisis_productividad__4[[#This Row],[Periodo]],1,4)</f>
        <v>2026</v>
      </c>
      <c r="D2390" t="str">
        <f>MID(analisis_productividad__4[[#This Row],[Periodo]],5,2)</f>
        <v>03</v>
      </c>
      <c r="E2390" t="s">
        <v>16</v>
      </c>
      <c r="F2390" t="s">
        <v>21</v>
      </c>
      <c r="G2390">
        <v>67721</v>
      </c>
      <c r="H2390">
        <v>3486324</v>
      </c>
      <c r="I2390">
        <v>51.48100134408601</v>
      </c>
      <c r="J2390">
        <v>99333.98702306622</v>
      </c>
      <c r="K2390">
        <v>52.5</v>
      </c>
      <c r="L2390">
        <v>52.5</v>
      </c>
      <c r="M2390">
        <v>46.965208254619732</v>
      </c>
      <c r="N2390">
        <v>4665241</v>
      </c>
    </row>
    <row r="2391" spans="1:14" x14ac:dyDescent="0.35">
      <c r="A2391" t="s">
        <v>111</v>
      </c>
      <c r="B2391">
        <v>202604</v>
      </c>
      <c r="C2391" t="str">
        <f>MID(analisis_productividad__4[[#This Row],[Periodo]],1,4)</f>
        <v>2026</v>
      </c>
      <c r="D2391" t="str">
        <f>MID(analisis_productividad__4[[#This Row],[Periodo]],5,2)</f>
        <v>04</v>
      </c>
      <c r="E2391" t="s">
        <v>34</v>
      </c>
      <c r="F2391" t="s">
        <v>35</v>
      </c>
      <c r="G2391">
        <v>67717</v>
      </c>
      <c r="H2391">
        <v>2546172</v>
      </c>
      <c r="I2391">
        <v>37.600402777777269</v>
      </c>
      <c r="J2391">
        <v>64284.134742959301</v>
      </c>
      <c r="K2391">
        <v>45.5</v>
      </c>
      <c r="L2391">
        <v>42.5</v>
      </c>
      <c r="M2391">
        <v>36.981595266169094</v>
      </c>
      <c r="N2391">
        <v>2377330</v>
      </c>
    </row>
    <row r="2392" spans="1:14" x14ac:dyDescent="0.35">
      <c r="A2392" t="s">
        <v>120</v>
      </c>
      <c r="B2392">
        <v>202603</v>
      </c>
      <c r="C2392" t="str">
        <f>MID(analisis_productividad__4[[#This Row],[Periodo]],1,4)</f>
        <v>2026</v>
      </c>
      <c r="D2392" t="str">
        <f>MID(analisis_productividad__4[[#This Row],[Periodo]],5,2)</f>
        <v>03</v>
      </c>
      <c r="E2392" t="s">
        <v>9</v>
      </c>
      <c r="F2392" t="s">
        <v>9</v>
      </c>
      <c r="G2392">
        <v>67714</v>
      </c>
      <c r="H2392">
        <v>775077</v>
      </c>
      <c r="I2392">
        <v>11.446317204301074</v>
      </c>
      <c r="J2392">
        <v>86396.573600572709</v>
      </c>
      <c r="K2392">
        <v>11.5</v>
      </c>
      <c r="L2392">
        <v>12</v>
      </c>
      <c r="M2392">
        <v>10.04229432420742</v>
      </c>
      <c r="N2392">
        <v>867620</v>
      </c>
    </row>
    <row r="2393" spans="1:14" x14ac:dyDescent="0.35">
      <c r="A2393" t="s">
        <v>99</v>
      </c>
      <c r="B2393">
        <v>202605</v>
      </c>
      <c r="C2393" t="str">
        <f>MID(analisis_productividad__4[[#This Row],[Periodo]],1,4)</f>
        <v>2026</v>
      </c>
      <c r="D2393" t="str">
        <f>MID(analisis_productividad__4[[#This Row],[Periodo]],5,2)</f>
        <v>05</v>
      </c>
      <c r="E2393" t="s">
        <v>11</v>
      </c>
      <c r="F2393" t="s">
        <v>12</v>
      </c>
      <c r="G2393">
        <v>67663</v>
      </c>
      <c r="H2393">
        <v>1618489</v>
      </c>
      <c r="I2393">
        <v>23.9199126344086</v>
      </c>
      <c r="J2393">
        <v>65572.539602137011</v>
      </c>
      <c r="K2393">
        <v>27</v>
      </c>
      <c r="L2393">
        <v>27</v>
      </c>
      <c r="M2393">
        <v>23.582599197509253</v>
      </c>
      <c r="N2393">
        <v>1546371</v>
      </c>
    </row>
    <row r="2394" spans="1:14" x14ac:dyDescent="0.35">
      <c r="A2394" t="s">
        <v>117</v>
      </c>
      <c r="B2394">
        <v>202512</v>
      </c>
      <c r="C2394" t="str">
        <f>MID(analisis_productividad__4[[#This Row],[Periodo]],1,4)</f>
        <v>2025</v>
      </c>
      <c r="D2394" t="str">
        <f>MID(analisis_productividad__4[[#This Row],[Periodo]],5,2)</f>
        <v>12</v>
      </c>
      <c r="E2394" t="s">
        <v>104</v>
      </c>
      <c r="F2394" t="s">
        <v>104</v>
      </c>
      <c r="G2394">
        <v>67652</v>
      </c>
      <c r="H2394">
        <v>4322796</v>
      </c>
      <c r="I2394">
        <v>63.89729838709674</v>
      </c>
      <c r="J2394">
        <v>64553.274876580843</v>
      </c>
      <c r="K2394">
        <v>66</v>
      </c>
      <c r="L2394">
        <v>65.5</v>
      </c>
      <c r="M2394">
        <v>66.964775811370302</v>
      </c>
      <c r="N2394">
        <v>4401178</v>
      </c>
    </row>
    <row r="2395" spans="1:14" x14ac:dyDescent="0.35">
      <c r="A2395" t="s">
        <v>8</v>
      </c>
      <c r="B2395">
        <v>202405</v>
      </c>
      <c r="C2395" t="str">
        <f>MID(analisis_productividad__4[[#This Row],[Periodo]],1,4)</f>
        <v>2024</v>
      </c>
      <c r="D2395" t="str">
        <f>MID(analisis_productividad__4[[#This Row],[Periodo]],5,2)</f>
        <v>05</v>
      </c>
      <c r="E2395" t="s">
        <v>9</v>
      </c>
      <c r="F2395" t="s">
        <v>9</v>
      </c>
      <c r="G2395">
        <v>67589</v>
      </c>
      <c r="H2395">
        <v>823114</v>
      </c>
      <c r="I2395">
        <v>12.178259408602152</v>
      </c>
      <c r="J2395">
        <v>0</v>
      </c>
      <c r="K2395">
        <v>13.5</v>
      </c>
      <c r="L2395">
        <v>12.5</v>
      </c>
      <c r="N2395">
        <v>0</v>
      </c>
    </row>
    <row r="2396" spans="1:14" x14ac:dyDescent="0.35">
      <c r="A2396" t="s">
        <v>26</v>
      </c>
      <c r="B2396">
        <v>202404</v>
      </c>
      <c r="C2396" t="str">
        <f>MID(analisis_productividad__4[[#This Row],[Periodo]],1,4)</f>
        <v>2024</v>
      </c>
      <c r="D2396" t="str">
        <f>MID(analisis_productividad__4[[#This Row],[Periodo]],5,2)</f>
        <v>04</v>
      </c>
      <c r="E2396" t="s">
        <v>11</v>
      </c>
      <c r="F2396" t="s">
        <v>12</v>
      </c>
      <c r="G2396">
        <v>67549</v>
      </c>
      <c r="H2396">
        <v>4469812</v>
      </c>
      <c r="I2396">
        <v>66.170951388888923</v>
      </c>
      <c r="J2396">
        <v>0</v>
      </c>
      <c r="K2396">
        <v>65.5</v>
      </c>
      <c r="L2396">
        <v>63</v>
      </c>
      <c r="N2396">
        <v>0</v>
      </c>
    </row>
    <row r="2397" spans="1:14" x14ac:dyDescent="0.35">
      <c r="A2397" t="s">
        <v>127</v>
      </c>
      <c r="B2397">
        <v>202503</v>
      </c>
      <c r="C2397" t="str">
        <f>MID(analisis_productividad__4[[#This Row],[Periodo]],1,4)</f>
        <v>2025</v>
      </c>
      <c r="D2397" t="str">
        <f>MID(analisis_productividad__4[[#This Row],[Periodo]],5,2)</f>
        <v>03</v>
      </c>
      <c r="E2397" t="s">
        <v>104</v>
      </c>
      <c r="F2397" t="s">
        <v>104</v>
      </c>
      <c r="G2397">
        <v>67542</v>
      </c>
      <c r="H2397">
        <v>3466723</v>
      </c>
      <c r="I2397">
        <v>51.327123655913979</v>
      </c>
      <c r="J2397">
        <v>62284.604377231488</v>
      </c>
      <c r="K2397">
        <v>61.5</v>
      </c>
      <c r="L2397">
        <v>56</v>
      </c>
      <c r="M2397">
        <v>55.659381233338642</v>
      </c>
      <c r="N2397">
        <v>3356256</v>
      </c>
    </row>
    <row r="2398" spans="1:14" x14ac:dyDescent="0.35">
      <c r="A2398" t="s">
        <v>113</v>
      </c>
      <c r="B2398">
        <v>202503</v>
      </c>
      <c r="C2398" t="str">
        <f>MID(analisis_productividad__4[[#This Row],[Periodo]],1,4)</f>
        <v>2025</v>
      </c>
      <c r="D2398" t="str">
        <f>MID(analisis_productividad__4[[#This Row],[Periodo]],5,2)</f>
        <v>03</v>
      </c>
      <c r="E2398" t="s">
        <v>9</v>
      </c>
      <c r="F2398" t="s">
        <v>9</v>
      </c>
      <c r="G2398">
        <v>67538</v>
      </c>
      <c r="H2398">
        <v>676448</v>
      </c>
      <c r="I2398">
        <v>10.015786290322582</v>
      </c>
      <c r="J2398">
        <v>81746.854003781686</v>
      </c>
      <c r="K2398">
        <v>11.5</v>
      </c>
      <c r="L2398">
        <v>10</v>
      </c>
      <c r="M2398">
        <v>8.2749158758905512</v>
      </c>
      <c r="N2398">
        <v>662006</v>
      </c>
    </row>
    <row r="2399" spans="1:14" x14ac:dyDescent="0.35">
      <c r="A2399" t="s">
        <v>58</v>
      </c>
      <c r="B2399">
        <v>202505</v>
      </c>
      <c r="C2399" t="str">
        <f>MID(analisis_productividad__4[[#This Row],[Periodo]],1,4)</f>
        <v>2025</v>
      </c>
      <c r="D2399" t="str">
        <f>MID(analisis_productividad__4[[#This Row],[Periodo]],5,2)</f>
        <v>05</v>
      </c>
      <c r="E2399" t="s">
        <v>34</v>
      </c>
      <c r="F2399" t="s">
        <v>35</v>
      </c>
      <c r="G2399">
        <v>67455</v>
      </c>
      <c r="H2399">
        <v>3026444</v>
      </c>
      <c r="I2399">
        <v>44.866283602150538</v>
      </c>
      <c r="J2399">
        <v>67501.908976516803</v>
      </c>
      <c r="K2399">
        <v>53.5</v>
      </c>
      <c r="L2399">
        <v>52</v>
      </c>
      <c r="M2399">
        <v>44.834934387601812</v>
      </c>
      <c r="N2399">
        <v>3120707</v>
      </c>
    </row>
    <row r="2400" spans="1:14" x14ac:dyDescent="0.35">
      <c r="A2400" t="s">
        <v>64</v>
      </c>
      <c r="B2400">
        <v>202508</v>
      </c>
      <c r="C2400" t="str">
        <f>MID(analisis_productividad__4[[#This Row],[Periodo]],1,4)</f>
        <v>2025</v>
      </c>
      <c r="D2400" t="str">
        <f>MID(analisis_productividad__4[[#This Row],[Periodo]],5,2)</f>
        <v>08</v>
      </c>
      <c r="E2400" t="s">
        <v>16</v>
      </c>
      <c r="F2400" t="s">
        <v>21</v>
      </c>
      <c r="G2400">
        <v>67404</v>
      </c>
      <c r="H2400">
        <v>8124258</v>
      </c>
      <c r="I2400">
        <v>120.53115591397849</v>
      </c>
      <c r="J2400">
        <v>87573.10847321352</v>
      </c>
      <c r="K2400">
        <v>88.5</v>
      </c>
      <c r="L2400">
        <v>92.5</v>
      </c>
      <c r="M2400">
        <v>92.771145179630281</v>
      </c>
      <c r="N2400">
        <v>6381770</v>
      </c>
    </row>
    <row r="2401" spans="1:14" x14ac:dyDescent="0.35">
      <c r="A2401" t="s">
        <v>113</v>
      </c>
      <c r="B2401">
        <v>202504</v>
      </c>
      <c r="C2401" t="str">
        <f>MID(analisis_productividad__4[[#This Row],[Periodo]],1,4)</f>
        <v>2025</v>
      </c>
      <c r="D2401" t="str">
        <f>MID(analisis_productividad__4[[#This Row],[Periodo]],5,2)</f>
        <v>04</v>
      </c>
      <c r="E2401" t="s">
        <v>9</v>
      </c>
      <c r="F2401" t="s">
        <v>9</v>
      </c>
      <c r="G2401">
        <v>67377</v>
      </c>
      <c r="H2401">
        <v>563740</v>
      </c>
      <c r="I2401">
        <v>8.3669930555555574</v>
      </c>
      <c r="J2401">
        <v>63498.404735583194</v>
      </c>
      <c r="K2401">
        <v>11.5</v>
      </c>
      <c r="L2401">
        <v>10</v>
      </c>
      <c r="M2401">
        <v>8.8780105948723449</v>
      </c>
      <c r="N2401">
        <v>623118</v>
      </c>
    </row>
    <row r="2402" spans="1:14" x14ac:dyDescent="0.35">
      <c r="A2402" t="s">
        <v>99</v>
      </c>
      <c r="B2402">
        <v>202602</v>
      </c>
      <c r="C2402" t="str">
        <f>MID(analisis_productividad__4[[#This Row],[Periodo]],1,4)</f>
        <v>2026</v>
      </c>
      <c r="D2402" t="str">
        <f>MID(analisis_productividad__4[[#This Row],[Periodo]],5,2)</f>
        <v>02</v>
      </c>
      <c r="E2402" t="s">
        <v>11</v>
      </c>
      <c r="F2402" t="s">
        <v>12</v>
      </c>
      <c r="G2402">
        <v>67371</v>
      </c>
      <c r="H2402">
        <v>1516617</v>
      </c>
      <c r="I2402">
        <v>22.511302083333327</v>
      </c>
      <c r="J2402">
        <v>80307.729531358273</v>
      </c>
      <c r="K2402">
        <v>27</v>
      </c>
      <c r="L2402">
        <v>27</v>
      </c>
      <c r="M2402">
        <v>23.582599197509253</v>
      </c>
      <c r="N2402">
        <v>1893865</v>
      </c>
    </row>
    <row r="2403" spans="1:14" x14ac:dyDescent="0.35">
      <c r="A2403" t="s">
        <v>118</v>
      </c>
      <c r="B2403">
        <v>202501</v>
      </c>
      <c r="C2403" t="str">
        <f>MID(analisis_productividad__4[[#This Row],[Periodo]],1,4)</f>
        <v>2025</v>
      </c>
      <c r="D2403" t="str">
        <f>MID(analisis_productividad__4[[#This Row],[Periodo]],5,2)</f>
        <v>01</v>
      </c>
      <c r="E2403" t="s">
        <v>34</v>
      </c>
      <c r="F2403" t="s">
        <v>35</v>
      </c>
      <c r="G2403">
        <v>67368</v>
      </c>
      <c r="H2403">
        <v>1113516</v>
      </c>
      <c r="I2403">
        <v>16.528938172043016</v>
      </c>
      <c r="J2403">
        <v>62106.969824478627</v>
      </c>
      <c r="K2403">
        <v>19</v>
      </c>
      <c r="L2403">
        <v>21.5</v>
      </c>
      <c r="M2403">
        <v>17.928999968069974</v>
      </c>
      <c r="N2403">
        <v>1167741</v>
      </c>
    </row>
    <row r="2404" spans="1:14" x14ac:dyDescent="0.35">
      <c r="A2404" t="s">
        <v>92</v>
      </c>
      <c r="B2404">
        <v>202406</v>
      </c>
      <c r="C2404" t="str">
        <f>MID(analisis_productividad__4[[#This Row],[Periodo]],1,4)</f>
        <v>2024</v>
      </c>
      <c r="D2404" t="str">
        <f>MID(analisis_productividad__4[[#This Row],[Periodo]],5,2)</f>
        <v>06</v>
      </c>
      <c r="E2404" t="s">
        <v>11</v>
      </c>
      <c r="F2404" t="s">
        <v>14</v>
      </c>
      <c r="G2404">
        <v>67302</v>
      </c>
      <c r="H2404">
        <v>3571259</v>
      </c>
      <c r="I2404">
        <v>53.062868055555562</v>
      </c>
      <c r="J2404">
        <v>0</v>
      </c>
      <c r="K2404">
        <v>63</v>
      </c>
      <c r="L2404">
        <v>59</v>
      </c>
      <c r="N2404">
        <v>0</v>
      </c>
    </row>
    <row r="2405" spans="1:14" x14ac:dyDescent="0.35">
      <c r="A2405" t="s">
        <v>107</v>
      </c>
      <c r="B2405">
        <v>202504</v>
      </c>
      <c r="C2405" t="str">
        <f>MID(analisis_productividad__4[[#This Row],[Periodo]],1,4)</f>
        <v>2025</v>
      </c>
      <c r="D2405" t="str">
        <f>MID(analisis_productividad__4[[#This Row],[Periodo]],5,2)</f>
        <v>04</v>
      </c>
      <c r="E2405" t="s">
        <v>34</v>
      </c>
      <c r="F2405" t="s">
        <v>35</v>
      </c>
      <c r="G2405">
        <v>67287</v>
      </c>
      <c r="H2405">
        <v>5070666</v>
      </c>
      <c r="I2405">
        <v>75.359131944444442</v>
      </c>
      <c r="J2405">
        <v>72889.09464360273</v>
      </c>
      <c r="K2405">
        <v>87</v>
      </c>
      <c r="L2405">
        <v>77.5</v>
      </c>
      <c r="M2405">
        <v>69.566868058842573</v>
      </c>
      <c r="N2405">
        <v>5652887</v>
      </c>
    </row>
    <row r="2406" spans="1:14" x14ac:dyDescent="0.35">
      <c r="A2406" t="s">
        <v>86</v>
      </c>
      <c r="B2406">
        <v>202505</v>
      </c>
      <c r="C2406" t="str">
        <f>MID(analisis_productividad__4[[#This Row],[Periodo]],1,4)</f>
        <v>2025</v>
      </c>
      <c r="D2406" t="str">
        <f>MID(analisis_productividad__4[[#This Row],[Periodo]],5,2)</f>
        <v>05</v>
      </c>
      <c r="E2406" t="s">
        <v>11</v>
      </c>
      <c r="F2406" t="s">
        <v>14</v>
      </c>
      <c r="G2406">
        <v>67218</v>
      </c>
      <c r="H2406">
        <v>4494402</v>
      </c>
      <c r="I2406">
        <v>66.862654569892499</v>
      </c>
      <c r="J2406">
        <v>77689.846511296957</v>
      </c>
      <c r="K2406">
        <v>69.5</v>
      </c>
      <c r="L2406">
        <v>59</v>
      </c>
      <c r="M2406">
        <v>57.850572395537739</v>
      </c>
      <c r="N2406">
        <v>5156748</v>
      </c>
    </row>
    <row r="2407" spans="1:14" x14ac:dyDescent="0.35">
      <c r="A2407" t="s">
        <v>107</v>
      </c>
      <c r="B2407">
        <v>202602</v>
      </c>
      <c r="C2407" t="str">
        <f>MID(analisis_productividad__4[[#This Row],[Periodo]],1,4)</f>
        <v>2026</v>
      </c>
      <c r="D2407" t="str">
        <f>MID(analisis_productividad__4[[#This Row],[Periodo]],5,2)</f>
        <v>02</v>
      </c>
      <c r="E2407" t="s">
        <v>34</v>
      </c>
      <c r="F2407" t="s">
        <v>35</v>
      </c>
      <c r="G2407">
        <v>67213</v>
      </c>
      <c r="H2407">
        <v>4820852</v>
      </c>
      <c r="I2407">
        <v>71.724947916666665</v>
      </c>
      <c r="J2407">
        <v>67826.47902479519</v>
      </c>
      <c r="K2407">
        <v>87</v>
      </c>
      <c r="L2407">
        <v>77.5</v>
      </c>
      <c r="M2407">
        <v>73.970842069892498</v>
      </c>
      <c r="N2407">
        <v>5017182</v>
      </c>
    </row>
    <row r="2408" spans="1:14" x14ac:dyDescent="0.35">
      <c r="A2408" t="s">
        <v>127</v>
      </c>
      <c r="B2408">
        <v>202412</v>
      </c>
      <c r="C2408" t="str">
        <f>MID(analisis_productividad__4[[#This Row],[Periodo]],1,4)</f>
        <v>2024</v>
      </c>
      <c r="D2408" t="str">
        <f>MID(analisis_productividad__4[[#This Row],[Periodo]],5,2)</f>
        <v>12</v>
      </c>
      <c r="E2408" t="s">
        <v>104</v>
      </c>
      <c r="F2408" t="s">
        <v>104</v>
      </c>
      <c r="G2408">
        <v>67145</v>
      </c>
      <c r="H2408">
        <v>4024533</v>
      </c>
      <c r="I2408">
        <v>59.937970430107541</v>
      </c>
      <c r="J2408">
        <v>0</v>
      </c>
      <c r="K2408">
        <v>61.5</v>
      </c>
      <c r="L2408">
        <v>56</v>
      </c>
      <c r="N2408">
        <v>0</v>
      </c>
    </row>
    <row r="2409" spans="1:14" x14ac:dyDescent="0.35">
      <c r="A2409" t="s">
        <v>91</v>
      </c>
      <c r="B2409">
        <v>202504</v>
      </c>
      <c r="C2409" t="str">
        <f>MID(analisis_productividad__4[[#This Row],[Periodo]],1,4)</f>
        <v>2025</v>
      </c>
      <c r="D2409" t="str">
        <f>MID(analisis_productividad__4[[#This Row],[Periodo]],5,2)</f>
        <v>04</v>
      </c>
      <c r="E2409" t="s">
        <v>11</v>
      </c>
      <c r="F2409" t="s">
        <v>12</v>
      </c>
      <c r="G2409">
        <v>67140</v>
      </c>
      <c r="H2409">
        <v>3724737</v>
      </c>
      <c r="I2409">
        <v>55.47743055555555</v>
      </c>
      <c r="J2409">
        <v>64235.996728829588</v>
      </c>
      <c r="K2409">
        <v>55</v>
      </c>
      <c r="L2409">
        <v>55.5</v>
      </c>
      <c r="M2409">
        <v>57.985199415895586</v>
      </c>
      <c r="N2409">
        <v>3803700</v>
      </c>
    </row>
    <row r="2410" spans="1:14" x14ac:dyDescent="0.35">
      <c r="A2410" t="s">
        <v>109</v>
      </c>
      <c r="B2410">
        <v>202603</v>
      </c>
      <c r="C2410" t="str">
        <f>MID(analisis_productividad__4[[#This Row],[Periodo]],1,4)</f>
        <v>2026</v>
      </c>
      <c r="D2410" t="str">
        <f>MID(analisis_productividad__4[[#This Row],[Periodo]],5,2)</f>
        <v>03</v>
      </c>
      <c r="E2410" t="s">
        <v>9</v>
      </c>
      <c r="F2410" t="s">
        <v>9</v>
      </c>
      <c r="G2410">
        <v>67139</v>
      </c>
      <c r="H2410">
        <v>553833</v>
      </c>
      <c r="I2410">
        <v>8.249086021505379</v>
      </c>
      <c r="J2410">
        <v>58636.340292554647</v>
      </c>
      <c r="K2410">
        <v>10</v>
      </c>
      <c r="L2410">
        <v>9</v>
      </c>
      <c r="M2410">
        <v>8.1521894564878892</v>
      </c>
      <c r="N2410">
        <v>478015</v>
      </c>
    </row>
    <row r="2411" spans="1:14" x14ac:dyDescent="0.35">
      <c r="A2411" t="s">
        <v>8</v>
      </c>
      <c r="B2411">
        <v>202404</v>
      </c>
      <c r="C2411" t="str">
        <f>MID(analisis_productividad__4[[#This Row],[Periodo]],1,4)</f>
        <v>2024</v>
      </c>
      <c r="D2411" t="str">
        <f>MID(analisis_productividad__4[[#This Row],[Periodo]],5,2)</f>
        <v>04</v>
      </c>
      <c r="E2411" t="s">
        <v>9</v>
      </c>
      <c r="F2411" t="s">
        <v>9</v>
      </c>
      <c r="G2411">
        <v>67135</v>
      </c>
      <c r="H2411">
        <v>841222</v>
      </c>
      <c r="I2411">
        <v>12.530243055555557</v>
      </c>
      <c r="J2411">
        <v>0</v>
      </c>
      <c r="K2411">
        <v>13.5</v>
      </c>
      <c r="L2411">
        <v>12.5</v>
      </c>
      <c r="N2411">
        <v>0</v>
      </c>
    </row>
    <row r="2412" spans="1:14" x14ac:dyDescent="0.35">
      <c r="A2412" t="s">
        <v>92</v>
      </c>
      <c r="B2412">
        <v>202602</v>
      </c>
      <c r="C2412" t="str">
        <f>MID(analisis_productividad__4[[#This Row],[Periodo]],1,4)</f>
        <v>2026</v>
      </c>
      <c r="D2412" t="str">
        <f>MID(analisis_productividad__4[[#This Row],[Periodo]],5,2)</f>
        <v>02</v>
      </c>
      <c r="E2412" t="s">
        <v>11</v>
      </c>
      <c r="F2412" t="s">
        <v>14</v>
      </c>
      <c r="G2412">
        <v>67129</v>
      </c>
      <c r="H2412">
        <v>3755677</v>
      </c>
      <c r="I2412">
        <v>55.947291666666658</v>
      </c>
      <c r="J2412">
        <v>69070.229488797093</v>
      </c>
      <c r="K2412">
        <v>63</v>
      </c>
      <c r="L2412">
        <v>59</v>
      </c>
      <c r="M2412">
        <v>55.026064794188251</v>
      </c>
      <c r="N2412">
        <v>3800663</v>
      </c>
    </row>
    <row r="2413" spans="1:14" x14ac:dyDescent="0.35">
      <c r="A2413" t="s">
        <v>92</v>
      </c>
      <c r="B2413">
        <v>202606</v>
      </c>
      <c r="C2413" t="str">
        <f>MID(analisis_productividad__4[[#This Row],[Periodo]],1,4)</f>
        <v>2026</v>
      </c>
      <c r="D2413" t="str">
        <f>MID(analisis_productividad__4[[#This Row],[Periodo]],5,2)</f>
        <v>06</v>
      </c>
      <c r="E2413" t="s">
        <v>11</v>
      </c>
      <c r="F2413" t="s">
        <v>14</v>
      </c>
      <c r="G2413">
        <v>67119</v>
      </c>
      <c r="H2413">
        <v>3402026</v>
      </c>
      <c r="I2413">
        <v>50.686368055556038</v>
      </c>
      <c r="J2413">
        <v>66368.739862817107</v>
      </c>
      <c r="K2413">
        <v>63</v>
      </c>
      <c r="L2413">
        <v>59</v>
      </c>
      <c r="M2413">
        <v>55.026064794188251</v>
      </c>
      <c r="N2413">
        <v>3652011</v>
      </c>
    </row>
    <row r="2414" spans="1:14" x14ac:dyDescent="0.35">
      <c r="A2414" t="s">
        <v>103</v>
      </c>
      <c r="B2414">
        <v>202404</v>
      </c>
      <c r="C2414" t="str">
        <f>MID(analisis_productividad__4[[#This Row],[Periodo]],1,4)</f>
        <v>2024</v>
      </c>
      <c r="D2414" t="str">
        <f>MID(analisis_productividad__4[[#This Row],[Periodo]],5,2)</f>
        <v>04</v>
      </c>
      <c r="E2414" t="s">
        <v>104</v>
      </c>
      <c r="F2414" t="s">
        <v>104</v>
      </c>
      <c r="G2414">
        <v>67108</v>
      </c>
      <c r="H2414">
        <v>5277936</v>
      </c>
      <c r="I2414">
        <v>78.648402777777804</v>
      </c>
      <c r="J2414">
        <v>0</v>
      </c>
      <c r="K2414">
        <v>94</v>
      </c>
      <c r="L2414">
        <v>77.5</v>
      </c>
      <c r="N2414">
        <v>0</v>
      </c>
    </row>
    <row r="2415" spans="1:14" x14ac:dyDescent="0.35">
      <c r="A2415" t="s">
        <v>64</v>
      </c>
      <c r="B2415">
        <v>202507</v>
      </c>
      <c r="C2415" t="str">
        <f>MID(analisis_productividad__4[[#This Row],[Periodo]],1,4)</f>
        <v>2025</v>
      </c>
      <c r="D2415" t="str">
        <f>MID(analisis_productividad__4[[#This Row],[Periodo]],5,2)</f>
        <v>07</v>
      </c>
      <c r="E2415" t="s">
        <v>16</v>
      </c>
      <c r="F2415" t="s">
        <v>21</v>
      </c>
      <c r="G2415">
        <v>67081</v>
      </c>
      <c r="H2415">
        <v>8577642</v>
      </c>
      <c r="I2415">
        <v>127.87024193548389</v>
      </c>
      <c r="J2415">
        <v>83713.317484422398</v>
      </c>
      <c r="K2415">
        <v>88.5</v>
      </c>
      <c r="L2415">
        <v>92.5</v>
      </c>
      <c r="M2415">
        <v>102.46448400036414</v>
      </c>
      <c r="N2415">
        <v>6727748</v>
      </c>
    </row>
    <row r="2416" spans="1:14" x14ac:dyDescent="0.35">
      <c r="A2416" t="s">
        <v>111</v>
      </c>
      <c r="B2416">
        <v>202605</v>
      </c>
      <c r="C2416" t="str">
        <f>MID(analisis_productividad__4[[#This Row],[Periodo]],1,4)</f>
        <v>2026</v>
      </c>
      <c r="D2416" t="str">
        <f>MID(analisis_productividad__4[[#This Row],[Periodo]],5,2)</f>
        <v>05</v>
      </c>
      <c r="E2416" t="s">
        <v>34</v>
      </c>
      <c r="F2416" t="s">
        <v>35</v>
      </c>
      <c r="G2416">
        <v>67050</v>
      </c>
      <c r="H2416">
        <v>2633170</v>
      </c>
      <c r="I2416">
        <v>39.271881720430606</v>
      </c>
      <c r="J2416">
        <v>68120.244426139441</v>
      </c>
      <c r="K2416">
        <v>45.5</v>
      </c>
      <c r="L2416">
        <v>42.5</v>
      </c>
      <c r="M2416">
        <v>36.981595266169094</v>
      </c>
      <c r="N2416">
        <v>2519195</v>
      </c>
    </row>
    <row r="2417" spans="1:14" x14ac:dyDescent="0.35">
      <c r="A2417" t="s">
        <v>99</v>
      </c>
      <c r="B2417">
        <v>202601</v>
      </c>
      <c r="C2417" t="str">
        <f>MID(analisis_productividad__4[[#This Row],[Periodo]],1,4)</f>
        <v>2026</v>
      </c>
      <c r="D2417" t="str">
        <f>MID(analisis_productividad__4[[#This Row],[Periodo]],5,2)</f>
        <v>01</v>
      </c>
      <c r="E2417" t="s">
        <v>11</v>
      </c>
      <c r="F2417" t="s">
        <v>12</v>
      </c>
      <c r="G2417">
        <v>67034</v>
      </c>
      <c r="H2417">
        <v>1460734</v>
      </c>
      <c r="I2417">
        <v>21.790887096774188</v>
      </c>
      <c r="J2417">
        <v>87117.013739392467</v>
      </c>
      <c r="K2417">
        <v>27</v>
      </c>
      <c r="L2417">
        <v>27</v>
      </c>
      <c r="M2417">
        <v>23.582599197509253</v>
      </c>
      <c r="N2417">
        <v>2054446</v>
      </c>
    </row>
    <row r="2418" spans="1:14" x14ac:dyDescent="0.35">
      <c r="A2418" t="s">
        <v>89</v>
      </c>
      <c r="B2418">
        <v>202403</v>
      </c>
      <c r="C2418" t="str">
        <f>MID(analisis_productividad__4[[#This Row],[Periodo]],1,4)</f>
        <v>2024</v>
      </c>
      <c r="D2418" t="str">
        <f>MID(analisis_productividad__4[[#This Row],[Periodo]],5,2)</f>
        <v>03</v>
      </c>
      <c r="E2418" t="s">
        <v>9</v>
      </c>
      <c r="F2418" t="s">
        <v>9</v>
      </c>
      <c r="G2418">
        <v>67015</v>
      </c>
      <c r="H2418">
        <v>1173683</v>
      </c>
      <c r="I2418">
        <v>17.513736559139787</v>
      </c>
      <c r="J2418">
        <v>0</v>
      </c>
      <c r="K2418">
        <v>17</v>
      </c>
      <c r="L2418">
        <v>13.5</v>
      </c>
      <c r="N2418">
        <v>0</v>
      </c>
    </row>
    <row r="2419" spans="1:14" x14ac:dyDescent="0.35">
      <c r="A2419" t="s">
        <v>85</v>
      </c>
      <c r="B2419">
        <v>202508</v>
      </c>
      <c r="C2419" t="str">
        <f>MID(analisis_productividad__4[[#This Row],[Periodo]],1,4)</f>
        <v>2025</v>
      </c>
      <c r="D2419" t="str">
        <f>MID(analisis_productividad__4[[#This Row],[Periodo]],5,2)</f>
        <v>08</v>
      </c>
      <c r="E2419" t="s">
        <v>11</v>
      </c>
      <c r="F2419" t="s">
        <v>14</v>
      </c>
      <c r="G2419">
        <v>67005</v>
      </c>
      <c r="H2419">
        <v>3471691</v>
      </c>
      <c r="I2419">
        <v>51.812795698924752</v>
      </c>
      <c r="J2419">
        <v>77264.656017034591</v>
      </c>
      <c r="K2419">
        <v>60.5</v>
      </c>
      <c r="L2419">
        <v>57.5</v>
      </c>
      <c r="M2419">
        <v>44.932454228937416</v>
      </c>
      <c r="N2419">
        <v>3800859</v>
      </c>
    </row>
    <row r="2420" spans="1:14" x14ac:dyDescent="0.35">
      <c r="A2420" t="s">
        <v>78</v>
      </c>
      <c r="B2420">
        <v>202405</v>
      </c>
      <c r="C2420" t="str">
        <f>MID(analisis_productividad__4[[#This Row],[Periodo]],1,4)</f>
        <v>2024</v>
      </c>
      <c r="D2420" t="str">
        <f>MID(analisis_productividad__4[[#This Row],[Periodo]],5,2)</f>
        <v>05</v>
      </c>
      <c r="E2420" t="s">
        <v>11</v>
      </c>
      <c r="F2420" t="s">
        <v>14</v>
      </c>
      <c r="G2420">
        <v>67004</v>
      </c>
      <c r="H2420">
        <v>4983094</v>
      </c>
      <c r="I2420">
        <v>74.369684139784923</v>
      </c>
      <c r="J2420">
        <v>0</v>
      </c>
      <c r="K2420">
        <v>79.5</v>
      </c>
      <c r="L2420">
        <v>67</v>
      </c>
      <c r="N2420">
        <v>0</v>
      </c>
    </row>
    <row r="2421" spans="1:14" x14ac:dyDescent="0.35">
      <c r="A2421" t="s">
        <v>100</v>
      </c>
      <c r="B2421">
        <v>202601</v>
      </c>
      <c r="C2421" t="str">
        <f>MID(analisis_productividad__4[[#This Row],[Periodo]],1,4)</f>
        <v>2026</v>
      </c>
      <c r="D2421" t="str">
        <f>MID(analisis_productividad__4[[#This Row],[Periodo]],5,2)</f>
        <v>01</v>
      </c>
      <c r="E2421" t="s">
        <v>34</v>
      </c>
      <c r="F2421" t="s">
        <v>35</v>
      </c>
      <c r="G2421">
        <v>67004</v>
      </c>
      <c r="H2421">
        <v>2537568</v>
      </c>
      <c r="I2421">
        <v>37.871740591397852</v>
      </c>
      <c r="J2421">
        <v>76707.514207493892</v>
      </c>
      <c r="K2421">
        <v>44</v>
      </c>
      <c r="L2421">
        <v>40.5</v>
      </c>
      <c r="M2421">
        <v>35.762421795855829</v>
      </c>
      <c r="N2421">
        <v>2743246</v>
      </c>
    </row>
    <row r="2422" spans="1:14" x14ac:dyDescent="0.35">
      <c r="A2422" t="s">
        <v>78</v>
      </c>
      <c r="B2422">
        <v>202402</v>
      </c>
      <c r="C2422" t="str">
        <f>MID(analisis_productividad__4[[#This Row],[Periodo]],1,4)</f>
        <v>2024</v>
      </c>
      <c r="D2422" t="str">
        <f>MID(analisis_productividad__4[[#This Row],[Periodo]],5,2)</f>
        <v>02</v>
      </c>
      <c r="E2422" t="s">
        <v>11</v>
      </c>
      <c r="F2422" t="s">
        <v>14</v>
      </c>
      <c r="G2422">
        <v>66982</v>
      </c>
      <c r="H2422">
        <v>4755868</v>
      </c>
      <c r="I2422">
        <v>71.00242816091955</v>
      </c>
      <c r="J2422">
        <v>0</v>
      </c>
      <c r="K2422">
        <v>79.5</v>
      </c>
      <c r="L2422">
        <v>67</v>
      </c>
      <c r="N2422">
        <v>0</v>
      </c>
    </row>
    <row r="2423" spans="1:14" x14ac:dyDescent="0.35">
      <c r="A2423" t="s">
        <v>26</v>
      </c>
      <c r="B2423">
        <v>202402</v>
      </c>
      <c r="C2423" t="str">
        <f>MID(analisis_productividad__4[[#This Row],[Periodo]],1,4)</f>
        <v>2024</v>
      </c>
      <c r="D2423" t="str">
        <f>MID(analisis_productividad__4[[#This Row],[Periodo]],5,2)</f>
        <v>02</v>
      </c>
      <c r="E2423" t="s">
        <v>11</v>
      </c>
      <c r="F2423" t="s">
        <v>12</v>
      </c>
      <c r="G2423">
        <v>66939</v>
      </c>
      <c r="H2423">
        <v>4638980</v>
      </c>
      <c r="I2423">
        <v>69.301508620689674</v>
      </c>
      <c r="J2423">
        <v>0</v>
      </c>
      <c r="K2423">
        <v>65.5</v>
      </c>
      <c r="L2423">
        <v>63</v>
      </c>
      <c r="N2423">
        <v>0</v>
      </c>
    </row>
    <row r="2424" spans="1:14" x14ac:dyDescent="0.35">
      <c r="A2424" t="s">
        <v>109</v>
      </c>
      <c r="B2424">
        <v>202605</v>
      </c>
      <c r="C2424" t="str">
        <f>MID(analisis_productividad__4[[#This Row],[Periodo]],1,4)</f>
        <v>2026</v>
      </c>
      <c r="D2424" t="str">
        <f>MID(analisis_productividad__4[[#This Row],[Periodo]],5,2)</f>
        <v>05</v>
      </c>
      <c r="E2424" t="s">
        <v>9</v>
      </c>
      <c r="F2424" t="s">
        <v>9</v>
      </c>
      <c r="G2424">
        <v>66918</v>
      </c>
      <c r="H2424">
        <v>534897</v>
      </c>
      <c r="I2424">
        <v>7.9933602150537837</v>
      </c>
      <c r="J2424">
        <v>57451.242479069559</v>
      </c>
      <c r="K2424">
        <v>10</v>
      </c>
      <c r="L2424">
        <v>9</v>
      </c>
      <c r="M2424">
        <v>8.1521894564878892</v>
      </c>
      <c r="N2424">
        <v>468353</v>
      </c>
    </row>
    <row r="2425" spans="1:14" x14ac:dyDescent="0.35">
      <c r="A2425" t="s">
        <v>100</v>
      </c>
      <c r="B2425">
        <v>202409</v>
      </c>
      <c r="C2425" t="str">
        <f>MID(analisis_productividad__4[[#This Row],[Periodo]],1,4)</f>
        <v>2024</v>
      </c>
      <c r="D2425" t="str">
        <f>MID(analisis_productividad__4[[#This Row],[Periodo]],5,2)</f>
        <v>09</v>
      </c>
      <c r="E2425" t="s">
        <v>34</v>
      </c>
      <c r="F2425" t="s">
        <v>35</v>
      </c>
      <c r="G2425">
        <v>66914</v>
      </c>
      <c r="H2425">
        <v>2538446</v>
      </c>
      <c r="I2425">
        <v>37.935819444444448</v>
      </c>
      <c r="J2425">
        <v>0</v>
      </c>
      <c r="K2425">
        <v>44</v>
      </c>
      <c r="L2425">
        <v>40.5</v>
      </c>
      <c r="N2425">
        <v>0</v>
      </c>
    </row>
    <row r="2426" spans="1:14" x14ac:dyDescent="0.35">
      <c r="A2426" t="s">
        <v>100</v>
      </c>
      <c r="B2426">
        <v>202505</v>
      </c>
      <c r="C2426" t="str">
        <f>MID(analisis_productividad__4[[#This Row],[Periodo]],1,4)</f>
        <v>2025</v>
      </c>
      <c r="D2426" t="str">
        <f>MID(analisis_productividad__4[[#This Row],[Periodo]],5,2)</f>
        <v>05</v>
      </c>
      <c r="E2426" t="s">
        <v>34</v>
      </c>
      <c r="F2426" t="s">
        <v>35</v>
      </c>
      <c r="G2426">
        <v>66861</v>
      </c>
      <c r="H2426">
        <v>2578448</v>
      </c>
      <c r="I2426">
        <v>38.56426075268817</v>
      </c>
      <c r="J2426">
        <v>77271.93901453467</v>
      </c>
      <c r="K2426">
        <v>44</v>
      </c>
      <c r="L2426">
        <v>40.5</v>
      </c>
      <c r="M2426">
        <v>33.368486320952812</v>
      </c>
      <c r="N2426">
        <v>2732618</v>
      </c>
    </row>
    <row r="2427" spans="1:14" x14ac:dyDescent="0.35">
      <c r="A2427" t="s">
        <v>92</v>
      </c>
      <c r="B2427">
        <v>202401</v>
      </c>
      <c r="C2427" t="str">
        <f>MID(analisis_productividad__4[[#This Row],[Periodo]],1,4)</f>
        <v>2024</v>
      </c>
      <c r="D2427" t="str">
        <f>MID(analisis_productividad__4[[#This Row],[Periodo]],5,2)</f>
        <v>01</v>
      </c>
      <c r="E2427" t="s">
        <v>11</v>
      </c>
      <c r="F2427" t="s">
        <v>14</v>
      </c>
      <c r="G2427">
        <v>66854</v>
      </c>
      <c r="H2427">
        <v>3496235</v>
      </c>
      <c r="I2427">
        <v>52.2968682795699</v>
      </c>
      <c r="J2427">
        <v>0</v>
      </c>
      <c r="K2427">
        <v>63</v>
      </c>
      <c r="L2427">
        <v>59</v>
      </c>
      <c r="N2427">
        <v>0</v>
      </c>
    </row>
    <row r="2428" spans="1:14" x14ac:dyDescent="0.35">
      <c r="A2428" t="s">
        <v>105</v>
      </c>
      <c r="B2428">
        <v>202503</v>
      </c>
      <c r="C2428" t="str">
        <f>MID(analisis_productividad__4[[#This Row],[Periodo]],1,4)</f>
        <v>2025</v>
      </c>
      <c r="D2428" t="str">
        <f>MID(analisis_productividad__4[[#This Row],[Periodo]],5,2)</f>
        <v>03</v>
      </c>
      <c r="E2428" t="s">
        <v>34</v>
      </c>
      <c r="F2428" t="s">
        <v>35</v>
      </c>
      <c r="G2428">
        <v>66836</v>
      </c>
      <c r="H2428">
        <v>2561977</v>
      </c>
      <c r="I2428">
        <v>38.332338709677423</v>
      </c>
      <c r="J2428">
        <v>63827.580763636397</v>
      </c>
      <c r="K2428">
        <v>33</v>
      </c>
      <c r="L2428">
        <v>31.5</v>
      </c>
      <c r="M2428">
        <v>40.139023277216225</v>
      </c>
      <c r="N2428">
        <v>2570592</v>
      </c>
    </row>
    <row r="2429" spans="1:14" x14ac:dyDescent="0.35">
      <c r="A2429" t="s">
        <v>92</v>
      </c>
      <c r="B2429">
        <v>202507</v>
      </c>
      <c r="C2429" t="str">
        <f>MID(analisis_productividad__4[[#This Row],[Periodo]],1,4)</f>
        <v>2025</v>
      </c>
      <c r="D2429" t="str">
        <f>MID(analisis_productividad__4[[#This Row],[Periodo]],5,2)</f>
        <v>07</v>
      </c>
      <c r="E2429" t="s">
        <v>11</v>
      </c>
      <c r="F2429" t="s">
        <v>14</v>
      </c>
      <c r="G2429">
        <v>66729</v>
      </c>
      <c r="H2429">
        <v>3536892</v>
      </c>
      <c r="I2429">
        <v>53.003830645161301</v>
      </c>
      <c r="J2429">
        <v>74449.540047534683</v>
      </c>
      <c r="K2429">
        <v>63</v>
      </c>
      <c r="L2429">
        <v>59</v>
      </c>
      <c r="M2429">
        <v>47.507240847179965</v>
      </c>
      <c r="N2429">
        <v>4023394</v>
      </c>
    </row>
    <row r="2430" spans="1:14" x14ac:dyDescent="0.35">
      <c r="A2430" t="s">
        <v>78</v>
      </c>
      <c r="B2430">
        <v>202404</v>
      </c>
      <c r="C2430" t="str">
        <f>MID(analisis_productividad__4[[#This Row],[Periodo]],1,4)</f>
        <v>2024</v>
      </c>
      <c r="D2430" t="str">
        <f>MID(analisis_productividad__4[[#This Row],[Periodo]],5,2)</f>
        <v>04</v>
      </c>
      <c r="E2430" t="s">
        <v>11</v>
      </c>
      <c r="F2430" t="s">
        <v>14</v>
      </c>
      <c r="G2430">
        <v>66700</v>
      </c>
      <c r="H2430">
        <v>4778671</v>
      </c>
      <c r="I2430">
        <v>71.644368055555546</v>
      </c>
      <c r="J2430">
        <v>0</v>
      </c>
      <c r="K2430">
        <v>79.5</v>
      </c>
      <c r="L2430">
        <v>67</v>
      </c>
      <c r="N2430">
        <v>0</v>
      </c>
    </row>
    <row r="2431" spans="1:14" x14ac:dyDescent="0.35">
      <c r="A2431" t="s">
        <v>103</v>
      </c>
      <c r="B2431">
        <v>202410</v>
      </c>
      <c r="C2431" t="str">
        <f>MID(analisis_productividad__4[[#This Row],[Periodo]],1,4)</f>
        <v>2024</v>
      </c>
      <c r="D2431" t="str">
        <f>MID(analisis_productividad__4[[#This Row],[Periodo]],5,2)</f>
        <v>10</v>
      </c>
      <c r="E2431" t="s">
        <v>104</v>
      </c>
      <c r="F2431" t="s">
        <v>104</v>
      </c>
      <c r="G2431">
        <v>66679</v>
      </c>
      <c r="H2431">
        <v>5354658</v>
      </c>
      <c r="I2431">
        <v>80.305053763440881</v>
      </c>
      <c r="J2431">
        <v>0</v>
      </c>
      <c r="K2431">
        <v>94</v>
      </c>
      <c r="L2431">
        <v>77.5</v>
      </c>
      <c r="N2431">
        <v>0</v>
      </c>
    </row>
    <row r="2432" spans="1:14" x14ac:dyDescent="0.35">
      <c r="A2432" t="s">
        <v>91</v>
      </c>
      <c r="B2432">
        <v>202405</v>
      </c>
      <c r="C2432" t="str">
        <f>MID(analisis_productividad__4[[#This Row],[Periodo]],1,4)</f>
        <v>2024</v>
      </c>
      <c r="D2432" t="str">
        <f>MID(analisis_productividad__4[[#This Row],[Periodo]],5,2)</f>
        <v>05</v>
      </c>
      <c r="E2432" t="s">
        <v>11</v>
      </c>
      <c r="F2432" t="s">
        <v>12</v>
      </c>
      <c r="G2432">
        <v>66677</v>
      </c>
      <c r="H2432">
        <v>3613778</v>
      </c>
      <c r="I2432">
        <v>54.198487903225818</v>
      </c>
      <c r="J2432">
        <v>0</v>
      </c>
      <c r="K2432">
        <v>55</v>
      </c>
      <c r="L2432">
        <v>55.5</v>
      </c>
      <c r="N2432">
        <v>0</v>
      </c>
    </row>
    <row r="2433" spans="1:14" x14ac:dyDescent="0.35">
      <c r="A2433" t="s">
        <v>105</v>
      </c>
      <c r="B2433">
        <v>202504</v>
      </c>
      <c r="C2433" t="str">
        <f>MID(analisis_productividad__4[[#This Row],[Periodo]],1,4)</f>
        <v>2025</v>
      </c>
      <c r="D2433" t="str">
        <f>MID(analisis_productividad__4[[#This Row],[Periodo]],5,2)</f>
        <v>04</v>
      </c>
      <c r="E2433" t="s">
        <v>34</v>
      </c>
      <c r="F2433" t="s">
        <v>35</v>
      </c>
      <c r="G2433">
        <v>66676</v>
      </c>
      <c r="H2433">
        <v>2360967</v>
      </c>
      <c r="I2433">
        <v>35.409645833333336</v>
      </c>
      <c r="J2433">
        <v>57604.311988234454</v>
      </c>
      <c r="K2433">
        <v>33</v>
      </c>
      <c r="L2433">
        <v>31.5</v>
      </c>
      <c r="M2433">
        <v>40.985946511820536</v>
      </c>
      <c r="N2433">
        <v>2598394</v>
      </c>
    </row>
    <row r="2434" spans="1:14" x14ac:dyDescent="0.35">
      <c r="A2434" t="s">
        <v>85</v>
      </c>
      <c r="B2434">
        <v>202401</v>
      </c>
      <c r="C2434" t="str">
        <f>MID(analisis_productividad__4[[#This Row],[Periodo]],1,4)</f>
        <v>2024</v>
      </c>
      <c r="D2434" t="str">
        <f>MID(analisis_productividad__4[[#This Row],[Periodo]],5,2)</f>
        <v>01</v>
      </c>
      <c r="E2434" t="s">
        <v>11</v>
      </c>
      <c r="F2434" t="s">
        <v>14</v>
      </c>
      <c r="G2434">
        <v>66665</v>
      </c>
      <c r="H2434">
        <v>3420432</v>
      </c>
      <c r="I2434">
        <v>51.308118279569911</v>
      </c>
      <c r="J2434">
        <v>0</v>
      </c>
      <c r="K2434">
        <v>60.5</v>
      </c>
      <c r="L2434">
        <v>57.5</v>
      </c>
      <c r="N2434">
        <v>0</v>
      </c>
    </row>
    <row r="2435" spans="1:14" x14ac:dyDescent="0.35">
      <c r="A2435" t="s">
        <v>94</v>
      </c>
      <c r="B2435">
        <v>202410</v>
      </c>
      <c r="C2435" t="str">
        <f>MID(analisis_productividad__4[[#This Row],[Periodo]],1,4)</f>
        <v>2024</v>
      </c>
      <c r="D2435" t="str">
        <f>MID(analisis_productividad__4[[#This Row],[Periodo]],5,2)</f>
        <v>10</v>
      </c>
      <c r="E2435" t="s">
        <v>11</v>
      </c>
      <c r="F2435" t="s">
        <v>52</v>
      </c>
      <c r="G2435">
        <v>66660</v>
      </c>
      <c r="H2435">
        <v>4741165</v>
      </c>
      <c r="I2435">
        <v>71.124845430107499</v>
      </c>
      <c r="J2435">
        <v>0</v>
      </c>
      <c r="K2435">
        <v>75.5</v>
      </c>
      <c r="L2435">
        <v>70.5</v>
      </c>
      <c r="N2435">
        <v>0</v>
      </c>
    </row>
    <row r="2436" spans="1:14" x14ac:dyDescent="0.35">
      <c r="A2436" t="s">
        <v>123</v>
      </c>
      <c r="B2436">
        <v>202406</v>
      </c>
      <c r="C2436" t="str">
        <f>MID(analisis_productividad__4[[#This Row],[Periodo]],1,4)</f>
        <v>2024</v>
      </c>
      <c r="D2436" t="str">
        <f>MID(analisis_productividad__4[[#This Row],[Periodo]],5,2)</f>
        <v>06</v>
      </c>
      <c r="E2436" t="s">
        <v>9</v>
      </c>
      <c r="F2436" t="s">
        <v>9</v>
      </c>
      <c r="G2436">
        <v>66624</v>
      </c>
      <c r="H2436">
        <v>536266</v>
      </c>
      <c r="I2436">
        <v>8.0491736111111116</v>
      </c>
      <c r="J2436">
        <v>0</v>
      </c>
      <c r="K2436">
        <v>11</v>
      </c>
      <c r="L2436">
        <v>10</v>
      </c>
      <c r="N2436">
        <v>0</v>
      </c>
    </row>
    <row r="2437" spans="1:14" x14ac:dyDescent="0.35">
      <c r="A2437" t="s">
        <v>58</v>
      </c>
      <c r="B2437">
        <v>202509</v>
      </c>
      <c r="C2437" t="str">
        <f>MID(analisis_productividad__4[[#This Row],[Periodo]],1,4)</f>
        <v>2025</v>
      </c>
      <c r="D2437" t="str">
        <f>MID(analisis_productividad__4[[#This Row],[Periodo]],5,2)</f>
        <v>09</v>
      </c>
      <c r="E2437" t="s">
        <v>34</v>
      </c>
      <c r="F2437" t="s">
        <v>35</v>
      </c>
      <c r="G2437">
        <v>66540</v>
      </c>
      <c r="H2437">
        <v>2789009</v>
      </c>
      <c r="I2437">
        <v>41.914493055555546</v>
      </c>
      <c r="J2437">
        <v>69488.618637647931</v>
      </c>
      <c r="K2437">
        <v>53.5</v>
      </c>
      <c r="L2437">
        <v>52</v>
      </c>
      <c r="M2437">
        <v>40.136198771534595</v>
      </c>
      <c r="N2437">
        <v>3343826</v>
      </c>
    </row>
    <row r="2438" spans="1:14" x14ac:dyDescent="0.35">
      <c r="A2438" t="s">
        <v>8</v>
      </c>
      <c r="B2438">
        <v>202502</v>
      </c>
      <c r="C2438" t="str">
        <f>MID(analisis_productividad__4[[#This Row],[Periodo]],1,4)</f>
        <v>2025</v>
      </c>
      <c r="D2438" t="str">
        <f>MID(analisis_productividad__4[[#This Row],[Periodo]],5,2)</f>
        <v>02</v>
      </c>
      <c r="E2438" t="s">
        <v>9</v>
      </c>
      <c r="F2438" t="s">
        <v>9</v>
      </c>
      <c r="G2438">
        <v>66528</v>
      </c>
      <c r="H2438">
        <v>785428</v>
      </c>
      <c r="I2438">
        <v>11.806041666666665</v>
      </c>
      <c r="J2438">
        <v>71318.826740287899</v>
      </c>
      <c r="K2438">
        <v>13.5</v>
      </c>
      <c r="L2438">
        <v>12.5</v>
      </c>
      <c r="M2438">
        <v>11.012909436384669</v>
      </c>
      <c r="N2438">
        <v>897605</v>
      </c>
    </row>
    <row r="2439" spans="1:14" x14ac:dyDescent="0.35">
      <c r="A2439" t="s">
        <v>92</v>
      </c>
      <c r="B2439">
        <v>202510</v>
      </c>
      <c r="C2439" t="str">
        <f>MID(analisis_productividad__4[[#This Row],[Periodo]],1,4)</f>
        <v>2025</v>
      </c>
      <c r="D2439" t="str">
        <f>MID(analisis_productividad__4[[#This Row],[Periodo]],5,2)</f>
        <v>10</v>
      </c>
      <c r="E2439" t="s">
        <v>11</v>
      </c>
      <c r="F2439" t="s">
        <v>14</v>
      </c>
      <c r="G2439">
        <v>66503</v>
      </c>
      <c r="H2439">
        <v>3150292</v>
      </c>
      <c r="I2439">
        <v>47.370524193548391</v>
      </c>
      <c r="J2439">
        <v>66105.305274881379</v>
      </c>
      <c r="K2439">
        <v>63</v>
      </c>
      <c r="L2439">
        <v>59</v>
      </c>
      <c r="M2439">
        <v>47.65565315673755</v>
      </c>
      <c r="N2439">
        <v>3945338</v>
      </c>
    </row>
    <row r="2440" spans="1:14" x14ac:dyDescent="0.35">
      <c r="A2440" t="s">
        <v>100</v>
      </c>
      <c r="B2440">
        <v>202506</v>
      </c>
      <c r="C2440" t="str">
        <f>MID(analisis_productividad__4[[#This Row],[Periodo]],1,4)</f>
        <v>2025</v>
      </c>
      <c r="D2440" t="str">
        <f>MID(analisis_productividad__4[[#This Row],[Periodo]],5,2)</f>
        <v>06</v>
      </c>
      <c r="E2440" t="s">
        <v>34</v>
      </c>
      <c r="F2440" t="s">
        <v>35</v>
      </c>
      <c r="G2440">
        <v>66487</v>
      </c>
      <c r="H2440">
        <v>2491028</v>
      </c>
      <c r="I2440">
        <v>37.46628472222222</v>
      </c>
      <c r="J2440">
        <v>82263.761855426928</v>
      </c>
      <c r="K2440">
        <v>44</v>
      </c>
      <c r="L2440">
        <v>40.5</v>
      </c>
      <c r="M2440">
        <v>30.280993037709802</v>
      </c>
      <c r="N2440">
        <v>2690676</v>
      </c>
    </row>
    <row r="2441" spans="1:14" x14ac:dyDescent="0.35">
      <c r="A2441" t="s">
        <v>119</v>
      </c>
      <c r="B2441">
        <v>202502</v>
      </c>
      <c r="C2441" t="str">
        <f>MID(analisis_productividad__4[[#This Row],[Periodo]],1,4)</f>
        <v>2025</v>
      </c>
      <c r="D2441" t="str">
        <f>MID(analisis_productividad__4[[#This Row],[Periodo]],5,2)</f>
        <v>02</v>
      </c>
      <c r="E2441" t="s">
        <v>16</v>
      </c>
      <c r="F2441" t="s">
        <v>21</v>
      </c>
      <c r="G2441">
        <v>66466</v>
      </c>
      <c r="H2441">
        <v>3311640</v>
      </c>
      <c r="I2441">
        <v>49.824427083333333</v>
      </c>
      <c r="J2441">
        <v>59617.162883271441</v>
      </c>
      <c r="K2441">
        <v>52.5</v>
      </c>
      <c r="L2441">
        <v>52.5</v>
      </c>
      <c r="M2441">
        <v>55.548428167977207</v>
      </c>
      <c r="N2441">
        <v>3097538</v>
      </c>
    </row>
    <row r="2442" spans="1:14" x14ac:dyDescent="0.35">
      <c r="A2442" t="s">
        <v>89</v>
      </c>
      <c r="B2442">
        <v>202502</v>
      </c>
      <c r="C2442" t="str">
        <f>MID(analisis_productividad__4[[#This Row],[Periodo]],1,4)</f>
        <v>2025</v>
      </c>
      <c r="D2442" t="str">
        <f>MID(analisis_productividad__4[[#This Row],[Periodo]],5,2)</f>
        <v>02</v>
      </c>
      <c r="E2442" t="s">
        <v>9</v>
      </c>
      <c r="F2442" t="s">
        <v>9</v>
      </c>
      <c r="G2442">
        <v>66419</v>
      </c>
      <c r="H2442">
        <v>953267</v>
      </c>
      <c r="I2442">
        <v>14.352395833333331</v>
      </c>
      <c r="J2442">
        <v>59814.667767906889</v>
      </c>
      <c r="K2442">
        <v>17</v>
      </c>
      <c r="L2442">
        <v>13.5</v>
      </c>
      <c r="M2442">
        <v>15.937010863269697</v>
      </c>
      <c r="N2442">
        <v>994613</v>
      </c>
    </row>
    <row r="2443" spans="1:14" x14ac:dyDescent="0.35">
      <c r="A2443" t="s">
        <v>119</v>
      </c>
      <c r="B2443">
        <v>202501</v>
      </c>
      <c r="C2443" t="str">
        <f>MID(analisis_productividad__4[[#This Row],[Periodo]],1,4)</f>
        <v>2025</v>
      </c>
      <c r="D2443" t="str">
        <f>MID(analisis_productividad__4[[#This Row],[Periodo]],5,2)</f>
        <v>01</v>
      </c>
      <c r="E2443" t="s">
        <v>16</v>
      </c>
      <c r="F2443" t="s">
        <v>21</v>
      </c>
      <c r="G2443">
        <v>66415</v>
      </c>
      <c r="H2443">
        <v>3290007</v>
      </c>
      <c r="I2443">
        <v>49.53680779569892</v>
      </c>
      <c r="J2443">
        <v>65092.009788105177</v>
      </c>
      <c r="K2443">
        <v>52.5</v>
      </c>
      <c r="L2443">
        <v>52.5</v>
      </c>
      <c r="M2443">
        <v>50.543948492449395</v>
      </c>
      <c r="N2443">
        <v>3478107</v>
      </c>
    </row>
    <row r="2444" spans="1:14" x14ac:dyDescent="0.35">
      <c r="A2444" t="s">
        <v>108</v>
      </c>
      <c r="B2444">
        <v>202408</v>
      </c>
      <c r="C2444" t="str">
        <f>MID(analisis_productividad__4[[#This Row],[Periodo]],1,4)</f>
        <v>2024</v>
      </c>
      <c r="D2444" t="str">
        <f>MID(analisis_productividad__4[[#This Row],[Periodo]],5,2)</f>
        <v>08</v>
      </c>
      <c r="E2444" t="s">
        <v>11</v>
      </c>
      <c r="F2444" t="s">
        <v>14</v>
      </c>
      <c r="G2444">
        <v>66412</v>
      </c>
      <c r="H2444">
        <v>2839922</v>
      </c>
      <c r="I2444">
        <v>42.762143817204297</v>
      </c>
      <c r="J2444">
        <v>0</v>
      </c>
      <c r="K2444">
        <v>47.5</v>
      </c>
      <c r="L2444">
        <v>43</v>
      </c>
      <c r="N2444">
        <v>0</v>
      </c>
    </row>
    <row r="2445" spans="1:14" x14ac:dyDescent="0.35">
      <c r="A2445" t="s">
        <v>119</v>
      </c>
      <c r="B2445">
        <v>202507</v>
      </c>
      <c r="C2445" t="str">
        <f>MID(analisis_productividad__4[[#This Row],[Periodo]],1,4)</f>
        <v>2025</v>
      </c>
      <c r="D2445" t="str">
        <f>MID(analisis_productividad__4[[#This Row],[Periodo]],5,2)</f>
        <v>07</v>
      </c>
      <c r="E2445" t="s">
        <v>16</v>
      </c>
      <c r="F2445" t="s">
        <v>21</v>
      </c>
      <c r="G2445">
        <v>66393</v>
      </c>
      <c r="H2445">
        <v>3210835</v>
      </c>
      <c r="I2445">
        <v>48.360732526881712</v>
      </c>
      <c r="J2445">
        <v>74507.450527905195</v>
      </c>
      <c r="K2445">
        <v>52.5</v>
      </c>
      <c r="L2445">
        <v>52.5</v>
      </c>
      <c r="M2445">
        <v>43.094140213500516</v>
      </c>
      <c r="N2445">
        <v>4218935</v>
      </c>
    </row>
    <row r="2446" spans="1:14" x14ac:dyDescent="0.35">
      <c r="A2446" t="s">
        <v>103</v>
      </c>
      <c r="B2446">
        <v>202406</v>
      </c>
      <c r="C2446" t="str">
        <f>MID(analisis_productividad__4[[#This Row],[Periodo]],1,4)</f>
        <v>2024</v>
      </c>
      <c r="D2446" t="str">
        <f>MID(analisis_productividad__4[[#This Row],[Periodo]],5,2)</f>
        <v>06</v>
      </c>
      <c r="E2446" t="s">
        <v>104</v>
      </c>
      <c r="F2446" t="s">
        <v>104</v>
      </c>
      <c r="G2446">
        <v>66375</v>
      </c>
      <c r="H2446">
        <v>5363729</v>
      </c>
      <c r="I2446">
        <v>80.809701388888925</v>
      </c>
      <c r="J2446">
        <v>0</v>
      </c>
      <c r="K2446">
        <v>94</v>
      </c>
      <c r="L2446">
        <v>77.5</v>
      </c>
      <c r="N2446">
        <v>0</v>
      </c>
    </row>
    <row r="2447" spans="1:14" x14ac:dyDescent="0.35">
      <c r="A2447" t="s">
        <v>112</v>
      </c>
      <c r="B2447">
        <v>202405</v>
      </c>
      <c r="C2447" t="str">
        <f>MID(analisis_productividad__4[[#This Row],[Periodo]],1,4)</f>
        <v>2024</v>
      </c>
      <c r="D2447" t="str">
        <f>MID(analisis_productividad__4[[#This Row],[Periodo]],5,2)</f>
        <v>05</v>
      </c>
      <c r="E2447" t="s">
        <v>34</v>
      </c>
      <c r="F2447" t="s">
        <v>35</v>
      </c>
      <c r="G2447">
        <v>66372</v>
      </c>
      <c r="H2447">
        <v>1738955</v>
      </c>
      <c r="I2447">
        <v>26.200181451612902</v>
      </c>
      <c r="J2447">
        <v>0</v>
      </c>
      <c r="K2447">
        <v>31</v>
      </c>
      <c r="L2447">
        <v>27</v>
      </c>
      <c r="N2447">
        <v>0</v>
      </c>
    </row>
    <row r="2448" spans="1:14" x14ac:dyDescent="0.35">
      <c r="A2448" t="s">
        <v>111</v>
      </c>
      <c r="B2448">
        <v>202510</v>
      </c>
      <c r="C2448" t="str">
        <f>MID(analisis_productividad__4[[#This Row],[Periodo]],1,4)</f>
        <v>2025</v>
      </c>
      <c r="D2448" t="str">
        <f>MID(analisis_productividad__4[[#This Row],[Periodo]],5,2)</f>
        <v>10</v>
      </c>
      <c r="E2448" t="s">
        <v>34</v>
      </c>
      <c r="F2448" t="s">
        <v>35</v>
      </c>
      <c r="G2448">
        <v>66346</v>
      </c>
      <c r="H2448">
        <v>2202861</v>
      </c>
      <c r="I2448">
        <v>33.202580645161284</v>
      </c>
      <c r="J2448">
        <v>59105.33944422959</v>
      </c>
      <c r="K2448">
        <v>45.5</v>
      </c>
      <c r="L2448">
        <v>42.5</v>
      </c>
      <c r="M2448">
        <v>37.270090159596627</v>
      </c>
      <c r="N2448">
        <v>2466996</v>
      </c>
    </row>
    <row r="2449" spans="1:14" x14ac:dyDescent="0.35">
      <c r="A2449" t="s">
        <v>98</v>
      </c>
      <c r="B2449">
        <v>202510</v>
      </c>
      <c r="C2449" t="str">
        <f>MID(analisis_productividad__4[[#This Row],[Periodo]],1,4)</f>
        <v>2025</v>
      </c>
      <c r="D2449" t="str">
        <f>MID(analisis_productividad__4[[#This Row],[Periodo]],5,2)</f>
        <v>10</v>
      </c>
      <c r="E2449" t="s">
        <v>11</v>
      </c>
      <c r="F2449" t="s">
        <v>14</v>
      </c>
      <c r="G2449">
        <v>66341</v>
      </c>
      <c r="H2449">
        <v>3456704</v>
      </c>
      <c r="I2449">
        <v>52.105120967741954</v>
      </c>
      <c r="J2449">
        <v>77388.414225701388</v>
      </c>
      <c r="K2449">
        <v>61.5</v>
      </c>
      <c r="L2449">
        <v>56</v>
      </c>
      <c r="M2449">
        <v>44.666940711804862</v>
      </c>
      <c r="N2449">
        <v>3639258</v>
      </c>
    </row>
    <row r="2450" spans="1:14" x14ac:dyDescent="0.35">
      <c r="A2450" t="s">
        <v>98</v>
      </c>
      <c r="B2450">
        <v>202507</v>
      </c>
      <c r="C2450" t="str">
        <f>MID(analisis_productividad__4[[#This Row],[Periodo]],1,4)</f>
        <v>2025</v>
      </c>
      <c r="D2450" t="str">
        <f>MID(analisis_productividad__4[[#This Row],[Periodo]],5,2)</f>
        <v>07</v>
      </c>
      <c r="E2450" t="s">
        <v>11</v>
      </c>
      <c r="F2450" t="s">
        <v>14</v>
      </c>
      <c r="G2450">
        <v>66329</v>
      </c>
      <c r="H2450">
        <v>3647830</v>
      </c>
      <c r="I2450">
        <v>54.996243279569896</v>
      </c>
      <c r="J2450">
        <v>69273.834798171389</v>
      </c>
      <c r="K2450">
        <v>61.5</v>
      </c>
      <c r="L2450">
        <v>56</v>
      </c>
      <c r="M2450">
        <v>52.658125115029598</v>
      </c>
      <c r="N2450">
        <v>3981975</v>
      </c>
    </row>
    <row r="2451" spans="1:14" x14ac:dyDescent="0.35">
      <c r="A2451" t="s">
        <v>94</v>
      </c>
      <c r="B2451">
        <v>202404</v>
      </c>
      <c r="C2451" t="str">
        <f>MID(analisis_productividad__4[[#This Row],[Periodo]],1,4)</f>
        <v>2024</v>
      </c>
      <c r="D2451" t="str">
        <f>MID(analisis_productividad__4[[#This Row],[Periodo]],5,2)</f>
        <v>04</v>
      </c>
      <c r="E2451" t="s">
        <v>11</v>
      </c>
      <c r="F2451" t="s">
        <v>52</v>
      </c>
      <c r="G2451">
        <v>66312</v>
      </c>
      <c r="H2451">
        <v>5057276</v>
      </c>
      <c r="I2451">
        <v>76.264562500000068</v>
      </c>
      <c r="J2451">
        <v>0</v>
      </c>
      <c r="K2451">
        <v>75.5</v>
      </c>
      <c r="L2451">
        <v>70.5</v>
      </c>
      <c r="N2451">
        <v>0</v>
      </c>
    </row>
    <row r="2452" spans="1:14" x14ac:dyDescent="0.35">
      <c r="A2452" t="s">
        <v>110</v>
      </c>
      <c r="B2452">
        <v>202408</v>
      </c>
      <c r="C2452" t="str">
        <f>MID(analisis_productividad__4[[#This Row],[Periodo]],1,4)</f>
        <v>2024</v>
      </c>
      <c r="D2452" t="str">
        <f>MID(analisis_productividad__4[[#This Row],[Periodo]],5,2)</f>
        <v>08</v>
      </c>
      <c r="E2452" t="s">
        <v>34</v>
      </c>
      <c r="F2452" t="s">
        <v>35</v>
      </c>
      <c r="G2452">
        <v>66309</v>
      </c>
      <c r="H2452">
        <v>2287401</v>
      </c>
      <c r="I2452">
        <v>34.49593413978495</v>
      </c>
      <c r="J2452">
        <v>0</v>
      </c>
      <c r="K2452">
        <v>41.5</v>
      </c>
      <c r="L2452">
        <v>43</v>
      </c>
      <c r="N2452">
        <v>0</v>
      </c>
    </row>
    <row r="2453" spans="1:14" x14ac:dyDescent="0.35">
      <c r="A2453" t="s">
        <v>115</v>
      </c>
      <c r="B2453">
        <v>202603</v>
      </c>
      <c r="C2453" t="str">
        <f>MID(analisis_productividad__4[[#This Row],[Periodo]],1,4)</f>
        <v>2026</v>
      </c>
      <c r="D2453" t="str">
        <f>MID(analisis_productividad__4[[#This Row],[Periodo]],5,2)</f>
        <v>03</v>
      </c>
      <c r="E2453" t="s">
        <v>34</v>
      </c>
      <c r="F2453" t="s">
        <v>35</v>
      </c>
      <c r="G2453">
        <v>66289</v>
      </c>
      <c r="H2453">
        <v>3275101</v>
      </c>
      <c r="I2453">
        <v>49.406357526881727</v>
      </c>
      <c r="J2453">
        <v>70818.602074228475</v>
      </c>
      <c r="K2453">
        <v>53.5</v>
      </c>
      <c r="L2453">
        <v>51</v>
      </c>
      <c r="M2453">
        <v>45.515809558361951</v>
      </c>
      <c r="N2453">
        <v>3223366</v>
      </c>
    </row>
    <row r="2454" spans="1:14" x14ac:dyDescent="0.35">
      <c r="A2454" t="s">
        <v>107</v>
      </c>
      <c r="B2454">
        <v>202507</v>
      </c>
      <c r="C2454" t="str">
        <f>MID(analisis_productividad__4[[#This Row],[Periodo]],1,4)</f>
        <v>2025</v>
      </c>
      <c r="D2454" t="str">
        <f>MID(analisis_productividad__4[[#This Row],[Periodo]],5,2)</f>
        <v>07</v>
      </c>
      <c r="E2454" t="s">
        <v>34</v>
      </c>
      <c r="F2454" t="s">
        <v>35</v>
      </c>
      <c r="G2454">
        <v>66254</v>
      </c>
      <c r="H2454">
        <v>4813479</v>
      </c>
      <c r="I2454">
        <v>72.651579301075273</v>
      </c>
      <c r="J2454">
        <v>60212.044303161827</v>
      </c>
      <c r="K2454">
        <v>87</v>
      </c>
      <c r="L2454">
        <v>77.5</v>
      </c>
      <c r="M2454">
        <v>79.942120479494093</v>
      </c>
      <c r="N2454">
        <v>5208145</v>
      </c>
    </row>
    <row r="2455" spans="1:14" x14ac:dyDescent="0.35">
      <c r="A2455" t="s">
        <v>58</v>
      </c>
      <c r="B2455">
        <v>202407</v>
      </c>
      <c r="C2455" t="str">
        <f>MID(analisis_productividad__4[[#This Row],[Periodo]],1,4)</f>
        <v>2024</v>
      </c>
      <c r="D2455" t="str">
        <f>MID(analisis_productividad__4[[#This Row],[Periodo]],5,2)</f>
        <v>07</v>
      </c>
      <c r="E2455" t="s">
        <v>34</v>
      </c>
      <c r="F2455" t="s">
        <v>35</v>
      </c>
      <c r="G2455">
        <v>66253</v>
      </c>
      <c r="H2455">
        <v>3283371</v>
      </c>
      <c r="I2455">
        <v>49.557788978494635</v>
      </c>
      <c r="J2455">
        <v>0</v>
      </c>
      <c r="K2455">
        <v>53.5</v>
      </c>
      <c r="L2455">
        <v>52</v>
      </c>
      <c r="N2455">
        <v>0</v>
      </c>
    </row>
    <row r="2456" spans="1:14" x14ac:dyDescent="0.35">
      <c r="A2456" t="s">
        <v>115</v>
      </c>
      <c r="B2456">
        <v>202605</v>
      </c>
      <c r="C2456" t="str">
        <f>MID(analisis_productividad__4[[#This Row],[Periodo]],1,4)</f>
        <v>2026</v>
      </c>
      <c r="D2456" t="str">
        <f>MID(analisis_productividad__4[[#This Row],[Periodo]],5,2)</f>
        <v>05</v>
      </c>
      <c r="E2456" t="s">
        <v>34</v>
      </c>
      <c r="F2456" t="s">
        <v>35</v>
      </c>
      <c r="G2456">
        <v>66228</v>
      </c>
      <c r="H2456">
        <v>3056968</v>
      </c>
      <c r="I2456">
        <v>46.158508064516283</v>
      </c>
      <c r="J2456">
        <v>68291.589104097337</v>
      </c>
      <c r="K2456">
        <v>53.5</v>
      </c>
      <c r="L2456">
        <v>51</v>
      </c>
      <c r="M2456">
        <v>45.515809558361951</v>
      </c>
      <c r="N2456">
        <v>3108347</v>
      </c>
    </row>
    <row r="2457" spans="1:14" x14ac:dyDescent="0.35">
      <c r="A2457" t="s">
        <v>110</v>
      </c>
      <c r="B2457">
        <v>202412</v>
      </c>
      <c r="C2457" t="str">
        <f>MID(analisis_productividad__4[[#This Row],[Periodo]],1,4)</f>
        <v>2024</v>
      </c>
      <c r="D2457" t="str">
        <f>MID(analisis_productividad__4[[#This Row],[Periodo]],5,2)</f>
        <v>12</v>
      </c>
      <c r="E2457" t="s">
        <v>34</v>
      </c>
      <c r="F2457" t="s">
        <v>35</v>
      </c>
      <c r="G2457">
        <v>66227</v>
      </c>
      <c r="H2457">
        <v>2565756</v>
      </c>
      <c r="I2457">
        <v>38.742130376344079</v>
      </c>
      <c r="J2457">
        <v>0</v>
      </c>
      <c r="K2457">
        <v>41.5</v>
      </c>
      <c r="L2457">
        <v>43</v>
      </c>
      <c r="N2457">
        <v>0</v>
      </c>
    </row>
    <row r="2458" spans="1:14" x14ac:dyDescent="0.35">
      <c r="A2458" t="s">
        <v>73</v>
      </c>
      <c r="B2458">
        <v>202401</v>
      </c>
      <c r="C2458" t="str">
        <f>MID(analisis_productividad__4[[#This Row],[Periodo]],1,4)</f>
        <v>2024</v>
      </c>
      <c r="D2458" t="str">
        <f>MID(analisis_productividad__4[[#This Row],[Periodo]],5,2)</f>
        <v>01</v>
      </c>
      <c r="E2458" t="s">
        <v>16</v>
      </c>
      <c r="F2458" t="s">
        <v>21</v>
      </c>
      <c r="G2458">
        <v>66211</v>
      </c>
      <c r="H2458">
        <v>2849913</v>
      </c>
      <c r="I2458">
        <v>43.043131720430118</v>
      </c>
      <c r="J2458">
        <v>0</v>
      </c>
      <c r="K2458">
        <v>43.5</v>
      </c>
      <c r="L2458">
        <v>41</v>
      </c>
      <c r="N2458">
        <v>0</v>
      </c>
    </row>
    <row r="2459" spans="1:14" x14ac:dyDescent="0.35">
      <c r="A2459" t="s">
        <v>89</v>
      </c>
      <c r="B2459">
        <v>202408</v>
      </c>
      <c r="C2459" t="str">
        <f>MID(analisis_productividad__4[[#This Row],[Periodo]],1,4)</f>
        <v>2024</v>
      </c>
      <c r="D2459" t="str">
        <f>MID(analisis_productividad__4[[#This Row],[Periodo]],5,2)</f>
        <v>08</v>
      </c>
      <c r="E2459" t="s">
        <v>9</v>
      </c>
      <c r="F2459" t="s">
        <v>9</v>
      </c>
      <c r="G2459">
        <v>66181</v>
      </c>
      <c r="H2459">
        <v>1056778</v>
      </c>
      <c r="I2459">
        <v>15.967997311827959</v>
      </c>
      <c r="J2459">
        <v>0</v>
      </c>
      <c r="K2459">
        <v>17</v>
      </c>
      <c r="L2459">
        <v>13.5</v>
      </c>
      <c r="N2459">
        <v>0</v>
      </c>
    </row>
    <row r="2460" spans="1:14" x14ac:dyDescent="0.35">
      <c r="A2460" t="s">
        <v>58</v>
      </c>
      <c r="B2460">
        <v>202409</v>
      </c>
      <c r="C2460" t="str">
        <f>MID(analisis_productividad__4[[#This Row],[Periodo]],1,4)</f>
        <v>2024</v>
      </c>
      <c r="D2460" t="str">
        <f>MID(analisis_productividad__4[[#This Row],[Periodo]],5,2)</f>
        <v>09</v>
      </c>
      <c r="E2460" t="s">
        <v>34</v>
      </c>
      <c r="F2460" t="s">
        <v>35</v>
      </c>
      <c r="G2460">
        <v>66180</v>
      </c>
      <c r="H2460">
        <v>3095850</v>
      </c>
      <c r="I2460">
        <v>46.779493055555562</v>
      </c>
      <c r="J2460">
        <v>0</v>
      </c>
      <c r="K2460">
        <v>53.5</v>
      </c>
      <c r="L2460">
        <v>52</v>
      </c>
      <c r="N2460">
        <v>0</v>
      </c>
    </row>
    <row r="2461" spans="1:14" x14ac:dyDescent="0.35">
      <c r="A2461" t="s">
        <v>119</v>
      </c>
      <c r="B2461">
        <v>202601</v>
      </c>
      <c r="C2461" t="str">
        <f>MID(analisis_productividad__4[[#This Row],[Periodo]],1,4)</f>
        <v>2026</v>
      </c>
      <c r="D2461" t="str">
        <f>MID(analisis_productividad__4[[#This Row],[Periodo]],5,2)</f>
        <v>01</v>
      </c>
      <c r="E2461" t="s">
        <v>16</v>
      </c>
      <c r="F2461" t="s">
        <v>21</v>
      </c>
      <c r="G2461">
        <v>66153</v>
      </c>
      <c r="H2461">
        <v>3015239</v>
      </c>
      <c r="I2461">
        <v>45.579973118279568</v>
      </c>
      <c r="J2461">
        <v>74982.203981893384</v>
      </c>
      <c r="K2461">
        <v>52.5</v>
      </c>
      <c r="L2461">
        <v>52.5</v>
      </c>
      <c r="M2461">
        <v>46.965208254619732</v>
      </c>
      <c r="N2461">
        <v>3521555</v>
      </c>
    </row>
    <row r="2462" spans="1:14" x14ac:dyDescent="0.35">
      <c r="A2462" t="s">
        <v>116</v>
      </c>
      <c r="B2462">
        <v>202606</v>
      </c>
      <c r="C2462" t="str">
        <f>MID(analisis_productividad__4[[#This Row],[Periodo]],1,4)</f>
        <v>2026</v>
      </c>
      <c r="D2462" t="str">
        <f>MID(analisis_productividad__4[[#This Row],[Periodo]],5,2)</f>
        <v>06</v>
      </c>
      <c r="E2462" t="s">
        <v>9</v>
      </c>
      <c r="F2462" t="s">
        <v>9</v>
      </c>
      <c r="G2462">
        <v>66121</v>
      </c>
      <c r="H2462">
        <v>597876</v>
      </c>
      <c r="I2462">
        <v>9.0421527777777815</v>
      </c>
      <c r="J2462">
        <v>56773.042543243442</v>
      </c>
      <c r="K2462">
        <v>11.5</v>
      </c>
      <c r="L2462">
        <v>10</v>
      </c>
      <c r="M2462">
        <v>10.042294324207418</v>
      </c>
      <c r="N2462">
        <v>570132</v>
      </c>
    </row>
    <row r="2463" spans="1:14" x14ac:dyDescent="0.35">
      <c r="A2463" t="s">
        <v>111</v>
      </c>
      <c r="B2463">
        <v>202511</v>
      </c>
      <c r="C2463" t="str">
        <f>MID(analisis_productividad__4[[#This Row],[Periodo]],1,4)</f>
        <v>2025</v>
      </c>
      <c r="D2463" t="str">
        <f>MID(analisis_productividad__4[[#This Row],[Periodo]],5,2)</f>
        <v>11</v>
      </c>
      <c r="E2463" t="s">
        <v>34</v>
      </c>
      <c r="F2463" t="s">
        <v>35</v>
      </c>
      <c r="G2463">
        <v>66113</v>
      </c>
      <c r="H2463">
        <v>2378106</v>
      </c>
      <c r="I2463">
        <v>35.970423611111102</v>
      </c>
      <c r="J2463">
        <v>56385.180939566191</v>
      </c>
      <c r="K2463">
        <v>45.5</v>
      </c>
      <c r="L2463">
        <v>42.5</v>
      </c>
      <c r="M2463">
        <v>42.176090248763444</v>
      </c>
      <c r="N2463">
        <v>2428265</v>
      </c>
    </row>
    <row r="2464" spans="1:14" x14ac:dyDescent="0.35">
      <c r="A2464" t="s">
        <v>119</v>
      </c>
      <c r="B2464">
        <v>202410</v>
      </c>
      <c r="C2464" t="str">
        <f>MID(analisis_productividad__4[[#This Row],[Periodo]],1,4)</f>
        <v>2024</v>
      </c>
      <c r="D2464" t="str">
        <f>MID(analisis_productividad__4[[#This Row],[Periodo]],5,2)</f>
        <v>10</v>
      </c>
      <c r="E2464" t="s">
        <v>16</v>
      </c>
      <c r="F2464" t="s">
        <v>21</v>
      </c>
      <c r="G2464">
        <v>66107</v>
      </c>
      <c r="H2464">
        <v>3050036</v>
      </c>
      <c r="I2464">
        <v>46.138138440860203</v>
      </c>
      <c r="J2464">
        <v>0</v>
      </c>
      <c r="K2464">
        <v>52.5</v>
      </c>
      <c r="L2464">
        <v>52.5</v>
      </c>
      <c r="N2464">
        <v>0</v>
      </c>
    </row>
    <row r="2465" spans="1:14" x14ac:dyDescent="0.35">
      <c r="A2465" t="s">
        <v>110</v>
      </c>
      <c r="B2465">
        <v>202410</v>
      </c>
      <c r="C2465" t="str">
        <f>MID(analisis_productividad__4[[#This Row],[Periodo]],1,4)</f>
        <v>2024</v>
      </c>
      <c r="D2465" t="str">
        <f>MID(analisis_productividad__4[[#This Row],[Periodo]],5,2)</f>
        <v>10</v>
      </c>
      <c r="E2465" t="s">
        <v>34</v>
      </c>
      <c r="F2465" t="s">
        <v>35</v>
      </c>
      <c r="G2465">
        <v>66107</v>
      </c>
      <c r="H2465">
        <v>2228283</v>
      </c>
      <c r="I2465">
        <v>33.707446236559143</v>
      </c>
      <c r="J2465">
        <v>0</v>
      </c>
      <c r="K2465">
        <v>41.5</v>
      </c>
      <c r="L2465">
        <v>43</v>
      </c>
      <c r="N2465">
        <v>0</v>
      </c>
    </row>
    <row r="2466" spans="1:14" x14ac:dyDescent="0.35">
      <c r="A2466" t="s">
        <v>120</v>
      </c>
      <c r="B2466">
        <v>202404</v>
      </c>
      <c r="C2466" t="str">
        <f>MID(analisis_productividad__4[[#This Row],[Periodo]],1,4)</f>
        <v>2024</v>
      </c>
      <c r="D2466" t="str">
        <f>MID(analisis_productividad__4[[#This Row],[Periodo]],5,2)</f>
        <v>04</v>
      </c>
      <c r="E2466" t="s">
        <v>9</v>
      </c>
      <c r="F2466" t="s">
        <v>9</v>
      </c>
      <c r="G2466">
        <v>66080</v>
      </c>
      <c r="H2466">
        <v>766901</v>
      </c>
      <c r="I2466">
        <v>11.605562500000003</v>
      </c>
      <c r="J2466">
        <v>0</v>
      </c>
      <c r="K2466">
        <v>11.5</v>
      </c>
      <c r="L2466">
        <v>12</v>
      </c>
      <c r="N2466">
        <v>0</v>
      </c>
    </row>
    <row r="2467" spans="1:14" x14ac:dyDescent="0.35">
      <c r="A2467" t="s">
        <v>113</v>
      </c>
      <c r="B2467">
        <v>202604</v>
      </c>
      <c r="C2467" t="str">
        <f>MID(analisis_productividad__4[[#This Row],[Periodo]],1,4)</f>
        <v>2026</v>
      </c>
      <c r="D2467" t="str">
        <f>MID(analisis_productividad__4[[#This Row],[Periodo]],5,2)</f>
        <v>04</v>
      </c>
      <c r="E2467" t="s">
        <v>9</v>
      </c>
      <c r="F2467" t="s">
        <v>9</v>
      </c>
      <c r="G2467">
        <v>66058</v>
      </c>
      <c r="H2467">
        <v>612963</v>
      </c>
      <c r="I2467">
        <v>9.2792291666666689</v>
      </c>
      <c r="J2467">
        <v>56126.441339338533</v>
      </c>
      <c r="K2467">
        <v>11.5</v>
      </c>
      <c r="L2467">
        <v>10</v>
      </c>
      <c r="M2467">
        <v>10.042294324207418</v>
      </c>
      <c r="N2467">
        <v>563638</v>
      </c>
    </row>
    <row r="2468" spans="1:14" x14ac:dyDescent="0.35">
      <c r="A2468" t="s">
        <v>112</v>
      </c>
      <c r="B2468">
        <v>202410</v>
      </c>
      <c r="C2468" t="str">
        <f>MID(analisis_productividad__4[[#This Row],[Periodo]],1,4)</f>
        <v>2024</v>
      </c>
      <c r="D2468" t="str">
        <f>MID(analisis_productividad__4[[#This Row],[Periodo]],5,2)</f>
        <v>10</v>
      </c>
      <c r="E2468" t="s">
        <v>34</v>
      </c>
      <c r="F2468" t="s">
        <v>35</v>
      </c>
      <c r="G2468">
        <v>66030</v>
      </c>
      <c r="H2468">
        <v>1694595</v>
      </c>
      <c r="I2468">
        <v>25.664126344086014</v>
      </c>
      <c r="J2468">
        <v>0</v>
      </c>
      <c r="K2468">
        <v>31</v>
      </c>
      <c r="L2468">
        <v>27</v>
      </c>
      <c r="N2468">
        <v>0</v>
      </c>
    </row>
    <row r="2469" spans="1:14" x14ac:dyDescent="0.35">
      <c r="A2469" t="s">
        <v>83</v>
      </c>
      <c r="B2469">
        <v>202502</v>
      </c>
      <c r="C2469" t="str">
        <f>MID(analisis_productividad__4[[#This Row],[Periodo]],1,4)</f>
        <v>2025</v>
      </c>
      <c r="D2469" t="str">
        <f>MID(analisis_productividad__4[[#This Row],[Periodo]],5,2)</f>
        <v>02</v>
      </c>
      <c r="E2469" t="s">
        <v>16</v>
      </c>
      <c r="F2469" t="s">
        <v>17</v>
      </c>
      <c r="G2469">
        <v>66018</v>
      </c>
      <c r="H2469">
        <v>3440526</v>
      </c>
      <c r="I2469">
        <v>52.114791666666669</v>
      </c>
      <c r="J2469">
        <v>74812.76315653541</v>
      </c>
      <c r="K2469">
        <v>52</v>
      </c>
      <c r="L2469">
        <v>52</v>
      </c>
      <c r="M2469">
        <v>45.988491600038522</v>
      </c>
      <c r="N2469">
        <v>3309726</v>
      </c>
    </row>
    <row r="2470" spans="1:14" x14ac:dyDescent="0.35">
      <c r="A2470" t="s">
        <v>107</v>
      </c>
      <c r="B2470">
        <v>202509</v>
      </c>
      <c r="C2470" t="str">
        <f>MID(analisis_productividad__4[[#This Row],[Periodo]],1,4)</f>
        <v>2025</v>
      </c>
      <c r="D2470" t="str">
        <f>MID(analisis_productividad__4[[#This Row],[Periodo]],5,2)</f>
        <v>09</v>
      </c>
      <c r="E2470" t="s">
        <v>34</v>
      </c>
      <c r="F2470" t="s">
        <v>35</v>
      </c>
      <c r="G2470">
        <v>65999</v>
      </c>
      <c r="H2470">
        <v>4965027</v>
      </c>
      <c r="I2470">
        <v>75.229340277777794</v>
      </c>
      <c r="J2470">
        <v>68411.210640070596</v>
      </c>
      <c r="K2470">
        <v>87</v>
      </c>
      <c r="L2470">
        <v>77.5</v>
      </c>
      <c r="M2470">
        <v>72.576223743829303</v>
      </c>
      <c r="N2470">
        <v>5278766</v>
      </c>
    </row>
    <row r="2471" spans="1:14" x14ac:dyDescent="0.35">
      <c r="A2471" t="s">
        <v>98</v>
      </c>
      <c r="B2471">
        <v>202407</v>
      </c>
      <c r="C2471" t="str">
        <f>MID(analisis_productividad__4[[#This Row],[Periodo]],1,4)</f>
        <v>2024</v>
      </c>
      <c r="D2471" t="str">
        <f>MID(analisis_productividad__4[[#This Row],[Periodo]],5,2)</f>
        <v>07</v>
      </c>
      <c r="E2471" t="s">
        <v>11</v>
      </c>
      <c r="F2471" t="s">
        <v>14</v>
      </c>
      <c r="G2471">
        <v>65975</v>
      </c>
      <c r="H2471">
        <v>3751014</v>
      </c>
      <c r="I2471">
        <v>56.855006720430104</v>
      </c>
      <c r="J2471">
        <v>0</v>
      </c>
      <c r="K2471">
        <v>61.5</v>
      </c>
      <c r="L2471">
        <v>56</v>
      </c>
      <c r="N2471">
        <v>0</v>
      </c>
    </row>
    <row r="2472" spans="1:14" x14ac:dyDescent="0.35">
      <c r="A2472" t="s">
        <v>83</v>
      </c>
      <c r="B2472">
        <v>202404</v>
      </c>
      <c r="C2472" t="str">
        <f>MID(analisis_productividad__4[[#This Row],[Periodo]],1,4)</f>
        <v>2024</v>
      </c>
      <c r="D2472" t="str">
        <f>MID(analisis_productividad__4[[#This Row],[Periodo]],5,2)</f>
        <v>04</v>
      </c>
      <c r="E2472" t="s">
        <v>16</v>
      </c>
      <c r="F2472" t="s">
        <v>17</v>
      </c>
      <c r="G2472">
        <v>65949</v>
      </c>
      <c r="H2472">
        <v>3239151</v>
      </c>
      <c r="I2472">
        <v>49.116375000000012</v>
      </c>
      <c r="J2472">
        <v>0</v>
      </c>
      <c r="K2472">
        <v>52</v>
      </c>
      <c r="L2472">
        <v>52</v>
      </c>
      <c r="N2472">
        <v>0</v>
      </c>
    </row>
    <row r="2473" spans="1:14" x14ac:dyDescent="0.35">
      <c r="A2473" t="s">
        <v>8</v>
      </c>
      <c r="B2473">
        <v>202408</v>
      </c>
      <c r="C2473" t="str">
        <f>MID(analisis_productividad__4[[#This Row],[Periodo]],1,4)</f>
        <v>2024</v>
      </c>
      <c r="D2473" t="str">
        <f>MID(analisis_productividad__4[[#This Row],[Periodo]],5,2)</f>
        <v>08</v>
      </c>
      <c r="E2473" t="s">
        <v>9</v>
      </c>
      <c r="F2473" t="s">
        <v>9</v>
      </c>
      <c r="G2473">
        <v>65943</v>
      </c>
      <c r="H2473">
        <v>813167</v>
      </c>
      <c r="I2473">
        <v>12.331290322580646</v>
      </c>
      <c r="J2473">
        <v>0</v>
      </c>
      <c r="K2473">
        <v>13.5</v>
      </c>
      <c r="L2473">
        <v>12.5</v>
      </c>
      <c r="N2473">
        <v>0</v>
      </c>
    </row>
    <row r="2474" spans="1:14" x14ac:dyDescent="0.35">
      <c r="A2474" t="s">
        <v>103</v>
      </c>
      <c r="B2474">
        <v>202511</v>
      </c>
      <c r="C2474" t="str">
        <f>MID(analisis_productividad__4[[#This Row],[Periodo]],1,4)</f>
        <v>2025</v>
      </c>
      <c r="D2474" t="str">
        <f>MID(analisis_productividad__4[[#This Row],[Periodo]],5,2)</f>
        <v>11</v>
      </c>
      <c r="E2474" t="s">
        <v>104</v>
      </c>
      <c r="F2474" t="s">
        <v>104</v>
      </c>
      <c r="G2474">
        <v>65909</v>
      </c>
      <c r="H2474">
        <v>5253336</v>
      </c>
      <c r="I2474">
        <v>79.705451388888946</v>
      </c>
      <c r="J2474">
        <v>67098.806646751225</v>
      </c>
      <c r="K2474">
        <v>94</v>
      </c>
      <c r="L2474">
        <v>77.5</v>
      </c>
      <c r="M2474">
        <v>78.292537863702151</v>
      </c>
      <c r="N2474">
        <v>5199357</v>
      </c>
    </row>
    <row r="2475" spans="1:14" x14ac:dyDescent="0.35">
      <c r="A2475" t="s">
        <v>108</v>
      </c>
      <c r="B2475">
        <v>202605</v>
      </c>
      <c r="C2475" t="str">
        <f>MID(analisis_productividad__4[[#This Row],[Periodo]],1,4)</f>
        <v>2026</v>
      </c>
      <c r="D2475" t="str">
        <f>MID(analisis_productividad__4[[#This Row],[Periodo]],5,2)</f>
        <v>05</v>
      </c>
      <c r="E2475" t="s">
        <v>11</v>
      </c>
      <c r="F2475" t="s">
        <v>14</v>
      </c>
      <c r="G2475">
        <v>65907</v>
      </c>
      <c r="H2475">
        <v>2775015</v>
      </c>
      <c r="I2475">
        <v>42.104811827957029</v>
      </c>
      <c r="J2475">
        <v>70766.764724401641</v>
      </c>
      <c r="K2475">
        <v>47.5</v>
      </c>
      <c r="L2475">
        <v>43</v>
      </c>
      <c r="M2475">
        <v>41.487905995618128</v>
      </c>
      <c r="N2475">
        <v>2935965</v>
      </c>
    </row>
    <row r="2476" spans="1:14" x14ac:dyDescent="0.35">
      <c r="A2476" t="s">
        <v>108</v>
      </c>
      <c r="B2476">
        <v>202506</v>
      </c>
      <c r="C2476" t="str">
        <f>MID(analisis_productividad__4[[#This Row],[Periodo]],1,4)</f>
        <v>2025</v>
      </c>
      <c r="D2476" t="str">
        <f>MID(analisis_productividad__4[[#This Row],[Periodo]],5,2)</f>
        <v>06</v>
      </c>
      <c r="E2476" t="s">
        <v>11</v>
      </c>
      <c r="F2476" t="s">
        <v>14</v>
      </c>
      <c r="G2476">
        <v>65887</v>
      </c>
      <c r="H2476">
        <v>2547626</v>
      </c>
      <c r="I2476">
        <v>38.666687500000002</v>
      </c>
      <c r="J2476">
        <v>57909.044159478144</v>
      </c>
      <c r="K2476">
        <v>47.5</v>
      </c>
      <c r="L2476">
        <v>43</v>
      </c>
      <c r="M2476">
        <v>43.993578325761803</v>
      </c>
      <c r="N2476">
        <v>2752091</v>
      </c>
    </row>
    <row r="2477" spans="1:14" x14ac:dyDescent="0.35">
      <c r="A2477" t="s">
        <v>95</v>
      </c>
      <c r="B2477">
        <v>202510</v>
      </c>
      <c r="C2477" t="str">
        <f>MID(analisis_productividad__4[[#This Row],[Periodo]],1,4)</f>
        <v>2025</v>
      </c>
      <c r="D2477" t="str">
        <f>MID(analisis_productividad__4[[#This Row],[Periodo]],5,2)</f>
        <v>10</v>
      </c>
      <c r="E2477" t="s">
        <v>9</v>
      </c>
      <c r="F2477" t="s">
        <v>9</v>
      </c>
      <c r="G2477">
        <v>65859</v>
      </c>
      <c r="H2477">
        <v>617416</v>
      </c>
      <c r="I2477">
        <v>9.3748723118279553</v>
      </c>
      <c r="J2477">
        <v>78457.803001832799</v>
      </c>
      <c r="K2477">
        <v>11</v>
      </c>
      <c r="L2477">
        <v>11</v>
      </c>
      <c r="M2477">
        <v>7.8694001919168839</v>
      </c>
      <c r="N2477">
        <v>691803</v>
      </c>
    </row>
    <row r="2478" spans="1:14" x14ac:dyDescent="0.35">
      <c r="A2478" t="s">
        <v>118</v>
      </c>
      <c r="B2478">
        <v>202602</v>
      </c>
      <c r="C2478" t="str">
        <f>MID(analisis_productividad__4[[#This Row],[Periodo]],1,4)</f>
        <v>2026</v>
      </c>
      <c r="D2478" t="str">
        <f>MID(analisis_productividad__4[[#This Row],[Periodo]],5,2)</f>
        <v>02</v>
      </c>
      <c r="E2478" t="s">
        <v>34</v>
      </c>
      <c r="F2478" t="s">
        <v>35</v>
      </c>
      <c r="G2478">
        <v>65856</v>
      </c>
      <c r="H2478">
        <v>1139532</v>
      </c>
      <c r="I2478">
        <v>17.303489583333338</v>
      </c>
      <c r="J2478">
        <v>64405.788153500136</v>
      </c>
      <c r="K2478">
        <v>19</v>
      </c>
      <c r="L2478">
        <v>21.5</v>
      </c>
      <c r="M2478">
        <v>17.464859694273773</v>
      </c>
      <c r="N2478">
        <v>1124838</v>
      </c>
    </row>
    <row r="2479" spans="1:14" x14ac:dyDescent="0.35">
      <c r="A2479" t="s">
        <v>71</v>
      </c>
      <c r="B2479">
        <v>202405</v>
      </c>
      <c r="C2479" t="str">
        <f>MID(analisis_productividad__4[[#This Row],[Periodo]],1,4)</f>
        <v>2024</v>
      </c>
      <c r="D2479" t="str">
        <f>MID(analisis_productividad__4[[#This Row],[Periodo]],5,2)</f>
        <v>05</v>
      </c>
      <c r="E2479" t="s">
        <v>16</v>
      </c>
      <c r="F2479" t="s">
        <v>19</v>
      </c>
      <c r="G2479">
        <v>65839</v>
      </c>
      <c r="H2479">
        <v>2179670</v>
      </c>
      <c r="I2479">
        <v>33.105954301075272</v>
      </c>
      <c r="J2479">
        <v>0</v>
      </c>
      <c r="K2479">
        <v>41.5</v>
      </c>
      <c r="L2479">
        <v>35.5</v>
      </c>
      <c r="N2479">
        <v>0</v>
      </c>
    </row>
    <row r="2480" spans="1:14" x14ac:dyDescent="0.35">
      <c r="A2480" t="s">
        <v>89</v>
      </c>
      <c r="B2480">
        <v>202410</v>
      </c>
      <c r="C2480" t="str">
        <f>MID(analisis_productividad__4[[#This Row],[Periodo]],1,4)</f>
        <v>2024</v>
      </c>
      <c r="D2480" t="str">
        <f>MID(analisis_productividad__4[[#This Row],[Periodo]],5,2)</f>
        <v>10</v>
      </c>
      <c r="E2480" t="s">
        <v>9</v>
      </c>
      <c r="F2480" t="s">
        <v>9</v>
      </c>
      <c r="G2480">
        <v>65796</v>
      </c>
      <c r="H2480">
        <v>981918</v>
      </c>
      <c r="I2480">
        <v>14.923642473118282</v>
      </c>
      <c r="J2480">
        <v>0</v>
      </c>
      <c r="K2480">
        <v>17</v>
      </c>
      <c r="L2480">
        <v>13.5</v>
      </c>
      <c r="N2480">
        <v>0</v>
      </c>
    </row>
    <row r="2481" spans="1:14" x14ac:dyDescent="0.35">
      <c r="A2481" t="s">
        <v>120</v>
      </c>
      <c r="B2481">
        <v>202605</v>
      </c>
      <c r="C2481" t="str">
        <f>MID(analisis_productividad__4[[#This Row],[Periodo]],1,4)</f>
        <v>2026</v>
      </c>
      <c r="D2481" t="str">
        <f>MID(analisis_productividad__4[[#This Row],[Periodo]],5,2)</f>
        <v>05</v>
      </c>
      <c r="E2481" t="s">
        <v>9</v>
      </c>
      <c r="F2481" t="s">
        <v>9</v>
      </c>
      <c r="G2481">
        <v>65774</v>
      </c>
      <c r="H2481">
        <v>693710</v>
      </c>
      <c r="I2481">
        <v>10.546948924731183</v>
      </c>
      <c r="J2481">
        <v>73813.949628338873</v>
      </c>
      <c r="K2481">
        <v>11.5</v>
      </c>
      <c r="L2481">
        <v>12</v>
      </c>
      <c r="M2481">
        <v>10.04229432420742</v>
      </c>
      <c r="N2481">
        <v>741261</v>
      </c>
    </row>
    <row r="2482" spans="1:14" x14ac:dyDescent="0.35">
      <c r="A2482" t="s">
        <v>105</v>
      </c>
      <c r="B2482">
        <v>202506</v>
      </c>
      <c r="C2482" t="str">
        <f>MID(analisis_productividad__4[[#This Row],[Periodo]],1,4)</f>
        <v>2025</v>
      </c>
      <c r="D2482" t="str">
        <f>MID(analisis_productividad__4[[#This Row],[Periodo]],5,2)</f>
        <v>06</v>
      </c>
      <c r="E2482" t="s">
        <v>34</v>
      </c>
      <c r="F2482" t="s">
        <v>35</v>
      </c>
      <c r="G2482">
        <v>65731</v>
      </c>
      <c r="H2482">
        <v>2242582</v>
      </c>
      <c r="I2482">
        <v>34.117708333333347</v>
      </c>
      <c r="J2482">
        <v>59658.366691367155</v>
      </c>
      <c r="K2482">
        <v>33</v>
      </c>
      <c r="L2482">
        <v>31.5</v>
      </c>
      <c r="M2482">
        <v>37.590398704705265</v>
      </c>
      <c r="N2482">
        <v>2491576</v>
      </c>
    </row>
    <row r="2483" spans="1:14" x14ac:dyDescent="0.35">
      <c r="A2483" t="s">
        <v>112</v>
      </c>
      <c r="B2483">
        <v>202411</v>
      </c>
      <c r="C2483" t="str">
        <f>MID(analisis_productividad__4[[#This Row],[Periodo]],1,4)</f>
        <v>2024</v>
      </c>
      <c r="D2483" t="str">
        <f>MID(analisis_productividad__4[[#This Row],[Periodo]],5,2)</f>
        <v>11</v>
      </c>
      <c r="E2483" t="s">
        <v>34</v>
      </c>
      <c r="F2483" t="s">
        <v>35</v>
      </c>
      <c r="G2483">
        <v>65695</v>
      </c>
      <c r="H2483">
        <v>1677603</v>
      </c>
      <c r="I2483">
        <v>25.536097222222217</v>
      </c>
      <c r="J2483">
        <v>0</v>
      </c>
      <c r="K2483">
        <v>31</v>
      </c>
      <c r="L2483">
        <v>27</v>
      </c>
      <c r="N2483">
        <v>0</v>
      </c>
    </row>
    <row r="2484" spans="1:14" x14ac:dyDescent="0.35">
      <c r="A2484" t="s">
        <v>112</v>
      </c>
      <c r="B2484">
        <v>202508</v>
      </c>
      <c r="C2484" t="str">
        <f>MID(analisis_productividad__4[[#This Row],[Periodo]],1,4)</f>
        <v>2025</v>
      </c>
      <c r="D2484" t="str">
        <f>MID(analisis_productividad__4[[#This Row],[Periodo]],5,2)</f>
        <v>08</v>
      </c>
      <c r="E2484" t="s">
        <v>34</v>
      </c>
      <c r="F2484" t="s">
        <v>35</v>
      </c>
      <c r="G2484">
        <v>65671</v>
      </c>
      <c r="H2484">
        <v>1635211</v>
      </c>
      <c r="I2484">
        <v>24.900006720430106</v>
      </c>
      <c r="J2484">
        <v>71277.192622083632</v>
      </c>
      <c r="K2484">
        <v>31</v>
      </c>
      <c r="L2484">
        <v>27</v>
      </c>
      <c r="M2484">
        <v>22.941579484899169</v>
      </c>
      <c r="N2484">
        <v>1549059</v>
      </c>
    </row>
    <row r="2485" spans="1:14" x14ac:dyDescent="0.35">
      <c r="A2485" t="s">
        <v>119</v>
      </c>
      <c r="B2485">
        <v>202510</v>
      </c>
      <c r="C2485" t="str">
        <f>MID(analisis_productividad__4[[#This Row],[Periodo]],1,4)</f>
        <v>2025</v>
      </c>
      <c r="D2485" t="str">
        <f>MID(analisis_productividad__4[[#This Row],[Periodo]],5,2)</f>
        <v>10</v>
      </c>
      <c r="E2485" t="s">
        <v>16</v>
      </c>
      <c r="F2485" t="s">
        <v>21</v>
      </c>
      <c r="G2485">
        <v>65646</v>
      </c>
      <c r="H2485">
        <v>2868446</v>
      </c>
      <c r="I2485">
        <v>43.695665322580645</v>
      </c>
      <c r="J2485">
        <v>69411.939497840984</v>
      </c>
      <c r="K2485">
        <v>52.5</v>
      </c>
      <c r="L2485">
        <v>52.5</v>
      </c>
      <c r="M2485">
        <v>41.324961537621661</v>
      </c>
      <c r="N2485">
        <v>3394089</v>
      </c>
    </row>
    <row r="2486" spans="1:14" x14ac:dyDescent="0.35">
      <c r="A2486" t="s">
        <v>120</v>
      </c>
      <c r="B2486">
        <v>202409</v>
      </c>
      <c r="C2486" t="str">
        <f>MID(analisis_productividad__4[[#This Row],[Periodo]],1,4)</f>
        <v>2024</v>
      </c>
      <c r="D2486" t="str">
        <f>MID(analisis_productividad__4[[#This Row],[Periodo]],5,2)</f>
        <v>09</v>
      </c>
      <c r="E2486" t="s">
        <v>9</v>
      </c>
      <c r="F2486" t="s">
        <v>9</v>
      </c>
      <c r="G2486">
        <v>65613</v>
      </c>
      <c r="H2486">
        <v>748924</v>
      </c>
      <c r="I2486">
        <v>11.414326388888888</v>
      </c>
      <c r="J2486">
        <v>0</v>
      </c>
      <c r="K2486">
        <v>11.5</v>
      </c>
      <c r="L2486">
        <v>12</v>
      </c>
      <c r="N2486">
        <v>0</v>
      </c>
    </row>
    <row r="2487" spans="1:14" x14ac:dyDescent="0.35">
      <c r="A2487" t="s">
        <v>112</v>
      </c>
      <c r="B2487">
        <v>202406</v>
      </c>
      <c r="C2487" t="str">
        <f>MID(analisis_productividad__4[[#This Row],[Periodo]],1,4)</f>
        <v>2024</v>
      </c>
      <c r="D2487" t="str">
        <f>MID(analisis_productividad__4[[#This Row],[Periodo]],5,2)</f>
        <v>06</v>
      </c>
      <c r="E2487" t="s">
        <v>34</v>
      </c>
      <c r="F2487" t="s">
        <v>35</v>
      </c>
      <c r="G2487">
        <v>65607</v>
      </c>
      <c r="H2487">
        <v>1733244</v>
      </c>
      <c r="I2487">
        <v>26.41877777777777</v>
      </c>
      <c r="J2487">
        <v>0</v>
      </c>
      <c r="K2487">
        <v>31</v>
      </c>
      <c r="L2487">
        <v>27</v>
      </c>
      <c r="N2487">
        <v>0</v>
      </c>
    </row>
    <row r="2488" spans="1:14" x14ac:dyDescent="0.35">
      <c r="A2488" t="s">
        <v>119</v>
      </c>
      <c r="B2488">
        <v>202411</v>
      </c>
      <c r="C2488" t="str">
        <f>MID(analisis_productividad__4[[#This Row],[Periodo]],1,4)</f>
        <v>2024</v>
      </c>
      <c r="D2488" t="str">
        <f>MID(analisis_productividad__4[[#This Row],[Periodo]],5,2)</f>
        <v>11</v>
      </c>
      <c r="E2488" t="s">
        <v>16</v>
      </c>
      <c r="F2488" t="s">
        <v>21</v>
      </c>
      <c r="G2488">
        <v>65571</v>
      </c>
      <c r="H2488">
        <v>3146570</v>
      </c>
      <c r="I2488">
        <v>47.987333333333346</v>
      </c>
      <c r="J2488">
        <v>0</v>
      </c>
      <c r="K2488">
        <v>52.5</v>
      </c>
      <c r="L2488">
        <v>52.5</v>
      </c>
      <c r="N2488">
        <v>0</v>
      </c>
    </row>
    <row r="2489" spans="1:14" x14ac:dyDescent="0.35">
      <c r="A2489" t="s">
        <v>94</v>
      </c>
      <c r="B2489">
        <v>202402</v>
      </c>
      <c r="C2489" t="str">
        <f>MID(analisis_productividad__4[[#This Row],[Periodo]],1,4)</f>
        <v>2024</v>
      </c>
      <c r="D2489" t="str">
        <f>MID(analisis_productividad__4[[#This Row],[Periodo]],5,2)</f>
        <v>02</v>
      </c>
      <c r="E2489" t="s">
        <v>11</v>
      </c>
      <c r="F2489" t="s">
        <v>52</v>
      </c>
      <c r="G2489">
        <v>65563</v>
      </c>
      <c r="H2489">
        <v>5106603</v>
      </c>
      <c r="I2489">
        <v>77.887923850574722</v>
      </c>
      <c r="J2489">
        <v>0</v>
      </c>
      <c r="K2489">
        <v>75.5</v>
      </c>
      <c r="L2489">
        <v>70.5</v>
      </c>
      <c r="N2489">
        <v>0</v>
      </c>
    </row>
    <row r="2490" spans="1:14" x14ac:dyDescent="0.35">
      <c r="A2490" t="s">
        <v>109</v>
      </c>
      <c r="B2490">
        <v>202508</v>
      </c>
      <c r="C2490" t="str">
        <f>MID(analisis_productividad__4[[#This Row],[Periodo]],1,4)</f>
        <v>2025</v>
      </c>
      <c r="D2490" t="str">
        <f>MID(analisis_productividad__4[[#This Row],[Periodo]],5,2)</f>
        <v>08</v>
      </c>
      <c r="E2490" t="s">
        <v>9</v>
      </c>
      <c r="F2490" t="s">
        <v>9</v>
      </c>
      <c r="G2490">
        <v>65531</v>
      </c>
      <c r="H2490">
        <v>491321</v>
      </c>
      <c r="I2490">
        <v>7.4975739247311823</v>
      </c>
      <c r="J2490">
        <v>59567.531455199321</v>
      </c>
      <c r="K2490">
        <v>10</v>
      </c>
      <c r="L2490">
        <v>9</v>
      </c>
      <c r="M2490">
        <v>8.2481260847534301</v>
      </c>
      <c r="N2490">
        <v>578901</v>
      </c>
    </row>
    <row r="2491" spans="1:14" x14ac:dyDescent="0.35">
      <c r="A2491" t="s">
        <v>100</v>
      </c>
      <c r="B2491">
        <v>202410</v>
      </c>
      <c r="C2491" t="str">
        <f>MID(analisis_productividad__4[[#This Row],[Periodo]],1,4)</f>
        <v>2024</v>
      </c>
      <c r="D2491" t="str">
        <f>MID(analisis_productividad__4[[#This Row],[Periodo]],5,2)</f>
        <v>10</v>
      </c>
      <c r="E2491" t="s">
        <v>34</v>
      </c>
      <c r="F2491" t="s">
        <v>35</v>
      </c>
      <c r="G2491">
        <v>65525</v>
      </c>
      <c r="H2491">
        <v>2580220</v>
      </c>
      <c r="I2491">
        <v>39.377540322580657</v>
      </c>
      <c r="J2491">
        <v>0</v>
      </c>
      <c r="K2491">
        <v>44</v>
      </c>
      <c r="L2491">
        <v>40.5</v>
      </c>
      <c r="N2491">
        <v>0</v>
      </c>
    </row>
    <row r="2492" spans="1:14" x14ac:dyDescent="0.35">
      <c r="A2492" t="s">
        <v>111</v>
      </c>
      <c r="B2492">
        <v>202601</v>
      </c>
      <c r="C2492" t="str">
        <f>MID(analisis_productividad__4[[#This Row],[Periodo]],1,4)</f>
        <v>2026</v>
      </c>
      <c r="D2492" t="str">
        <f>MID(analisis_productividad__4[[#This Row],[Periodo]],5,2)</f>
        <v>01</v>
      </c>
      <c r="E2492" t="s">
        <v>34</v>
      </c>
      <c r="F2492" t="s">
        <v>35</v>
      </c>
      <c r="G2492">
        <v>65523</v>
      </c>
      <c r="H2492">
        <v>2430425</v>
      </c>
      <c r="I2492">
        <v>37.092426075268797</v>
      </c>
      <c r="J2492">
        <v>66518.697149075873</v>
      </c>
      <c r="K2492">
        <v>45.5</v>
      </c>
      <c r="L2492">
        <v>42.5</v>
      </c>
      <c r="M2492">
        <v>36.981595266169094</v>
      </c>
      <c r="N2492">
        <v>2459968</v>
      </c>
    </row>
    <row r="2493" spans="1:14" x14ac:dyDescent="0.35">
      <c r="A2493" t="s">
        <v>99</v>
      </c>
      <c r="B2493">
        <v>202403</v>
      </c>
      <c r="C2493" t="str">
        <f>MID(analisis_productividad__4[[#This Row],[Periodo]],1,4)</f>
        <v>2024</v>
      </c>
      <c r="D2493" t="str">
        <f>MID(analisis_productividad__4[[#This Row],[Periodo]],5,2)</f>
        <v>03</v>
      </c>
      <c r="E2493" t="s">
        <v>11</v>
      </c>
      <c r="F2493" t="s">
        <v>12</v>
      </c>
      <c r="G2493">
        <v>65512</v>
      </c>
      <c r="H2493">
        <v>1747553</v>
      </c>
      <c r="I2493">
        <v>26.675268817204305</v>
      </c>
      <c r="J2493">
        <v>0</v>
      </c>
      <c r="K2493">
        <v>27</v>
      </c>
      <c r="L2493">
        <v>27</v>
      </c>
      <c r="N2493">
        <v>0</v>
      </c>
    </row>
    <row r="2494" spans="1:14" x14ac:dyDescent="0.35">
      <c r="A2494" t="s">
        <v>85</v>
      </c>
      <c r="B2494">
        <v>202402</v>
      </c>
      <c r="C2494" t="str">
        <f>MID(analisis_productividad__4[[#This Row],[Periodo]],1,4)</f>
        <v>2024</v>
      </c>
      <c r="D2494" t="str">
        <f>MID(analisis_productividad__4[[#This Row],[Periodo]],5,2)</f>
        <v>02</v>
      </c>
      <c r="E2494" t="s">
        <v>11</v>
      </c>
      <c r="F2494" t="s">
        <v>14</v>
      </c>
      <c r="G2494">
        <v>65512</v>
      </c>
      <c r="H2494">
        <v>3716744</v>
      </c>
      <c r="I2494">
        <v>56.734195402298866</v>
      </c>
      <c r="J2494">
        <v>0</v>
      </c>
      <c r="K2494">
        <v>60.5</v>
      </c>
      <c r="L2494">
        <v>57.5</v>
      </c>
      <c r="N2494">
        <v>0</v>
      </c>
    </row>
    <row r="2495" spans="1:14" x14ac:dyDescent="0.35">
      <c r="A2495" t="s">
        <v>101</v>
      </c>
      <c r="B2495">
        <v>202509</v>
      </c>
      <c r="C2495" t="str">
        <f>MID(analisis_productividad__4[[#This Row],[Periodo]],1,4)</f>
        <v>2025</v>
      </c>
      <c r="D2495" t="str">
        <f>MID(analisis_productividad__4[[#This Row],[Periodo]],5,2)</f>
        <v>09</v>
      </c>
      <c r="E2495" t="s">
        <v>9</v>
      </c>
      <c r="F2495" t="s">
        <v>9</v>
      </c>
      <c r="G2495">
        <v>65504</v>
      </c>
      <c r="H2495">
        <v>315190</v>
      </c>
      <c r="I2495">
        <v>4.811770833333334</v>
      </c>
      <c r="J2495">
        <v>61499.143460509636</v>
      </c>
      <c r="K2495">
        <v>8.5</v>
      </c>
      <c r="L2495">
        <v>6.5</v>
      </c>
      <c r="M2495">
        <v>5.1251105668226504</v>
      </c>
      <c r="N2495">
        <v>358846</v>
      </c>
    </row>
    <row r="2496" spans="1:14" x14ac:dyDescent="0.35">
      <c r="A2496" t="s">
        <v>120</v>
      </c>
      <c r="B2496">
        <v>202606</v>
      </c>
      <c r="C2496" t="str">
        <f>MID(analisis_productividad__4[[#This Row],[Periodo]],1,4)</f>
        <v>2026</v>
      </c>
      <c r="D2496" t="str">
        <f>MID(analisis_productividad__4[[#This Row],[Periodo]],5,2)</f>
        <v>06</v>
      </c>
      <c r="E2496" t="s">
        <v>9</v>
      </c>
      <c r="F2496" t="s">
        <v>9</v>
      </c>
      <c r="G2496">
        <v>65478</v>
      </c>
      <c r="H2496">
        <v>647603</v>
      </c>
      <c r="I2496">
        <v>9.8903680555555624</v>
      </c>
      <c r="J2496">
        <v>68616.06454204215</v>
      </c>
      <c r="K2496">
        <v>11.5</v>
      </c>
      <c r="L2496">
        <v>12</v>
      </c>
      <c r="M2496">
        <v>10.04229432420742</v>
      </c>
      <c r="N2496">
        <v>689063</v>
      </c>
    </row>
    <row r="2497" spans="1:14" x14ac:dyDescent="0.35">
      <c r="A2497" t="s">
        <v>71</v>
      </c>
      <c r="B2497">
        <v>202602</v>
      </c>
      <c r="C2497" t="str">
        <f>MID(analisis_productividad__4[[#This Row],[Periodo]],1,4)</f>
        <v>2026</v>
      </c>
      <c r="D2497" t="str">
        <f>MID(analisis_productividad__4[[#This Row],[Periodo]],5,2)</f>
        <v>02</v>
      </c>
      <c r="E2497" t="s">
        <v>16</v>
      </c>
      <c r="F2497" t="s">
        <v>19</v>
      </c>
      <c r="G2497">
        <v>65336</v>
      </c>
      <c r="H2497">
        <v>2518906</v>
      </c>
      <c r="I2497">
        <v>38.552916666666661</v>
      </c>
      <c r="J2497">
        <v>56431.153251777076</v>
      </c>
      <c r="K2497">
        <v>41.5</v>
      </c>
      <c r="L2497">
        <v>35.5</v>
      </c>
      <c r="M2497">
        <v>37.124878906032741</v>
      </c>
      <c r="N2497">
        <v>2095000</v>
      </c>
    </row>
    <row r="2498" spans="1:14" x14ac:dyDescent="0.35">
      <c r="A2498" t="s">
        <v>108</v>
      </c>
      <c r="B2498">
        <v>202507</v>
      </c>
      <c r="C2498" t="str">
        <f>MID(analisis_productividad__4[[#This Row],[Periodo]],1,4)</f>
        <v>2025</v>
      </c>
      <c r="D2498" t="str">
        <f>MID(analisis_productividad__4[[#This Row],[Periodo]],5,2)</f>
        <v>07</v>
      </c>
      <c r="E2498" t="s">
        <v>11</v>
      </c>
      <c r="F2498" t="s">
        <v>14</v>
      </c>
      <c r="G2498">
        <v>65331</v>
      </c>
      <c r="H2498">
        <v>2662955</v>
      </c>
      <c r="I2498">
        <v>40.761169354838721</v>
      </c>
      <c r="J2498">
        <v>65544.241047094751</v>
      </c>
      <c r="K2498">
        <v>47.5</v>
      </c>
      <c r="L2498">
        <v>43</v>
      </c>
      <c r="M2498">
        <v>40.628364406365129</v>
      </c>
      <c r="N2498">
        <v>3071568</v>
      </c>
    </row>
    <row r="2499" spans="1:14" x14ac:dyDescent="0.35">
      <c r="A2499" t="s">
        <v>85</v>
      </c>
      <c r="B2499">
        <v>202509</v>
      </c>
      <c r="C2499" t="str">
        <f>MID(analisis_productividad__4[[#This Row],[Periodo]],1,4)</f>
        <v>2025</v>
      </c>
      <c r="D2499" t="str">
        <f>MID(analisis_productividad__4[[#This Row],[Periodo]],5,2)</f>
        <v>09</v>
      </c>
      <c r="E2499" t="s">
        <v>11</v>
      </c>
      <c r="F2499" t="s">
        <v>14</v>
      </c>
      <c r="G2499">
        <v>65318</v>
      </c>
      <c r="H2499">
        <v>3262649</v>
      </c>
      <c r="I2499">
        <v>49.95054166666668</v>
      </c>
      <c r="J2499">
        <v>74164.203619918495</v>
      </c>
      <c r="K2499">
        <v>60.5</v>
      </c>
      <c r="L2499">
        <v>57.5</v>
      </c>
      <c r="M2499">
        <v>43.992234403549112</v>
      </c>
      <c r="N2499">
        <v>3784111</v>
      </c>
    </row>
    <row r="2500" spans="1:14" x14ac:dyDescent="0.35">
      <c r="A2500" t="s">
        <v>8</v>
      </c>
      <c r="B2500">
        <v>202407</v>
      </c>
      <c r="C2500" t="str">
        <f>MID(analisis_productividad__4[[#This Row],[Periodo]],1,4)</f>
        <v>2024</v>
      </c>
      <c r="D2500" t="str">
        <f>MID(analisis_productividad__4[[#This Row],[Periodo]],5,2)</f>
        <v>07</v>
      </c>
      <c r="E2500" t="s">
        <v>9</v>
      </c>
      <c r="F2500" t="s">
        <v>9</v>
      </c>
      <c r="G2500">
        <v>65301</v>
      </c>
      <c r="H2500">
        <v>803922</v>
      </c>
      <c r="I2500">
        <v>12.310967741935483</v>
      </c>
      <c r="J2500">
        <v>0</v>
      </c>
      <c r="K2500">
        <v>13.5</v>
      </c>
      <c r="L2500">
        <v>12.5</v>
      </c>
      <c r="N2500">
        <v>0</v>
      </c>
    </row>
    <row r="2501" spans="1:14" x14ac:dyDescent="0.35">
      <c r="A2501" t="s">
        <v>71</v>
      </c>
      <c r="B2501">
        <v>202403</v>
      </c>
      <c r="C2501" t="str">
        <f>MID(analisis_productividad__4[[#This Row],[Periodo]],1,4)</f>
        <v>2024</v>
      </c>
      <c r="D2501" t="str">
        <f>MID(analisis_productividad__4[[#This Row],[Periodo]],5,2)</f>
        <v>03</v>
      </c>
      <c r="E2501" t="s">
        <v>16</v>
      </c>
      <c r="F2501" t="s">
        <v>19</v>
      </c>
      <c r="G2501">
        <v>65285</v>
      </c>
      <c r="H2501">
        <v>2341805</v>
      </c>
      <c r="I2501">
        <v>35.870672043010757</v>
      </c>
      <c r="J2501">
        <v>0</v>
      </c>
      <c r="K2501">
        <v>41.5</v>
      </c>
      <c r="L2501">
        <v>35.5</v>
      </c>
      <c r="N2501">
        <v>0</v>
      </c>
    </row>
    <row r="2502" spans="1:14" x14ac:dyDescent="0.35">
      <c r="A2502" t="s">
        <v>108</v>
      </c>
      <c r="B2502">
        <v>202604</v>
      </c>
      <c r="C2502" t="str">
        <f>MID(analisis_productividad__4[[#This Row],[Periodo]],1,4)</f>
        <v>2026</v>
      </c>
      <c r="D2502" t="str">
        <f>MID(analisis_productividad__4[[#This Row],[Periodo]],5,2)</f>
        <v>04</v>
      </c>
      <c r="E2502" t="s">
        <v>11</v>
      </c>
      <c r="F2502" t="s">
        <v>14</v>
      </c>
      <c r="G2502">
        <v>65245</v>
      </c>
      <c r="H2502">
        <v>2824864</v>
      </c>
      <c r="I2502">
        <v>43.296506944444381</v>
      </c>
      <c r="J2502">
        <v>72835.230141987762</v>
      </c>
      <c r="K2502">
        <v>47.5</v>
      </c>
      <c r="L2502">
        <v>43</v>
      </c>
      <c r="M2502">
        <v>41.487905995618128</v>
      </c>
      <c r="N2502">
        <v>3021781</v>
      </c>
    </row>
    <row r="2503" spans="1:14" x14ac:dyDescent="0.35">
      <c r="A2503" t="s">
        <v>113</v>
      </c>
      <c r="B2503">
        <v>202406</v>
      </c>
      <c r="C2503" t="str">
        <f>MID(analisis_productividad__4[[#This Row],[Periodo]],1,4)</f>
        <v>2024</v>
      </c>
      <c r="D2503" t="str">
        <f>MID(analisis_productividad__4[[#This Row],[Periodo]],5,2)</f>
        <v>06</v>
      </c>
      <c r="E2503" t="s">
        <v>9</v>
      </c>
      <c r="F2503" t="s">
        <v>9</v>
      </c>
      <c r="G2503">
        <v>65244</v>
      </c>
      <c r="H2503">
        <v>611465</v>
      </c>
      <c r="I2503">
        <v>9.3720277777777774</v>
      </c>
      <c r="J2503">
        <v>0</v>
      </c>
      <c r="K2503">
        <v>11.5</v>
      </c>
      <c r="L2503">
        <v>10</v>
      </c>
      <c r="N2503">
        <v>0</v>
      </c>
    </row>
    <row r="2504" spans="1:14" x14ac:dyDescent="0.35">
      <c r="A2504" t="s">
        <v>103</v>
      </c>
      <c r="B2504">
        <v>202506</v>
      </c>
      <c r="C2504" t="str">
        <f>MID(analisis_productividad__4[[#This Row],[Periodo]],1,4)</f>
        <v>2025</v>
      </c>
      <c r="D2504" t="str">
        <f>MID(analisis_productividad__4[[#This Row],[Periodo]],5,2)</f>
        <v>06</v>
      </c>
      <c r="E2504" t="s">
        <v>104</v>
      </c>
      <c r="F2504" t="s">
        <v>104</v>
      </c>
      <c r="G2504">
        <v>65243</v>
      </c>
      <c r="H2504">
        <v>5349573</v>
      </c>
      <c r="I2504">
        <v>81.994402777777793</v>
      </c>
      <c r="J2504">
        <v>69693.551853346769</v>
      </c>
      <c r="K2504">
        <v>94</v>
      </c>
      <c r="L2504">
        <v>77.5</v>
      </c>
      <c r="M2504">
        <v>76.758502727151594</v>
      </c>
      <c r="N2504">
        <v>5537099</v>
      </c>
    </row>
    <row r="2505" spans="1:14" x14ac:dyDescent="0.35">
      <c r="A2505" t="s">
        <v>51</v>
      </c>
      <c r="B2505">
        <v>202506</v>
      </c>
      <c r="C2505" t="str">
        <f>MID(analisis_productividad__4[[#This Row],[Periodo]],1,4)</f>
        <v>2025</v>
      </c>
      <c r="D2505" t="str">
        <f>MID(analisis_productividad__4[[#This Row],[Periodo]],5,2)</f>
        <v>06</v>
      </c>
      <c r="E2505" t="s">
        <v>11</v>
      </c>
      <c r="F2505" t="s">
        <v>52</v>
      </c>
      <c r="G2505">
        <v>65233</v>
      </c>
      <c r="H2505">
        <v>5548449</v>
      </c>
      <c r="I2505">
        <v>85.055881944444408</v>
      </c>
      <c r="J2505">
        <v>100266.49580725215</v>
      </c>
      <c r="K2505">
        <v>117.5</v>
      </c>
      <c r="L2505">
        <v>99</v>
      </c>
      <c r="M2505">
        <v>55.337023751843219</v>
      </c>
      <c r="N2505">
        <v>9804029</v>
      </c>
    </row>
    <row r="2506" spans="1:14" x14ac:dyDescent="0.35">
      <c r="A2506" t="s">
        <v>82</v>
      </c>
      <c r="B2506">
        <v>202405</v>
      </c>
      <c r="C2506" t="str">
        <f>MID(analisis_productividad__4[[#This Row],[Periodo]],1,4)</f>
        <v>2024</v>
      </c>
      <c r="D2506" t="str">
        <f>MID(analisis_productividad__4[[#This Row],[Periodo]],5,2)</f>
        <v>05</v>
      </c>
      <c r="E2506" t="s">
        <v>11</v>
      </c>
      <c r="F2506" t="s">
        <v>12</v>
      </c>
      <c r="G2506">
        <v>65229</v>
      </c>
      <c r="H2506">
        <v>3637903</v>
      </c>
      <c r="I2506">
        <v>55.771276881720439</v>
      </c>
      <c r="J2506">
        <v>0</v>
      </c>
      <c r="K2506">
        <v>53.5</v>
      </c>
      <c r="L2506">
        <v>54</v>
      </c>
      <c r="N2506">
        <v>0</v>
      </c>
    </row>
    <row r="2507" spans="1:14" x14ac:dyDescent="0.35">
      <c r="A2507" t="s">
        <v>121</v>
      </c>
      <c r="B2507">
        <v>202605</v>
      </c>
      <c r="C2507" t="str">
        <f>MID(analisis_productividad__4[[#This Row],[Periodo]],1,4)</f>
        <v>2026</v>
      </c>
      <c r="D2507" t="str">
        <f>MID(analisis_productividad__4[[#This Row],[Periodo]],5,2)</f>
        <v>05</v>
      </c>
      <c r="E2507" t="s">
        <v>11</v>
      </c>
      <c r="F2507" t="s">
        <v>14</v>
      </c>
      <c r="G2507">
        <v>65196</v>
      </c>
      <c r="H2507">
        <v>2118463</v>
      </c>
      <c r="I2507">
        <v>32.493548387096958</v>
      </c>
      <c r="J2507">
        <v>65420.908515162606</v>
      </c>
      <c r="K2507">
        <v>36</v>
      </c>
      <c r="L2507">
        <v>35</v>
      </c>
      <c r="M2507">
        <v>31.443465596679005</v>
      </c>
      <c r="N2507">
        <v>2057060</v>
      </c>
    </row>
    <row r="2508" spans="1:14" x14ac:dyDescent="0.35">
      <c r="A2508" t="s">
        <v>113</v>
      </c>
      <c r="B2508">
        <v>202407</v>
      </c>
      <c r="C2508" t="str">
        <f>MID(analisis_productividad__4[[#This Row],[Periodo]],1,4)</f>
        <v>2024</v>
      </c>
      <c r="D2508" t="str">
        <f>MID(analisis_productividad__4[[#This Row],[Periodo]],5,2)</f>
        <v>07</v>
      </c>
      <c r="E2508" t="s">
        <v>9</v>
      </c>
      <c r="F2508" t="s">
        <v>9</v>
      </c>
      <c r="G2508">
        <v>65180</v>
      </c>
      <c r="H2508">
        <v>645817</v>
      </c>
      <c r="I2508">
        <v>9.9082459677419372</v>
      </c>
      <c r="J2508">
        <v>0</v>
      </c>
      <c r="K2508">
        <v>11.5</v>
      </c>
      <c r="L2508">
        <v>10</v>
      </c>
      <c r="N2508">
        <v>0</v>
      </c>
    </row>
    <row r="2509" spans="1:14" x14ac:dyDescent="0.35">
      <c r="A2509" t="s">
        <v>107</v>
      </c>
      <c r="B2509">
        <v>202409</v>
      </c>
      <c r="C2509" t="str">
        <f>MID(analisis_productividad__4[[#This Row],[Periodo]],1,4)</f>
        <v>2024</v>
      </c>
      <c r="D2509" t="str">
        <f>MID(analisis_productividad__4[[#This Row],[Periodo]],5,2)</f>
        <v>09</v>
      </c>
      <c r="E2509" t="s">
        <v>34</v>
      </c>
      <c r="F2509" t="s">
        <v>35</v>
      </c>
      <c r="G2509">
        <v>65154</v>
      </c>
      <c r="H2509">
        <v>5112709</v>
      </c>
      <c r="I2509">
        <v>78.471701388888889</v>
      </c>
      <c r="J2509">
        <v>0</v>
      </c>
      <c r="K2509">
        <v>87</v>
      </c>
      <c r="L2509">
        <v>77.5</v>
      </c>
      <c r="N2509">
        <v>0</v>
      </c>
    </row>
    <row r="2510" spans="1:14" x14ac:dyDescent="0.35">
      <c r="A2510" t="s">
        <v>103</v>
      </c>
      <c r="B2510">
        <v>202401</v>
      </c>
      <c r="C2510" t="str">
        <f>MID(analisis_productividad__4[[#This Row],[Periodo]],1,4)</f>
        <v>2024</v>
      </c>
      <c r="D2510" t="str">
        <f>MID(analisis_productividad__4[[#This Row],[Periodo]],5,2)</f>
        <v>01</v>
      </c>
      <c r="E2510" t="s">
        <v>104</v>
      </c>
      <c r="F2510" t="s">
        <v>104</v>
      </c>
      <c r="G2510">
        <v>65132</v>
      </c>
      <c r="H2510">
        <v>4990917</v>
      </c>
      <c r="I2510">
        <v>76.62727822580645</v>
      </c>
      <c r="J2510">
        <v>0</v>
      </c>
      <c r="K2510">
        <v>94</v>
      </c>
      <c r="L2510">
        <v>77.5</v>
      </c>
      <c r="N2510">
        <v>0</v>
      </c>
    </row>
    <row r="2511" spans="1:14" x14ac:dyDescent="0.35">
      <c r="A2511" t="s">
        <v>124</v>
      </c>
      <c r="B2511">
        <v>202403</v>
      </c>
      <c r="C2511" t="str">
        <f>MID(analisis_productividad__4[[#This Row],[Periodo]],1,4)</f>
        <v>2024</v>
      </c>
      <c r="D2511" t="str">
        <f>MID(analisis_productividad__4[[#This Row],[Periodo]],5,2)</f>
        <v>03</v>
      </c>
      <c r="E2511" t="s">
        <v>9</v>
      </c>
      <c r="F2511" t="s">
        <v>9</v>
      </c>
      <c r="G2511">
        <v>65130</v>
      </c>
      <c r="H2511">
        <v>675748</v>
      </c>
      <c r="I2511">
        <v>10.37533602150538</v>
      </c>
      <c r="J2511">
        <v>0</v>
      </c>
      <c r="K2511">
        <v>11</v>
      </c>
      <c r="L2511">
        <v>12</v>
      </c>
      <c r="N2511">
        <v>0</v>
      </c>
    </row>
    <row r="2512" spans="1:14" x14ac:dyDescent="0.35">
      <c r="A2512" t="s">
        <v>103</v>
      </c>
      <c r="B2512">
        <v>202509</v>
      </c>
      <c r="C2512" t="str">
        <f>MID(analisis_productividad__4[[#This Row],[Periodo]],1,4)</f>
        <v>2025</v>
      </c>
      <c r="D2512" t="str">
        <f>MID(analisis_productividad__4[[#This Row],[Periodo]],5,2)</f>
        <v>09</v>
      </c>
      <c r="E2512" t="s">
        <v>104</v>
      </c>
      <c r="F2512" t="s">
        <v>104</v>
      </c>
      <c r="G2512">
        <v>65121</v>
      </c>
      <c r="H2512">
        <v>5165049</v>
      </c>
      <c r="I2512">
        <v>79.314375000000041</v>
      </c>
      <c r="J2512">
        <v>66829.473993005144</v>
      </c>
      <c r="K2512">
        <v>94</v>
      </c>
      <c r="L2512">
        <v>77.5</v>
      </c>
      <c r="M2512">
        <v>77.286986136395612</v>
      </c>
      <c r="N2512">
        <v>5558391</v>
      </c>
    </row>
    <row r="2513" spans="1:14" x14ac:dyDescent="0.35">
      <c r="A2513" t="s">
        <v>105</v>
      </c>
      <c r="B2513">
        <v>202601</v>
      </c>
      <c r="C2513" t="str">
        <f>MID(analisis_productividad__4[[#This Row],[Periodo]],1,4)</f>
        <v>2026</v>
      </c>
      <c r="D2513" t="str">
        <f>MID(analisis_productividad__4[[#This Row],[Periodo]],5,2)</f>
        <v>01</v>
      </c>
      <c r="E2513" t="s">
        <v>34</v>
      </c>
      <c r="F2513" t="s">
        <v>35</v>
      </c>
      <c r="G2513">
        <v>65105</v>
      </c>
      <c r="H2513">
        <v>1991286</v>
      </c>
      <c r="I2513">
        <v>30.585766129032258</v>
      </c>
      <c r="J2513">
        <v>0</v>
      </c>
      <c r="K2513">
        <v>33</v>
      </c>
      <c r="L2513">
        <v>31.5</v>
      </c>
      <c r="M2513">
        <v>35.22317754154448</v>
      </c>
      <c r="N2513">
        <v>0</v>
      </c>
    </row>
    <row r="2514" spans="1:14" x14ac:dyDescent="0.35">
      <c r="A2514" t="s">
        <v>105</v>
      </c>
      <c r="B2514">
        <v>202507</v>
      </c>
      <c r="C2514" t="str">
        <f>MID(analisis_productividad__4[[#This Row],[Periodo]],1,4)</f>
        <v>2025</v>
      </c>
      <c r="D2514" t="str">
        <f>MID(analisis_productividad__4[[#This Row],[Periodo]],5,2)</f>
        <v>07</v>
      </c>
      <c r="E2514" t="s">
        <v>34</v>
      </c>
      <c r="F2514" t="s">
        <v>35</v>
      </c>
      <c r="G2514">
        <v>65103</v>
      </c>
      <c r="H2514">
        <v>2195280</v>
      </c>
      <c r="I2514">
        <v>33.720053763440873</v>
      </c>
      <c r="J2514">
        <v>60584.294318627166</v>
      </c>
      <c r="K2514">
        <v>33</v>
      </c>
      <c r="L2514">
        <v>31.5</v>
      </c>
      <c r="M2514">
        <v>36.235127514310953</v>
      </c>
      <c r="N2514">
        <v>2502907</v>
      </c>
    </row>
    <row r="2515" spans="1:14" x14ac:dyDescent="0.35">
      <c r="A2515" t="s">
        <v>113</v>
      </c>
      <c r="B2515">
        <v>202501</v>
      </c>
      <c r="C2515" t="str">
        <f>MID(analisis_productividad__4[[#This Row],[Periodo]],1,4)</f>
        <v>2025</v>
      </c>
      <c r="D2515" t="str">
        <f>MID(analisis_productividad__4[[#This Row],[Periodo]],5,2)</f>
        <v>01</v>
      </c>
      <c r="E2515" t="s">
        <v>9</v>
      </c>
      <c r="F2515" t="s">
        <v>9</v>
      </c>
      <c r="G2515">
        <v>65097</v>
      </c>
      <c r="H2515">
        <v>556142</v>
      </c>
      <c r="I2515">
        <v>8.5433400537634441</v>
      </c>
      <c r="J2515">
        <v>64597.895506264933</v>
      </c>
      <c r="K2515">
        <v>11.5</v>
      </c>
      <c r="L2515">
        <v>10</v>
      </c>
      <c r="M2515">
        <v>8.6092837180131259</v>
      </c>
      <c r="N2515">
        <v>626834</v>
      </c>
    </row>
    <row r="2516" spans="1:14" x14ac:dyDescent="0.35">
      <c r="A2516" t="s">
        <v>120</v>
      </c>
      <c r="B2516">
        <v>202410</v>
      </c>
      <c r="C2516" t="str">
        <f>MID(analisis_productividad__4[[#This Row],[Periodo]],1,4)</f>
        <v>2024</v>
      </c>
      <c r="D2516" t="str">
        <f>MID(analisis_productividad__4[[#This Row],[Periodo]],5,2)</f>
        <v>10</v>
      </c>
      <c r="E2516" t="s">
        <v>9</v>
      </c>
      <c r="F2516" t="s">
        <v>9</v>
      </c>
      <c r="G2516">
        <v>65094</v>
      </c>
      <c r="H2516">
        <v>780507</v>
      </c>
      <c r="I2516">
        <v>11.990369623655917</v>
      </c>
      <c r="J2516">
        <v>0</v>
      </c>
      <c r="K2516">
        <v>11.5</v>
      </c>
      <c r="L2516">
        <v>12</v>
      </c>
      <c r="N2516">
        <v>0</v>
      </c>
    </row>
    <row r="2517" spans="1:14" x14ac:dyDescent="0.35">
      <c r="A2517" t="s">
        <v>115</v>
      </c>
      <c r="B2517">
        <v>202511</v>
      </c>
      <c r="C2517" t="str">
        <f>MID(analisis_productividad__4[[#This Row],[Periodo]],1,4)</f>
        <v>2025</v>
      </c>
      <c r="D2517" t="str">
        <f>MID(analisis_productividad__4[[#This Row],[Periodo]],5,2)</f>
        <v>11</v>
      </c>
      <c r="E2517" t="s">
        <v>34</v>
      </c>
      <c r="F2517" t="s">
        <v>35</v>
      </c>
      <c r="G2517">
        <v>65091</v>
      </c>
      <c r="H2517">
        <v>2950419</v>
      </c>
      <c r="I2517">
        <v>45.327479166666656</v>
      </c>
      <c r="J2517">
        <v>58870.918633612702</v>
      </c>
      <c r="K2517">
        <v>53.5</v>
      </c>
      <c r="L2517">
        <v>51</v>
      </c>
      <c r="M2517">
        <v>50.116749466101247</v>
      </c>
      <c r="N2517">
        <v>3191131</v>
      </c>
    </row>
    <row r="2518" spans="1:14" x14ac:dyDescent="0.35">
      <c r="A2518" t="s">
        <v>127</v>
      </c>
      <c r="B2518">
        <v>202505</v>
      </c>
      <c r="C2518" t="str">
        <f>MID(analisis_productividad__4[[#This Row],[Periodo]],1,4)</f>
        <v>2025</v>
      </c>
      <c r="D2518" t="str">
        <f>MID(analisis_productividad__4[[#This Row],[Periodo]],5,2)</f>
        <v>05</v>
      </c>
      <c r="E2518" t="s">
        <v>104</v>
      </c>
      <c r="F2518" t="s">
        <v>104</v>
      </c>
      <c r="G2518">
        <v>65082</v>
      </c>
      <c r="H2518">
        <v>3402519</v>
      </c>
      <c r="I2518">
        <v>52.28026209677418</v>
      </c>
      <c r="J2518">
        <v>56505.444755931174</v>
      </c>
      <c r="K2518">
        <v>61.5</v>
      </c>
      <c r="L2518">
        <v>56</v>
      </c>
      <c r="M2518">
        <v>60.215771678230169</v>
      </c>
      <c r="N2518">
        <v>3465327</v>
      </c>
    </row>
    <row r="2519" spans="1:14" x14ac:dyDescent="0.35">
      <c r="A2519" t="s">
        <v>124</v>
      </c>
      <c r="B2519">
        <v>202402</v>
      </c>
      <c r="C2519" t="str">
        <f>MID(analisis_productividad__4[[#This Row],[Periodo]],1,4)</f>
        <v>2024</v>
      </c>
      <c r="D2519" t="str">
        <f>MID(analisis_productividad__4[[#This Row],[Periodo]],5,2)</f>
        <v>02</v>
      </c>
      <c r="E2519" t="s">
        <v>9</v>
      </c>
      <c r="F2519" t="s">
        <v>9</v>
      </c>
      <c r="G2519">
        <v>65072</v>
      </c>
      <c r="H2519">
        <v>640357</v>
      </c>
      <c r="I2519">
        <v>9.840682471264369</v>
      </c>
      <c r="J2519">
        <v>0</v>
      </c>
      <c r="K2519">
        <v>11</v>
      </c>
      <c r="L2519">
        <v>12</v>
      </c>
      <c r="N2519">
        <v>0</v>
      </c>
    </row>
    <row r="2520" spans="1:14" x14ac:dyDescent="0.35">
      <c r="A2520" t="s">
        <v>85</v>
      </c>
      <c r="B2520">
        <v>202405</v>
      </c>
      <c r="C2520" t="str">
        <f>MID(analisis_productividad__4[[#This Row],[Periodo]],1,4)</f>
        <v>2024</v>
      </c>
      <c r="D2520" t="str">
        <f>MID(analisis_productividad__4[[#This Row],[Periodo]],5,2)</f>
        <v>05</v>
      </c>
      <c r="E2520" t="s">
        <v>11</v>
      </c>
      <c r="F2520" t="s">
        <v>14</v>
      </c>
      <c r="G2520">
        <v>65032</v>
      </c>
      <c r="H2520">
        <v>3551221</v>
      </c>
      <c r="I2520">
        <v>54.607291666666647</v>
      </c>
      <c r="J2520">
        <v>0</v>
      </c>
      <c r="K2520">
        <v>60.5</v>
      </c>
      <c r="L2520">
        <v>57.5</v>
      </c>
      <c r="N2520">
        <v>0</v>
      </c>
    </row>
    <row r="2521" spans="1:14" x14ac:dyDescent="0.35">
      <c r="A2521" t="s">
        <v>58</v>
      </c>
      <c r="B2521">
        <v>202408</v>
      </c>
      <c r="C2521" t="str">
        <f>MID(analisis_productividad__4[[#This Row],[Periodo]],1,4)</f>
        <v>2024</v>
      </c>
      <c r="D2521" t="str">
        <f>MID(analisis_productividad__4[[#This Row],[Periodo]],5,2)</f>
        <v>08</v>
      </c>
      <c r="E2521" t="s">
        <v>34</v>
      </c>
      <c r="F2521" t="s">
        <v>35</v>
      </c>
      <c r="G2521">
        <v>65008</v>
      </c>
      <c r="H2521">
        <v>3257550</v>
      </c>
      <c r="I2521">
        <v>50.10969758064514</v>
      </c>
      <c r="J2521">
        <v>0</v>
      </c>
      <c r="K2521">
        <v>53.5</v>
      </c>
      <c r="L2521">
        <v>52</v>
      </c>
      <c r="N2521">
        <v>0</v>
      </c>
    </row>
    <row r="2522" spans="1:14" x14ac:dyDescent="0.35">
      <c r="A2522" t="s">
        <v>77</v>
      </c>
      <c r="B2522">
        <v>202502</v>
      </c>
      <c r="C2522" t="str">
        <f>MID(analisis_productividad__4[[#This Row],[Periodo]],1,4)</f>
        <v>2025</v>
      </c>
      <c r="D2522" t="str">
        <f>MID(analisis_productividad__4[[#This Row],[Periodo]],5,2)</f>
        <v>02</v>
      </c>
      <c r="E2522" t="s">
        <v>16</v>
      </c>
      <c r="F2522" t="s">
        <v>21</v>
      </c>
      <c r="G2522">
        <v>64984</v>
      </c>
      <c r="H2522">
        <v>3904541</v>
      </c>
      <c r="I2522">
        <v>60.084375000000009</v>
      </c>
      <c r="J2522">
        <v>74964.674873007971</v>
      </c>
      <c r="K2522">
        <v>60.5</v>
      </c>
      <c r="L2522">
        <v>60.5</v>
      </c>
      <c r="M2522">
        <v>52.085073757931838</v>
      </c>
      <c r="N2522">
        <v>4682952</v>
      </c>
    </row>
    <row r="2523" spans="1:14" x14ac:dyDescent="0.35">
      <c r="A2523" t="s">
        <v>112</v>
      </c>
      <c r="B2523">
        <v>202507</v>
      </c>
      <c r="C2523" t="str">
        <f>MID(analisis_productividad__4[[#This Row],[Periodo]],1,4)</f>
        <v>2025</v>
      </c>
      <c r="D2523" t="str">
        <f>MID(analisis_productividad__4[[#This Row],[Periodo]],5,2)</f>
        <v>07</v>
      </c>
      <c r="E2523" t="s">
        <v>34</v>
      </c>
      <c r="F2523" t="s">
        <v>35</v>
      </c>
      <c r="G2523">
        <v>64976</v>
      </c>
      <c r="H2523">
        <v>1624890</v>
      </c>
      <c r="I2523">
        <v>25.0075</v>
      </c>
      <c r="J2523">
        <v>71383.265099575947</v>
      </c>
      <c r="K2523">
        <v>31</v>
      </c>
      <c r="L2523">
        <v>27</v>
      </c>
      <c r="M2523">
        <v>22.762895024952464</v>
      </c>
      <c r="N2523">
        <v>1514836</v>
      </c>
    </row>
    <row r="2524" spans="1:14" x14ac:dyDescent="0.35">
      <c r="A2524" t="s">
        <v>98</v>
      </c>
      <c r="B2524">
        <v>202402</v>
      </c>
      <c r="C2524" t="str">
        <f>MID(analisis_productividad__4[[#This Row],[Periodo]],1,4)</f>
        <v>2024</v>
      </c>
      <c r="D2524" t="str">
        <f>MID(analisis_productividad__4[[#This Row],[Periodo]],5,2)</f>
        <v>02</v>
      </c>
      <c r="E2524" t="s">
        <v>11</v>
      </c>
      <c r="F2524" t="s">
        <v>14</v>
      </c>
      <c r="G2524">
        <v>64963</v>
      </c>
      <c r="H2524">
        <v>3760036</v>
      </c>
      <c r="I2524">
        <v>57.879741379310332</v>
      </c>
      <c r="J2524">
        <v>0</v>
      </c>
      <c r="K2524">
        <v>61.5</v>
      </c>
      <c r="L2524">
        <v>56</v>
      </c>
      <c r="N2524">
        <v>0</v>
      </c>
    </row>
    <row r="2525" spans="1:14" x14ac:dyDescent="0.35">
      <c r="A2525" t="s">
        <v>8</v>
      </c>
      <c r="B2525">
        <v>202406</v>
      </c>
      <c r="C2525" t="str">
        <f>MID(analisis_productividad__4[[#This Row],[Periodo]],1,4)</f>
        <v>2024</v>
      </c>
      <c r="D2525" t="str">
        <f>MID(analisis_productividad__4[[#This Row],[Periodo]],5,2)</f>
        <v>06</v>
      </c>
      <c r="E2525" t="s">
        <v>9</v>
      </c>
      <c r="F2525" t="s">
        <v>9</v>
      </c>
      <c r="G2525">
        <v>64925</v>
      </c>
      <c r="H2525">
        <v>796898</v>
      </c>
      <c r="I2525">
        <v>12.274111111111113</v>
      </c>
      <c r="J2525">
        <v>0</v>
      </c>
      <c r="K2525">
        <v>13.5</v>
      </c>
      <c r="L2525">
        <v>12.5</v>
      </c>
      <c r="N2525">
        <v>0</v>
      </c>
    </row>
    <row r="2526" spans="1:14" x14ac:dyDescent="0.35">
      <c r="A2526" t="s">
        <v>45</v>
      </c>
      <c r="B2526">
        <v>202412</v>
      </c>
      <c r="C2526" t="str">
        <f>MID(analisis_productividad__4[[#This Row],[Periodo]],1,4)</f>
        <v>2024</v>
      </c>
      <c r="D2526" t="str">
        <f>MID(analisis_productividad__4[[#This Row],[Periodo]],5,2)</f>
        <v>12</v>
      </c>
      <c r="E2526" t="s">
        <v>34</v>
      </c>
      <c r="F2526" t="s">
        <v>35</v>
      </c>
      <c r="G2526">
        <v>64893</v>
      </c>
      <c r="H2526">
        <v>1640221</v>
      </c>
      <c r="I2526">
        <v>25.275974462365589</v>
      </c>
      <c r="J2526">
        <v>0</v>
      </c>
      <c r="K2526">
        <v>22.5</v>
      </c>
      <c r="L2526">
        <v>21</v>
      </c>
      <c r="N2526">
        <v>0</v>
      </c>
    </row>
    <row r="2527" spans="1:14" x14ac:dyDescent="0.35">
      <c r="A2527" t="s">
        <v>126</v>
      </c>
      <c r="B2527">
        <v>202503</v>
      </c>
      <c r="C2527" t="str">
        <f>MID(analisis_productividad__4[[#This Row],[Periodo]],1,4)</f>
        <v>2025</v>
      </c>
      <c r="D2527" t="str">
        <f>MID(analisis_productividad__4[[#This Row],[Periodo]],5,2)</f>
        <v>03</v>
      </c>
      <c r="E2527" t="s">
        <v>104</v>
      </c>
      <c r="F2527" t="s">
        <v>104</v>
      </c>
      <c r="G2527">
        <v>64887</v>
      </c>
      <c r="H2527">
        <v>3335318</v>
      </c>
      <c r="I2527">
        <v>51.401827956989251</v>
      </c>
      <c r="J2527">
        <v>54687.432309621807</v>
      </c>
      <c r="K2527">
        <v>64.5</v>
      </c>
      <c r="L2527">
        <v>61</v>
      </c>
      <c r="M2527">
        <v>60.988742369847522</v>
      </c>
      <c r="N2527">
        <v>3174805</v>
      </c>
    </row>
    <row r="2528" spans="1:14" x14ac:dyDescent="0.35">
      <c r="A2528" t="s">
        <v>119</v>
      </c>
      <c r="B2528">
        <v>202508</v>
      </c>
      <c r="C2528" t="str">
        <f>MID(analisis_productividad__4[[#This Row],[Periodo]],1,4)</f>
        <v>2025</v>
      </c>
      <c r="D2528" t="str">
        <f>MID(analisis_productividad__4[[#This Row],[Periodo]],5,2)</f>
        <v>08</v>
      </c>
      <c r="E2528" t="s">
        <v>16</v>
      </c>
      <c r="F2528" t="s">
        <v>21</v>
      </c>
      <c r="G2528">
        <v>64829</v>
      </c>
      <c r="H2528">
        <v>3066906</v>
      </c>
      <c r="I2528">
        <v>47.307298387096779</v>
      </c>
      <c r="J2528">
        <v>72239.453702685685</v>
      </c>
      <c r="K2528">
        <v>52.5</v>
      </c>
      <c r="L2528">
        <v>52.5</v>
      </c>
      <c r="M2528">
        <v>42.454720139806085</v>
      </c>
      <c r="N2528">
        <v>3699432</v>
      </c>
    </row>
    <row r="2529" spans="1:14" x14ac:dyDescent="0.35">
      <c r="A2529" t="s">
        <v>127</v>
      </c>
      <c r="B2529">
        <v>202504</v>
      </c>
      <c r="C2529" t="str">
        <f>MID(analisis_productividad__4[[#This Row],[Periodo]],1,4)</f>
        <v>2025</v>
      </c>
      <c r="D2529" t="str">
        <f>MID(analisis_productividad__4[[#This Row],[Periodo]],5,2)</f>
        <v>04</v>
      </c>
      <c r="E2529" t="s">
        <v>104</v>
      </c>
      <c r="F2529" t="s">
        <v>104</v>
      </c>
      <c r="G2529">
        <v>64803</v>
      </c>
      <c r="H2529">
        <v>3286679</v>
      </c>
      <c r="I2529">
        <v>50.718111111111121</v>
      </c>
      <c r="J2529">
        <v>56211.007690383747</v>
      </c>
      <c r="K2529">
        <v>61.5</v>
      </c>
      <c r="L2529">
        <v>56</v>
      </c>
      <c r="M2529">
        <v>58.470381959764545</v>
      </c>
      <c r="N2529">
        <v>3364998</v>
      </c>
    </row>
    <row r="2530" spans="1:14" x14ac:dyDescent="0.35">
      <c r="A2530" t="s">
        <v>91</v>
      </c>
      <c r="B2530">
        <v>202509</v>
      </c>
      <c r="C2530" t="str">
        <f>MID(analisis_productividad__4[[#This Row],[Periodo]],1,4)</f>
        <v>2025</v>
      </c>
      <c r="D2530" t="str">
        <f>MID(analisis_productividad__4[[#This Row],[Periodo]],5,2)</f>
        <v>09</v>
      </c>
      <c r="E2530" t="s">
        <v>11</v>
      </c>
      <c r="F2530" t="s">
        <v>12</v>
      </c>
      <c r="G2530">
        <v>64771</v>
      </c>
      <c r="H2530">
        <v>3404190</v>
      </c>
      <c r="I2530">
        <v>52.557215277777814</v>
      </c>
      <c r="J2530">
        <v>78186.312216216204</v>
      </c>
      <c r="K2530">
        <v>55</v>
      </c>
      <c r="L2530">
        <v>55.5</v>
      </c>
      <c r="M2530">
        <v>43.539467376157361</v>
      </c>
      <c r="N2530">
        <v>3739395</v>
      </c>
    </row>
    <row r="2531" spans="1:14" x14ac:dyDescent="0.35">
      <c r="A2531" t="s">
        <v>79</v>
      </c>
      <c r="B2531">
        <v>202402</v>
      </c>
      <c r="C2531" t="str">
        <f>MID(analisis_productividad__4[[#This Row],[Periodo]],1,4)</f>
        <v>2024</v>
      </c>
      <c r="D2531" t="str">
        <f>MID(analisis_productividad__4[[#This Row],[Periodo]],5,2)</f>
        <v>02</v>
      </c>
      <c r="E2531" t="s">
        <v>11</v>
      </c>
      <c r="F2531" t="s">
        <v>12</v>
      </c>
      <c r="G2531">
        <v>64759</v>
      </c>
      <c r="H2531">
        <v>4444075</v>
      </c>
      <c r="I2531">
        <v>68.625244252873586</v>
      </c>
      <c r="J2531">
        <v>0</v>
      </c>
      <c r="K2531">
        <v>64.5</v>
      </c>
      <c r="L2531">
        <v>64</v>
      </c>
      <c r="N2531">
        <v>0</v>
      </c>
    </row>
    <row r="2532" spans="1:14" x14ac:dyDescent="0.35">
      <c r="A2532" t="s">
        <v>98</v>
      </c>
      <c r="B2532">
        <v>202406</v>
      </c>
      <c r="C2532" t="str">
        <f>MID(analisis_productividad__4[[#This Row],[Periodo]],1,4)</f>
        <v>2024</v>
      </c>
      <c r="D2532" t="str">
        <f>MID(analisis_productividad__4[[#This Row],[Periodo]],5,2)</f>
        <v>06</v>
      </c>
      <c r="E2532" t="s">
        <v>11</v>
      </c>
      <c r="F2532" t="s">
        <v>14</v>
      </c>
      <c r="G2532">
        <v>64744</v>
      </c>
      <c r="H2532">
        <v>3715245</v>
      </c>
      <c r="I2532">
        <v>57.383763888888879</v>
      </c>
      <c r="J2532">
        <v>0</v>
      </c>
      <c r="K2532">
        <v>61.5</v>
      </c>
      <c r="L2532">
        <v>56</v>
      </c>
      <c r="N2532">
        <v>0</v>
      </c>
    </row>
    <row r="2533" spans="1:14" x14ac:dyDescent="0.35">
      <c r="A2533" t="s">
        <v>98</v>
      </c>
      <c r="B2533">
        <v>202506</v>
      </c>
      <c r="C2533" t="str">
        <f>MID(analisis_productividad__4[[#This Row],[Periodo]],1,4)</f>
        <v>2025</v>
      </c>
      <c r="D2533" t="str">
        <f>MID(analisis_productividad__4[[#This Row],[Periodo]],5,2)</f>
        <v>06</v>
      </c>
      <c r="E2533" t="s">
        <v>11</v>
      </c>
      <c r="F2533" t="s">
        <v>14</v>
      </c>
      <c r="G2533">
        <v>64722</v>
      </c>
      <c r="H2533">
        <v>3472407</v>
      </c>
      <c r="I2533">
        <v>53.651354166666664</v>
      </c>
      <c r="J2533">
        <v>67981.023256917193</v>
      </c>
      <c r="K2533">
        <v>61.5</v>
      </c>
      <c r="L2533">
        <v>56</v>
      </c>
      <c r="M2533">
        <v>51.079060355960095</v>
      </c>
      <c r="N2533">
        <v>3943200</v>
      </c>
    </row>
    <row r="2534" spans="1:14" x14ac:dyDescent="0.35">
      <c r="A2534" t="s">
        <v>95</v>
      </c>
      <c r="B2534">
        <v>202601</v>
      </c>
      <c r="C2534" t="str">
        <f>MID(analisis_productividad__4[[#This Row],[Periodo]],1,4)</f>
        <v>2026</v>
      </c>
      <c r="D2534" t="str">
        <f>MID(analisis_productividad__4[[#This Row],[Periodo]],5,2)</f>
        <v>01</v>
      </c>
      <c r="E2534" t="s">
        <v>9</v>
      </c>
      <c r="F2534" t="s">
        <v>9</v>
      </c>
      <c r="G2534">
        <v>64714</v>
      </c>
      <c r="H2534">
        <v>630542</v>
      </c>
      <c r="I2534">
        <v>9.7435013440860221</v>
      </c>
      <c r="J2534">
        <v>67231.475228972267</v>
      </c>
      <c r="K2534">
        <v>11</v>
      </c>
      <c r="L2534">
        <v>11</v>
      </c>
      <c r="M2534">
        <v>10.04229432420742</v>
      </c>
      <c r="N2534">
        <v>675158</v>
      </c>
    </row>
    <row r="2535" spans="1:14" x14ac:dyDescent="0.35">
      <c r="A2535" t="s">
        <v>92</v>
      </c>
      <c r="B2535">
        <v>202506</v>
      </c>
      <c r="C2535" t="str">
        <f>MID(analisis_productividad__4[[#This Row],[Periodo]],1,4)</f>
        <v>2025</v>
      </c>
      <c r="D2535" t="str">
        <f>MID(analisis_productividad__4[[#This Row],[Periodo]],5,2)</f>
        <v>06</v>
      </c>
      <c r="E2535" t="s">
        <v>11</v>
      </c>
      <c r="F2535" t="s">
        <v>14</v>
      </c>
      <c r="G2535">
        <v>64661</v>
      </c>
      <c r="H2535">
        <v>3440874</v>
      </c>
      <c r="I2535">
        <v>53.214340277777787</v>
      </c>
      <c r="J2535">
        <v>70667.537195200697</v>
      </c>
      <c r="K2535">
        <v>63</v>
      </c>
      <c r="L2535">
        <v>59</v>
      </c>
      <c r="M2535">
        <v>48.6910194775216</v>
      </c>
      <c r="N2535">
        <v>3774694</v>
      </c>
    </row>
    <row r="2536" spans="1:14" x14ac:dyDescent="0.35">
      <c r="A2536" t="s">
        <v>99</v>
      </c>
      <c r="B2536">
        <v>202606</v>
      </c>
      <c r="C2536" t="str">
        <f>MID(analisis_productividad__4[[#This Row],[Periodo]],1,4)</f>
        <v>2026</v>
      </c>
      <c r="D2536" t="str">
        <f>MID(analisis_productividad__4[[#This Row],[Periodo]],5,2)</f>
        <v>06</v>
      </c>
      <c r="E2536" t="s">
        <v>11</v>
      </c>
      <c r="F2536" t="s">
        <v>12</v>
      </c>
      <c r="G2536">
        <v>64660</v>
      </c>
      <c r="H2536">
        <v>1541256</v>
      </c>
      <c r="I2536">
        <v>23.836263888888904</v>
      </c>
      <c r="J2536">
        <v>118016.31445247766</v>
      </c>
      <c r="K2536">
        <v>27</v>
      </c>
      <c r="L2536">
        <v>27</v>
      </c>
      <c r="M2536">
        <v>23.582599197509253</v>
      </c>
      <c r="N2536">
        <v>2783131</v>
      </c>
    </row>
    <row r="2537" spans="1:14" x14ac:dyDescent="0.35">
      <c r="A2537" t="s">
        <v>105</v>
      </c>
      <c r="B2537">
        <v>202511</v>
      </c>
      <c r="C2537" t="str">
        <f>MID(analisis_productividad__4[[#This Row],[Periodo]],1,4)</f>
        <v>2025</v>
      </c>
      <c r="D2537" t="str">
        <f>MID(analisis_productividad__4[[#This Row],[Periodo]],5,2)</f>
        <v>11</v>
      </c>
      <c r="E2537" t="s">
        <v>34</v>
      </c>
      <c r="F2537" t="s">
        <v>35</v>
      </c>
      <c r="G2537">
        <v>64634</v>
      </c>
      <c r="H2537">
        <v>2088503</v>
      </c>
      <c r="I2537">
        <v>32.312826388888887</v>
      </c>
      <c r="J2537">
        <v>52097.673105472939</v>
      </c>
      <c r="K2537">
        <v>33</v>
      </c>
      <c r="L2537">
        <v>31.5</v>
      </c>
      <c r="M2537">
        <v>40.088212687959754</v>
      </c>
      <c r="N2537">
        <v>2553032</v>
      </c>
    </row>
    <row r="2538" spans="1:14" x14ac:dyDescent="0.35">
      <c r="A2538" t="s">
        <v>110</v>
      </c>
      <c r="B2538">
        <v>202409</v>
      </c>
      <c r="C2538" t="str">
        <f>MID(analisis_productividad__4[[#This Row],[Periodo]],1,4)</f>
        <v>2024</v>
      </c>
      <c r="D2538" t="str">
        <f>MID(analisis_productividad__4[[#This Row],[Periodo]],5,2)</f>
        <v>09</v>
      </c>
      <c r="E2538" t="s">
        <v>34</v>
      </c>
      <c r="F2538" t="s">
        <v>35</v>
      </c>
      <c r="G2538">
        <v>64616</v>
      </c>
      <c r="H2538">
        <v>2205957</v>
      </c>
      <c r="I2538">
        <v>34.139340277777784</v>
      </c>
      <c r="J2538">
        <v>0</v>
      </c>
      <c r="K2538">
        <v>41.5</v>
      </c>
      <c r="L2538">
        <v>43</v>
      </c>
      <c r="N2538">
        <v>0</v>
      </c>
    </row>
    <row r="2539" spans="1:14" x14ac:dyDescent="0.35">
      <c r="A2539" t="s">
        <v>116</v>
      </c>
      <c r="B2539">
        <v>202601</v>
      </c>
      <c r="C2539" t="str">
        <f>MID(analisis_productividad__4[[#This Row],[Periodo]],1,4)</f>
        <v>2026</v>
      </c>
      <c r="D2539" t="str">
        <f>MID(analisis_productividad__4[[#This Row],[Periodo]],5,2)</f>
        <v>01</v>
      </c>
      <c r="E2539" t="s">
        <v>9</v>
      </c>
      <c r="F2539" t="s">
        <v>9</v>
      </c>
      <c r="G2539">
        <v>64610</v>
      </c>
      <c r="H2539">
        <v>643587</v>
      </c>
      <c r="I2539">
        <v>9.9611223118279568</v>
      </c>
      <c r="J2539">
        <v>73433.916741750392</v>
      </c>
      <c r="K2539">
        <v>11.5</v>
      </c>
      <c r="L2539">
        <v>10</v>
      </c>
      <c r="M2539">
        <v>10.042294324207418</v>
      </c>
      <c r="N2539">
        <v>737445</v>
      </c>
    </row>
    <row r="2540" spans="1:14" x14ac:dyDescent="0.35">
      <c r="A2540" t="s">
        <v>95</v>
      </c>
      <c r="B2540">
        <v>202505</v>
      </c>
      <c r="C2540" t="str">
        <f>MID(analisis_productividad__4[[#This Row],[Periodo]],1,4)</f>
        <v>2025</v>
      </c>
      <c r="D2540" t="str">
        <f>MID(analisis_productividad__4[[#This Row],[Periodo]],5,2)</f>
        <v>05</v>
      </c>
      <c r="E2540" t="s">
        <v>9</v>
      </c>
      <c r="F2540" t="s">
        <v>9</v>
      </c>
      <c r="G2540">
        <v>64598</v>
      </c>
      <c r="H2540">
        <v>640877</v>
      </c>
      <c r="I2540">
        <v>9.9210416666666674</v>
      </c>
      <c r="J2540">
        <v>82119.441355932198</v>
      </c>
      <c r="K2540">
        <v>11</v>
      </c>
      <c r="L2540">
        <v>11</v>
      </c>
      <c r="M2540">
        <v>7.804202383966949</v>
      </c>
      <c r="N2540">
        <v>716950</v>
      </c>
    </row>
    <row r="2541" spans="1:14" x14ac:dyDescent="0.35">
      <c r="A2541" t="s">
        <v>117</v>
      </c>
      <c r="B2541">
        <v>202601</v>
      </c>
      <c r="C2541" t="str">
        <f>MID(analisis_productividad__4[[#This Row],[Periodo]],1,4)</f>
        <v>2026</v>
      </c>
      <c r="D2541" t="str">
        <f>MID(analisis_productividad__4[[#This Row],[Periodo]],5,2)</f>
        <v>01</v>
      </c>
      <c r="E2541" t="s">
        <v>104</v>
      </c>
      <c r="F2541" t="s">
        <v>104</v>
      </c>
      <c r="G2541">
        <v>64597</v>
      </c>
      <c r="H2541">
        <v>3719546</v>
      </c>
      <c r="I2541">
        <v>57.58092741935485</v>
      </c>
      <c r="J2541">
        <v>58182.169486084531</v>
      </c>
      <c r="K2541">
        <v>66</v>
      </c>
      <c r="L2541">
        <v>65.5</v>
      </c>
      <c r="M2541">
        <v>58.116081161406527</v>
      </c>
      <c r="N2541">
        <v>3381320</v>
      </c>
    </row>
    <row r="2542" spans="1:14" x14ac:dyDescent="0.35">
      <c r="A2542" t="s">
        <v>92</v>
      </c>
      <c r="B2542">
        <v>202601</v>
      </c>
      <c r="C2542" t="str">
        <f>MID(analisis_productividad__4[[#This Row],[Periodo]],1,4)</f>
        <v>2026</v>
      </c>
      <c r="D2542" t="str">
        <f>MID(analisis_productividad__4[[#This Row],[Periodo]],5,2)</f>
        <v>01</v>
      </c>
      <c r="E2542" t="s">
        <v>11</v>
      </c>
      <c r="F2542" t="s">
        <v>14</v>
      </c>
      <c r="G2542">
        <v>64521</v>
      </c>
      <c r="H2542">
        <v>3438453</v>
      </c>
      <c r="I2542">
        <v>53.291827956989245</v>
      </c>
      <c r="J2542">
        <v>70936.311366250287</v>
      </c>
      <c r="K2542">
        <v>63</v>
      </c>
      <c r="L2542">
        <v>59</v>
      </c>
      <c r="M2542">
        <v>55.026064794188251</v>
      </c>
      <c r="N2542">
        <v>3903346</v>
      </c>
    </row>
    <row r="2543" spans="1:14" x14ac:dyDescent="0.35">
      <c r="A2543" t="s">
        <v>85</v>
      </c>
      <c r="B2543">
        <v>202507</v>
      </c>
      <c r="C2543" t="str">
        <f>MID(analisis_productividad__4[[#This Row],[Periodo]],1,4)</f>
        <v>2025</v>
      </c>
      <c r="D2543" t="str">
        <f>MID(analisis_productividad__4[[#This Row],[Periodo]],5,2)</f>
        <v>07</v>
      </c>
      <c r="E2543" t="s">
        <v>11</v>
      </c>
      <c r="F2543" t="s">
        <v>14</v>
      </c>
      <c r="G2543">
        <v>64502</v>
      </c>
      <c r="H2543">
        <v>3669325</v>
      </c>
      <c r="I2543">
        <v>56.886572580645165</v>
      </c>
      <c r="J2543">
        <v>77989.940482709557</v>
      </c>
      <c r="K2543">
        <v>60.5</v>
      </c>
      <c r="L2543">
        <v>57.5</v>
      </c>
      <c r="M2543">
        <v>47.048692014497604</v>
      </c>
      <c r="N2543">
        <v>4066921</v>
      </c>
    </row>
    <row r="2544" spans="1:14" x14ac:dyDescent="0.35">
      <c r="A2544" t="s">
        <v>92</v>
      </c>
      <c r="B2544">
        <v>202502</v>
      </c>
      <c r="C2544" t="str">
        <f>MID(analisis_productividad__4[[#This Row],[Periodo]],1,4)</f>
        <v>2025</v>
      </c>
      <c r="D2544" t="str">
        <f>MID(analisis_productividad__4[[#This Row],[Periodo]],5,2)</f>
        <v>02</v>
      </c>
      <c r="E2544" t="s">
        <v>11</v>
      </c>
      <c r="F2544" t="s">
        <v>14</v>
      </c>
      <c r="G2544">
        <v>64478</v>
      </c>
      <c r="H2544">
        <v>3701008</v>
      </c>
      <c r="I2544">
        <v>57.399739583333336</v>
      </c>
      <c r="J2544">
        <v>67135.803221681359</v>
      </c>
      <c r="K2544">
        <v>63</v>
      </c>
      <c r="L2544">
        <v>59</v>
      </c>
      <c r="M2544">
        <v>55.127188510418641</v>
      </c>
      <c r="N2544">
        <v>3698569</v>
      </c>
    </row>
    <row r="2545" spans="1:14" x14ac:dyDescent="0.35">
      <c r="A2545" t="s">
        <v>124</v>
      </c>
      <c r="B2545">
        <v>202406</v>
      </c>
      <c r="C2545" t="str">
        <f>MID(analisis_productividad__4[[#This Row],[Periodo]],1,4)</f>
        <v>2024</v>
      </c>
      <c r="D2545" t="str">
        <f>MID(analisis_productividad__4[[#This Row],[Periodo]],5,2)</f>
        <v>06</v>
      </c>
      <c r="E2545" t="s">
        <v>9</v>
      </c>
      <c r="F2545" t="s">
        <v>9</v>
      </c>
      <c r="G2545">
        <v>64460</v>
      </c>
      <c r="H2545">
        <v>589565</v>
      </c>
      <c r="I2545">
        <v>9.1462777777777777</v>
      </c>
      <c r="J2545">
        <v>0</v>
      </c>
      <c r="K2545">
        <v>11</v>
      </c>
      <c r="L2545">
        <v>12</v>
      </c>
      <c r="N2545">
        <v>0</v>
      </c>
    </row>
    <row r="2546" spans="1:14" x14ac:dyDescent="0.35">
      <c r="A2546" t="s">
        <v>113</v>
      </c>
      <c r="B2546">
        <v>202505</v>
      </c>
      <c r="C2546" t="str">
        <f>MID(analisis_productividad__4[[#This Row],[Periodo]],1,4)</f>
        <v>2025</v>
      </c>
      <c r="D2546" t="str">
        <f>MID(analisis_productividad__4[[#This Row],[Periodo]],5,2)</f>
        <v>05</v>
      </c>
      <c r="E2546" t="s">
        <v>9</v>
      </c>
      <c r="F2546" t="s">
        <v>9</v>
      </c>
      <c r="G2546">
        <v>64438</v>
      </c>
      <c r="H2546">
        <v>585529</v>
      </c>
      <c r="I2546">
        <v>9.0866868279569868</v>
      </c>
      <c r="J2546">
        <v>65489.22342287955</v>
      </c>
      <c r="K2546">
        <v>11.5</v>
      </c>
      <c r="L2546">
        <v>10</v>
      </c>
      <c r="M2546">
        <v>8.9408430791597624</v>
      </c>
      <c r="N2546">
        <v>638148</v>
      </c>
    </row>
    <row r="2547" spans="1:14" x14ac:dyDescent="0.35">
      <c r="A2547" t="s">
        <v>128</v>
      </c>
      <c r="B2547">
        <v>202512</v>
      </c>
      <c r="C2547" t="str">
        <f>MID(analisis_productividad__4[[#This Row],[Periodo]],1,4)</f>
        <v>2025</v>
      </c>
      <c r="D2547" t="str">
        <f>MID(analisis_productividad__4[[#This Row],[Periodo]],5,2)</f>
        <v>12</v>
      </c>
      <c r="E2547" t="s">
        <v>104</v>
      </c>
      <c r="F2547" t="s">
        <v>104</v>
      </c>
      <c r="G2547">
        <v>64422</v>
      </c>
      <c r="H2547">
        <v>3354155</v>
      </c>
      <c r="I2547">
        <v>52.065463709677367</v>
      </c>
      <c r="J2547">
        <v>57779.043471588848</v>
      </c>
      <c r="K2547">
        <v>57.5</v>
      </c>
      <c r="L2547">
        <v>57</v>
      </c>
      <c r="M2547">
        <v>58.051403562077091</v>
      </c>
      <c r="N2547">
        <v>3366180</v>
      </c>
    </row>
    <row r="2548" spans="1:14" x14ac:dyDescent="0.35">
      <c r="A2548" t="s">
        <v>86</v>
      </c>
      <c r="B2548">
        <v>202506</v>
      </c>
      <c r="C2548" t="str">
        <f>MID(analisis_productividad__4[[#This Row],[Periodo]],1,4)</f>
        <v>2025</v>
      </c>
      <c r="D2548" t="str">
        <f>MID(analisis_productividad__4[[#This Row],[Periodo]],5,2)</f>
        <v>06</v>
      </c>
      <c r="E2548" t="s">
        <v>11</v>
      </c>
      <c r="F2548" t="s">
        <v>14</v>
      </c>
      <c r="G2548">
        <v>64377</v>
      </c>
      <c r="H2548">
        <v>4214268</v>
      </c>
      <c r="I2548">
        <v>65.462638888888904</v>
      </c>
      <c r="J2548">
        <v>79346.607330227329</v>
      </c>
      <c r="K2548">
        <v>69.5</v>
      </c>
      <c r="L2548">
        <v>59</v>
      </c>
      <c r="M2548">
        <v>53.112143566024429</v>
      </c>
      <c r="N2548">
        <v>4998298</v>
      </c>
    </row>
    <row r="2549" spans="1:14" x14ac:dyDescent="0.35">
      <c r="A2549" t="s">
        <v>98</v>
      </c>
      <c r="B2549">
        <v>202509</v>
      </c>
      <c r="C2549" t="str">
        <f>MID(analisis_productividad__4[[#This Row],[Periodo]],1,4)</f>
        <v>2025</v>
      </c>
      <c r="D2549" t="str">
        <f>MID(analisis_productividad__4[[#This Row],[Periodo]],5,2)</f>
        <v>09</v>
      </c>
      <c r="E2549" t="s">
        <v>11</v>
      </c>
      <c r="F2549" t="s">
        <v>14</v>
      </c>
      <c r="G2549">
        <v>64337</v>
      </c>
      <c r="H2549">
        <v>3335745</v>
      </c>
      <c r="I2549">
        <v>51.848125000000003</v>
      </c>
      <c r="J2549">
        <v>73345.397234256132</v>
      </c>
      <c r="K2549">
        <v>61.5</v>
      </c>
      <c r="L2549">
        <v>56</v>
      </c>
      <c r="M2549">
        <v>45.479953286585143</v>
      </c>
      <c r="N2549">
        <v>3761298</v>
      </c>
    </row>
    <row r="2550" spans="1:14" x14ac:dyDescent="0.35">
      <c r="A2550" t="s">
        <v>73</v>
      </c>
      <c r="B2550">
        <v>202506</v>
      </c>
      <c r="C2550" t="str">
        <f>MID(analisis_productividad__4[[#This Row],[Periodo]],1,4)</f>
        <v>2025</v>
      </c>
      <c r="D2550" t="str">
        <f>MID(analisis_productividad__4[[#This Row],[Periodo]],5,2)</f>
        <v>06</v>
      </c>
      <c r="E2550" t="s">
        <v>16</v>
      </c>
      <c r="F2550" t="s">
        <v>21</v>
      </c>
      <c r="G2550">
        <v>64318</v>
      </c>
      <c r="H2550">
        <v>2584678</v>
      </c>
      <c r="I2550">
        <v>40.186222222222227</v>
      </c>
      <c r="J2550">
        <v>76387.837674189839</v>
      </c>
      <c r="K2550">
        <v>43.5</v>
      </c>
      <c r="L2550">
        <v>41</v>
      </c>
      <c r="M2550">
        <v>33.836256120040936</v>
      </c>
      <c r="N2550">
        <v>2924957</v>
      </c>
    </row>
    <row r="2551" spans="1:14" x14ac:dyDescent="0.35">
      <c r="A2551" t="s">
        <v>58</v>
      </c>
      <c r="B2551">
        <v>202506</v>
      </c>
      <c r="C2551" t="str">
        <f>MID(analisis_productividad__4[[#This Row],[Periodo]],1,4)</f>
        <v>2025</v>
      </c>
      <c r="D2551" t="str">
        <f>MID(analisis_productividad__4[[#This Row],[Periodo]],5,2)</f>
        <v>06</v>
      </c>
      <c r="E2551" t="s">
        <v>34</v>
      </c>
      <c r="F2551" t="s">
        <v>35</v>
      </c>
      <c r="G2551">
        <v>64305</v>
      </c>
      <c r="H2551">
        <v>2830209</v>
      </c>
      <c r="I2551">
        <v>44.011965277777783</v>
      </c>
      <c r="J2551">
        <v>74076.559309161486</v>
      </c>
      <c r="K2551">
        <v>53.5</v>
      </c>
      <c r="L2551">
        <v>52</v>
      </c>
      <c r="M2551">
        <v>38.20654234476536</v>
      </c>
      <c r="N2551">
        <v>3154057</v>
      </c>
    </row>
    <row r="2552" spans="1:14" x14ac:dyDescent="0.35">
      <c r="A2552" t="s">
        <v>58</v>
      </c>
      <c r="B2552">
        <v>202405</v>
      </c>
      <c r="C2552" t="str">
        <f>MID(analisis_productividad__4[[#This Row],[Periodo]],1,4)</f>
        <v>2024</v>
      </c>
      <c r="D2552" t="str">
        <f>MID(analisis_productividad__4[[#This Row],[Periodo]],5,2)</f>
        <v>05</v>
      </c>
      <c r="E2552" t="s">
        <v>34</v>
      </c>
      <c r="F2552" t="s">
        <v>35</v>
      </c>
      <c r="G2552">
        <v>64288</v>
      </c>
      <c r="H2552">
        <v>3155230</v>
      </c>
      <c r="I2552">
        <v>49.079973118279561</v>
      </c>
      <c r="J2552">
        <v>0</v>
      </c>
      <c r="K2552">
        <v>53.5</v>
      </c>
      <c r="L2552">
        <v>52</v>
      </c>
      <c r="N2552">
        <v>0</v>
      </c>
    </row>
    <row r="2553" spans="1:14" x14ac:dyDescent="0.35">
      <c r="A2553" t="s">
        <v>48</v>
      </c>
      <c r="B2553">
        <v>202405</v>
      </c>
      <c r="C2553" t="str">
        <f>MID(analisis_productividad__4[[#This Row],[Periodo]],1,4)</f>
        <v>2024</v>
      </c>
      <c r="D2553" t="str">
        <f>MID(analisis_productividad__4[[#This Row],[Periodo]],5,2)</f>
        <v>05</v>
      </c>
      <c r="E2553" t="s">
        <v>16</v>
      </c>
      <c r="F2553" t="s">
        <v>21</v>
      </c>
      <c r="G2553">
        <v>64281</v>
      </c>
      <c r="H2553">
        <v>3794471</v>
      </c>
      <c r="I2553">
        <v>59.029240591397873</v>
      </c>
      <c r="J2553">
        <v>0</v>
      </c>
      <c r="K2553">
        <v>56</v>
      </c>
      <c r="L2553">
        <v>60</v>
      </c>
      <c r="N2553">
        <v>0</v>
      </c>
    </row>
    <row r="2554" spans="1:14" x14ac:dyDescent="0.35">
      <c r="A2554" t="s">
        <v>119</v>
      </c>
      <c r="B2554">
        <v>202406</v>
      </c>
      <c r="C2554" t="str">
        <f>MID(analisis_productividad__4[[#This Row],[Periodo]],1,4)</f>
        <v>2024</v>
      </c>
      <c r="D2554" t="str">
        <f>MID(analisis_productividad__4[[#This Row],[Periodo]],5,2)</f>
        <v>06</v>
      </c>
      <c r="E2554" t="s">
        <v>16</v>
      </c>
      <c r="F2554" t="s">
        <v>21</v>
      </c>
      <c r="G2554">
        <v>64271</v>
      </c>
      <c r="H2554">
        <v>3475746</v>
      </c>
      <c r="I2554">
        <v>54.079423611111125</v>
      </c>
      <c r="J2554">
        <v>0</v>
      </c>
      <c r="K2554">
        <v>52.5</v>
      </c>
      <c r="L2554">
        <v>52.5</v>
      </c>
      <c r="N2554">
        <v>0</v>
      </c>
    </row>
    <row r="2555" spans="1:14" x14ac:dyDescent="0.35">
      <c r="A2555" t="s">
        <v>103</v>
      </c>
      <c r="B2555">
        <v>202407</v>
      </c>
      <c r="C2555" t="str">
        <f>MID(analisis_productividad__4[[#This Row],[Periodo]],1,4)</f>
        <v>2024</v>
      </c>
      <c r="D2555" t="str">
        <f>MID(analisis_productividad__4[[#This Row],[Periodo]],5,2)</f>
        <v>07</v>
      </c>
      <c r="E2555" t="s">
        <v>104</v>
      </c>
      <c r="F2555" t="s">
        <v>104</v>
      </c>
      <c r="G2555">
        <v>64243</v>
      </c>
      <c r="H2555">
        <v>5192395</v>
      </c>
      <c r="I2555">
        <v>80.823702956989294</v>
      </c>
      <c r="J2555">
        <v>0</v>
      </c>
      <c r="K2555">
        <v>94</v>
      </c>
      <c r="L2555">
        <v>77.5</v>
      </c>
      <c r="N2555">
        <v>0</v>
      </c>
    </row>
    <row r="2556" spans="1:14" x14ac:dyDescent="0.35">
      <c r="A2556" t="s">
        <v>105</v>
      </c>
      <c r="B2556">
        <v>202510</v>
      </c>
      <c r="C2556" t="str">
        <f>MID(analisis_productividad__4[[#This Row],[Periodo]],1,4)</f>
        <v>2025</v>
      </c>
      <c r="D2556" t="str">
        <f>MID(analisis_productividad__4[[#This Row],[Periodo]],5,2)</f>
        <v>10</v>
      </c>
      <c r="E2556" t="s">
        <v>34</v>
      </c>
      <c r="F2556" t="s">
        <v>35</v>
      </c>
      <c r="G2556">
        <v>64235</v>
      </c>
      <c r="H2556">
        <v>2137908</v>
      </c>
      <c r="I2556">
        <v>33.282741935483877</v>
      </c>
      <c r="J2556">
        <v>60711.959542320968</v>
      </c>
      <c r="K2556">
        <v>33</v>
      </c>
      <c r="L2556">
        <v>31.5</v>
      </c>
      <c r="M2556">
        <v>35.213946249086419</v>
      </c>
      <c r="N2556">
        <v>2655816</v>
      </c>
    </row>
    <row r="2557" spans="1:14" x14ac:dyDescent="0.35">
      <c r="A2557" t="s">
        <v>118</v>
      </c>
      <c r="B2557">
        <v>202511</v>
      </c>
      <c r="C2557" t="str">
        <f>MID(analisis_productividad__4[[#This Row],[Periodo]],1,4)</f>
        <v>2025</v>
      </c>
      <c r="D2557" t="str">
        <f>MID(analisis_productividad__4[[#This Row],[Periodo]],5,2)</f>
        <v>11</v>
      </c>
      <c r="E2557" t="s">
        <v>34</v>
      </c>
      <c r="F2557" t="s">
        <v>35</v>
      </c>
      <c r="G2557">
        <v>64221</v>
      </c>
      <c r="H2557">
        <v>1069260</v>
      </c>
      <c r="I2557">
        <v>16.64974305555555</v>
      </c>
      <c r="J2557">
        <v>63913.996564101006</v>
      </c>
      <c r="K2557">
        <v>19</v>
      </c>
      <c r="L2557">
        <v>21.5</v>
      </c>
      <c r="M2557">
        <v>16.729662632309523</v>
      </c>
      <c r="N2557">
        <v>1118704</v>
      </c>
    </row>
    <row r="2558" spans="1:14" x14ac:dyDescent="0.35">
      <c r="A2558" t="s">
        <v>121</v>
      </c>
      <c r="B2558">
        <v>202511</v>
      </c>
      <c r="C2558" t="str">
        <f>MID(analisis_productividad__4[[#This Row],[Periodo]],1,4)</f>
        <v>2025</v>
      </c>
      <c r="D2558" t="str">
        <f>MID(analisis_productividad__4[[#This Row],[Periodo]],5,2)</f>
        <v>11</v>
      </c>
      <c r="E2558" t="s">
        <v>11</v>
      </c>
      <c r="F2558" t="s">
        <v>14</v>
      </c>
      <c r="G2558">
        <v>64196</v>
      </c>
      <c r="H2558">
        <v>2052918</v>
      </c>
      <c r="I2558">
        <v>31.97881944444444</v>
      </c>
      <c r="J2558">
        <v>59211.856345393746</v>
      </c>
      <c r="K2558">
        <v>36</v>
      </c>
      <c r="L2558">
        <v>35</v>
      </c>
      <c r="M2558">
        <v>34.670731449879668</v>
      </c>
      <c r="N2558">
        <v>2028264</v>
      </c>
    </row>
    <row r="2559" spans="1:14" x14ac:dyDescent="0.35">
      <c r="A2559" t="s">
        <v>37</v>
      </c>
      <c r="B2559">
        <v>202503</v>
      </c>
      <c r="C2559" t="str">
        <f>MID(analisis_productividad__4[[#This Row],[Periodo]],1,4)</f>
        <v>2025</v>
      </c>
      <c r="D2559" t="str">
        <f>MID(analisis_productividad__4[[#This Row],[Periodo]],5,2)</f>
        <v>03</v>
      </c>
      <c r="E2559" t="s">
        <v>16</v>
      </c>
      <c r="F2559" t="s">
        <v>17</v>
      </c>
      <c r="G2559">
        <v>64184</v>
      </c>
      <c r="H2559">
        <v>4717756</v>
      </c>
      <c r="I2559">
        <v>73.503528225806463</v>
      </c>
      <c r="J2559">
        <v>109741.89229286708</v>
      </c>
      <c r="K2559">
        <v>107.5</v>
      </c>
      <c r="L2559">
        <v>102.5</v>
      </c>
      <c r="M2559">
        <v>42.989561155094464</v>
      </c>
      <c r="N2559">
        <v>11381428</v>
      </c>
    </row>
    <row r="2560" spans="1:14" x14ac:dyDescent="0.35">
      <c r="A2560" t="s">
        <v>118</v>
      </c>
      <c r="B2560">
        <v>202406</v>
      </c>
      <c r="C2560" t="str">
        <f>MID(analisis_productividad__4[[#This Row],[Periodo]],1,4)</f>
        <v>2024</v>
      </c>
      <c r="D2560" t="str">
        <f>MID(analisis_productividad__4[[#This Row],[Periodo]],5,2)</f>
        <v>06</v>
      </c>
      <c r="E2560" t="s">
        <v>34</v>
      </c>
      <c r="F2560" t="s">
        <v>35</v>
      </c>
      <c r="G2560">
        <v>64128</v>
      </c>
      <c r="H2560">
        <v>1124878</v>
      </c>
      <c r="I2560">
        <v>17.541270833333336</v>
      </c>
      <c r="J2560">
        <v>0</v>
      </c>
      <c r="K2560">
        <v>19</v>
      </c>
      <c r="L2560">
        <v>21.5</v>
      </c>
      <c r="N2560">
        <v>0</v>
      </c>
    </row>
    <row r="2561" spans="1:14" x14ac:dyDescent="0.35">
      <c r="A2561" t="s">
        <v>119</v>
      </c>
      <c r="B2561">
        <v>202511</v>
      </c>
      <c r="C2561" t="str">
        <f>MID(analisis_productividad__4[[#This Row],[Periodo]],1,4)</f>
        <v>2025</v>
      </c>
      <c r="D2561" t="str">
        <f>MID(analisis_productividad__4[[#This Row],[Periodo]],5,2)</f>
        <v>11</v>
      </c>
      <c r="E2561" t="s">
        <v>16</v>
      </c>
      <c r="F2561" t="s">
        <v>21</v>
      </c>
      <c r="G2561">
        <v>64114</v>
      </c>
      <c r="H2561">
        <v>2961508</v>
      </c>
      <c r="I2561">
        <v>46.191250000000004</v>
      </c>
      <c r="J2561">
        <v>68849.377273169273</v>
      </c>
      <c r="K2561">
        <v>52.5</v>
      </c>
      <c r="L2561">
        <v>52.5</v>
      </c>
      <c r="M2561">
        <v>43.014308150527093</v>
      </c>
      <c r="N2561">
        <v>3552162</v>
      </c>
    </row>
    <row r="2562" spans="1:14" x14ac:dyDescent="0.35">
      <c r="A2562" t="s">
        <v>71</v>
      </c>
      <c r="B2562">
        <v>202502</v>
      </c>
      <c r="C2562" t="str">
        <f>MID(analisis_productividad__4[[#This Row],[Periodo]],1,4)</f>
        <v>2025</v>
      </c>
      <c r="D2562" t="str">
        <f>MID(analisis_productividad__4[[#This Row],[Periodo]],5,2)</f>
        <v>02</v>
      </c>
      <c r="E2562" t="s">
        <v>16</v>
      </c>
      <c r="F2562" t="s">
        <v>19</v>
      </c>
      <c r="G2562">
        <v>64106</v>
      </c>
      <c r="H2562">
        <v>2116916</v>
      </c>
      <c r="I2562">
        <v>33.022031249999998</v>
      </c>
      <c r="J2562">
        <v>59215.677158960993</v>
      </c>
      <c r="K2562">
        <v>41.5</v>
      </c>
      <c r="L2562">
        <v>35.5</v>
      </c>
      <c r="M2562">
        <v>35.749240936944204</v>
      </c>
      <c r="N2562">
        <v>1933409</v>
      </c>
    </row>
    <row r="2563" spans="1:14" x14ac:dyDescent="0.35">
      <c r="A2563" t="s">
        <v>120</v>
      </c>
      <c r="B2563">
        <v>202604</v>
      </c>
      <c r="C2563" t="str">
        <f>MID(analisis_productividad__4[[#This Row],[Periodo]],1,4)</f>
        <v>2026</v>
      </c>
      <c r="D2563" t="str">
        <f>MID(analisis_productividad__4[[#This Row],[Periodo]],5,2)</f>
        <v>04</v>
      </c>
      <c r="E2563" t="s">
        <v>9</v>
      </c>
      <c r="F2563" t="s">
        <v>9</v>
      </c>
      <c r="G2563">
        <v>64089</v>
      </c>
      <c r="H2563">
        <v>688852</v>
      </c>
      <c r="I2563">
        <v>10.748305555555552</v>
      </c>
      <c r="J2563">
        <v>71589.769438144853</v>
      </c>
      <c r="K2563">
        <v>11.5</v>
      </c>
      <c r="L2563">
        <v>12</v>
      </c>
      <c r="M2563">
        <v>10.04229432420742</v>
      </c>
      <c r="N2563">
        <v>718926</v>
      </c>
    </row>
    <row r="2564" spans="1:14" x14ac:dyDescent="0.35">
      <c r="A2564" t="s">
        <v>114</v>
      </c>
      <c r="B2564">
        <v>202604</v>
      </c>
      <c r="C2564" t="str">
        <f>MID(analisis_productividad__4[[#This Row],[Periodo]],1,4)</f>
        <v>2026</v>
      </c>
      <c r="D2564" t="str">
        <f>MID(analisis_productividad__4[[#This Row],[Periodo]],5,2)</f>
        <v>04</v>
      </c>
      <c r="E2564" t="s">
        <v>9</v>
      </c>
      <c r="F2564" t="s">
        <v>9</v>
      </c>
      <c r="G2564">
        <v>64034</v>
      </c>
      <c r="H2564">
        <v>923700</v>
      </c>
      <c r="I2564">
        <v>14.425152777777784</v>
      </c>
      <c r="J2564">
        <v>61307.109918989037</v>
      </c>
      <c r="K2564">
        <v>13.5</v>
      </c>
      <c r="L2564">
        <v>14.5</v>
      </c>
      <c r="M2564">
        <v>13.189776457714554</v>
      </c>
      <c r="N2564">
        <v>808627</v>
      </c>
    </row>
    <row r="2565" spans="1:14" x14ac:dyDescent="0.35">
      <c r="A2565" t="s">
        <v>85</v>
      </c>
      <c r="B2565">
        <v>202505</v>
      </c>
      <c r="C2565" t="str">
        <f>MID(analisis_productividad__4[[#This Row],[Periodo]],1,4)</f>
        <v>2025</v>
      </c>
      <c r="D2565" t="str">
        <f>MID(analisis_productividad__4[[#This Row],[Periodo]],5,2)</f>
        <v>05</v>
      </c>
      <c r="E2565" t="s">
        <v>11</v>
      </c>
      <c r="F2565" t="s">
        <v>14</v>
      </c>
      <c r="G2565">
        <v>64015</v>
      </c>
      <c r="H2565">
        <v>3663874</v>
      </c>
      <c r="I2565">
        <v>57.234643817204294</v>
      </c>
      <c r="J2565">
        <v>68283.586700494081</v>
      </c>
      <c r="K2565">
        <v>60.5</v>
      </c>
      <c r="L2565">
        <v>57.5</v>
      </c>
      <c r="M2565">
        <v>53.656723336319558</v>
      </c>
      <c r="N2565">
        <v>3755811</v>
      </c>
    </row>
    <row r="2566" spans="1:14" x14ac:dyDescent="0.35">
      <c r="A2566" t="s">
        <v>122</v>
      </c>
      <c r="B2566">
        <v>202604</v>
      </c>
      <c r="C2566" t="str">
        <f>MID(analisis_productividad__4[[#This Row],[Periodo]],1,4)</f>
        <v>2026</v>
      </c>
      <c r="D2566" t="str">
        <f>MID(analisis_productividad__4[[#This Row],[Periodo]],5,2)</f>
        <v>04</v>
      </c>
      <c r="E2566" t="s">
        <v>104</v>
      </c>
      <c r="F2566" t="s">
        <v>104</v>
      </c>
      <c r="G2566">
        <v>63999</v>
      </c>
      <c r="H2566">
        <v>1956145</v>
      </c>
      <c r="I2566">
        <v>30.565256944444499</v>
      </c>
      <c r="J2566">
        <v>25243.854937565051</v>
      </c>
      <c r="K2566">
        <v>22</v>
      </c>
      <c r="L2566">
        <v>20</v>
      </c>
      <c r="M2566">
        <v>96.1</v>
      </c>
      <c r="N2566">
        <v>2425934</v>
      </c>
    </row>
    <row r="2567" spans="1:14" x14ac:dyDescent="0.35">
      <c r="A2567" t="s">
        <v>114</v>
      </c>
      <c r="B2567">
        <v>202407</v>
      </c>
      <c r="C2567" t="str">
        <f>MID(analisis_productividad__4[[#This Row],[Periodo]],1,4)</f>
        <v>2024</v>
      </c>
      <c r="D2567" t="str">
        <f>MID(analisis_productividad__4[[#This Row],[Periodo]],5,2)</f>
        <v>07</v>
      </c>
      <c r="E2567" t="s">
        <v>9</v>
      </c>
      <c r="F2567" t="s">
        <v>9</v>
      </c>
      <c r="G2567">
        <v>63991</v>
      </c>
      <c r="H2567">
        <v>873658</v>
      </c>
      <c r="I2567">
        <v>13.652916666666671</v>
      </c>
      <c r="J2567">
        <v>0</v>
      </c>
      <c r="K2567">
        <v>13.5</v>
      </c>
      <c r="L2567">
        <v>14.5</v>
      </c>
      <c r="N2567">
        <v>0</v>
      </c>
    </row>
    <row r="2568" spans="1:14" x14ac:dyDescent="0.35">
      <c r="A2568" t="s">
        <v>124</v>
      </c>
      <c r="B2568">
        <v>202405</v>
      </c>
      <c r="C2568" t="str">
        <f>MID(analisis_productividad__4[[#This Row],[Periodo]],1,4)</f>
        <v>2024</v>
      </c>
      <c r="D2568" t="str">
        <f>MID(analisis_productividad__4[[#This Row],[Periodo]],5,2)</f>
        <v>05</v>
      </c>
      <c r="E2568" t="s">
        <v>9</v>
      </c>
      <c r="F2568" t="s">
        <v>9</v>
      </c>
      <c r="G2568">
        <v>63987</v>
      </c>
      <c r="H2568">
        <v>593198</v>
      </c>
      <c r="I2568">
        <v>9.2705779569892499</v>
      </c>
      <c r="J2568">
        <v>0</v>
      </c>
      <c r="K2568">
        <v>11</v>
      </c>
      <c r="L2568">
        <v>12</v>
      </c>
      <c r="N2568">
        <v>0</v>
      </c>
    </row>
    <row r="2569" spans="1:14" x14ac:dyDescent="0.35">
      <c r="A2569" t="s">
        <v>114</v>
      </c>
      <c r="B2569">
        <v>202412</v>
      </c>
      <c r="C2569" t="str">
        <f>MID(analisis_productividad__4[[#This Row],[Periodo]],1,4)</f>
        <v>2024</v>
      </c>
      <c r="D2569" t="str">
        <f>MID(analisis_productividad__4[[#This Row],[Periodo]],5,2)</f>
        <v>12</v>
      </c>
      <c r="E2569" t="s">
        <v>9</v>
      </c>
      <c r="F2569" t="s">
        <v>9</v>
      </c>
      <c r="G2569">
        <v>63976</v>
      </c>
      <c r="H2569">
        <v>893654</v>
      </c>
      <c r="I2569">
        <v>13.968669354838713</v>
      </c>
      <c r="J2569">
        <v>0</v>
      </c>
      <c r="K2569">
        <v>13.5</v>
      </c>
      <c r="L2569">
        <v>14.5</v>
      </c>
      <c r="N2569">
        <v>0</v>
      </c>
    </row>
    <row r="2570" spans="1:14" x14ac:dyDescent="0.35">
      <c r="A2570" t="s">
        <v>103</v>
      </c>
      <c r="B2570">
        <v>202510</v>
      </c>
      <c r="C2570" t="str">
        <f>MID(analisis_productividad__4[[#This Row],[Periodo]],1,4)</f>
        <v>2025</v>
      </c>
      <c r="D2570" t="str">
        <f>MID(analisis_productividad__4[[#This Row],[Periodo]],5,2)</f>
        <v>10</v>
      </c>
      <c r="E2570" t="s">
        <v>104</v>
      </c>
      <c r="F2570" t="s">
        <v>104</v>
      </c>
      <c r="G2570">
        <v>63965</v>
      </c>
      <c r="H2570">
        <v>5316395</v>
      </c>
      <c r="I2570">
        <v>83.114650537634418</v>
      </c>
      <c r="J2570">
        <v>70012.918882567392</v>
      </c>
      <c r="K2570">
        <v>94</v>
      </c>
      <c r="L2570">
        <v>77.5</v>
      </c>
      <c r="M2570">
        <v>75.934484732984558</v>
      </c>
      <c r="N2570">
        <v>5484296</v>
      </c>
    </row>
    <row r="2571" spans="1:14" x14ac:dyDescent="0.35">
      <c r="A2571" t="s">
        <v>116</v>
      </c>
      <c r="B2571">
        <v>202503</v>
      </c>
      <c r="C2571" t="str">
        <f>MID(analisis_productividad__4[[#This Row],[Periodo]],1,4)</f>
        <v>2025</v>
      </c>
      <c r="D2571" t="str">
        <f>MID(analisis_productividad__4[[#This Row],[Periodo]],5,2)</f>
        <v>03</v>
      </c>
      <c r="E2571" t="s">
        <v>9</v>
      </c>
      <c r="F2571" t="s">
        <v>9</v>
      </c>
      <c r="G2571">
        <v>63958</v>
      </c>
      <c r="H2571">
        <v>705803</v>
      </c>
      <c r="I2571">
        <v>11.035443548387098</v>
      </c>
      <c r="J2571">
        <v>71553.465779395643</v>
      </c>
      <c r="K2571">
        <v>11.5</v>
      </c>
      <c r="L2571">
        <v>10</v>
      </c>
      <c r="M2571">
        <v>9.8639955774614805</v>
      </c>
      <c r="N2571">
        <v>775198</v>
      </c>
    </row>
    <row r="2572" spans="1:14" x14ac:dyDescent="0.35">
      <c r="A2572" t="s">
        <v>92</v>
      </c>
      <c r="B2572">
        <v>202402</v>
      </c>
      <c r="C2572" t="str">
        <f>MID(analisis_productividad__4[[#This Row],[Periodo]],1,4)</f>
        <v>2024</v>
      </c>
      <c r="D2572" t="str">
        <f>MID(analisis_productividad__4[[#This Row],[Periodo]],5,2)</f>
        <v>02</v>
      </c>
      <c r="E2572" t="s">
        <v>11</v>
      </c>
      <c r="F2572" t="s">
        <v>14</v>
      </c>
      <c r="G2572">
        <v>63939</v>
      </c>
      <c r="H2572">
        <v>3678518</v>
      </c>
      <c r="I2572">
        <v>57.531803160919551</v>
      </c>
      <c r="J2572">
        <v>0</v>
      </c>
      <c r="K2572">
        <v>63</v>
      </c>
      <c r="L2572">
        <v>59</v>
      </c>
      <c r="N2572">
        <v>0</v>
      </c>
    </row>
    <row r="2573" spans="1:14" x14ac:dyDescent="0.35">
      <c r="A2573" t="s">
        <v>93</v>
      </c>
      <c r="B2573">
        <v>202602</v>
      </c>
      <c r="C2573" t="str">
        <f>MID(analisis_productividad__4[[#This Row],[Periodo]],1,4)</f>
        <v>2026</v>
      </c>
      <c r="D2573" t="str">
        <f>MID(analisis_productividad__4[[#This Row],[Periodo]],5,2)</f>
        <v>02</v>
      </c>
      <c r="E2573" t="s">
        <v>16</v>
      </c>
      <c r="F2573" t="s">
        <v>17</v>
      </c>
      <c r="G2573">
        <v>63928</v>
      </c>
      <c r="H2573">
        <v>5620898</v>
      </c>
      <c r="I2573">
        <v>87.925416666666663</v>
      </c>
      <c r="J2573">
        <v>88558.527017857152</v>
      </c>
      <c r="K2573">
        <v>84</v>
      </c>
      <c r="L2573">
        <v>76</v>
      </c>
      <c r="M2573">
        <v>84</v>
      </c>
      <c r="N2573">
        <v>7438916</v>
      </c>
    </row>
    <row r="2574" spans="1:14" x14ac:dyDescent="0.35">
      <c r="A2574" t="s">
        <v>71</v>
      </c>
      <c r="B2574">
        <v>202404</v>
      </c>
      <c r="C2574" t="str">
        <f>MID(analisis_productividad__4[[#This Row],[Periodo]],1,4)</f>
        <v>2024</v>
      </c>
      <c r="D2574" t="str">
        <f>MID(analisis_productividad__4[[#This Row],[Periodo]],5,2)</f>
        <v>04</v>
      </c>
      <c r="E2574" t="s">
        <v>16</v>
      </c>
      <c r="F2574" t="s">
        <v>19</v>
      </c>
      <c r="G2574">
        <v>63907</v>
      </c>
      <c r="H2574">
        <v>2127137</v>
      </c>
      <c r="I2574">
        <v>33.285097222222227</v>
      </c>
      <c r="J2574">
        <v>0</v>
      </c>
      <c r="K2574">
        <v>41.5</v>
      </c>
      <c r="L2574">
        <v>35.5</v>
      </c>
      <c r="N2574">
        <v>0</v>
      </c>
    </row>
    <row r="2575" spans="1:14" x14ac:dyDescent="0.35">
      <c r="A2575" t="s">
        <v>103</v>
      </c>
      <c r="B2575">
        <v>202411</v>
      </c>
      <c r="C2575" t="str">
        <f>MID(analisis_productividad__4[[#This Row],[Periodo]],1,4)</f>
        <v>2024</v>
      </c>
      <c r="D2575" t="str">
        <f>MID(analisis_productividad__4[[#This Row],[Periodo]],5,2)</f>
        <v>11</v>
      </c>
      <c r="E2575" t="s">
        <v>104</v>
      </c>
      <c r="F2575" t="s">
        <v>104</v>
      </c>
      <c r="G2575">
        <v>63904</v>
      </c>
      <c r="H2575">
        <v>5243032</v>
      </c>
      <c r="I2575">
        <v>82.045930555555572</v>
      </c>
      <c r="J2575">
        <v>0</v>
      </c>
      <c r="K2575">
        <v>94</v>
      </c>
      <c r="L2575">
        <v>77.5</v>
      </c>
      <c r="N2575">
        <v>0</v>
      </c>
    </row>
    <row r="2576" spans="1:14" x14ac:dyDescent="0.35">
      <c r="A2576" t="s">
        <v>89</v>
      </c>
      <c r="B2576">
        <v>202409</v>
      </c>
      <c r="C2576" t="str">
        <f>MID(analisis_productividad__4[[#This Row],[Periodo]],1,4)</f>
        <v>2024</v>
      </c>
      <c r="D2576" t="str">
        <f>MID(analisis_productividad__4[[#This Row],[Periodo]],5,2)</f>
        <v>09</v>
      </c>
      <c r="E2576" t="s">
        <v>9</v>
      </c>
      <c r="F2576" t="s">
        <v>9</v>
      </c>
      <c r="G2576">
        <v>63895</v>
      </c>
      <c r="H2576">
        <v>1019846</v>
      </c>
      <c r="I2576">
        <v>15.961263888888896</v>
      </c>
      <c r="J2576">
        <v>0</v>
      </c>
      <c r="K2576">
        <v>17</v>
      </c>
      <c r="L2576">
        <v>13.5</v>
      </c>
      <c r="N2576">
        <v>0</v>
      </c>
    </row>
    <row r="2577" spans="1:14" x14ac:dyDescent="0.35">
      <c r="A2577" t="s">
        <v>92</v>
      </c>
      <c r="B2577">
        <v>202509</v>
      </c>
      <c r="C2577" t="str">
        <f>MID(analisis_productividad__4[[#This Row],[Periodo]],1,4)</f>
        <v>2025</v>
      </c>
      <c r="D2577" t="str">
        <f>MID(analisis_productividad__4[[#This Row],[Periodo]],5,2)</f>
        <v>09</v>
      </c>
      <c r="E2577" t="s">
        <v>11</v>
      </c>
      <c r="F2577" t="s">
        <v>14</v>
      </c>
      <c r="G2577">
        <v>63870</v>
      </c>
      <c r="H2577">
        <v>3182482</v>
      </c>
      <c r="I2577">
        <v>49.827118055555566</v>
      </c>
      <c r="J2577">
        <v>64266.180040301937</v>
      </c>
      <c r="K2577">
        <v>63</v>
      </c>
      <c r="L2577">
        <v>59</v>
      </c>
      <c r="M2577">
        <v>49.520329635342193</v>
      </c>
      <c r="N2577">
        <v>3789743</v>
      </c>
    </row>
    <row r="2578" spans="1:14" x14ac:dyDescent="0.35">
      <c r="A2578" t="s">
        <v>115</v>
      </c>
      <c r="B2578">
        <v>202503</v>
      </c>
      <c r="C2578" t="str">
        <f>MID(analisis_productividad__4[[#This Row],[Periodo]],1,4)</f>
        <v>2025</v>
      </c>
      <c r="D2578" t="str">
        <f>MID(analisis_productividad__4[[#This Row],[Periodo]],5,2)</f>
        <v>03</v>
      </c>
      <c r="E2578" t="s">
        <v>34</v>
      </c>
      <c r="F2578" t="s">
        <v>35</v>
      </c>
      <c r="G2578">
        <v>63848</v>
      </c>
      <c r="H2578">
        <v>3240910</v>
      </c>
      <c r="I2578">
        <v>50.759973118279582</v>
      </c>
      <c r="J2578">
        <v>64399.81744685414</v>
      </c>
      <c r="K2578">
        <v>53.5</v>
      </c>
      <c r="L2578">
        <v>51</v>
      </c>
      <c r="M2578">
        <v>50.324837375114569</v>
      </c>
      <c r="N2578">
        <v>3239805</v>
      </c>
    </row>
    <row r="2579" spans="1:14" x14ac:dyDescent="0.35">
      <c r="A2579" t="s">
        <v>58</v>
      </c>
      <c r="B2579">
        <v>202501</v>
      </c>
      <c r="C2579" t="str">
        <f>MID(analisis_productividad__4[[#This Row],[Periodo]],1,4)</f>
        <v>2025</v>
      </c>
      <c r="D2579" t="str">
        <f>MID(analisis_productividad__4[[#This Row],[Periodo]],5,2)</f>
        <v>01</v>
      </c>
      <c r="E2579" t="s">
        <v>34</v>
      </c>
      <c r="F2579" t="s">
        <v>35</v>
      </c>
      <c r="G2579">
        <v>63836</v>
      </c>
      <c r="H2579">
        <v>2895922</v>
      </c>
      <c r="I2579">
        <v>45.364751344086031</v>
      </c>
      <c r="J2579">
        <v>73879.160644000556</v>
      </c>
      <c r="K2579">
        <v>53.5</v>
      </c>
      <c r="L2579">
        <v>52</v>
      </c>
      <c r="M2579">
        <v>39.198087860722971</v>
      </c>
      <c r="N2579">
        <v>3098967</v>
      </c>
    </row>
    <row r="2580" spans="1:14" x14ac:dyDescent="0.35">
      <c r="A2580" t="s">
        <v>82</v>
      </c>
      <c r="B2580">
        <v>202402</v>
      </c>
      <c r="C2580" t="str">
        <f>MID(analisis_productividad__4[[#This Row],[Periodo]],1,4)</f>
        <v>2024</v>
      </c>
      <c r="D2580" t="str">
        <f>MID(analisis_productividad__4[[#This Row],[Periodo]],5,2)</f>
        <v>02</v>
      </c>
      <c r="E2580" t="s">
        <v>11</v>
      </c>
      <c r="F2580" t="s">
        <v>12</v>
      </c>
      <c r="G2580">
        <v>63806</v>
      </c>
      <c r="H2580">
        <v>3567587</v>
      </c>
      <c r="I2580">
        <v>55.912852011494238</v>
      </c>
      <c r="J2580">
        <v>0</v>
      </c>
      <c r="K2580">
        <v>53.5</v>
      </c>
      <c r="L2580">
        <v>54</v>
      </c>
      <c r="N2580">
        <v>0</v>
      </c>
    </row>
    <row r="2581" spans="1:14" x14ac:dyDescent="0.35">
      <c r="A2581" t="s">
        <v>110</v>
      </c>
      <c r="B2581">
        <v>202508</v>
      </c>
      <c r="C2581" t="str">
        <f>MID(analisis_productividad__4[[#This Row],[Periodo]],1,4)</f>
        <v>2025</v>
      </c>
      <c r="D2581" t="str">
        <f>MID(analisis_productividad__4[[#This Row],[Periodo]],5,2)</f>
        <v>08</v>
      </c>
      <c r="E2581" t="s">
        <v>34</v>
      </c>
      <c r="F2581" t="s">
        <v>35</v>
      </c>
      <c r="G2581">
        <v>63787</v>
      </c>
      <c r="H2581">
        <v>2150736</v>
      </c>
      <c r="I2581">
        <v>33.717654569892474</v>
      </c>
      <c r="J2581">
        <v>69624.759653340792</v>
      </c>
      <c r="K2581">
        <v>41.5</v>
      </c>
      <c r="L2581">
        <v>43</v>
      </c>
      <c r="M2581">
        <v>30.890393887295833</v>
      </c>
      <c r="N2581">
        <v>2382280</v>
      </c>
    </row>
    <row r="2582" spans="1:14" x14ac:dyDescent="0.35">
      <c r="A2582" t="s">
        <v>99</v>
      </c>
      <c r="B2582">
        <v>202511</v>
      </c>
      <c r="C2582" t="str">
        <f>MID(analisis_productividad__4[[#This Row],[Periodo]],1,4)</f>
        <v>2025</v>
      </c>
      <c r="D2582" t="str">
        <f>MID(analisis_productividad__4[[#This Row],[Periodo]],5,2)</f>
        <v>11</v>
      </c>
      <c r="E2582" t="s">
        <v>11</v>
      </c>
      <c r="F2582" t="s">
        <v>12</v>
      </c>
      <c r="G2582">
        <v>63774</v>
      </c>
      <c r="H2582">
        <v>1440427</v>
      </c>
      <c r="I2582">
        <v>22.58647222222222</v>
      </c>
      <c r="J2582">
        <v>54175.419795783622</v>
      </c>
      <c r="K2582">
        <v>27</v>
      </c>
      <c r="L2582">
        <v>27</v>
      </c>
      <c r="M2582">
        <v>26.588195632442631</v>
      </c>
      <c r="N2582">
        <v>1361378</v>
      </c>
    </row>
    <row r="2583" spans="1:14" x14ac:dyDescent="0.35">
      <c r="A2583" t="s">
        <v>110</v>
      </c>
      <c r="B2583">
        <v>202510</v>
      </c>
      <c r="C2583" t="str">
        <f>MID(analisis_productividad__4[[#This Row],[Periodo]],1,4)</f>
        <v>2025</v>
      </c>
      <c r="D2583" t="str">
        <f>MID(analisis_productividad__4[[#This Row],[Periodo]],5,2)</f>
        <v>10</v>
      </c>
      <c r="E2583" t="s">
        <v>34</v>
      </c>
      <c r="F2583" t="s">
        <v>35</v>
      </c>
      <c r="G2583">
        <v>63766</v>
      </c>
      <c r="H2583">
        <v>2129290</v>
      </c>
      <c r="I2583">
        <v>33.392163978494622</v>
      </c>
      <c r="J2583">
        <v>69411.888713846289</v>
      </c>
      <c r="K2583">
        <v>41.5</v>
      </c>
      <c r="L2583">
        <v>43</v>
      </c>
      <c r="M2583">
        <v>30.676150432645542</v>
      </c>
      <c r="N2583">
        <v>2452035</v>
      </c>
    </row>
    <row r="2584" spans="1:14" x14ac:dyDescent="0.35">
      <c r="A2584" t="s">
        <v>103</v>
      </c>
      <c r="B2584">
        <v>202507</v>
      </c>
      <c r="C2584" t="str">
        <f>MID(analisis_productividad__4[[#This Row],[Periodo]],1,4)</f>
        <v>2025</v>
      </c>
      <c r="D2584" t="str">
        <f>MID(analisis_productividad__4[[#This Row],[Periodo]],5,2)</f>
        <v>07</v>
      </c>
      <c r="E2584" t="s">
        <v>104</v>
      </c>
      <c r="F2584" t="s">
        <v>104</v>
      </c>
      <c r="G2584">
        <v>63700</v>
      </c>
      <c r="H2584">
        <v>5226859</v>
      </c>
      <c r="I2584">
        <v>82.054677419354846</v>
      </c>
      <c r="J2584">
        <v>67455.640041651131</v>
      </c>
      <c r="K2584">
        <v>94</v>
      </c>
      <c r="L2584">
        <v>77.5</v>
      </c>
      <c r="M2584">
        <v>77.485866663967997</v>
      </c>
      <c r="N2584">
        <v>5538448</v>
      </c>
    </row>
    <row r="2585" spans="1:14" x14ac:dyDescent="0.35">
      <c r="A2585" t="s">
        <v>117</v>
      </c>
      <c r="B2585">
        <v>202606</v>
      </c>
      <c r="C2585" t="str">
        <f>MID(analisis_productividad__4[[#This Row],[Periodo]],1,4)</f>
        <v>2026</v>
      </c>
      <c r="D2585" t="str">
        <f>MID(analisis_productividad__4[[#This Row],[Periodo]],5,2)</f>
        <v>06</v>
      </c>
      <c r="E2585" t="s">
        <v>104</v>
      </c>
      <c r="F2585" t="s">
        <v>104</v>
      </c>
      <c r="G2585">
        <v>63681</v>
      </c>
      <c r="H2585">
        <v>3653879</v>
      </c>
      <c r="I2585">
        <v>57.377590277777635</v>
      </c>
      <c r="J2585">
        <v>60624.927309099548</v>
      </c>
      <c r="K2585">
        <v>66</v>
      </c>
      <c r="L2585">
        <v>65.5</v>
      </c>
      <c r="M2585">
        <v>58.116081161406527</v>
      </c>
      <c r="N2585">
        <v>3523283</v>
      </c>
    </row>
    <row r="2586" spans="1:14" x14ac:dyDescent="0.35">
      <c r="A2586" t="s">
        <v>102</v>
      </c>
      <c r="B2586">
        <v>202408</v>
      </c>
      <c r="C2586" t="str">
        <f>MID(analisis_productividad__4[[#This Row],[Periodo]],1,4)</f>
        <v>2024</v>
      </c>
      <c r="D2586" t="str">
        <f>MID(analisis_productividad__4[[#This Row],[Periodo]],5,2)</f>
        <v>08</v>
      </c>
      <c r="E2586" t="s">
        <v>11</v>
      </c>
      <c r="F2586" t="s">
        <v>12</v>
      </c>
      <c r="G2586">
        <v>63681</v>
      </c>
      <c r="H2586">
        <v>1761197</v>
      </c>
      <c r="I2586">
        <v>27.656633064516132</v>
      </c>
      <c r="J2586">
        <v>0</v>
      </c>
      <c r="K2586">
        <v>34</v>
      </c>
      <c r="L2586">
        <v>34</v>
      </c>
      <c r="N2586">
        <v>0</v>
      </c>
    </row>
    <row r="2587" spans="1:14" x14ac:dyDescent="0.35">
      <c r="A2587" t="s">
        <v>108</v>
      </c>
      <c r="B2587">
        <v>202505</v>
      </c>
      <c r="C2587" t="str">
        <f>MID(analisis_productividad__4[[#This Row],[Periodo]],1,4)</f>
        <v>2025</v>
      </c>
      <c r="D2587" t="str">
        <f>MID(analisis_productividad__4[[#This Row],[Periodo]],5,2)</f>
        <v>05</v>
      </c>
      <c r="E2587" t="s">
        <v>11</v>
      </c>
      <c r="F2587" t="s">
        <v>14</v>
      </c>
      <c r="G2587">
        <v>63669</v>
      </c>
      <c r="H2587">
        <v>2816787</v>
      </c>
      <c r="I2587">
        <v>44.241034946236553</v>
      </c>
      <c r="J2587">
        <v>55524.793911842309</v>
      </c>
      <c r="K2587">
        <v>47.5</v>
      </c>
      <c r="L2587">
        <v>43</v>
      </c>
      <c r="M2587">
        <v>50.730247004108868</v>
      </c>
      <c r="N2587">
        <v>2899612</v>
      </c>
    </row>
    <row r="2588" spans="1:14" x14ac:dyDescent="0.35">
      <c r="A2588" t="s">
        <v>26</v>
      </c>
      <c r="B2588">
        <v>202401</v>
      </c>
      <c r="C2588" t="str">
        <f>MID(analisis_productividad__4[[#This Row],[Periodo]],1,4)</f>
        <v>2024</v>
      </c>
      <c r="D2588" t="str">
        <f>MID(analisis_productividad__4[[#This Row],[Periodo]],5,2)</f>
        <v>01</v>
      </c>
      <c r="E2588" t="s">
        <v>11</v>
      </c>
      <c r="F2588" t="s">
        <v>12</v>
      </c>
      <c r="G2588">
        <v>63660</v>
      </c>
      <c r="H2588">
        <v>4339531</v>
      </c>
      <c r="I2588">
        <v>68.167345430107488</v>
      </c>
      <c r="J2588">
        <v>0</v>
      </c>
      <c r="K2588">
        <v>65.5</v>
      </c>
      <c r="L2588">
        <v>63</v>
      </c>
      <c r="N2588">
        <v>0</v>
      </c>
    </row>
    <row r="2589" spans="1:14" x14ac:dyDescent="0.35">
      <c r="A2589" t="s">
        <v>108</v>
      </c>
      <c r="B2589">
        <v>202602</v>
      </c>
      <c r="C2589" t="str">
        <f>MID(analisis_productividad__4[[#This Row],[Periodo]],1,4)</f>
        <v>2026</v>
      </c>
      <c r="D2589" t="str">
        <f>MID(analisis_productividad__4[[#This Row],[Periodo]],5,2)</f>
        <v>02</v>
      </c>
      <c r="E2589" t="s">
        <v>11</v>
      </c>
      <c r="F2589" t="s">
        <v>14</v>
      </c>
      <c r="G2589">
        <v>63654</v>
      </c>
      <c r="H2589">
        <v>2741659</v>
      </c>
      <c r="I2589">
        <v>43.071093749999989</v>
      </c>
      <c r="J2589">
        <v>69461.279653506033</v>
      </c>
      <c r="K2589">
        <v>47.5</v>
      </c>
      <c r="L2589">
        <v>43</v>
      </c>
      <c r="M2589">
        <v>41.487905995618128</v>
      </c>
      <c r="N2589">
        <v>2881803</v>
      </c>
    </row>
    <row r="2590" spans="1:14" x14ac:dyDescent="0.35">
      <c r="A2590" t="s">
        <v>103</v>
      </c>
      <c r="B2590">
        <v>202409</v>
      </c>
      <c r="C2590" t="str">
        <f>MID(analisis_productividad__4[[#This Row],[Periodo]],1,4)</f>
        <v>2024</v>
      </c>
      <c r="D2590" t="str">
        <f>MID(analisis_productividad__4[[#This Row],[Periodo]],5,2)</f>
        <v>09</v>
      </c>
      <c r="E2590" t="s">
        <v>104</v>
      </c>
      <c r="F2590" t="s">
        <v>104</v>
      </c>
      <c r="G2590">
        <v>63647</v>
      </c>
      <c r="H2590">
        <v>5146841</v>
      </c>
      <c r="I2590">
        <v>80.865263888888933</v>
      </c>
      <c r="J2590">
        <v>0</v>
      </c>
      <c r="K2590">
        <v>94</v>
      </c>
      <c r="L2590">
        <v>77.5</v>
      </c>
      <c r="N2590">
        <v>0</v>
      </c>
    </row>
    <row r="2591" spans="1:14" x14ac:dyDescent="0.35">
      <c r="A2591" t="s">
        <v>114</v>
      </c>
      <c r="B2591">
        <v>202404</v>
      </c>
      <c r="C2591" t="str">
        <f>MID(analisis_productividad__4[[#This Row],[Periodo]],1,4)</f>
        <v>2024</v>
      </c>
      <c r="D2591" t="str">
        <f>MID(analisis_productividad__4[[#This Row],[Periodo]],5,2)</f>
        <v>04</v>
      </c>
      <c r="E2591" t="s">
        <v>9</v>
      </c>
      <c r="F2591" t="s">
        <v>9</v>
      </c>
      <c r="G2591">
        <v>63627</v>
      </c>
      <c r="H2591">
        <v>930156</v>
      </c>
      <c r="I2591">
        <v>14.618770833333338</v>
      </c>
      <c r="J2591">
        <v>0</v>
      </c>
      <c r="K2591">
        <v>13.5</v>
      </c>
      <c r="L2591">
        <v>14.5</v>
      </c>
      <c r="N2591">
        <v>0</v>
      </c>
    </row>
    <row r="2592" spans="1:14" x14ac:dyDescent="0.35">
      <c r="A2592" t="s">
        <v>85</v>
      </c>
      <c r="B2592">
        <v>202510</v>
      </c>
      <c r="C2592" t="str">
        <f>MID(analisis_productividad__4[[#This Row],[Periodo]],1,4)</f>
        <v>2025</v>
      </c>
      <c r="D2592" t="str">
        <f>MID(analisis_productividad__4[[#This Row],[Periodo]],5,2)</f>
        <v>10</v>
      </c>
      <c r="E2592" t="s">
        <v>11</v>
      </c>
      <c r="F2592" t="s">
        <v>14</v>
      </c>
      <c r="G2592">
        <v>63586</v>
      </c>
      <c r="H2592">
        <v>3319560</v>
      </c>
      <c r="I2592">
        <v>52.206028225806463</v>
      </c>
      <c r="J2592">
        <v>72152.418642295059</v>
      </c>
      <c r="K2592">
        <v>60.5</v>
      </c>
      <c r="L2592">
        <v>57.5</v>
      </c>
      <c r="M2592">
        <v>46.007610589703845</v>
      </c>
      <c r="N2592">
        <v>3761453</v>
      </c>
    </row>
    <row r="2593" spans="1:14" x14ac:dyDescent="0.35">
      <c r="A2593" t="s">
        <v>123</v>
      </c>
      <c r="B2593">
        <v>202411</v>
      </c>
      <c r="C2593" t="str">
        <f>MID(analisis_productividad__4[[#This Row],[Periodo]],1,4)</f>
        <v>2024</v>
      </c>
      <c r="D2593" t="str">
        <f>MID(analisis_productividad__4[[#This Row],[Periodo]],5,2)</f>
        <v>11</v>
      </c>
      <c r="E2593" t="s">
        <v>9</v>
      </c>
      <c r="F2593" t="s">
        <v>9</v>
      </c>
      <c r="G2593">
        <v>63580</v>
      </c>
      <c r="H2593">
        <v>552421</v>
      </c>
      <c r="I2593">
        <v>8.6885555555555563</v>
      </c>
      <c r="J2593">
        <v>0</v>
      </c>
      <c r="K2593">
        <v>11</v>
      </c>
      <c r="L2593">
        <v>10</v>
      </c>
      <c r="N2593">
        <v>0</v>
      </c>
    </row>
    <row r="2594" spans="1:14" x14ac:dyDescent="0.35">
      <c r="A2594" t="s">
        <v>91</v>
      </c>
      <c r="B2594">
        <v>202402</v>
      </c>
      <c r="C2594" t="str">
        <f>MID(analisis_productividad__4[[#This Row],[Periodo]],1,4)</f>
        <v>2024</v>
      </c>
      <c r="D2594" t="str">
        <f>MID(analisis_productividad__4[[#This Row],[Periodo]],5,2)</f>
        <v>02</v>
      </c>
      <c r="E2594" t="s">
        <v>11</v>
      </c>
      <c r="F2594" t="s">
        <v>12</v>
      </c>
      <c r="G2594">
        <v>63558</v>
      </c>
      <c r="H2594">
        <v>3486172</v>
      </c>
      <c r="I2594">
        <v>54.849827586206899</v>
      </c>
      <c r="J2594">
        <v>0</v>
      </c>
      <c r="K2594">
        <v>55</v>
      </c>
      <c r="L2594">
        <v>55.5</v>
      </c>
      <c r="N2594">
        <v>0</v>
      </c>
    </row>
    <row r="2595" spans="1:14" x14ac:dyDescent="0.35">
      <c r="A2595" t="s">
        <v>98</v>
      </c>
      <c r="B2595">
        <v>202508</v>
      </c>
      <c r="C2595" t="str">
        <f>MID(analisis_productividad__4[[#This Row],[Periodo]],1,4)</f>
        <v>2025</v>
      </c>
      <c r="D2595" t="str">
        <f>MID(analisis_productividad__4[[#This Row],[Periodo]],5,2)</f>
        <v>08</v>
      </c>
      <c r="E2595" t="s">
        <v>11</v>
      </c>
      <c r="F2595" t="s">
        <v>14</v>
      </c>
      <c r="G2595">
        <v>63556</v>
      </c>
      <c r="H2595">
        <v>3491522</v>
      </c>
      <c r="I2595">
        <v>54.935887096774223</v>
      </c>
      <c r="J2595">
        <v>73884.374011054475</v>
      </c>
      <c r="K2595">
        <v>61.5</v>
      </c>
      <c r="L2595">
        <v>56</v>
      </c>
      <c r="M2595">
        <v>47.256569832717318</v>
      </c>
      <c r="N2595">
        <v>3747353</v>
      </c>
    </row>
    <row r="2596" spans="1:14" x14ac:dyDescent="0.35">
      <c r="A2596" t="s">
        <v>91</v>
      </c>
      <c r="B2596">
        <v>202506</v>
      </c>
      <c r="C2596" t="str">
        <f>MID(analisis_productividad__4[[#This Row],[Periodo]],1,4)</f>
        <v>2025</v>
      </c>
      <c r="D2596" t="str">
        <f>MID(analisis_productividad__4[[#This Row],[Periodo]],5,2)</f>
        <v>06</v>
      </c>
      <c r="E2596" t="s">
        <v>11</v>
      </c>
      <c r="F2596" t="s">
        <v>12</v>
      </c>
      <c r="G2596">
        <v>63551</v>
      </c>
      <c r="H2596">
        <v>3556361</v>
      </c>
      <c r="I2596">
        <v>55.960576388888896</v>
      </c>
      <c r="J2596">
        <v>74883.115075101246</v>
      </c>
      <c r="K2596">
        <v>55</v>
      </c>
      <c r="L2596">
        <v>55.5</v>
      </c>
      <c r="M2596">
        <v>47.492165576088532</v>
      </c>
      <c r="N2596">
        <v>3764947</v>
      </c>
    </row>
    <row r="2597" spans="1:14" x14ac:dyDescent="0.35">
      <c r="A2597" t="s">
        <v>107</v>
      </c>
      <c r="B2597">
        <v>202402</v>
      </c>
      <c r="C2597" t="str">
        <f>MID(analisis_productividad__4[[#This Row],[Periodo]],1,4)</f>
        <v>2024</v>
      </c>
      <c r="D2597" t="str">
        <f>MID(analisis_productividad__4[[#This Row],[Periodo]],5,2)</f>
        <v>02</v>
      </c>
      <c r="E2597" t="s">
        <v>34</v>
      </c>
      <c r="F2597" t="s">
        <v>35</v>
      </c>
      <c r="G2597">
        <v>63535</v>
      </c>
      <c r="H2597">
        <v>4865125</v>
      </c>
      <c r="I2597">
        <v>76.574518678160928</v>
      </c>
      <c r="J2597">
        <v>0</v>
      </c>
      <c r="K2597">
        <v>87</v>
      </c>
      <c r="L2597">
        <v>77.5</v>
      </c>
      <c r="N2597">
        <v>0</v>
      </c>
    </row>
    <row r="2598" spans="1:14" x14ac:dyDescent="0.35">
      <c r="A2598" t="s">
        <v>119</v>
      </c>
      <c r="B2598">
        <v>202604</v>
      </c>
      <c r="C2598" t="str">
        <f>MID(analisis_productividad__4[[#This Row],[Periodo]],1,4)</f>
        <v>2026</v>
      </c>
      <c r="D2598" t="str">
        <f>MID(analisis_productividad__4[[#This Row],[Periodo]],5,2)</f>
        <v>04</v>
      </c>
      <c r="E2598" t="s">
        <v>16</v>
      </c>
      <c r="F2598" t="s">
        <v>21</v>
      </c>
      <c r="G2598">
        <v>63523</v>
      </c>
      <c r="H2598">
        <v>2969277</v>
      </c>
      <c r="I2598">
        <v>46.74361805555521</v>
      </c>
      <c r="J2598">
        <v>69653.132249833492</v>
      </c>
      <c r="K2598">
        <v>52.5</v>
      </c>
      <c r="L2598">
        <v>52.5</v>
      </c>
      <c r="M2598">
        <v>46.965208254619732</v>
      </c>
      <c r="N2598">
        <v>3271274</v>
      </c>
    </row>
    <row r="2599" spans="1:14" x14ac:dyDescent="0.35">
      <c r="A2599" t="s">
        <v>112</v>
      </c>
      <c r="B2599">
        <v>202409</v>
      </c>
      <c r="C2599" t="str">
        <f>MID(analisis_productividad__4[[#This Row],[Periodo]],1,4)</f>
        <v>2024</v>
      </c>
      <c r="D2599" t="str">
        <f>MID(analisis_productividad__4[[#This Row],[Periodo]],5,2)</f>
        <v>09</v>
      </c>
      <c r="E2599" t="s">
        <v>34</v>
      </c>
      <c r="F2599" t="s">
        <v>35</v>
      </c>
      <c r="G2599">
        <v>63519</v>
      </c>
      <c r="H2599">
        <v>1704533</v>
      </c>
      <c r="I2599">
        <v>26.834986111111107</v>
      </c>
      <c r="J2599">
        <v>0</v>
      </c>
      <c r="K2599">
        <v>31</v>
      </c>
      <c r="L2599">
        <v>27</v>
      </c>
      <c r="N2599">
        <v>0</v>
      </c>
    </row>
    <row r="2600" spans="1:14" x14ac:dyDescent="0.35">
      <c r="A2600" t="s">
        <v>115</v>
      </c>
      <c r="B2600">
        <v>202604</v>
      </c>
      <c r="C2600" t="str">
        <f>MID(analisis_productividad__4[[#This Row],[Periodo]],1,4)</f>
        <v>2026</v>
      </c>
      <c r="D2600" t="str">
        <f>MID(analisis_productividad__4[[#This Row],[Periodo]],5,2)</f>
        <v>04</v>
      </c>
      <c r="E2600" t="s">
        <v>34</v>
      </c>
      <c r="F2600" t="s">
        <v>35</v>
      </c>
      <c r="G2600">
        <v>63514</v>
      </c>
      <c r="H2600">
        <v>3036566</v>
      </c>
      <c r="I2600">
        <v>47.809173611110936</v>
      </c>
      <c r="J2600">
        <v>66983.48915865623</v>
      </c>
      <c r="K2600">
        <v>53.5</v>
      </c>
      <c r="L2600">
        <v>51</v>
      </c>
      <c r="M2600">
        <v>45.515809558361951</v>
      </c>
      <c r="N2600">
        <v>3048808</v>
      </c>
    </row>
    <row r="2601" spans="1:14" x14ac:dyDescent="0.35">
      <c r="A2601" t="s">
        <v>118</v>
      </c>
      <c r="B2601">
        <v>202605</v>
      </c>
      <c r="C2601" t="str">
        <f>MID(analisis_productividad__4[[#This Row],[Periodo]],1,4)</f>
        <v>2026</v>
      </c>
      <c r="D2601" t="str">
        <f>MID(analisis_productividad__4[[#This Row],[Periodo]],5,2)</f>
        <v>05</v>
      </c>
      <c r="E2601" t="s">
        <v>34</v>
      </c>
      <c r="F2601" t="s">
        <v>35</v>
      </c>
      <c r="G2601">
        <v>63508</v>
      </c>
      <c r="H2601">
        <v>1187393</v>
      </c>
      <c r="I2601">
        <v>18.696633064516107</v>
      </c>
      <c r="J2601">
        <v>64065.809258510984</v>
      </c>
      <c r="K2601">
        <v>19</v>
      </c>
      <c r="L2601">
        <v>21.5</v>
      </c>
      <c r="M2601">
        <v>17.464859694273773</v>
      </c>
      <c r="N2601">
        <v>1118900</v>
      </c>
    </row>
    <row r="2602" spans="1:14" x14ac:dyDescent="0.35">
      <c r="A2602" t="s">
        <v>119</v>
      </c>
      <c r="B2602">
        <v>202504</v>
      </c>
      <c r="C2602" t="str">
        <f>MID(analisis_productividad__4[[#This Row],[Periodo]],1,4)</f>
        <v>2025</v>
      </c>
      <c r="D2602" t="str">
        <f>MID(analisis_productividad__4[[#This Row],[Periodo]],5,2)</f>
        <v>04</v>
      </c>
      <c r="E2602" t="s">
        <v>16</v>
      </c>
      <c r="F2602" t="s">
        <v>21</v>
      </c>
      <c r="G2602">
        <v>63499</v>
      </c>
      <c r="H2602">
        <v>3110946</v>
      </c>
      <c r="I2602">
        <v>48.992368055555559</v>
      </c>
      <c r="J2602">
        <v>56231.151374622314</v>
      </c>
      <c r="K2602">
        <v>52.5</v>
      </c>
      <c r="L2602">
        <v>52.5</v>
      </c>
      <c r="M2602">
        <v>55.324245617421262</v>
      </c>
      <c r="N2602">
        <v>3412034</v>
      </c>
    </row>
    <row r="2603" spans="1:14" x14ac:dyDescent="0.35">
      <c r="A2603" t="s">
        <v>92</v>
      </c>
      <c r="B2603">
        <v>202505</v>
      </c>
      <c r="C2603" t="str">
        <f>MID(analisis_productividad__4[[#This Row],[Periodo]],1,4)</f>
        <v>2025</v>
      </c>
      <c r="D2603" t="str">
        <f>MID(analisis_productividad__4[[#This Row],[Periodo]],5,2)</f>
        <v>05</v>
      </c>
      <c r="E2603" t="s">
        <v>11</v>
      </c>
      <c r="F2603" t="s">
        <v>14</v>
      </c>
      <c r="G2603">
        <v>63470</v>
      </c>
      <c r="H2603">
        <v>3787342</v>
      </c>
      <c r="I2603">
        <v>59.671801075268831</v>
      </c>
      <c r="J2603">
        <v>65573.418562198582</v>
      </c>
      <c r="K2603">
        <v>63</v>
      </c>
      <c r="L2603">
        <v>59</v>
      </c>
      <c r="M2603">
        <v>57.757280816579339</v>
      </c>
      <c r="N2603">
        <v>3859746</v>
      </c>
    </row>
    <row r="2604" spans="1:14" x14ac:dyDescent="0.35">
      <c r="A2604" t="s">
        <v>8</v>
      </c>
      <c r="B2604">
        <v>202409</v>
      </c>
      <c r="C2604" t="str">
        <f>MID(analisis_productividad__4[[#This Row],[Periodo]],1,4)</f>
        <v>2024</v>
      </c>
      <c r="D2604" t="str">
        <f>MID(analisis_productividad__4[[#This Row],[Periodo]],5,2)</f>
        <v>09</v>
      </c>
      <c r="E2604" t="s">
        <v>9</v>
      </c>
      <c r="F2604" t="s">
        <v>9</v>
      </c>
      <c r="G2604">
        <v>63468</v>
      </c>
      <c r="H2604">
        <v>800409</v>
      </c>
      <c r="I2604">
        <v>12.611229166666666</v>
      </c>
      <c r="J2604">
        <v>0</v>
      </c>
      <c r="K2604">
        <v>13.5</v>
      </c>
      <c r="L2604">
        <v>12.5</v>
      </c>
      <c r="N2604">
        <v>0</v>
      </c>
    </row>
    <row r="2605" spans="1:14" x14ac:dyDescent="0.35">
      <c r="A2605" t="s">
        <v>120</v>
      </c>
      <c r="B2605">
        <v>202601</v>
      </c>
      <c r="C2605" t="str">
        <f>MID(analisis_productividad__4[[#This Row],[Periodo]],1,4)</f>
        <v>2026</v>
      </c>
      <c r="D2605" t="str">
        <f>MID(analisis_productividad__4[[#This Row],[Periodo]],5,2)</f>
        <v>01</v>
      </c>
      <c r="E2605" t="s">
        <v>9</v>
      </c>
      <c r="F2605" t="s">
        <v>9</v>
      </c>
      <c r="G2605">
        <v>63462</v>
      </c>
      <c r="H2605">
        <v>677601</v>
      </c>
      <c r="I2605">
        <v>10.677305107526884</v>
      </c>
      <c r="J2605">
        <v>82633.766737910642</v>
      </c>
      <c r="K2605">
        <v>11.5</v>
      </c>
      <c r="L2605">
        <v>12</v>
      </c>
      <c r="M2605">
        <v>10.04229432420742</v>
      </c>
      <c r="N2605">
        <v>829833</v>
      </c>
    </row>
    <row r="2606" spans="1:14" x14ac:dyDescent="0.35">
      <c r="A2606" t="s">
        <v>95</v>
      </c>
      <c r="B2606">
        <v>202509</v>
      </c>
      <c r="C2606" t="str">
        <f>MID(analisis_productividad__4[[#This Row],[Periodo]],1,4)</f>
        <v>2025</v>
      </c>
      <c r="D2606" t="str">
        <f>MID(analisis_productividad__4[[#This Row],[Periodo]],5,2)</f>
        <v>09</v>
      </c>
      <c r="E2606" t="s">
        <v>9</v>
      </c>
      <c r="F2606" t="s">
        <v>9</v>
      </c>
      <c r="G2606">
        <v>63444</v>
      </c>
      <c r="H2606">
        <v>630922</v>
      </c>
      <c r="I2606">
        <v>9.9444722222222204</v>
      </c>
      <c r="J2606">
        <v>72592.024482059351</v>
      </c>
      <c r="K2606">
        <v>11</v>
      </c>
      <c r="L2606">
        <v>11</v>
      </c>
      <c r="M2606">
        <v>8.6913392277126569</v>
      </c>
      <c r="N2606">
        <v>689080</v>
      </c>
    </row>
    <row r="2607" spans="1:14" x14ac:dyDescent="0.35">
      <c r="A2607" t="s">
        <v>8</v>
      </c>
      <c r="B2607">
        <v>202511</v>
      </c>
      <c r="C2607" t="str">
        <f>MID(analisis_productividad__4[[#This Row],[Periodo]],1,4)</f>
        <v>2025</v>
      </c>
      <c r="D2607" t="str">
        <f>MID(analisis_productividad__4[[#This Row],[Periodo]],5,2)</f>
        <v>11</v>
      </c>
      <c r="E2607" t="s">
        <v>9</v>
      </c>
      <c r="F2607" t="s">
        <v>9</v>
      </c>
      <c r="G2607">
        <v>63436</v>
      </c>
      <c r="H2607">
        <v>1010599</v>
      </c>
      <c r="I2607">
        <v>15.931125</v>
      </c>
      <c r="J2607">
        <v>60464.265333343064</v>
      </c>
      <c r="K2607">
        <v>13.5</v>
      </c>
      <c r="L2607">
        <v>12.5</v>
      </c>
      <c r="M2607">
        <v>16.713986921506585</v>
      </c>
      <c r="N2607">
        <v>874242</v>
      </c>
    </row>
    <row r="2608" spans="1:14" x14ac:dyDescent="0.35">
      <c r="A2608" t="s">
        <v>120</v>
      </c>
      <c r="B2608">
        <v>202502</v>
      </c>
      <c r="C2608" t="str">
        <f>MID(analisis_productividad__4[[#This Row],[Periodo]],1,4)</f>
        <v>2025</v>
      </c>
      <c r="D2608" t="str">
        <f>MID(analisis_productividad__4[[#This Row],[Periodo]],5,2)</f>
        <v>02</v>
      </c>
      <c r="E2608" t="s">
        <v>9</v>
      </c>
      <c r="F2608" t="s">
        <v>9</v>
      </c>
      <c r="G2608">
        <v>63412</v>
      </c>
      <c r="H2608">
        <v>689677</v>
      </c>
      <c r="I2608">
        <v>10.876145833333334</v>
      </c>
      <c r="J2608">
        <v>73170.122950076839</v>
      </c>
      <c r="K2608">
        <v>11.5</v>
      </c>
      <c r="L2608">
        <v>12</v>
      </c>
      <c r="M2608">
        <v>9.4256620351801068</v>
      </c>
      <c r="N2608">
        <v>757856</v>
      </c>
    </row>
    <row r="2609" spans="1:14" x14ac:dyDescent="0.35">
      <c r="A2609" t="s">
        <v>113</v>
      </c>
      <c r="B2609">
        <v>202412</v>
      </c>
      <c r="C2609" t="str">
        <f>MID(analisis_productividad__4[[#This Row],[Periodo]],1,4)</f>
        <v>2024</v>
      </c>
      <c r="D2609" t="str">
        <f>MID(analisis_productividad__4[[#This Row],[Periodo]],5,2)</f>
        <v>12</v>
      </c>
      <c r="E2609" t="s">
        <v>9</v>
      </c>
      <c r="F2609" t="s">
        <v>9</v>
      </c>
      <c r="G2609">
        <v>63408</v>
      </c>
      <c r="H2609">
        <v>712910</v>
      </c>
      <c r="I2609">
        <v>11.243279569892476</v>
      </c>
      <c r="J2609">
        <v>0</v>
      </c>
      <c r="K2609">
        <v>11.5</v>
      </c>
      <c r="L2609">
        <v>10</v>
      </c>
      <c r="N2609">
        <v>0</v>
      </c>
    </row>
    <row r="2610" spans="1:14" x14ac:dyDescent="0.35">
      <c r="A2610" t="s">
        <v>103</v>
      </c>
      <c r="B2610">
        <v>202405</v>
      </c>
      <c r="C2610" t="str">
        <f>MID(analisis_productividad__4[[#This Row],[Periodo]],1,4)</f>
        <v>2024</v>
      </c>
      <c r="D2610" t="str">
        <f>MID(analisis_productividad__4[[#This Row],[Periodo]],5,2)</f>
        <v>05</v>
      </c>
      <c r="E2610" t="s">
        <v>104</v>
      </c>
      <c r="F2610" t="s">
        <v>104</v>
      </c>
      <c r="G2610">
        <v>63395</v>
      </c>
      <c r="H2610">
        <v>5369308</v>
      </c>
      <c r="I2610">
        <v>84.696377688172063</v>
      </c>
      <c r="J2610">
        <v>0</v>
      </c>
      <c r="K2610">
        <v>94</v>
      </c>
      <c r="L2610">
        <v>77.5</v>
      </c>
      <c r="N2610">
        <v>0</v>
      </c>
    </row>
    <row r="2611" spans="1:14" x14ac:dyDescent="0.35">
      <c r="A2611" t="s">
        <v>90</v>
      </c>
      <c r="B2611">
        <v>202405</v>
      </c>
      <c r="C2611" t="str">
        <f>MID(analisis_productividad__4[[#This Row],[Periodo]],1,4)</f>
        <v>2024</v>
      </c>
      <c r="D2611" t="str">
        <f>MID(analisis_productividad__4[[#This Row],[Periodo]],5,2)</f>
        <v>05</v>
      </c>
      <c r="E2611" t="s">
        <v>11</v>
      </c>
      <c r="F2611" t="s">
        <v>14</v>
      </c>
      <c r="G2611">
        <v>63381</v>
      </c>
      <c r="H2611">
        <v>5370305</v>
      </c>
      <c r="I2611">
        <v>84.730483870967717</v>
      </c>
      <c r="J2611">
        <v>0</v>
      </c>
      <c r="K2611">
        <v>84.5</v>
      </c>
      <c r="L2611">
        <v>78.5</v>
      </c>
      <c r="N2611">
        <v>0</v>
      </c>
    </row>
    <row r="2612" spans="1:14" x14ac:dyDescent="0.35">
      <c r="A2612" t="s">
        <v>64</v>
      </c>
      <c r="B2612">
        <v>202505</v>
      </c>
      <c r="C2612" t="str">
        <f>MID(analisis_productividad__4[[#This Row],[Periodo]],1,4)</f>
        <v>2025</v>
      </c>
      <c r="D2612" t="str">
        <f>MID(analisis_productividad__4[[#This Row],[Periodo]],5,2)</f>
        <v>05</v>
      </c>
      <c r="E2612" t="s">
        <v>16</v>
      </c>
      <c r="F2612" t="s">
        <v>21</v>
      </c>
      <c r="G2612">
        <v>63348</v>
      </c>
      <c r="H2612">
        <v>8571966</v>
      </c>
      <c r="I2612">
        <v>135.31649193548384</v>
      </c>
      <c r="J2612">
        <v>75861.027415993289</v>
      </c>
      <c r="K2612">
        <v>88.5</v>
      </c>
      <c r="L2612">
        <v>92.5</v>
      </c>
      <c r="M2612">
        <v>112.99564601194456</v>
      </c>
      <c r="N2612">
        <v>6243191</v>
      </c>
    </row>
    <row r="2613" spans="1:14" x14ac:dyDescent="0.35">
      <c r="A2613" t="s">
        <v>107</v>
      </c>
      <c r="B2613">
        <v>202408</v>
      </c>
      <c r="C2613" t="str">
        <f>MID(analisis_productividad__4[[#This Row],[Periodo]],1,4)</f>
        <v>2024</v>
      </c>
      <c r="D2613" t="str">
        <f>MID(analisis_productividad__4[[#This Row],[Periodo]],5,2)</f>
        <v>08</v>
      </c>
      <c r="E2613" t="s">
        <v>34</v>
      </c>
      <c r="F2613" t="s">
        <v>35</v>
      </c>
      <c r="G2613">
        <v>63322</v>
      </c>
      <c r="H2613">
        <v>5176808</v>
      </c>
      <c r="I2613">
        <v>81.753508064516112</v>
      </c>
      <c r="J2613">
        <v>0</v>
      </c>
      <c r="K2613">
        <v>87</v>
      </c>
      <c r="L2613">
        <v>77.5</v>
      </c>
      <c r="N2613">
        <v>0</v>
      </c>
    </row>
    <row r="2614" spans="1:14" x14ac:dyDescent="0.35">
      <c r="A2614" t="s">
        <v>98</v>
      </c>
      <c r="B2614">
        <v>202405</v>
      </c>
      <c r="C2614" t="str">
        <f>MID(analisis_productividad__4[[#This Row],[Periodo]],1,4)</f>
        <v>2024</v>
      </c>
      <c r="D2614" t="str">
        <f>MID(analisis_productividad__4[[#This Row],[Periodo]],5,2)</f>
        <v>05</v>
      </c>
      <c r="E2614" t="s">
        <v>11</v>
      </c>
      <c r="F2614" t="s">
        <v>14</v>
      </c>
      <c r="G2614">
        <v>63305</v>
      </c>
      <c r="H2614">
        <v>3654509</v>
      </c>
      <c r="I2614">
        <v>57.728830645161317</v>
      </c>
      <c r="J2614">
        <v>0</v>
      </c>
      <c r="K2614">
        <v>61.5</v>
      </c>
      <c r="L2614">
        <v>56</v>
      </c>
      <c r="N2614">
        <v>0</v>
      </c>
    </row>
    <row r="2615" spans="1:14" x14ac:dyDescent="0.35">
      <c r="A2615" t="s">
        <v>114</v>
      </c>
      <c r="B2615">
        <v>202605</v>
      </c>
      <c r="C2615" t="str">
        <f>MID(analisis_productividad__4[[#This Row],[Periodo]],1,4)</f>
        <v>2026</v>
      </c>
      <c r="D2615" t="str">
        <f>MID(analisis_productividad__4[[#This Row],[Periodo]],5,2)</f>
        <v>05</v>
      </c>
      <c r="E2615" t="s">
        <v>9</v>
      </c>
      <c r="F2615" t="s">
        <v>9</v>
      </c>
      <c r="G2615">
        <v>63291</v>
      </c>
      <c r="H2615">
        <v>941433</v>
      </c>
      <c r="I2615">
        <v>14.87476478494623</v>
      </c>
      <c r="J2615">
        <v>63211.824208919701</v>
      </c>
      <c r="K2615">
        <v>13.5</v>
      </c>
      <c r="L2615">
        <v>14.5</v>
      </c>
      <c r="M2615">
        <v>13.189776457714554</v>
      </c>
      <c r="N2615">
        <v>833750</v>
      </c>
    </row>
    <row r="2616" spans="1:14" x14ac:dyDescent="0.35">
      <c r="A2616" t="s">
        <v>118</v>
      </c>
      <c r="B2616">
        <v>202603</v>
      </c>
      <c r="C2616" t="str">
        <f>MID(analisis_productividad__4[[#This Row],[Periodo]],1,4)</f>
        <v>2026</v>
      </c>
      <c r="D2616" t="str">
        <f>MID(analisis_productividad__4[[#This Row],[Periodo]],5,2)</f>
        <v>03</v>
      </c>
      <c r="E2616" t="s">
        <v>34</v>
      </c>
      <c r="F2616" t="s">
        <v>35</v>
      </c>
      <c r="G2616">
        <v>63266</v>
      </c>
      <c r="H2616">
        <v>1249248</v>
      </c>
      <c r="I2616">
        <v>19.74588037634409</v>
      </c>
      <c r="J2616">
        <v>76421.776233198616</v>
      </c>
      <c r="K2616">
        <v>19</v>
      </c>
      <c r="L2616">
        <v>21.5</v>
      </c>
      <c r="M2616">
        <v>17.464859694273773</v>
      </c>
      <c r="N2616">
        <v>1334696</v>
      </c>
    </row>
    <row r="2617" spans="1:14" x14ac:dyDescent="0.35">
      <c r="A2617" t="s">
        <v>103</v>
      </c>
      <c r="B2617">
        <v>202402</v>
      </c>
      <c r="C2617" t="str">
        <f>MID(analisis_productividad__4[[#This Row],[Periodo]],1,4)</f>
        <v>2024</v>
      </c>
      <c r="D2617" t="str">
        <f>MID(analisis_productividad__4[[#This Row],[Periodo]],5,2)</f>
        <v>02</v>
      </c>
      <c r="E2617" t="s">
        <v>104</v>
      </c>
      <c r="F2617" t="s">
        <v>104</v>
      </c>
      <c r="G2617">
        <v>63233</v>
      </c>
      <c r="H2617">
        <v>4949663</v>
      </c>
      <c r="I2617">
        <v>78.276795977011517</v>
      </c>
      <c r="J2617">
        <v>0</v>
      </c>
      <c r="K2617">
        <v>94</v>
      </c>
      <c r="L2617">
        <v>77.5</v>
      </c>
      <c r="N2617">
        <v>0</v>
      </c>
    </row>
    <row r="2618" spans="1:14" x14ac:dyDescent="0.35">
      <c r="A2618" t="s">
        <v>123</v>
      </c>
      <c r="B2618">
        <v>202412</v>
      </c>
      <c r="C2618" t="str">
        <f>MID(analisis_productividad__4[[#This Row],[Periodo]],1,4)</f>
        <v>2024</v>
      </c>
      <c r="D2618" t="str">
        <f>MID(analisis_productividad__4[[#This Row],[Periodo]],5,2)</f>
        <v>12</v>
      </c>
      <c r="E2618" t="s">
        <v>9</v>
      </c>
      <c r="F2618" t="s">
        <v>9</v>
      </c>
      <c r="G2618">
        <v>63223</v>
      </c>
      <c r="H2618">
        <v>653032</v>
      </c>
      <c r="I2618">
        <v>10.328951612903229</v>
      </c>
      <c r="J2618">
        <v>0</v>
      </c>
      <c r="K2618">
        <v>11</v>
      </c>
      <c r="L2618">
        <v>10</v>
      </c>
      <c r="N2618">
        <v>0</v>
      </c>
    </row>
    <row r="2619" spans="1:14" x14ac:dyDescent="0.35">
      <c r="A2619" t="s">
        <v>120</v>
      </c>
      <c r="B2619">
        <v>202504</v>
      </c>
      <c r="C2619" t="str">
        <f>MID(analisis_productividad__4[[#This Row],[Periodo]],1,4)</f>
        <v>2025</v>
      </c>
      <c r="D2619" t="str">
        <f>MID(analisis_productividad__4[[#This Row],[Periodo]],5,2)</f>
        <v>04</v>
      </c>
      <c r="E2619" t="s">
        <v>9</v>
      </c>
      <c r="F2619" t="s">
        <v>9</v>
      </c>
      <c r="G2619">
        <v>63187</v>
      </c>
      <c r="H2619">
        <v>730843</v>
      </c>
      <c r="I2619">
        <v>11.566430555555556</v>
      </c>
      <c r="J2619">
        <v>69384.487654088283</v>
      </c>
      <c r="K2619">
        <v>11.5</v>
      </c>
      <c r="L2619">
        <v>12</v>
      </c>
      <c r="M2619">
        <v>10.533237251005877</v>
      </c>
      <c r="N2619">
        <v>797358</v>
      </c>
    </row>
    <row r="2620" spans="1:14" x14ac:dyDescent="0.35">
      <c r="A2620" t="s">
        <v>121</v>
      </c>
      <c r="B2620">
        <v>202406</v>
      </c>
      <c r="C2620" t="str">
        <f>MID(analisis_productividad__4[[#This Row],[Periodo]],1,4)</f>
        <v>2024</v>
      </c>
      <c r="D2620" t="str">
        <f>MID(analisis_productividad__4[[#This Row],[Periodo]],5,2)</f>
        <v>06</v>
      </c>
      <c r="E2620" t="s">
        <v>11</v>
      </c>
      <c r="F2620" t="s">
        <v>14</v>
      </c>
      <c r="G2620">
        <v>63183</v>
      </c>
      <c r="H2620">
        <v>2184947</v>
      </c>
      <c r="I2620">
        <v>34.581069444444445</v>
      </c>
      <c r="J2620">
        <v>0</v>
      </c>
      <c r="K2620">
        <v>36</v>
      </c>
      <c r="L2620">
        <v>35</v>
      </c>
      <c r="N2620">
        <v>0</v>
      </c>
    </row>
    <row r="2621" spans="1:14" x14ac:dyDescent="0.35">
      <c r="A2621" t="s">
        <v>120</v>
      </c>
      <c r="B2621">
        <v>202506</v>
      </c>
      <c r="C2621" t="str">
        <f>MID(analisis_productividad__4[[#This Row],[Periodo]],1,4)</f>
        <v>2025</v>
      </c>
      <c r="D2621" t="str">
        <f>MID(analisis_productividad__4[[#This Row],[Periodo]],5,2)</f>
        <v>06</v>
      </c>
      <c r="E2621" t="s">
        <v>9</v>
      </c>
      <c r="F2621" t="s">
        <v>9</v>
      </c>
      <c r="G2621">
        <v>63160</v>
      </c>
      <c r="H2621">
        <v>686892</v>
      </c>
      <c r="I2621">
        <v>10.875374999999998</v>
      </c>
      <c r="J2621">
        <v>77753.59044072454</v>
      </c>
      <c r="K2621">
        <v>11.5</v>
      </c>
      <c r="L2621">
        <v>12</v>
      </c>
      <c r="M2621">
        <v>8.8342114635034346</v>
      </c>
      <c r="N2621">
        <v>821000</v>
      </c>
    </row>
    <row r="2622" spans="1:14" x14ac:dyDescent="0.35">
      <c r="A2622" t="s">
        <v>95</v>
      </c>
      <c r="B2622">
        <v>202404</v>
      </c>
      <c r="C2622" t="str">
        <f>MID(analisis_productividad__4[[#This Row],[Periodo]],1,4)</f>
        <v>2024</v>
      </c>
      <c r="D2622" t="str">
        <f>MID(analisis_productividad__4[[#This Row],[Periodo]],5,2)</f>
        <v>04</v>
      </c>
      <c r="E2622" t="s">
        <v>9</v>
      </c>
      <c r="F2622" t="s">
        <v>9</v>
      </c>
      <c r="G2622">
        <v>63129</v>
      </c>
      <c r="H2622">
        <v>655827</v>
      </c>
      <c r="I2622">
        <v>10.388729166666669</v>
      </c>
      <c r="J2622">
        <v>0</v>
      </c>
      <c r="K2622">
        <v>11</v>
      </c>
      <c r="L2622">
        <v>11</v>
      </c>
      <c r="N2622">
        <v>0</v>
      </c>
    </row>
    <row r="2623" spans="1:14" x14ac:dyDescent="0.35">
      <c r="A2623" t="s">
        <v>58</v>
      </c>
      <c r="B2623">
        <v>202606</v>
      </c>
      <c r="C2623" t="str">
        <f>MID(analisis_productividad__4[[#This Row],[Periodo]],1,4)</f>
        <v>2026</v>
      </c>
      <c r="D2623" t="str">
        <f>MID(analisis_productividad__4[[#This Row],[Periodo]],5,2)</f>
        <v>06</v>
      </c>
      <c r="E2623" t="s">
        <v>34</v>
      </c>
      <c r="F2623" t="s">
        <v>35</v>
      </c>
      <c r="G2623">
        <v>63107</v>
      </c>
      <c r="H2623">
        <v>2816904</v>
      </c>
      <c r="I2623">
        <v>44.63695833333346</v>
      </c>
      <c r="J2623">
        <v>70791.611853518014</v>
      </c>
      <c r="K2623">
        <v>53.5</v>
      </c>
      <c r="L2623">
        <v>52</v>
      </c>
      <c r="M2623">
        <v>43.483853774506514</v>
      </c>
      <c r="N2623">
        <v>3078292</v>
      </c>
    </row>
    <row r="2624" spans="1:14" x14ac:dyDescent="0.35">
      <c r="A2624" t="s">
        <v>89</v>
      </c>
      <c r="B2624">
        <v>202510</v>
      </c>
      <c r="C2624" t="str">
        <f>MID(analisis_productividad__4[[#This Row],[Periodo]],1,4)</f>
        <v>2025</v>
      </c>
      <c r="D2624" t="str">
        <f>MID(analisis_productividad__4[[#This Row],[Periodo]],5,2)</f>
        <v>10</v>
      </c>
      <c r="E2624" t="s">
        <v>9</v>
      </c>
      <c r="F2624" t="s">
        <v>9</v>
      </c>
      <c r="G2624">
        <v>63050</v>
      </c>
      <c r="H2624">
        <v>929282</v>
      </c>
      <c r="I2624">
        <v>14.738857526881716</v>
      </c>
      <c r="J2624">
        <v>69085.925929755322</v>
      </c>
      <c r="K2624">
        <v>17</v>
      </c>
      <c r="L2624">
        <v>13.5</v>
      </c>
      <c r="M2624">
        <v>13.451098577514443</v>
      </c>
      <c r="N2624">
        <v>1145472</v>
      </c>
    </row>
    <row r="2625" spans="1:14" x14ac:dyDescent="0.35">
      <c r="A2625" t="s">
        <v>95</v>
      </c>
      <c r="B2625">
        <v>202602</v>
      </c>
      <c r="C2625" t="str">
        <f>MID(analisis_productividad__4[[#This Row],[Periodo]],1,4)</f>
        <v>2026</v>
      </c>
      <c r="D2625" t="str">
        <f>MID(analisis_productividad__4[[#This Row],[Periodo]],5,2)</f>
        <v>02</v>
      </c>
      <c r="E2625" t="s">
        <v>9</v>
      </c>
      <c r="F2625" t="s">
        <v>9</v>
      </c>
      <c r="G2625">
        <v>63035</v>
      </c>
      <c r="H2625">
        <v>627573</v>
      </c>
      <c r="I2625">
        <v>9.9559374999999992</v>
      </c>
      <c r="J2625">
        <v>65381.702587353728</v>
      </c>
      <c r="K2625">
        <v>11</v>
      </c>
      <c r="L2625">
        <v>11</v>
      </c>
      <c r="M2625">
        <v>10.04229432420742</v>
      </c>
      <c r="N2625">
        <v>656582</v>
      </c>
    </row>
    <row r="2626" spans="1:14" x14ac:dyDescent="0.35">
      <c r="A2626" t="s">
        <v>106</v>
      </c>
      <c r="B2626">
        <v>202602</v>
      </c>
      <c r="C2626" t="str">
        <f>MID(analisis_productividad__4[[#This Row],[Periodo]],1,4)</f>
        <v>2026</v>
      </c>
      <c r="D2626" t="str">
        <f>MID(analisis_productividad__4[[#This Row],[Periodo]],5,2)</f>
        <v>02</v>
      </c>
      <c r="E2626" t="s">
        <v>34</v>
      </c>
      <c r="F2626" t="s">
        <v>35</v>
      </c>
      <c r="G2626">
        <v>63027</v>
      </c>
      <c r="H2626">
        <v>2959385</v>
      </c>
      <c r="I2626">
        <v>46.954114583333336</v>
      </c>
      <c r="J2626">
        <v>79260.851098808635</v>
      </c>
      <c r="K2626">
        <v>51</v>
      </c>
      <c r="L2626">
        <v>49</v>
      </c>
      <c r="M2626">
        <v>41.451897990651069</v>
      </c>
      <c r="N2626">
        <v>3285513</v>
      </c>
    </row>
    <row r="2627" spans="1:14" x14ac:dyDescent="0.35">
      <c r="A2627" t="s">
        <v>112</v>
      </c>
      <c r="B2627">
        <v>202403</v>
      </c>
      <c r="C2627" t="str">
        <f>MID(analisis_productividad__4[[#This Row],[Periodo]],1,4)</f>
        <v>2024</v>
      </c>
      <c r="D2627" t="str">
        <f>MID(analisis_productividad__4[[#This Row],[Periodo]],5,2)</f>
        <v>03</v>
      </c>
      <c r="E2627" t="s">
        <v>34</v>
      </c>
      <c r="F2627" t="s">
        <v>35</v>
      </c>
      <c r="G2627">
        <v>63002</v>
      </c>
      <c r="H2627">
        <v>1855531</v>
      </c>
      <c r="I2627">
        <v>29.452076612903216</v>
      </c>
      <c r="J2627">
        <v>0</v>
      </c>
      <c r="K2627">
        <v>31</v>
      </c>
      <c r="L2627">
        <v>27</v>
      </c>
      <c r="N2627">
        <v>0</v>
      </c>
    </row>
    <row r="2628" spans="1:14" x14ac:dyDescent="0.35">
      <c r="A2628" t="s">
        <v>92</v>
      </c>
      <c r="B2628">
        <v>202410</v>
      </c>
      <c r="C2628" t="str">
        <f>MID(analisis_productividad__4[[#This Row],[Periodo]],1,4)</f>
        <v>2024</v>
      </c>
      <c r="D2628" t="str">
        <f>MID(analisis_productividad__4[[#This Row],[Periodo]],5,2)</f>
        <v>10</v>
      </c>
      <c r="E2628" t="s">
        <v>11</v>
      </c>
      <c r="F2628" t="s">
        <v>14</v>
      </c>
      <c r="G2628">
        <v>62957</v>
      </c>
      <c r="H2628">
        <v>3552781</v>
      </c>
      <c r="I2628">
        <v>56.431478494623647</v>
      </c>
      <c r="J2628">
        <v>0</v>
      </c>
      <c r="K2628">
        <v>63</v>
      </c>
      <c r="L2628">
        <v>59</v>
      </c>
      <c r="N2628">
        <v>0</v>
      </c>
    </row>
    <row r="2629" spans="1:14" x14ac:dyDescent="0.35">
      <c r="A2629" t="s">
        <v>103</v>
      </c>
      <c r="B2629">
        <v>202502</v>
      </c>
      <c r="C2629" t="str">
        <f>MID(analisis_productividad__4[[#This Row],[Periodo]],1,4)</f>
        <v>2025</v>
      </c>
      <c r="D2629" t="str">
        <f>MID(analisis_productividad__4[[#This Row],[Periodo]],5,2)</f>
        <v>02</v>
      </c>
      <c r="E2629" t="s">
        <v>104</v>
      </c>
      <c r="F2629" t="s">
        <v>104</v>
      </c>
      <c r="G2629">
        <v>62937</v>
      </c>
      <c r="H2629">
        <v>4943060</v>
      </c>
      <c r="I2629">
        <v>78.540364583333314</v>
      </c>
      <c r="J2629">
        <v>66394.466228872072</v>
      </c>
      <c r="K2629">
        <v>94</v>
      </c>
      <c r="L2629">
        <v>77.5</v>
      </c>
      <c r="M2629">
        <v>74.449885973335512</v>
      </c>
      <c r="N2629">
        <v>4927338</v>
      </c>
    </row>
    <row r="2630" spans="1:14" x14ac:dyDescent="0.35">
      <c r="A2630" t="s">
        <v>85</v>
      </c>
      <c r="B2630">
        <v>202504</v>
      </c>
      <c r="C2630" t="str">
        <f>MID(analisis_productividad__4[[#This Row],[Periodo]],1,4)</f>
        <v>2025</v>
      </c>
      <c r="D2630" t="str">
        <f>MID(analisis_productividad__4[[#This Row],[Periodo]],5,2)</f>
        <v>04</v>
      </c>
      <c r="E2630" t="s">
        <v>11</v>
      </c>
      <c r="F2630" t="s">
        <v>14</v>
      </c>
      <c r="G2630">
        <v>62920</v>
      </c>
      <c r="H2630">
        <v>3445128</v>
      </c>
      <c r="I2630">
        <v>54.754243055555555</v>
      </c>
      <c r="J2630">
        <v>65322.501436602128</v>
      </c>
      <c r="K2630">
        <v>60.5</v>
      </c>
      <c r="L2630">
        <v>57.5</v>
      </c>
      <c r="M2630">
        <v>52.740290010841392</v>
      </c>
      <c r="N2630">
        <v>3670194</v>
      </c>
    </row>
    <row r="2631" spans="1:14" x14ac:dyDescent="0.35">
      <c r="A2631" t="s">
        <v>100</v>
      </c>
      <c r="B2631">
        <v>202602</v>
      </c>
      <c r="C2631" t="str">
        <f>MID(analisis_productividad__4[[#This Row],[Periodo]],1,4)</f>
        <v>2026</v>
      </c>
      <c r="D2631" t="str">
        <f>MID(analisis_productividad__4[[#This Row],[Periodo]],5,2)</f>
        <v>02</v>
      </c>
      <c r="E2631" t="s">
        <v>34</v>
      </c>
      <c r="F2631" t="s">
        <v>35</v>
      </c>
      <c r="G2631">
        <v>62899</v>
      </c>
      <c r="H2631">
        <v>2407695</v>
      </c>
      <c r="I2631">
        <v>38.278645833333329</v>
      </c>
      <c r="J2631">
        <v>69895.460491147693</v>
      </c>
      <c r="K2631">
        <v>44</v>
      </c>
      <c r="L2631">
        <v>40.5</v>
      </c>
      <c r="M2631">
        <v>35.762421795855829</v>
      </c>
      <c r="N2631">
        <v>2499631</v>
      </c>
    </row>
    <row r="2632" spans="1:14" x14ac:dyDescent="0.35">
      <c r="A2632" t="s">
        <v>117</v>
      </c>
      <c r="B2632">
        <v>202604</v>
      </c>
      <c r="C2632" t="str">
        <f>MID(analisis_productividad__4[[#This Row],[Periodo]],1,4)</f>
        <v>2026</v>
      </c>
      <c r="D2632" t="str">
        <f>MID(analisis_productividad__4[[#This Row],[Periodo]],5,2)</f>
        <v>04</v>
      </c>
      <c r="E2632" t="s">
        <v>104</v>
      </c>
      <c r="F2632" t="s">
        <v>104</v>
      </c>
      <c r="G2632">
        <v>62892</v>
      </c>
      <c r="H2632">
        <v>3673070</v>
      </c>
      <c r="I2632">
        <v>58.402895833333204</v>
      </c>
      <c r="J2632">
        <v>63124.314867537665</v>
      </c>
      <c r="K2632">
        <v>66</v>
      </c>
      <c r="L2632">
        <v>65.5</v>
      </c>
      <c r="M2632">
        <v>58.116081161406527</v>
      </c>
      <c r="N2632">
        <v>3668538</v>
      </c>
    </row>
    <row r="2633" spans="1:14" x14ac:dyDescent="0.35">
      <c r="A2633" t="s">
        <v>107</v>
      </c>
      <c r="B2633">
        <v>202405</v>
      </c>
      <c r="C2633" t="str">
        <f>MID(analisis_productividad__4[[#This Row],[Periodo]],1,4)</f>
        <v>2024</v>
      </c>
      <c r="D2633" t="str">
        <f>MID(analisis_productividad__4[[#This Row],[Periodo]],5,2)</f>
        <v>05</v>
      </c>
      <c r="E2633" t="s">
        <v>34</v>
      </c>
      <c r="F2633" t="s">
        <v>35</v>
      </c>
      <c r="G2633">
        <v>62829</v>
      </c>
      <c r="H2633">
        <v>5216223</v>
      </c>
      <c r="I2633">
        <v>83.022540322580667</v>
      </c>
      <c r="J2633">
        <v>0</v>
      </c>
      <c r="K2633">
        <v>87</v>
      </c>
      <c r="L2633">
        <v>77.5</v>
      </c>
      <c r="N2633">
        <v>0</v>
      </c>
    </row>
    <row r="2634" spans="1:14" x14ac:dyDescent="0.35">
      <c r="A2634" t="s">
        <v>124</v>
      </c>
      <c r="B2634">
        <v>202408</v>
      </c>
      <c r="C2634" t="str">
        <f>MID(analisis_productividad__4[[#This Row],[Periodo]],1,4)</f>
        <v>2024</v>
      </c>
      <c r="D2634" t="str">
        <f>MID(analisis_productividad__4[[#This Row],[Periodo]],5,2)</f>
        <v>08</v>
      </c>
      <c r="E2634" t="s">
        <v>9</v>
      </c>
      <c r="F2634" t="s">
        <v>9</v>
      </c>
      <c r="G2634">
        <v>62824</v>
      </c>
      <c r="H2634">
        <v>607578</v>
      </c>
      <c r="I2634">
        <v>9.6711021505376351</v>
      </c>
      <c r="J2634">
        <v>0</v>
      </c>
      <c r="K2634">
        <v>11</v>
      </c>
      <c r="L2634">
        <v>12</v>
      </c>
      <c r="N2634">
        <v>0</v>
      </c>
    </row>
    <row r="2635" spans="1:14" x14ac:dyDescent="0.35">
      <c r="A2635" t="s">
        <v>112</v>
      </c>
      <c r="B2635">
        <v>202401</v>
      </c>
      <c r="C2635" t="str">
        <f>MID(analisis_productividad__4[[#This Row],[Periodo]],1,4)</f>
        <v>2024</v>
      </c>
      <c r="D2635" t="str">
        <f>MID(analisis_productividad__4[[#This Row],[Periodo]],5,2)</f>
        <v>01</v>
      </c>
      <c r="E2635" t="s">
        <v>34</v>
      </c>
      <c r="F2635" t="s">
        <v>35</v>
      </c>
      <c r="G2635">
        <v>62823</v>
      </c>
      <c r="H2635">
        <v>1742207</v>
      </c>
      <c r="I2635">
        <v>27.731854838709683</v>
      </c>
      <c r="J2635">
        <v>0</v>
      </c>
      <c r="K2635">
        <v>31</v>
      </c>
      <c r="L2635">
        <v>27</v>
      </c>
      <c r="N2635">
        <v>0</v>
      </c>
    </row>
    <row r="2636" spans="1:14" x14ac:dyDescent="0.35">
      <c r="A2636" t="s">
        <v>103</v>
      </c>
      <c r="B2636">
        <v>202602</v>
      </c>
      <c r="C2636" t="str">
        <f>MID(analisis_productividad__4[[#This Row],[Periodo]],1,4)</f>
        <v>2026</v>
      </c>
      <c r="D2636" t="str">
        <f>MID(analisis_productividad__4[[#This Row],[Periodo]],5,2)</f>
        <v>02</v>
      </c>
      <c r="E2636" t="s">
        <v>104</v>
      </c>
      <c r="F2636" t="s">
        <v>104</v>
      </c>
      <c r="G2636">
        <v>62805</v>
      </c>
      <c r="H2636">
        <v>4849465</v>
      </c>
      <c r="I2636">
        <v>77.214479166666678</v>
      </c>
      <c r="J2636">
        <v>61836.882529780931</v>
      </c>
      <c r="K2636">
        <v>94</v>
      </c>
      <c r="L2636">
        <v>77.5</v>
      </c>
      <c r="M2636">
        <v>81.023149648384276</v>
      </c>
      <c r="N2636">
        <v>5010219</v>
      </c>
    </row>
    <row r="2637" spans="1:14" x14ac:dyDescent="0.35">
      <c r="A2637" t="s">
        <v>102</v>
      </c>
      <c r="B2637">
        <v>202604</v>
      </c>
      <c r="C2637" t="str">
        <f>MID(analisis_productividad__4[[#This Row],[Periodo]],1,4)</f>
        <v>2026</v>
      </c>
      <c r="D2637" t="str">
        <f>MID(analisis_productividad__4[[#This Row],[Periodo]],5,2)</f>
        <v>04</v>
      </c>
      <c r="E2637" t="s">
        <v>11</v>
      </c>
      <c r="F2637" t="s">
        <v>12</v>
      </c>
      <c r="G2637">
        <v>62805</v>
      </c>
      <c r="H2637">
        <v>1795576</v>
      </c>
      <c r="I2637">
        <v>28.589749999999803</v>
      </c>
      <c r="J2637">
        <v>58338.383461989702</v>
      </c>
      <c r="K2637">
        <v>34</v>
      </c>
      <c r="L2637">
        <v>34</v>
      </c>
      <c r="M2637">
        <v>29.696606396863505</v>
      </c>
      <c r="N2637">
        <v>1732452</v>
      </c>
    </row>
    <row r="2638" spans="1:14" x14ac:dyDescent="0.35">
      <c r="A2638" t="s">
        <v>121</v>
      </c>
      <c r="B2638">
        <v>202604</v>
      </c>
      <c r="C2638" t="str">
        <f>MID(analisis_productividad__4[[#This Row],[Periodo]],1,4)</f>
        <v>2026</v>
      </c>
      <c r="D2638" t="str">
        <f>MID(analisis_productividad__4[[#This Row],[Periodo]],5,2)</f>
        <v>04</v>
      </c>
      <c r="E2638" t="s">
        <v>11</v>
      </c>
      <c r="F2638" t="s">
        <v>14</v>
      </c>
      <c r="G2638">
        <v>62766</v>
      </c>
      <c r="H2638">
        <v>2012869</v>
      </c>
      <c r="I2638">
        <v>32.069187499999828</v>
      </c>
      <c r="J2638">
        <v>62689.124534930095</v>
      </c>
      <c r="K2638">
        <v>36</v>
      </c>
      <c r="L2638">
        <v>35</v>
      </c>
      <c r="M2638">
        <v>31.443465596679005</v>
      </c>
      <c r="N2638">
        <v>1971163</v>
      </c>
    </row>
    <row r="2639" spans="1:14" x14ac:dyDescent="0.35">
      <c r="A2639" t="s">
        <v>8</v>
      </c>
      <c r="B2639">
        <v>202501</v>
      </c>
      <c r="C2639" t="str">
        <f>MID(analisis_productividad__4[[#This Row],[Periodo]],1,4)</f>
        <v>2025</v>
      </c>
      <c r="D2639" t="str">
        <f>MID(analisis_productividad__4[[#This Row],[Periodo]],5,2)</f>
        <v>01</v>
      </c>
      <c r="E2639" t="s">
        <v>9</v>
      </c>
      <c r="F2639" t="s">
        <v>9</v>
      </c>
      <c r="G2639">
        <v>62760</v>
      </c>
      <c r="H2639">
        <v>803194</v>
      </c>
      <c r="I2639">
        <v>12.797768817204304</v>
      </c>
      <c r="J2639">
        <v>90201.587872933698</v>
      </c>
      <c r="K2639">
        <v>13.5</v>
      </c>
      <c r="L2639">
        <v>12.5</v>
      </c>
      <c r="M2639">
        <v>8.9044308303247739</v>
      </c>
      <c r="N2639">
        <v>1014394</v>
      </c>
    </row>
    <row r="2640" spans="1:14" x14ac:dyDescent="0.35">
      <c r="A2640" t="s">
        <v>119</v>
      </c>
      <c r="B2640">
        <v>202409</v>
      </c>
      <c r="C2640" t="str">
        <f>MID(analisis_productividad__4[[#This Row],[Periodo]],1,4)</f>
        <v>2024</v>
      </c>
      <c r="D2640" t="str">
        <f>MID(analisis_productividad__4[[#This Row],[Periodo]],5,2)</f>
        <v>09</v>
      </c>
      <c r="E2640" t="s">
        <v>16</v>
      </c>
      <c r="F2640" t="s">
        <v>21</v>
      </c>
      <c r="G2640">
        <v>62753</v>
      </c>
      <c r="H2640">
        <v>3105864</v>
      </c>
      <c r="I2640">
        <v>49.49359722222222</v>
      </c>
      <c r="J2640">
        <v>0</v>
      </c>
      <c r="K2640">
        <v>52.5</v>
      </c>
      <c r="L2640">
        <v>52.5</v>
      </c>
      <c r="N2640">
        <v>0</v>
      </c>
    </row>
    <row r="2641" spans="1:14" x14ac:dyDescent="0.35">
      <c r="A2641" t="s">
        <v>99</v>
      </c>
      <c r="B2641">
        <v>202508</v>
      </c>
      <c r="C2641" t="str">
        <f>MID(analisis_productividad__4[[#This Row],[Periodo]],1,4)</f>
        <v>2025</v>
      </c>
      <c r="D2641" t="str">
        <f>MID(analisis_productividad__4[[#This Row],[Periodo]],5,2)</f>
        <v>08</v>
      </c>
      <c r="E2641" t="s">
        <v>11</v>
      </c>
      <c r="F2641" t="s">
        <v>12</v>
      </c>
      <c r="G2641">
        <v>62698</v>
      </c>
      <c r="H2641">
        <v>1427545</v>
      </c>
      <c r="I2641">
        <v>22.768487903225807</v>
      </c>
      <c r="J2641">
        <v>62459.998740363837</v>
      </c>
      <c r="K2641">
        <v>27</v>
      </c>
      <c r="L2641">
        <v>27</v>
      </c>
      <c r="M2641">
        <v>22.85534067866497</v>
      </c>
      <c r="N2641">
        <v>1567585</v>
      </c>
    </row>
    <row r="2642" spans="1:14" x14ac:dyDescent="0.35">
      <c r="A2642" t="s">
        <v>108</v>
      </c>
      <c r="B2642">
        <v>202606</v>
      </c>
      <c r="C2642" t="str">
        <f>MID(analisis_productividad__4[[#This Row],[Periodo]],1,4)</f>
        <v>2026</v>
      </c>
      <c r="D2642" t="str">
        <f>MID(analisis_productividad__4[[#This Row],[Periodo]],5,2)</f>
        <v>06</v>
      </c>
      <c r="E2642" t="s">
        <v>11</v>
      </c>
      <c r="F2642" t="s">
        <v>14</v>
      </c>
      <c r="G2642">
        <v>62674</v>
      </c>
      <c r="H2642">
        <v>2452236</v>
      </c>
      <c r="I2642">
        <v>39.127131944444152</v>
      </c>
      <c r="J2642">
        <v>61377.465502089901</v>
      </c>
      <c r="K2642">
        <v>47.5</v>
      </c>
      <c r="L2642">
        <v>43</v>
      </c>
      <c r="M2642">
        <v>41.487905995618128</v>
      </c>
      <c r="N2642">
        <v>2546423</v>
      </c>
    </row>
    <row r="2643" spans="1:14" x14ac:dyDescent="0.35">
      <c r="A2643" t="s">
        <v>108</v>
      </c>
      <c r="B2643">
        <v>202508</v>
      </c>
      <c r="C2643" t="str">
        <f>MID(analisis_productividad__4[[#This Row],[Periodo]],1,4)</f>
        <v>2025</v>
      </c>
      <c r="D2643" t="str">
        <f>MID(analisis_productividad__4[[#This Row],[Periodo]],5,2)</f>
        <v>08</v>
      </c>
      <c r="E2643" t="s">
        <v>11</v>
      </c>
      <c r="F2643" t="s">
        <v>14</v>
      </c>
      <c r="G2643">
        <v>62671</v>
      </c>
      <c r="H2643">
        <v>2486996</v>
      </c>
      <c r="I2643">
        <v>39.683366935483868</v>
      </c>
      <c r="J2643">
        <v>69732.654383438523</v>
      </c>
      <c r="K2643">
        <v>47.5</v>
      </c>
      <c r="L2643">
        <v>43</v>
      </c>
      <c r="M2643">
        <v>35.664731996644903</v>
      </c>
      <c r="N2643">
        <v>2909496</v>
      </c>
    </row>
    <row r="2644" spans="1:14" x14ac:dyDescent="0.35">
      <c r="A2644" t="s">
        <v>124</v>
      </c>
      <c r="B2644">
        <v>202410</v>
      </c>
      <c r="C2644" t="str">
        <f>MID(analisis_productividad__4[[#This Row],[Periodo]],1,4)</f>
        <v>2024</v>
      </c>
      <c r="D2644" t="str">
        <f>MID(analisis_productividad__4[[#This Row],[Periodo]],5,2)</f>
        <v>10</v>
      </c>
      <c r="E2644" t="s">
        <v>9</v>
      </c>
      <c r="F2644" t="s">
        <v>9</v>
      </c>
      <c r="G2644">
        <v>62652</v>
      </c>
      <c r="H2644">
        <v>609408</v>
      </c>
      <c r="I2644">
        <v>9.7268481182795732</v>
      </c>
      <c r="J2644">
        <v>0</v>
      </c>
      <c r="K2644">
        <v>11</v>
      </c>
      <c r="L2644">
        <v>12</v>
      </c>
      <c r="N2644">
        <v>0</v>
      </c>
    </row>
    <row r="2645" spans="1:14" x14ac:dyDescent="0.35">
      <c r="A2645" t="s">
        <v>112</v>
      </c>
      <c r="B2645">
        <v>202505</v>
      </c>
      <c r="C2645" t="str">
        <f>MID(analisis_productividad__4[[#This Row],[Periodo]],1,4)</f>
        <v>2025</v>
      </c>
      <c r="D2645" t="str">
        <f>MID(analisis_productividad__4[[#This Row],[Periodo]],5,2)</f>
        <v>05</v>
      </c>
      <c r="E2645" t="s">
        <v>34</v>
      </c>
      <c r="F2645" t="s">
        <v>35</v>
      </c>
      <c r="G2645">
        <v>62649</v>
      </c>
      <c r="H2645">
        <v>1636554</v>
      </c>
      <c r="I2645">
        <v>26.122560483870966</v>
      </c>
      <c r="J2645">
        <v>69690.455192919893</v>
      </c>
      <c r="K2645">
        <v>31</v>
      </c>
      <c r="L2645">
        <v>27</v>
      </c>
      <c r="M2645">
        <v>23.483191571494622</v>
      </c>
      <c r="N2645">
        <v>1509920</v>
      </c>
    </row>
    <row r="2646" spans="1:14" x14ac:dyDescent="0.35">
      <c r="A2646" t="s">
        <v>118</v>
      </c>
      <c r="B2646">
        <v>202410</v>
      </c>
      <c r="C2646" t="str">
        <f>MID(analisis_productividad__4[[#This Row],[Periodo]],1,4)</f>
        <v>2024</v>
      </c>
      <c r="D2646" t="str">
        <f>MID(analisis_productividad__4[[#This Row],[Periodo]],5,2)</f>
        <v>10</v>
      </c>
      <c r="E2646" t="s">
        <v>34</v>
      </c>
      <c r="F2646" t="s">
        <v>35</v>
      </c>
      <c r="G2646">
        <v>62649</v>
      </c>
      <c r="H2646">
        <v>1188044</v>
      </c>
      <c r="I2646">
        <v>18.963602150537632</v>
      </c>
      <c r="J2646">
        <v>0</v>
      </c>
      <c r="K2646">
        <v>19</v>
      </c>
      <c r="L2646">
        <v>21.5</v>
      </c>
      <c r="N2646">
        <v>0</v>
      </c>
    </row>
    <row r="2647" spans="1:14" x14ac:dyDescent="0.35">
      <c r="A2647" t="s">
        <v>121</v>
      </c>
      <c r="B2647">
        <v>202403</v>
      </c>
      <c r="C2647" t="str">
        <f>MID(analisis_productividad__4[[#This Row],[Periodo]],1,4)</f>
        <v>2024</v>
      </c>
      <c r="D2647" t="str">
        <f>MID(analisis_productividad__4[[#This Row],[Periodo]],5,2)</f>
        <v>03</v>
      </c>
      <c r="E2647" t="s">
        <v>11</v>
      </c>
      <c r="F2647" t="s">
        <v>14</v>
      </c>
      <c r="G2647">
        <v>62643</v>
      </c>
      <c r="H2647">
        <v>2429737</v>
      </c>
      <c r="I2647">
        <v>38.786774193548389</v>
      </c>
      <c r="J2647">
        <v>0</v>
      </c>
      <c r="K2647">
        <v>36</v>
      </c>
      <c r="L2647">
        <v>35</v>
      </c>
      <c r="N2647">
        <v>0</v>
      </c>
    </row>
    <row r="2648" spans="1:14" x14ac:dyDescent="0.35">
      <c r="A2648" t="s">
        <v>121</v>
      </c>
      <c r="B2648">
        <v>202606</v>
      </c>
      <c r="C2648" t="str">
        <f>MID(analisis_productividad__4[[#This Row],[Periodo]],1,4)</f>
        <v>2026</v>
      </c>
      <c r="D2648" t="str">
        <f>MID(analisis_productividad__4[[#This Row],[Periodo]],5,2)</f>
        <v>06</v>
      </c>
      <c r="E2648" t="s">
        <v>11</v>
      </c>
      <c r="F2648" t="s">
        <v>14</v>
      </c>
      <c r="G2648">
        <v>62628</v>
      </c>
      <c r="H2648">
        <v>1893904</v>
      </c>
      <c r="I2648">
        <v>30.240680555555524</v>
      </c>
      <c r="J2648">
        <v>60897.923258886636</v>
      </c>
      <c r="K2648">
        <v>36</v>
      </c>
      <c r="L2648">
        <v>35</v>
      </c>
      <c r="M2648">
        <v>31.443465596679005</v>
      </c>
      <c r="N2648">
        <v>1914842</v>
      </c>
    </row>
    <row r="2649" spans="1:14" x14ac:dyDescent="0.35">
      <c r="A2649" t="s">
        <v>125</v>
      </c>
      <c r="B2649">
        <v>202512</v>
      </c>
      <c r="C2649" t="str">
        <f>MID(analisis_productividad__4[[#This Row],[Periodo]],1,4)</f>
        <v>2025</v>
      </c>
      <c r="D2649" t="str">
        <f>MID(analisis_productividad__4[[#This Row],[Periodo]],5,2)</f>
        <v>12</v>
      </c>
      <c r="E2649" t="s">
        <v>104</v>
      </c>
      <c r="F2649" t="s">
        <v>104</v>
      </c>
      <c r="G2649">
        <v>62627</v>
      </c>
      <c r="H2649">
        <v>3066355</v>
      </c>
      <c r="I2649">
        <v>48.962177419354802</v>
      </c>
      <c r="J2649">
        <v>58527.687323498205</v>
      </c>
      <c r="K2649">
        <v>59</v>
      </c>
      <c r="L2649">
        <v>50</v>
      </c>
      <c r="M2649">
        <v>52.391523913313677</v>
      </c>
      <c r="N2649">
        <v>3176297</v>
      </c>
    </row>
    <row r="2650" spans="1:14" x14ac:dyDescent="0.35">
      <c r="A2650" t="s">
        <v>117</v>
      </c>
      <c r="B2650">
        <v>202508</v>
      </c>
      <c r="C2650" t="str">
        <f>MID(analisis_productividad__4[[#This Row],[Periodo]],1,4)</f>
        <v>2025</v>
      </c>
      <c r="D2650" t="str">
        <f>MID(analisis_productividad__4[[#This Row],[Periodo]],5,2)</f>
        <v>08</v>
      </c>
      <c r="E2650" t="s">
        <v>104</v>
      </c>
      <c r="F2650" t="s">
        <v>104</v>
      </c>
      <c r="G2650">
        <v>62610</v>
      </c>
      <c r="H2650">
        <v>3860930</v>
      </c>
      <c r="I2650">
        <v>61.666095430107553</v>
      </c>
      <c r="J2650">
        <v>62117.905755088133</v>
      </c>
      <c r="K2650">
        <v>66</v>
      </c>
      <c r="L2650">
        <v>65.5</v>
      </c>
      <c r="M2650">
        <v>62.154871499088607</v>
      </c>
      <c r="N2650">
        <v>3653890</v>
      </c>
    </row>
    <row r="2651" spans="1:14" x14ac:dyDescent="0.35">
      <c r="A2651" t="s">
        <v>90</v>
      </c>
      <c r="B2651">
        <v>202402</v>
      </c>
      <c r="C2651" t="str">
        <f>MID(analisis_productividad__4[[#This Row],[Periodo]],1,4)</f>
        <v>2024</v>
      </c>
      <c r="D2651" t="str">
        <f>MID(analisis_productividad__4[[#This Row],[Periodo]],5,2)</f>
        <v>02</v>
      </c>
      <c r="E2651" t="s">
        <v>11</v>
      </c>
      <c r="F2651" t="s">
        <v>14</v>
      </c>
      <c r="G2651">
        <v>62597</v>
      </c>
      <c r="H2651">
        <v>5172296</v>
      </c>
      <c r="I2651">
        <v>82.628060344827588</v>
      </c>
      <c r="J2651">
        <v>0</v>
      </c>
      <c r="K2651">
        <v>84.5</v>
      </c>
      <c r="L2651">
        <v>78.5</v>
      </c>
      <c r="N2651">
        <v>0</v>
      </c>
    </row>
    <row r="2652" spans="1:14" x14ac:dyDescent="0.35">
      <c r="A2652" t="s">
        <v>117</v>
      </c>
      <c r="B2652">
        <v>202511</v>
      </c>
      <c r="C2652" t="str">
        <f>MID(analisis_productividad__4[[#This Row],[Periodo]],1,4)</f>
        <v>2025</v>
      </c>
      <c r="D2652" t="str">
        <f>MID(analisis_productividad__4[[#This Row],[Periodo]],5,2)</f>
        <v>11</v>
      </c>
      <c r="E2652" t="s">
        <v>104</v>
      </c>
      <c r="F2652" t="s">
        <v>104</v>
      </c>
      <c r="G2652">
        <v>62569</v>
      </c>
      <c r="H2652">
        <v>3732556</v>
      </c>
      <c r="I2652">
        <v>59.655361111111141</v>
      </c>
      <c r="J2652">
        <v>57147.042696670091</v>
      </c>
      <c r="K2652">
        <v>66</v>
      </c>
      <c r="L2652">
        <v>65.5</v>
      </c>
      <c r="M2652">
        <v>65.314945688650539</v>
      </c>
      <c r="N2652">
        <v>3588152</v>
      </c>
    </row>
    <row r="2653" spans="1:14" x14ac:dyDescent="0.35">
      <c r="A2653" t="s">
        <v>117</v>
      </c>
      <c r="B2653">
        <v>202503</v>
      </c>
      <c r="C2653" t="str">
        <f>MID(analisis_productividad__4[[#This Row],[Periodo]],1,4)</f>
        <v>2025</v>
      </c>
      <c r="D2653" t="str">
        <f>MID(analisis_productividad__4[[#This Row],[Periodo]],5,2)</f>
        <v>03</v>
      </c>
      <c r="E2653" t="s">
        <v>104</v>
      </c>
      <c r="F2653" t="s">
        <v>104</v>
      </c>
      <c r="G2653">
        <v>62561</v>
      </c>
      <c r="H2653">
        <v>3580872</v>
      </c>
      <c r="I2653">
        <v>57.238266129032283</v>
      </c>
      <c r="J2653">
        <v>61073.205197246789</v>
      </c>
      <c r="K2653">
        <v>66</v>
      </c>
      <c r="L2653">
        <v>65.5</v>
      </c>
      <c r="M2653">
        <v>58.632452291228816</v>
      </c>
      <c r="N2653">
        <v>3794339</v>
      </c>
    </row>
    <row r="2654" spans="1:14" x14ac:dyDescent="0.35">
      <c r="A2654" t="s">
        <v>108</v>
      </c>
      <c r="B2654">
        <v>202601</v>
      </c>
      <c r="C2654" t="str">
        <f>MID(analisis_productividad__4[[#This Row],[Periodo]],1,4)</f>
        <v>2026</v>
      </c>
      <c r="D2654" t="str">
        <f>MID(analisis_productividad__4[[#This Row],[Periodo]],5,2)</f>
        <v>01</v>
      </c>
      <c r="E2654" t="s">
        <v>11</v>
      </c>
      <c r="F2654" t="s">
        <v>14</v>
      </c>
      <c r="G2654">
        <v>62540</v>
      </c>
      <c r="H2654">
        <v>2593587</v>
      </c>
      <c r="I2654">
        <v>41.471048387096765</v>
      </c>
      <c r="J2654">
        <v>63177.380626943086</v>
      </c>
      <c r="K2654">
        <v>47.5</v>
      </c>
      <c r="L2654">
        <v>43</v>
      </c>
      <c r="M2654">
        <v>41.487905995618128</v>
      </c>
      <c r="N2654">
        <v>2621097</v>
      </c>
    </row>
    <row r="2655" spans="1:14" x14ac:dyDescent="0.35">
      <c r="A2655" t="s">
        <v>102</v>
      </c>
      <c r="B2655">
        <v>202511</v>
      </c>
      <c r="C2655" t="str">
        <f>MID(analisis_productividad__4[[#This Row],[Periodo]],1,4)</f>
        <v>2025</v>
      </c>
      <c r="D2655" t="str">
        <f>MID(analisis_productividad__4[[#This Row],[Periodo]],5,2)</f>
        <v>11</v>
      </c>
      <c r="E2655" t="s">
        <v>11</v>
      </c>
      <c r="F2655" t="s">
        <v>12</v>
      </c>
      <c r="G2655">
        <v>62495</v>
      </c>
      <c r="H2655">
        <v>1848445</v>
      </c>
      <c r="I2655">
        <v>29.577479166666663</v>
      </c>
      <c r="J2655">
        <v>64087.475439550493</v>
      </c>
      <c r="K2655">
        <v>34</v>
      </c>
      <c r="L2655">
        <v>34</v>
      </c>
      <c r="M2655">
        <v>28.842528392985564</v>
      </c>
      <c r="N2655">
        <v>1820105</v>
      </c>
    </row>
    <row r="2656" spans="1:14" x14ac:dyDescent="0.35">
      <c r="A2656" t="s">
        <v>85</v>
      </c>
      <c r="B2656">
        <v>202502</v>
      </c>
      <c r="C2656" t="str">
        <f>MID(analisis_productividad__4[[#This Row],[Periodo]],1,4)</f>
        <v>2025</v>
      </c>
      <c r="D2656" t="str">
        <f>MID(analisis_productividad__4[[#This Row],[Periodo]],5,2)</f>
        <v>02</v>
      </c>
      <c r="E2656" t="s">
        <v>11</v>
      </c>
      <c r="F2656" t="s">
        <v>14</v>
      </c>
      <c r="G2656">
        <v>62492</v>
      </c>
      <c r="H2656">
        <v>3438742</v>
      </c>
      <c r="I2656">
        <v>55.027083333333323</v>
      </c>
      <c r="J2656">
        <v>68787.099020740978</v>
      </c>
      <c r="K2656">
        <v>60.5</v>
      </c>
      <c r="L2656">
        <v>57.5</v>
      </c>
      <c r="M2656">
        <v>49.991085668013646</v>
      </c>
      <c r="N2656">
        <v>3445531</v>
      </c>
    </row>
    <row r="2657" spans="1:14" x14ac:dyDescent="0.35">
      <c r="A2657" t="s">
        <v>119</v>
      </c>
      <c r="B2657">
        <v>202506</v>
      </c>
      <c r="C2657" t="str">
        <f>MID(analisis_productividad__4[[#This Row],[Periodo]],1,4)</f>
        <v>2025</v>
      </c>
      <c r="D2657" t="str">
        <f>MID(analisis_productividad__4[[#This Row],[Periodo]],5,2)</f>
        <v>06</v>
      </c>
      <c r="E2657" t="s">
        <v>16</v>
      </c>
      <c r="F2657" t="s">
        <v>21</v>
      </c>
      <c r="G2657">
        <v>62470</v>
      </c>
      <c r="H2657">
        <v>2996137</v>
      </c>
      <c r="I2657">
        <v>47.961229166666648</v>
      </c>
      <c r="J2657">
        <v>67484.697465417674</v>
      </c>
      <c r="K2657">
        <v>52.5</v>
      </c>
      <c r="L2657">
        <v>52.5</v>
      </c>
      <c r="M2657">
        <v>44.397274234434562</v>
      </c>
      <c r="N2657">
        <v>3640308</v>
      </c>
    </row>
    <row r="2658" spans="1:14" x14ac:dyDescent="0.35">
      <c r="A2658" t="s">
        <v>73</v>
      </c>
      <c r="B2658">
        <v>202404</v>
      </c>
      <c r="C2658" t="str">
        <f>MID(analisis_productividad__4[[#This Row],[Periodo]],1,4)</f>
        <v>2024</v>
      </c>
      <c r="D2658" t="str">
        <f>MID(analisis_productividad__4[[#This Row],[Periodo]],5,2)</f>
        <v>04</v>
      </c>
      <c r="E2658" t="s">
        <v>16</v>
      </c>
      <c r="F2658" t="s">
        <v>21</v>
      </c>
      <c r="G2658">
        <v>62469</v>
      </c>
      <c r="H2658">
        <v>2598351</v>
      </c>
      <c r="I2658">
        <v>41.594097222222224</v>
      </c>
      <c r="J2658">
        <v>0</v>
      </c>
      <c r="K2658">
        <v>43.5</v>
      </c>
      <c r="L2658">
        <v>41</v>
      </c>
      <c r="N2658">
        <v>0</v>
      </c>
    </row>
    <row r="2659" spans="1:14" x14ac:dyDescent="0.35">
      <c r="A2659" t="s">
        <v>92</v>
      </c>
      <c r="B2659">
        <v>202405</v>
      </c>
      <c r="C2659" t="str">
        <f>MID(analisis_productividad__4[[#This Row],[Periodo]],1,4)</f>
        <v>2024</v>
      </c>
      <c r="D2659" t="str">
        <f>MID(analisis_productividad__4[[#This Row],[Periodo]],5,2)</f>
        <v>05</v>
      </c>
      <c r="E2659" t="s">
        <v>11</v>
      </c>
      <c r="F2659" t="s">
        <v>14</v>
      </c>
      <c r="G2659">
        <v>62451</v>
      </c>
      <c r="H2659">
        <v>3530353</v>
      </c>
      <c r="I2659">
        <v>56.53008064516127</v>
      </c>
      <c r="J2659">
        <v>0</v>
      </c>
      <c r="K2659">
        <v>63</v>
      </c>
      <c r="L2659">
        <v>59</v>
      </c>
      <c r="N2659">
        <v>0</v>
      </c>
    </row>
    <row r="2660" spans="1:14" x14ac:dyDescent="0.35">
      <c r="A2660" t="s">
        <v>111</v>
      </c>
      <c r="B2660">
        <v>202508</v>
      </c>
      <c r="C2660" t="str">
        <f>MID(analisis_productividad__4[[#This Row],[Periodo]],1,4)</f>
        <v>2025</v>
      </c>
      <c r="D2660" t="str">
        <f>MID(analisis_productividad__4[[#This Row],[Periodo]],5,2)</f>
        <v>08</v>
      </c>
      <c r="E2660" t="s">
        <v>34</v>
      </c>
      <c r="F2660" t="s">
        <v>35</v>
      </c>
      <c r="G2660">
        <v>62451</v>
      </c>
      <c r="H2660">
        <v>2341679</v>
      </c>
      <c r="I2660">
        <v>37.496525537634412</v>
      </c>
      <c r="J2660">
        <v>65077.749545937026</v>
      </c>
      <c r="K2660">
        <v>45.5</v>
      </c>
      <c r="L2660">
        <v>42.5</v>
      </c>
      <c r="M2660">
        <v>35.982785304323684</v>
      </c>
      <c r="N2660">
        <v>2401397</v>
      </c>
    </row>
    <row r="2661" spans="1:14" x14ac:dyDescent="0.35">
      <c r="A2661" t="s">
        <v>108</v>
      </c>
      <c r="B2661">
        <v>202407</v>
      </c>
      <c r="C2661" t="str">
        <f>MID(analisis_productividad__4[[#This Row],[Periodo]],1,4)</f>
        <v>2024</v>
      </c>
      <c r="D2661" t="str">
        <f>MID(analisis_productividad__4[[#This Row],[Periodo]],5,2)</f>
        <v>07</v>
      </c>
      <c r="E2661" t="s">
        <v>11</v>
      </c>
      <c r="F2661" t="s">
        <v>14</v>
      </c>
      <c r="G2661">
        <v>62423</v>
      </c>
      <c r="H2661">
        <v>2946064</v>
      </c>
      <c r="I2661">
        <v>47.19510080645162</v>
      </c>
      <c r="J2661">
        <v>0</v>
      </c>
      <c r="K2661">
        <v>47.5</v>
      </c>
      <c r="L2661">
        <v>43</v>
      </c>
      <c r="N2661">
        <v>0</v>
      </c>
    </row>
    <row r="2662" spans="1:14" x14ac:dyDescent="0.35">
      <c r="A2662" t="s">
        <v>114</v>
      </c>
      <c r="B2662">
        <v>202406</v>
      </c>
      <c r="C2662" t="str">
        <f>MID(analisis_productividad__4[[#This Row],[Periodo]],1,4)</f>
        <v>2024</v>
      </c>
      <c r="D2662" t="str">
        <f>MID(analisis_productividad__4[[#This Row],[Periodo]],5,2)</f>
        <v>06</v>
      </c>
      <c r="E2662" t="s">
        <v>9</v>
      </c>
      <c r="F2662" t="s">
        <v>9</v>
      </c>
      <c r="G2662">
        <v>62422</v>
      </c>
      <c r="H2662">
        <v>856504</v>
      </c>
      <c r="I2662">
        <v>13.721215277777777</v>
      </c>
      <c r="J2662">
        <v>0</v>
      </c>
      <c r="K2662">
        <v>13.5</v>
      </c>
      <c r="L2662">
        <v>14.5</v>
      </c>
      <c r="N2662">
        <v>0</v>
      </c>
    </row>
    <row r="2663" spans="1:14" x14ac:dyDescent="0.35">
      <c r="A2663" t="s">
        <v>113</v>
      </c>
      <c r="B2663">
        <v>202405</v>
      </c>
      <c r="C2663" t="str">
        <f>MID(analisis_productividad__4[[#This Row],[Periodo]],1,4)</f>
        <v>2024</v>
      </c>
      <c r="D2663" t="str">
        <f>MID(analisis_productividad__4[[#This Row],[Periodo]],5,2)</f>
        <v>05</v>
      </c>
      <c r="E2663" t="s">
        <v>9</v>
      </c>
      <c r="F2663" t="s">
        <v>9</v>
      </c>
      <c r="G2663">
        <v>62371</v>
      </c>
      <c r="H2663">
        <v>602683</v>
      </c>
      <c r="I2663">
        <v>9.6629166666666677</v>
      </c>
      <c r="J2663">
        <v>0</v>
      </c>
      <c r="K2663">
        <v>11.5</v>
      </c>
      <c r="L2663">
        <v>10</v>
      </c>
      <c r="N2663">
        <v>0</v>
      </c>
    </row>
    <row r="2664" spans="1:14" x14ac:dyDescent="0.35">
      <c r="A2664" t="s">
        <v>105</v>
      </c>
      <c r="B2664">
        <v>202509</v>
      </c>
      <c r="C2664" t="str">
        <f>MID(analisis_productividad__4[[#This Row],[Periodo]],1,4)</f>
        <v>2025</v>
      </c>
      <c r="D2664" t="str">
        <f>MID(analisis_productividad__4[[#This Row],[Periodo]],5,2)</f>
        <v>09</v>
      </c>
      <c r="E2664" t="s">
        <v>34</v>
      </c>
      <c r="F2664" t="s">
        <v>35</v>
      </c>
      <c r="G2664">
        <v>62342</v>
      </c>
      <c r="H2664">
        <v>2125939</v>
      </c>
      <c r="I2664">
        <v>34.101034722222217</v>
      </c>
      <c r="J2664">
        <v>56194.808763333</v>
      </c>
      <c r="K2664">
        <v>33</v>
      </c>
      <c r="L2664">
        <v>31.5</v>
      </c>
      <c r="M2664">
        <v>37.83158438982305</v>
      </c>
      <c r="N2664">
        <v>2645208</v>
      </c>
    </row>
    <row r="2665" spans="1:14" x14ac:dyDescent="0.35">
      <c r="A2665" t="s">
        <v>121</v>
      </c>
      <c r="B2665">
        <v>202505</v>
      </c>
      <c r="C2665" t="str">
        <f>MID(analisis_productividad__4[[#This Row],[Periodo]],1,4)</f>
        <v>2025</v>
      </c>
      <c r="D2665" t="str">
        <f>MID(analisis_productividad__4[[#This Row],[Periodo]],5,2)</f>
        <v>05</v>
      </c>
      <c r="E2665" t="s">
        <v>11</v>
      </c>
      <c r="F2665" t="s">
        <v>14</v>
      </c>
      <c r="G2665">
        <v>62309</v>
      </c>
      <c r="H2665">
        <v>1989571</v>
      </c>
      <c r="I2665">
        <v>31.930678763440856</v>
      </c>
      <c r="J2665">
        <v>55049.27232488407</v>
      </c>
      <c r="K2665">
        <v>36</v>
      </c>
      <c r="L2665">
        <v>35</v>
      </c>
      <c r="M2665">
        <v>36.141641223850456</v>
      </c>
      <c r="N2665">
        <v>2024388</v>
      </c>
    </row>
    <row r="2666" spans="1:14" x14ac:dyDescent="0.35">
      <c r="A2666" t="s">
        <v>118</v>
      </c>
      <c r="B2666">
        <v>202408</v>
      </c>
      <c r="C2666" t="str">
        <f>MID(analisis_productividad__4[[#This Row],[Periodo]],1,4)</f>
        <v>2024</v>
      </c>
      <c r="D2666" t="str">
        <f>MID(analisis_productividad__4[[#This Row],[Periodo]],5,2)</f>
        <v>08</v>
      </c>
      <c r="E2666" t="s">
        <v>34</v>
      </c>
      <c r="F2666" t="s">
        <v>35</v>
      </c>
      <c r="G2666">
        <v>62280</v>
      </c>
      <c r="H2666">
        <v>1213449</v>
      </c>
      <c r="I2666">
        <v>19.483709677419359</v>
      </c>
      <c r="J2666">
        <v>0</v>
      </c>
      <c r="K2666">
        <v>19</v>
      </c>
      <c r="L2666">
        <v>21.5</v>
      </c>
      <c r="N2666">
        <v>0</v>
      </c>
    </row>
    <row r="2667" spans="1:14" x14ac:dyDescent="0.35">
      <c r="A2667" t="s">
        <v>102</v>
      </c>
      <c r="B2667">
        <v>202602</v>
      </c>
      <c r="C2667" t="str">
        <f>MID(analisis_productividad__4[[#This Row],[Periodo]],1,4)</f>
        <v>2026</v>
      </c>
      <c r="D2667" t="str">
        <f>MID(analisis_productividad__4[[#This Row],[Periodo]],5,2)</f>
        <v>02</v>
      </c>
      <c r="E2667" t="s">
        <v>11</v>
      </c>
      <c r="F2667" t="s">
        <v>12</v>
      </c>
      <c r="G2667">
        <v>62232</v>
      </c>
      <c r="H2667">
        <v>1815764</v>
      </c>
      <c r="I2667">
        <v>29.177187499999999</v>
      </c>
      <c r="J2667">
        <v>57191.088217385673</v>
      </c>
      <c r="K2667">
        <v>34</v>
      </c>
      <c r="L2667">
        <v>34</v>
      </c>
      <c r="M2667">
        <v>29.696606396863505</v>
      </c>
      <c r="N2667">
        <v>1698381</v>
      </c>
    </row>
    <row r="2668" spans="1:14" x14ac:dyDescent="0.35">
      <c r="A2668" t="s">
        <v>108</v>
      </c>
      <c r="B2668">
        <v>202511</v>
      </c>
      <c r="C2668" t="str">
        <f>MID(analisis_productividad__4[[#This Row],[Periodo]],1,4)</f>
        <v>2025</v>
      </c>
      <c r="D2668" t="str">
        <f>MID(analisis_productividad__4[[#This Row],[Periodo]],5,2)</f>
        <v>11</v>
      </c>
      <c r="E2668" t="s">
        <v>11</v>
      </c>
      <c r="F2668" t="s">
        <v>14</v>
      </c>
      <c r="G2668">
        <v>62229</v>
      </c>
      <c r="H2668">
        <v>2507948</v>
      </c>
      <c r="I2668">
        <v>40.301673611111106</v>
      </c>
      <c r="J2668">
        <v>64444.085821496075</v>
      </c>
      <c r="K2668">
        <v>47.5</v>
      </c>
      <c r="L2668">
        <v>43</v>
      </c>
      <c r="M2668">
        <v>38.916650426957311</v>
      </c>
      <c r="N2668">
        <v>3048531</v>
      </c>
    </row>
    <row r="2669" spans="1:14" x14ac:dyDescent="0.35">
      <c r="A2669" t="s">
        <v>85</v>
      </c>
      <c r="B2669">
        <v>202404</v>
      </c>
      <c r="C2669" t="str">
        <f>MID(analisis_productividad__4[[#This Row],[Periodo]],1,4)</f>
        <v>2024</v>
      </c>
      <c r="D2669" t="str">
        <f>MID(analisis_productividad__4[[#This Row],[Periodo]],5,2)</f>
        <v>04</v>
      </c>
      <c r="E2669" t="s">
        <v>11</v>
      </c>
      <c r="F2669" t="s">
        <v>14</v>
      </c>
      <c r="G2669">
        <v>62212</v>
      </c>
      <c r="H2669">
        <v>3340792</v>
      </c>
      <c r="I2669">
        <v>53.700208333333329</v>
      </c>
      <c r="J2669">
        <v>0</v>
      </c>
      <c r="K2669">
        <v>60.5</v>
      </c>
      <c r="L2669">
        <v>57.5</v>
      </c>
      <c r="N2669">
        <v>0</v>
      </c>
    </row>
    <row r="2670" spans="1:14" x14ac:dyDescent="0.35">
      <c r="A2670" t="s">
        <v>85</v>
      </c>
      <c r="B2670">
        <v>202506</v>
      </c>
      <c r="C2670" t="str">
        <f>MID(analisis_productividad__4[[#This Row],[Periodo]],1,4)</f>
        <v>2025</v>
      </c>
      <c r="D2670" t="str">
        <f>MID(analisis_productividad__4[[#This Row],[Periodo]],5,2)</f>
        <v>06</v>
      </c>
      <c r="E2670" t="s">
        <v>11</v>
      </c>
      <c r="F2670" t="s">
        <v>14</v>
      </c>
      <c r="G2670">
        <v>62198</v>
      </c>
      <c r="H2670">
        <v>3322932</v>
      </c>
      <c r="I2670">
        <v>53.425409722222248</v>
      </c>
      <c r="J2670">
        <v>73709.551659058983</v>
      </c>
      <c r="K2670">
        <v>60.5</v>
      </c>
      <c r="L2670">
        <v>57.5</v>
      </c>
      <c r="M2670">
        <v>45.081423712493958</v>
      </c>
      <c r="N2670">
        <v>3793753</v>
      </c>
    </row>
    <row r="2671" spans="1:14" x14ac:dyDescent="0.35">
      <c r="A2671" t="s">
        <v>113</v>
      </c>
      <c r="B2671">
        <v>202603</v>
      </c>
      <c r="C2671" t="str">
        <f>MID(analisis_productividad__4[[#This Row],[Periodo]],1,4)</f>
        <v>2026</v>
      </c>
      <c r="D2671" t="str">
        <f>MID(analisis_productividad__4[[#This Row],[Periodo]],5,2)</f>
        <v>03</v>
      </c>
      <c r="E2671" t="s">
        <v>9</v>
      </c>
      <c r="F2671" t="s">
        <v>9</v>
      </c>
      <c r="G2671">
        <v>62177</v>
      </c>
      <c r="H2671">
        <v>647020</v>
      </c>
      <c r="I2671">
        <v>10.406102150537633</v>
      </c>
      <c r="J2671">
        <v>67737.987190859189</v>
      </c>
      <c r="K2671">
        <v>11.5</v>
      </c>
      <c r="L2671">
        <v>10</v>
      </c>
      <c r="M2671">
        <v>10.042294324207418</v>
      </c>
      <c r="N2671">
        <v>680245</v>
      </c>
    </row>
    <row r="2672" spans="1:14" x14ac:dyDescent="0.35">
      <c r="A2672" t="s">
        <v>110</v>
      </c>
      <c r="B2672">
        <v>202501</v>
      </c>
      <c r="C2672" t="str">
        <f>MID(analisis_productividad__4[[#This Row],[Periodo]],1,4)</f>
        <v>2025</v>
      </c>
      <c r="D2672" t="str">
        <f>MID(analisis_productividad__4[[#This Row],[Periodo]],5,2)</f>
        <v>01</v>
      </c>
      <c r="E2672" t="s">
        <v>34</v>
      </c>
      <c r="F2672" t="s">
        <v>35</v>
      </c>
      <c r="G2672">
        <v>62169</v>
      </c>
      <c r="H2672">
        <v>2185237</v>
      </c>
      <c r="I2672">
        <v>35.149879032258056</v>
      </c>
      <c r="J2672">
        <v>64546.729086109925</v>
      </c>
      <c r="K2672">
        <v>41.5</v>
      </c>
      <c r="L2672">
        <v>43</v>
      </c>
      <c r="M2672">
        <v>33.855111962137364</v>
      </c>
      <c r="N2672">
        <v>2347229</v>
      </c>
    </row>
    <row r="2673" spans="1:14" x14ac:dyDescent="0.35">
      <c r="A2673" t="s">
        <v>92</v>
      </c>
      <c r="B2673">
        <v>202404</v>
      </c>
      <c r="C2673" t="str">
        <f>MID(analisis_productividad__4[[#This Row],[Periodo]],1,4)</f>
        <v>2024</v>
      </c>
      <c r="D2673" t="str">
        <f>MID(analisis_productividad__4[[#This Row],[Periodo]],5,2)</f>
        <v>04</v>
      </c>
      <c r="E2673" t="s">
        <v>11</v>
      </c>
      <c r="F2673" t="s">
        <v>14</v>
      </c>
      <c r="G2673">
        <v>62163</v>
      </c>
      <c r="H2673">
        <v>3504098</v>
      </c>
      <c r="I2673">
        <v>56.369152777777792</v>
      </c>
      <c r="J2673">
        <v>0</v>
      </c>
      <c r="K2673">
        <v>63</v>
      </c>
      <c r="L2673">
        <v>59</v>
      </c>
      <c r="N2673">
        <v>0</v>
      </c>
    </row>
    <row r="2674" spans="1:14" x14ac:dyDescent="0.35">
      <c r="A2674" t="s">
        <v>114</v>
      </c>
      <c r="B2674">
        <v>202408</v>
      </c>
      <c r="C2674" t="str">
        <f>MID(analisis_productividad__4[[#This Row],[Periodo]],1,4)</f>
        <v>2024</v>
      </c>
      <c r="D2674" t="str">
        <f>MID(analisis_productividad__4[[#This Row],[Periodo]],5,2)</f>
        <v>08</v>
      </c>
      <c r="E2674" t="s">
        <v>9</v>
      </c>
      <c r="F2674" t="s">
        <v>9</v>
      </c>
      <c r="G2674">
        <v>62159</v>
      </c>
      <c r="H2674">
        <v>777329</v>
      </c>
      <c r="I2674">
        <v>12.505490591397853</v>
      </c>
      <c r="J2674">
        <v>0</v>
      </c>
      <c r="K2674">
        <v>13.5</v>
      </c>
      <c r="L2674">
        <v>14.5</v>
      </c>
      <c r="N2674">
        <v>0</v>
      </c>
    </row>
    <row r="2675" spans="1:14" x14ac:dyDescent="0.35">
      <c r="A2675" t="s">
        <v>92</v>
      </c>
      <c r="B2675">
        <v>202411</v>
      </c>
      <c r="C2675" t="str">
        <f>MID(analisis_productividad__4[[#This Row],[Periodo]],1,4)</f>
        <v>2024</v>
      </c>
      <c r="D2675" t="str">
        <f>MID(analisis_productividad__4[[#This Row],[Periodo]],5,2)</f>
        <v>11</v>
      </c>
      <c r="E2675" t="s">
        <v>11</v>
      </c>
      <c r="F2675" t="s">
        <v>14</v>
      </c>
      <c r="G2675">
        <v>62100</v>
      </c>
      <c r="H2675">
        <v>3602140</v>
      </c>
      <c r="I2675">
        <v>58.005159722222224</v>
      </c>
      <c r="J2675">
        <v>0</v>
      </c>
      <c r="K2675">
        <v>63</v>
      </c>
      <c r="L2675">
        <v>59</v>
      </c>
      <c r="N2675">
        <v>0</v>
      </c>
    </row>
    <row r="2676" spans="1:14" x14ac:dyDescent="0.35">
      <c r="A2676" t="s">
        <v>115</v>
      </c>
      <c r="B2676">
        <v>202508</v>
      </c>
      <c r="C2676" t="str">
        <f>MID(analisis_productividad__4[[#This Row],[Periodo]],1,4)</f>
        <v>2025</v>
      </c>
      <c r="D2676" t="str">
        <f>MID(analisis_productividad__4[[#This Row],[Periodo]],5,2)</f>
        <v>08</v>
      </c>
      <c r="E2676" t="s">
        <v>34</v>
      </c>
      <c r="F2676" t="s">
        <v>35</v>
      </c>
      <c r="G2676">
        <v>62048</v>
      </c>
      <c r="H2676">
        <v>2856244</v>
      </c>
      <c r="I2676">
        <v>46.032762096774192</v>
      </c>
      <c r="J2676">
        <v>63836.599296574401</v>
      </c>
      <c r="K2676">
        <v>53.5</v>
      </c>
      <c r="L2676">
        <v>51</v>
      </c>
      <c r="M2676">
        <v>44.743041632439706</v>
      </c>
      <c r="N2676">
        <v>3140492</v>
      </c>
    </row>
    <row r="2677" spans="1:14" x14ac:dyDescent="0.35">
      <c r="A2677" t="s">
        <v>119</v>
      </c>
      <c r="B2677">
        <v>202401</v>
      </c>
      <c r="C2677" t="str">
        <f>MID(analisis_productividad__4[[#This Row],[Periodo]],1,4)</f>
        <v>2024</v>
      </c>
      <c r="D2677" t="str">
        <f>MID(analisis_productividad__4[[#This Row],[Periodo]],5,2)</f>
        <v>01</v>
      </c>
      <c r="E2677" t="s">
        <v>16</v>
      </c>
      <c r="F2677" t="s">
        <v>21</v>
      </c>
      <c r="G2677">
        <v>61992</v>
      </c>
      <c r="H2677">
        <v>3333399</v>
      </c>
      <c r="I2677">
        <v>53.771102150537651</v>
      </c>
      <c r="J2677">
        <v>0</v>
      </c>
      <c r="K2677">
        <v>52.5</v>
      </c>
      <c r="L2677">
        <v>52.5</v>
      </c>
      <c r="N2677">
        <v>0</v>
      </c>
    </row>
    <row r="2678" spans="1:14" x14ac:dyDescent="0.35">
      <c r="A2678" t="s">
        <v>116</v>
      </c>
      <c r="B2678">
        <v>202504</v>
      </c>
      <c r="C2678" t="str">
        <f>MID(analisis_productividad__4[[#This Row],[Periodo]],1,4)</f>
        <v>2025</v>
      </c>
      <c r="D2678" t="str">
        <f>MID(analisis_productividad__4[[#This Row],[Periodo]],5,2)</f>
        <v>04</v>
      </c>
      <c r="E2678" t="s">
        <v>9</v>
      </c>
      <c r="F2678" t="s">
        <v>9</v>
      </c>
      <c r="G2678">
        <v>61981</v>
      </c>
      <c r="H2678">
        <v>613405</v>
      </c>
      <c r="I2678">
        <v>9.896638888888889</v>
      </c>
      <c r="J2678">
        <v>60463.477131881496</v>
      </c>
      <c r="K2678">
        <v>11.5</v>
      </c>
      <c r="L2678">
        <v>10</v>
      </c>
      <c r="M2678">
        <v>10.145057960561125</v>
      </c>
      <c r="N2678">
        <v>674470</v>
      </c>
    </row>
    <row r="2679" spans="1:14" x14ac:dyDescent="0.35">
      <c r="A2679" t="s">
        <v>99</v>
      </c>
      <c r="B2679">
        <v>202604</v>
      </c>
      <c r="C2679" t="str">
        <f>MID(analisis_productividad__4[[#This Row],[Periodo]],1,4)</f>
        <v>2026</v>
      </c>
      <c r="D2679" t="str">
        <f>MID(analisis_productividad__4[[#This Row],[Periodo]],5,2)</f>
        <v>04</v>
      </c>
      <c r="E2679" t="s">
        <v>11</v>
      </c>
      <c r="F2679" t="s">
        <v>12</v>
      </c>
      <c r="G2679">
        <v>61981</v>
      </c>
      <c r="H2679">
        <v>1474556</v>
      </c>
      <c r="I2679">
        <v>23.79047222222222</v>
      </c>
      <c r="J2679">
        <v>73667.269059276834</v>
      </c>
      <c r="K2679">
        <v>27</v>
      </c>
      <c r="L2679">
        <v>27</v>
      </c>
      <c r="M2679">
        <v>23.582599197509253</v>
      </c>
      <c r="N2679">
        <v>1737266</v>
      </c>
    </row>
    <row r="2680" spans="1:14" x14ac:dyDescent="0.35">
      <c r="A2680" t="s">
        <v>111</v>
      </c>
      <c r="B2680">
        <v>202408</v>
      </c>
      <c r="C2680" t="str">
        <f>MID(analisis_productividad__4[[#This Row],[Periodo]],1,4)</f>
        <v>2024</v>
      </c>
      <c r="D2680" t="str">
        <f>MID(analisis_productividad__4[[#This Row],[Periodo]],5,2)</f>
        <v>08</v>
      </c>
      <c r="E2680" t="s">
        <v>34</v>
      </c>
      <c r="F2680" t="s">
        <v>35</v>
      </c>
      <c r="G2680">
        <v>61979</v>
      </c>
      <c r="H2680">
        <v>2299143</v>
      </c>
      <c r="I2680">
        <v>37.095624999999998</v>
      </c>
      <c r="J2680">
        <v>0</v>
      </c>
      <c r="K2680">
        <v>45.5</v>
      </c>
      <c r="L2680">
        <v>42.5</v>
      </c>
      <c r="N2680">
        <v>0</v>
      </c>
    </row>
    <row r="2681" spans="1:14" x14ac:dyDescent="0.35">
      <c r="A2681" t="s">
        <v>111</v>
      </c>
      <c r="B2681">
        <v>202606</v>
      </c>
      <c r="C2681" t="str">
        <f>MID(analisis_productividad__4[[#This Row],[Periodo]],1,4)</f>
        <v>2026</v>
      </c>
      <c r="D2681" t="str">
        <f>MID(analisis_productividad__4[[#This Row],[Periodo]],5,2)</f>
        <v>06</v>
      </c>
      <c r="E2681" t="s">
        <v>34</v>
      </c>
      <c r="F2681" t="s">
        <v>35</v>
      </c>
      <c r="G2681">
        <v>61962</v>
      </c>
      <c r="H2681">
        <v>2347084</v>
      </c>
      <c r="I2681">
        <v>37.879381944444056</v>
      </c>
      <c r="J2681">
        <v>62557.850578079015</v>
      </c>
      <c r="K2681">
        <v>45.5</v>
      </c>
      <c r="L2681">
        <v>42.5</v>
      </c>
      <c r="M2681">
        <v>36.981595266169094</v>
      </c>
      <c r="N2681">
        <v>2313489</v>
      </c>
    </row>
    <row r="2682" spans="1:14" x14ac:dyDescent="0.35">
      <c r="A2682" t="s">
        <v>120</v>
      </c>
      <c r="B2682">
        <v>202511</v>
      </c>
      <c r="C2682" t="str">
        <f>MID(analisis_productividad__4[[#This Row],[Periodo]],1,4)</f>
        <v>2025</v>
      </c>
      <c r="D2682" t="str">
        <f>MID(analisis_productividad__4[[#This Row],[Periodo]],5,2)</f>
        <v>11</v>
      </c>
      <c r="E2682" t="s">
        <v>9</v>
      </c>
      <c r="F2682" t="s">
        <v>9</v>
      </c>
      <c r="G2682">
        <v>61947</v>
      </c>
      <c r="H2682">
        <v>712017</v>
      </c>
      <c r="I2682">
        <v>11.493999999999998</v>
      </c>
      <c r="J2682">
        <v>71204.444174849312</v>
      </c>
      <c r="K2682">
        <v>11.5</v>
      </c>
      <c r="L2682">
        <v>12</v>
      </c>
      <c r="M2682">
        <v>9.9996185385784866</v>
      </c>
      <c r="N2682">
        <v>864725</v>
      </c>
    </row>
    <row r="2683" spans="1:14" x14ac:dyDescent="0.35">
      <c r="A2683" t="s">
        <v>110</v>
      </c>
      <c r="B2683">
        <v>202411</v>
      </c>
      <c r="C2683" t="str">
        <f>MID(analisis_productividad__4[[#This Row],[Periodo]],1,4)</f>
        <v>2024</v>
      </c>
      <c r="D2683" t="str">
        <f>MID(analisis_productividad__4[[#This Row],[Periodo]],5,2)</f>
        <v>11</v>
      </c>
      <c r="E2683" t="s">
        <v>34</v>
      </c>
      <c r="F2683" t="s">
        <v>35</v>
      </c>
      <c r="G2683">
        <v>61868</v>
      </c>
      <c r="H2683">
        <v>2180306</v>
      </c>
      <c r="I2683">
        <v>35.241500000000016</v>
      </c>
      <c r="J2683">
        <v>0</v>
      </c>
      <c r="K2683">
        <v>41.5</v>
      </c>
      <c r="L2683">
        <v>43</v>
      </c>
      <c r="N2683">
        <v>0</v>
      </c>
    </row>
    <row r="2684" spans="1:14" x14ac:dyDescent="0.35">
      <c r="A2684" t="s">
        <v>8</v>
      </c>
      <c r="B2684">
        <v>202410</v>
      </c>
      <c r="C2684" t="str">
        <f>MID(analisis_productividad__4[[#This Row],[Periodo]],1,4)</f>
        <v>2024</v>
      </c>
      <c r="D2684" t="str">
        <f>MID(analisis_productividad__4[[#This Row],[Periodo]],5,2)</f>
        <v>10</v>
      </c>
      <c r="E2684" t="s">
        <v>9</v>
      </c>
      <c r="F2684" t="s">
        <v>9</v>
      </c>
      <c r="G2684">
        <v>61857</v>
      </c>
      <c r="H2684">
        <v>792295</v>
      </c>
      <c r="I2684">
        <v>12.808494623655919</v>
      </c>
      <c r="J2684">
        <v>0</v>
      </c>
      <c r="K2684">
        <v>13.5</v>
      </c>
      <c r="L2684">
        <v>12.5</v>
      </c>
      <c r="N2684">
        <v>0</v>
      </c>
    </row>
    <row r="2685" spans="1:14" x14ac:dyDescent="0.35">
      <c r="A2685" t="s">
        <v>121</v>
      </c>
      <c r="B2685">
        <v>202507</v>
      </c>
      <c r="C2685" t="str">
        <f>MID(analisis_productividad__4[[#This Row],[Periodo]],1,4)</f>
        <v>2025</v>
      </c>
      <c r="D2685" t="str">
        <f>MID(analisis_productividad__4[[#This Row],[Periodo]],5,2)</f>
        <v>07</v>
      </c>
      <c r="E2685" t="s">
        <v>11</v>
      </c>
      <c r="F2685" t="s">
        <v>14</v>
      </c>
      <c r="G2685">
        <v>61841</v>
      </c>
      <c r="H2685">
        <v>2010223</v>
      </c>
      <c r="I2685">
        <v>32.506485215053765</v>
      </c>
      <c r="J2685">
        <v>63351.520369439611</v>
      </c>
      <c r="K2685">
        <v>36</v>
      </c>
      <c r="L2685">
        <v>35</v>
      </c>
      <c r="M2685">
        <v>31.731244621711063</v>
      </c>
      <c r="N2685">
        <v>2288125</v>
      </c>
    </row>
    <row r="2686" spans="1:14" x14ac:dyDescent="0.35">
      <c r="A2686" t="s">
        <v>90</v>
      </c>
      <c r="B2686">
        <v>202404</v>
      </c>
      <c r="C2686" t="str">
        <f>MID(analisis_productividad__4[[#This Row],[Periodo]],1,4)</f>
        <v>2024</v>
      </c>
      <c r="D2686" t="str">
        <f>MID(analisis_productividad__4[[#This Row],[Periodo]],5,2)</f>
        <v>04</v>
      </c>
      <c r="E2686" t="s">
        <v>11</v>
      </c>
      <c r="F2686" t="s">
        <v>14</v>
      </c>
      <c r="G2686">
        <v>61827</v>
      </c>
      <c r="H2686">
        <v>5352725</v>
      </c>
      <c r="I2686">
        <v>86.575756944444421</v>
      </c>
      <c r="J2686">
        <v>0</v>
      </c>
      <c r="K2686">
        <v>84.5</v>
      </c>
      <c r="L2686">
        <v>78.5</v>
      </c>
      <c r="N2686">
        <v>0</v>
      </c>
    </row>
    <row r="2687" spans="1:14" x14ac:dyDescent="0.35">
      <c r="A2687" t="s">
        <v>127</v>
      </c>
      <c r="B2687">
        <v>202501</v>
      </c>
      <c r="C2687" t="str">
        <f>MID(analisis_productividad__4[[#This Row],[Periodo]],1,4)</f>
        <v>2025</v>
      </c>
      <c r="D2687" t="str">
        <f>MID(analisis_productividad__4[[#This Row],[Periodo]],5,2)</f>
        <v>01</v>
      </c>
      <c r="E2687" t="s">
        <v>104</v>
      </c>
      <c r="F2687" t="s">
        <v>104</v>
      </c>
      <c r="G2687">
        <v>61822</v>
      </c>
      <c r="H2687">
        <v>3268596</v>
      </c>
      <c r="I2687">
        <v>52.870934139784943</v>
      </c>
      <c r="J2687">
        <v>59762.566401335469</v>
      </c>
      <c r="K2687">
        <v>61.5</v>
      </c>
      <c r="L2687">
        <v>56</v>
      </c>
      <c r="M2687">
        <v>54.69303473431421</v>
      </c>
      <c r="N2687">
        <v>3179676</v>
      </c>
    </row>
    <row r="2688" spans="1:14" x14ac:dyDescent="0.35">
      <c r="A2688" t="s">
        <v>113</v>
      </c>
      <c r="B2688">
        <v>202510</v>
      </c>
      <c r="C2688" t="str">
        <f>MID(analisis_productividad__4[[#This Row],[Periodo]],1,4)</f>
        <v>2025</v>
      </c>
      <c r="D2688" t="str">
        <f>MID(analisis_productividad__4[[#This Row],[Periodo]],5,2)</f>
        <v>10</v>
      </c>
      <c r="E2688" t="s">
        <v>9</v>
      </c>
      <c r="F2688" t="s">
        <v>9</v>
      </c>
      <c r="G2688">
        <v>61766</v>
      </c>
      <c r="H2688">
        <v>551640</v>
      </c>
      <c r="I2688">
        <v>8.9311155913978499</v>
      </c>
      <c r="J2688">
        <v>58324.04545410526</v>
      </c>
      <c r="K2688">
        <v>11.5</v>
      </c>
      <c r="L2688">
        <v>10</v>
      </c>
      <c r="M2688">
        <v>9.4581983417813742</v>
      </c>
      <c r="N2688">
        <v>657794</v>
      </c>
    </row>
    <row r="2689" spans="1:14" x14ac:dyDescent="0.35">
      <c r="A2689" t="s">
        <v>116</v>
      </c>
      <c r="B2689">
        <v>202508</v>
      </c>
      <c r="C2689" t="str">
        <f>MID(analisis_productividad__4[[#This Row],[Periodo]],1,4)</f>
        <v>2025</v>
      </c>
      <c r="D2689" t="str">
        <f>MID(analisis_productividad__4[[#This Row],[Periodo]],5,2)</f>
        <v>08</v>
      </c>
      <c r="E2689" t="s">
        <v>9</v>
      </c>
      <c r="F2689" t="s">
        <v>9</v>
      </c>
      <c r="G2689">
        <v>61745</v>
      </c>
      <c r="H2689">
        <v>620337</v>
      </c>
      <c r="I2689">
        <v>10.04674059139785</v>
      </c>
      <c r="J2689">
        <v>56120.828959276005</v>
      </c>
      <c r="K2689">
        <v>11.5</v>
      </c>
      <c r="L2689">
        <v>10</v>
      </c>
      <c r="M2689">
        <v>11.053604365861148</v>
      </c>
      <c r="N2689">
        <v>664981</v>
      </c>
    </row>
    <row r="2690" spans="1:14" x14ac:dyDescent="0.35">
      <c r="A2690" t="s">
        <v>48</v>
      </c>
      <c r="B2690">
        <v>202409</v>
      </c>
      <c r="C2690" t="str">
        <f>MID(analisis_productividad__4[[#This Row],[Periodo]],1,4)</f>
        <v>2024</v>
      </c>
      <c r="D2690" t="str">
        <f>MID(analisis_productividad__4[[#This Row],[Periodo]],5,2)</f>
        <v>09</v>
      </c>
      <c r="E2690" t="s">
        <v>16</v>
      </c>
      <c r="F2690" t="s">
        <v>21</v>
      </c>
      <c r="G2690">
        <v>61743</v>
      </c>
      <c r="H2690">
        <v>3313877</v>
      </c>
      <c r="I2690">
        <v>53.672013888888898</v>
      </c>
      <c r="J2690">
        <v>0</v>
      </c>
      <c r="K2690">
        <v>56</v>
      </c>
      <c r="L2690">
        <v>60</v>
      </c>
      <c r="N2690">
        <v>0</v>
      </c>
    </row>
    <row r="2691" spans="1:14" x14ac:dyDescent="0.35">
      <c r="A2691" t="s">
        <v>78</v>
      </c>
      <c r="B2691">
        <v>202502</v>
      </c>
      <c r="C2691" t="str">
        <f>MID(analisis_productividad__4[[#This Row],[Periodo]],1,4)</f>
        <v>2025</v>
      </c>
      <c r="D2691" t="str">
        <f>MID(analisis_productividad__4[[#This Row],[Periodo]],5,2)</f>
        <v>02</v>
      </c>
      <c r="E2691" t="s">
        <v>11</v>
      </c>
      <c r="F2691" t="s">
        <v>14</v>
      </c>
      <c r="G2691">
        <v>61706</v>
      </c>
      <c r="H2691">
        <v>4481766</v>
      </c>
      <c r="I2691">
        <v>72.63041666666669</v>
      </c>
      <c r="J2691">
        <v>70330.854174203589</v>
      </c>
      <c r="K2691">
        <v>79.5</v>
      </c>
      <c r="L2691">
        <v>67</v>
      </c>
      <c r="M2691">
        <v>63.724043488780076</v>
      </c>
      <c r="N2691">
        <v>4805013</v>
      </c>
    </row>
    <row r="2692" spans="1:14" x14ac:dyDescent="0.35">
      <c r="A2692" t="s">
        <v>89</v>
      </c>
      <c r="B2692">
        <v>202411</v>
      </c>
      <c r="C2692" t="str">
        <f>MID(analisis_productividad__4[[#This Row],[Periodo]],1,4)</f>
        <v>2024</v>
      </c>
      <c r="D2692" t="str">
        <f>MID(analisis_productividad__4[[#This Row],[Periodo]],5,2)</f>
        <v>11</v>
      </c>
      <c r="E2692" t="s">
        <v>9</v>
      </c>
      <c r="F2692" t="s">
        <v>9</v>
      </c>
      <c r="G2692">
        <v>61655</v>
      </c>
      <c r="H2692">
        <v>962555</v>
      </c>
      <c r="I2692">
        <v>15.611944444444449</v>
      </c>
      <c r="J2692">
        <v>0</v>
      </c>
      <c r="K2692">
        <v>17</v>
      </c>
      <c r="L2692">
        <v>13.5</v>
      </c>
      <c r="N2692">
        <v>0</v>
      </c>
    </row>
    <row r="2693" spans="1:14" x14ac:dyDescent="0.35">
      <c r="A2693" t="s">
        <v>110</v>
      </c>
      <c r="B2693">
        <v>202503</v>
      </c>
      <c r="C2693" t="str">
        <f>MID(analisis_productividad__4[[#This Row],[Periodo]],1,4)</f>
        <v>2025</v>
      </c>
      <c r="D2693" t="str">
        <f>MID(analisis_productividad__4[[#This Row],[Periodo]],5,2)</f>
        <v>03</v>
      </c>
      <c r="E2693" t="s">
        <v>34</v>
      </c>
      <c r="F2693" t="s">
        <v>35</v>
      </c>
      <c r="G2693">
        <v>61577</v>
      </c>
      <c r="H2693">
        <v>2347002</v>
      </c>
      <c r="I2693">
        <v>38.115188172043005</v>
      </c>
      <c r="J2693">
        <v>63805.815704606866</v>
      </c>
      <c r="K2693">
        <v>41.5</v>
      </c>
      <c r="L2693">
        <v>43</v>
      </c>
      <c r="M2693">
        <v>36.783512193709683</v>
      </c>
      <c r="N2693">
        <v>2436628</v>
      </c>
    </row>
    <row r="2694" spans="1:14" x14ac:dyDescent="0.35">
      <c r="A2694" t="s">
        <v>92</v>
      </c>
      <c r="B2694">
        <v>202504</v>
      </c>
      <c r="C2694" t="str">
        <f>MID(analisis_productividad__4[[#This Row],[Periodo]],1,4)</f>
        <v>2025</v>
      </c>
      <c r="D2694" t="str">
        <f>MID(analisis_productividad__4[[#This Row],[Periodo]],5,2)</f>
        <v>04</v>
      </c>
      <c r="E2694" t="s">
        <v>11</v>
      </c>
      <c r="F2694" t="s">
        <v>14</v>
      </c>
      <c r="G2694">
        <v>61563</v>
      </c>
      <c r="H2694">
        <v>3653034</v>
      </c>
      <c r="I2694">
        <v>59.33836805555557</v>
      </c>
      <c r="J2694">
        <v>65271.561770757697</v>
      </c>
      <c r="K2694">
        <v>63</v>
      </c>
      <c r="L2694">
        <v>59</v>
      </c>
      <c r="M2694">
        <v>55.966693777451418</v>
      </c>
      <c r="N2694">
        <v>3980602</v>
      </c>
    </row>
    <row r="2695" spans="1:14" x14ac:dyDescent="0.35">
      <c r="A2695" t="s">
        <v>114</v>
      </c>
      <c r="B2695">
        <v>202512</v>
      </c>
      <c r="C2695" t="str">
        <f>MID(analisis_productividad__4[[#This Row],[Periodo]],1,4)</f>
        <v>2025</v>
      </c>
      <c r="D2695" t="str">
        <f>MID(analisis_productividad__4[[#This Row],[Periodo]],5,2)</f>
        <v>12</v>
      </c>
      <c r="E2695" t="s">
        <v>9</v>
      </c>
      <c r="F2695" t="s">
        <v>9</v>
      </c>
      <c r="G2695">
        <v>61555</v>
      </c>
      <c r="H2695">
        <v>1162585</v>
      </c>
      <c r="I2695">
        <v>18.886780913978487</v>
      </c>
      <c r="J2695">
        <v>67174.379761159027</v>
      </c>
      <c r="K2695">
        <v>13.5</v>
      </c>
      <c r="L2695">
        <v>14.5</v>
      </c>
      <c r="M2695">
        <v>17.306969325710387</v>
      </c>
      <c r="N2695">
        <v>1363035</v>
      </c>
    </row>
    <row r="2696" spans="1:14" x14ac:dyDescent="0.35">
      <c r="A2696" t="s">
        <v>114</v>
      </c>
      <c r="B2696">
        <v>202409</v>
      </c>
      <c r="C2696" t="str">
        <f>MID(analisis_productividad__4[[#This Row],[Periodo]],1,4)</f>
        <v>2024</v>
      </c>
      <c r="D2696" t="str">
        <f>MID(analisis_productividad__4[[#This Row],[Periodo]],5,2)</f>
        <v>09</v>
      </c>
      <c r="E2696" t="s">
        <v>9</v>
      </c>
      <c r="F2696" t="s">
        <v>9</v>
      </c>
      <c r="G2696">
        <v>61539</v>
      </c>
      <c r="H2696">
        <v>822095</v>
      </c>
      <c r="I2696">
        <v>13.358965277777779</v>
      </c>
      <c r="J2696">
        <v>0</v>
      </c>
      <c r="K2696">
        <v>13.5</v>
      </c>
      <c r="L2696">
        <v>14.5</v>
      </c>
      <c r="N2696">
        <v>0</v>
      </c>
    </row>
    <row r="2697" spans="1:14" x14ac:dyDescent="0.35">
      <c r="A2697" t="s">
        <v>73</v>
      </c>
      <c r="B2697">
        <v>202405</v>
      </c>
      <c r="C2697" t="str">
        <f>MID(analisis_productividad__4[[#This Row],[Periodo]],1,4)</f>
        <v>2024</v>
      </c>
      <c r="D2697" t="str">
        <f>MID(analisis_productividad__4[[#This Row],[Periodo]],5,2)</f>
        <v>05</v>
      </c>
      <c r="E2697" t="s">
        <v>16</v>
      </c>
      <c r="F2697" t="s">
        <v>21</v>
      </c>
      <c r="G2697">
        <v>61538</v>
      </c>
      <c r="H2697">
        <v>2561476</v>
      </c>
      <c r="I2697">
        <v>41.624220430107535</v>
      </c>
      <c r="J2697">
        <v>0</v>
      </c>
      <c r="K2697">
        <v>43.5</v>
      </c>
      <c r="L2697">
        <v>41</v>
      </c>
      <c r="N2697">
        <v>0</v>
      </c>
    </row>
    <row r="2698" spans="1:14" x14ac:dyDescent="0.35">
      <c r="A2698" t="s">
        <v>113</v>
      </c>
      <c r="B2698">
        <v>202401</v>
      </c>
      <c r="C2698" t="str">
        <f>MID(analisis_productividad__4[[#This Row],[Periodo]],1,4)</f>
        <v>2024</v>
      </c>
      <c r="D2698" t="str">
        <f>MID(analisis_productividad__4[[#This Row],[Periodo]],5,2)</f>
        <v>01</v>
      </c>
      <c r="E2698" t="s">
        <v>9</v>
      </c>
      <c r="F2698" t="s">
        <v>9</v>
      </c>
      <c r="G2698">
        <v>61522</v>
      </c>
      <c r="H2698">
        <v>608172</v>
      </c>
      <c r="I2698">
        <v>9.8854771505376373</v>
      </c>
      <c r="J2698">
        <v>0</v>
      </c>
      <c r="K2698">
        <v>11.5</v>
      </c>
      <c r="L2698">
        <v>10</v>
      </c>
      <c r="N2698">
        <v>0</v>
      </c>
    </row>
    <row r="2699" spans="1:14" x14ac:dyDescent="0.35">
      <c r="A2699" t="s">
        <v>114</v>
      </c>
      <c r="B2699">
        <v>202405</v>
      </c>
      <c r="C2699" t="str">
        <f>MID(analisis_productividad__4[[#This Row],[Periodo]],1,4)</f>
        <v>2024</v>
      </c>
      <c r="D2699" t="str">
        <f>MID(analisis_productividad__4[[#This Row],[Periodo]],5,2)</f>
        <v>05</v>
      </c>
      <c r="E2699" t="s">
        <v>9</v>
      </c>
      <c r="F2699" t="s">
        <v>9</v>
      </c>
      <c r="G2699">
        <v>61506</v>
      </c>
      <c r="H2699">
        <v>914045</v>
      </c>
      <c r="I2699">
        <v>14.860981182795701</v>
      </c>
      <c r="J2699">
        <v>0</v>
      </c>
      <c r="K2699">
        <v>13.5</v>
      </c>
      <c r="L2699">
        <v>14.5</v>
      </c>
      <c r="N2699">
        <v>0</v>
      </c>
    </row>
    <row r="2700" spans="1:14" x14ac:dyDescent="0.35">
      <c r="A2700" t="s">
        <v>71</v>
      </c>
      <c r="B2700">
        <v>202401</v>
      </c>
      <c r="C2700" t="str">
        <f>MID(analisis_productividad__4[[#This Row],[Periodo]],1,4)</f>
        <v>2024</v>
      </c>
      <c r="D2700" t="str">
        <f>MID(analisis_productividad__4[[#This Row],[Periodo]],5,2)</f>
        <v>01</v>
      </c>
      <c r="E2700" t="s">
        <v>16</v>
      </c>
      <c r="F2700" t="s">
        <v>19</v>
      </c>
      <c r="G2700">
        <v>61497</v>
      </c>
      <c r="H2700">
        <v>1966223</v>
      </c>
      <c r="I2700">
        <v>31.972641129032255</v>
      </c>
      <c r="J2700">
        <v>0</v>
      </c>
      <c r="K2700">
        <v>41.5</v>
      </c>
      <c r="L2700">
        <v>35.5</v>
      </c>
      <c r="N2700">
        <v>0</v>
      </c>
    </row>
    <row r="2701" spans="1:14" x14ac:dyDescent="0.35">
      <c r="A2701" t="s">
        <v>124</v>
      </c>
      <c r="B2701">
        <v>202404</v>
      </c>
      <c r="C2701" t="str">
        <f>MID(analisis_productividad__4[[#This Row],[Periodo]],1,4)</f>
        <v>2024</v>
      </c>
      <c r="D2701" t="str">
        <f>MID(analisis_productividad__4[[#This Row],[Periodo]],5,2)</f>
        <v>04</v>
      </c>
      <c r="E2701" t="s">
        <v>9</v>
      </c>
      <c r="F2701" t="s">
        <v>9</v>
      </c>
      <c r="G2701">
        <v>61486</v>
      </c>
      <c r="H2701">
        <v>596769</v>
      </c>
      <c r="I2701">
        <v>9.7057430555555548</v>
      </c>
      <c r="J2701">
        <v>0</v>
      </c>
      <c r="K2701">
        <v>11</v>
      </c>
      <c r="L2701">
        <v>12</v>
      </c>
      <c r="N2701">
        <v>0</v>
      </c>
    </row>
    <row r="2702" spans="1:14" x14ac:dyDescent="0.35">
      <c r="A2702" t="s">
        <v>107</v>
      </c>
      <c r="B2702">
        <v>202501</v>
      </c>
      <c r="C2702" t="str">
        <f>MID(analisis_productividad__4[[#This Row],[Periodo]],1,4)</f>
        <v>2025</v>
      </c>
      <c r="D2702" t="str">
        <f>MID(analisis_productividad__4[[#This Row],[Periodo]],5,2)</f>
        <v>01</v>
      </c>
      <c r="E2702" t="s">
        <v>34</v>
      </c>
      <c r="F2702" t="s">
        <v>35</v>
      </c>
      <c r="G2702">
        <v>61482</v>
      </c>
      <c r="H2702">
        <v>4780613</v>
      </c>
      <c r="I2702">
        <v>77.756122311827951</v>
      </c>
      <c r="J2702">
        <v>74321.899393539526</v>
      </c>
      <c r="K2702">
        <v>87</v>
      </c>
      <c r="L2702">
        <v>77.5</v>
      </c>
      <c r="M2702">
        <v>64.323069902806566</v>
      </c>
      <c r="N2702">
        <v>5317650</v>
      </c>
    </row>
    <row r="2703" spans="1:14" x14ac:dyDescent="0.35">
      <c r="A2703" t="s">
        <v>117</v>
      </c>
      <c r="B2703">
        <v>202412</v>
      </c>
      <c r="C2703" t="str">
        <f>MID(analisis_productividad__4[[#This Row],[Periodo]],1,4)</f>
        <v>2024</v>
      </c>
      <c r="D2703" t="str">
        <f>MID(analisis_productividad__4[[#This Row],[Periodo]],5,2)</f>
        <v>12</v>
      </c>
      <c r="E2703" t="s">
        <v>104</v>
      </c>
      <c r="F2703" t="s">
        <v>104</v>
      </c>
      <c r="G2703">
        <v>61479</v>
      </c>
      <c r="H2703">
        <v>3892343</v>
      </c>
      <c r="I2703">
        <v>63.31142473118279</v>
      </c>
      <c r="J2703">
        <v>0</v>
      </c>
      <c r="K2703">
        <v>66</v>
      </c>
      <c r="L2703">
        <v>65.5</v>
      </c>
      <c r="N2703">
        <v>0</v>
      </c>
    </row>
    <row r="2704" spans="1:14" x14ac:dyDescent="0.35">
      <c r="A2704" t="s">
        <v>110</v>
      </c>
      <c r="B2704">
        <v>202401</v>
      </c>
      <c r="C2704" t="str">
        <f>MID(analisis_productividad__4[[#This Row],[Periodo]],1,4)</f>
        <v>2024</v>
      </c>
      <c r="D2704" t="str">
        <f>MID(analisis_productividad__4[[#This Row],[Periodo]],5,2)</f>
        <v>01</v>
      </c>
      <c r="E2704" t="s">
        <v>34</v>
      </c>
      <c r="F2704" t="s">
        <v>35</v>
      </c>
      <c r="G2704">
        <v>61473</v>
      </c>
      <c r="H2704">
        <v>2267898</v>
      </c>
      <c r="I2704">
        <v>36.892540322580651</v>
      </c>
      <c r="J2704">
        <v>0</v>
      </c>
      <c r="K2704">
        <v>41.5</v>
      </c>
      <c r="L2704">
        <v>43</v>
      </c>
      <c r="N2704">
        <v>0</v>
      </c>
    </row>
    <row r="2705" spans="1:14" x14ac:dyDescent="0.35">
      <c r="A2705" t="s">
        <v>117</v>
      </c>
      <c r="B2705">
        <v>202509</v>
      </c>
      <c r="C2705" t="str">
        <f>MID(analisis_productividad__4[[#This Row],[Periodo]],1,4)</f>
        <v>2025</v>
      </c>
      <c r="D2705" t="str">
        <f>MID(analisis_productividad__4[[#This Row],[Periodo]],5,2)</f>
        <v>09</v>
      </c>
      <c r="E2705" t="s">
        <v>104</v>
      </c>
      <c r="F2705" t="s">
        <v>104</v>
      </c>
      <c r="G2705">
        <v>61471</v>
      </c>
      <c r="H2705">
        <v>3628906</v>
      </c>
      <c r="I2705">
        <v>59.034548611111134</v>
      </c>
      <c r="J2705">
        <v>62641.475536460101</v>
      </c>
      <c r="K2705">
        <v>66</v>
      </c>
      <c r="L2705">
        <v>65.5</v>
      </c>
      <c r="M2705">
        <v>57.931358719157508</v>
      </c>
      <c r="N2705">
        <v>3836609</v>
      </c>
    </row>
    <row r="2706" spans="1:14" x14ac:dyDescent="0.35">
      <c r="A2706" t="s">
        <v>48</v>
      </c>
      <c r="B2706">
        <v>202404</v>
      </c>
      <c r="C2706" t="str">
        <f>MID(analisis_productividad__4[[#This Row],[Periodo]],1,4)</f>
        <v>2024</v>
      </c>
      <c r="D2706" t="str">
        <f>MID(analisis_productividad__4[[#This Row],[Periodo]],5,2)</f>
        <v>04</v>
      </c>
      <c r="E2706" t="s">
        <v>16</v>
      </c>
      <c r="F2706" t="s">
        <v>21</v>
      </c>
      <c r="G2706">
        <v>61409</v>
      </c>
      <c r="H2706">
        <v>3631196</v>
      </c>
      <c r="I2706">
        <v>59.131138888888898</v>
      </c>
      <c r="J2706">
        <v>0</v>
      </c>
      <c r="K2706">
        <v>56</v>
      </c>
      <c r="L2706">
        <v>60</v>
      </c>
      <c r="N2706">
        <v>0</v>
      </c>
    </row>
    <row r="2707" spans="1:14" x14ac:dyDescent="0.35">
      <c r="A2707" t="s">
        <v>108</v>
      </c>
      <c r="B2707">
        <v>202411</v>
      </c>
      <c r="C2707" t="str">
        <f>MID(analisis_productividad__4[[#This Row],[Periodo]],1,4)</f>
        <v>2024</v>
      </c>
      <c r="D2707" t="str">
        <f>MID(analisis_productividad__4[[#This Row],[Periodo]],5,2)</f>
        <v>11</v>
      </c>
      <c r="E2707" t="s">
        <v>11</v>
      </c>
      <c r="F2707" t="s">
        <v>14</v>
      </c>
      <c r="G2707">
        <v>61375</v>
      </c>
      <c r="H2707">
        <v>2724824</v>
      </c>
      <c r="I2707">
        <v>44.39609027777778</v>
      </c>
      <c r="J2707">
        <v>0</v>
      </c>
      <c r="K2707">
        <v>47.5</v>
      </c>
      <c r="L2707">
        <v>43</v>
      </c>
      <c r="N2707">
        <v>0</v>
      </c>
    </row>
    <row r="2708" spans="1:14" x14ac:dyDescent="0.35">
      <c r="A2708" t="s">
        <v>115</v>
      </c>
      <c r="B2708">
        <v>202403</v>
      </c>
      <c r="C2708" t="str">
        <f>MID(analisis_productividad__4[[#This Row],[Periodo]],1,4)</f>
        <v>2024</v>
      </c>
      <c r="D2708" t="str">
        <f>MID(analisis_productividad__4[[#This Row],[Periodo]],5,2)</f>
        <v>03</v>
      </c>
      <c r="E2708" t="s">
        <v>34</v>
      </c>
      <c r="F2708" t="s">
        <v>35</v>
      </c>
      <c r="G2708">
        <v>61333</v>
      </c>
      <c r="H2708">
        <v>3285366</v>
      </c>
      <c r="I2708">
        <v>53.565900537634384</v>
      </c>
      <c r="J2708">
        <v>0</v>
      </c>
      <c r="K2708">
        <v>53.5</v>
      </c>
      <c r="L2708">
        <v>51</v>
      </c>
      <c r="N2708">
        <v>0</v>
      </c>
    </row>
    <row r="2709" spans="1:14" x14ac:dyDescent="0.35">
      <c r="A2709" t="s">
        <v>116</v>
      </c>
      <c r="B2709">
        <v>202507</v>
      </c>
      <c r="C2709" t="str">
        <f>MID(analisis_productividad__4[[#This Row],[Periodo]],1,4)</f>
        <v>2025</v>
      </c>
      <c r="D2709" t="str">
        <f>MID(analisis_productividad__4[[#This Row],[Periodo]],5,2)</f>
        <v>07</v>
      </c>
      <c r="E2709" t="s">
        <v>9</v>
      </c>
      <c r="F2709" t="s">
        <v>9</v>
      </c>
      <c r="G2709">
        <v>61317</v>
      </c>
      <c r="H2709">
        <v>652448</v>
      </c>
      <c r="I2709">
        <v>10.640611559139789</v>
      </c>
      <c r="J2709">
        <v>61898.1737404542</v>
      </c>
      <c r="K2709">
        <v>11.5</v>
      </c>
      <c r="L2709">
        <v>10</v>
      </c>
      <c r="M2709">
        <v>10.540662519960359</v>
      </c>
      <c r="N2709">
        <v>703877</v>
      </c>
    </row>
    <row r="2710" spans="1:14" x14ac:dyDescent="0.35">
      <c r="A2710" t="s">
        <v>98</v>
      </c>
      <c r="B2710">
        <v>202404</v>
      </c>
      <c r="C2710" t="str">
        <f>MID(analisis_productividad__4[[#This Row],[Periodo]],1,4)</f>
        <v>2024</v>
      </c>
      <c r="D2710" t="str">
        <f>MID(analisis_productividad__4[[#This Row],[Periodo]],5,2)</f>
        <v>04</v>
      </c>
      <c r="E2710" t="s">
        <v>11</v>
      </c>
      <c r="F2710" t="s">
        <v>14</v>
      </c>
      <c r="G2710">
        <v>61265</v>
      </c>
      <c r="H2710">
        <v>3537290</v>
      </c>
      <c r="I2710">
        <v>57.737701388888908</v>
      </c>
      <c r="J2710">
        <v>0</v>
      </c>
      <c r="K2710">
        <v>61.5</v>
      </c>
      <c r="L2710">
        <v>56</v>
      </c>
      <c r="N2710">
        <v>0</v>
      </c>
    </row>
    <row r="2711" spans="1:14" x14ac:dyDescent="0.35">
      <c r="A2711" t="s">
        <v>95</v>
      </c>
      <c r="B2711">
        <v>202501</v>
      </c>
      <c r="C2711" t="str">
        <f>MID(analisis_productividad__4[[#This Row],[Periodo]],1,4)</f>
        <v>2025</v>
      </c>
      <c r="D2711" t="str">
        <f>MID(analisis_productividad__4[[#This Row],[Periodo]],5,2)</f>
        <v>01</v>
      </c>
      <c r="E2711" t="s">
        <v>9</v>
      </c>
      <c r="F2711" t="s">
        <v>9</v>
      </c>
      <c r="G2711">
        <v>61258</v>
      </c>
      <c r="H2711">
        <v>609575</v>
      </c>
      <c r="I2711">
        <v>9.950866935483873</v>
      </c>
      <c r="J2711">
        <v>73480.818267320661</v>
      </c>
      <c r="K2711">
        <v>11</v>
      </c>
      <c r="L2711">
        <v>11</v>
      </c>
      <c r="M2711">
        <v>8.2956985833008616</v>
      </c>
      <c r="N2711">
        <v>667618</v>
      </c>
    </row>
    <row r="2712" spans="1:14" x14ac:dyDescent="0.35">
      <c r="A2712" t="s">
        <v>109</v>
      </c>
      <c r="B2712">
        <v>202601</v>
      </c>
      <c r="C2712" t="str">
        <f>MID(analisis_productividad__4[[#This Row],[Periodo]],1,4)</f>
        <v>2026</v>
      </c>
      <c r="D2712" t="str">
        <f>MID(analisis_productividad__4[[#This Row],[Periodo]],5,2)</f>
        <v>01</v>
      </c>
      <c r="E2712" t="s">
        <v>9</v>
      </c>
      <c r="F2712" t="s">
        <v>9</v>
      </c>
      <c r="G2712">
        <v>61208</v>
      </c>
      <c r="H2712">
        <v>465374</v>
      </c>
      <c r="I2712">
        <v>7.6031384408602163</v>
      </c>
      <c r="J2712">
        <v>64884.803833776772</v>
      </c>
      <c r="K2712">
        <v>10</v>
      </c>
      <c r="L2712">
        <v>9</v>
      </c>
      <c r="M2712">
        <v>8.1521894564878892</v>
      </c>
      <c r="N2712">
        <v>528953</v>
      </c>
    </row>
    <row r="2713" spans="1:14" x14ac:dyDescent="0.35">
      <c r="A2713" t="s">
        <v>92</v>
      </c>
      <c r="B2713">
        <v>202409</v>
      </c>
      <c r="C2713" t="str">
        <f>MID(analisis_productividad__4[[#This Row],[Periodo]],1,4)</f>
        <v>2024</v>
      </c>
      <c r="D2713" t="str">
        <f>MID(analisis_productividad__4[[#This Row],[Periodo]],5,2)</f>
        <v>09</v>
      </c>
      <c r="E2713" t="s">
        <v>11</v>
      </c>
      <c r="F2713" t="s">
        <v>14</v>
      </c>
      <c r="G2713">
        <v>61206</v>
      </c>
      <c r="H2713">
        <v>3574601</v>
      </c>
      <c r="I2713">
        <v>58.402895833333339</v>
      </c>
      <c r="J2713">
        <v>0</v>
      </c>
      <c r="K2713">
        <v>63</v>
      </c>
      <c r="L2713">
        <v>59</v>
      </c>
      <c r="N2713">
        <v>0</v>
      </c>
    </row>
    <row r="2714" spans="1:14" x14ac:dyDescent="0.35">
      <c r="A2714" t="s">
        <v>91</v>
      </c>
      <c r="B2714">
        <v>202404</v>
      </c>
      <c r="C2714" t="str">
        <f>MID(analisis_productividad__4[[#This Row],[Periodo]],1,4)</f>
        <v>2024</v>
      </c>
      <c r="D2714" t="str">
        <f>MID(analisis_productividad__4[[#This Row],[Periodo]],5,2)</f>
        <v>04</v>
      </c>
      <c r="E2714" t="s">
        <v>11</v>
      </c>
      <c r="F2714" t="s">
        <v>12</v>
      </c>
      <c r="G2714">
        <v>61177</v>
      </c>
      <c r="H2714">
        <v>3338291</v>
      </c>
      <c r="I2714">
        <v>54.567625000000007</v>
      </c>
      <c r="J2714">
        <v>0</v>
      </c>
      <c r="K2714">
        <v>55</v>
      </c>
      <c r="L2714">
        <v>55.5</v>
      </c>
      <c r="N2714">
        <v>0</v>
      </c>
    </row>
    <row r="2715" spans="1:14" x14ac:dyDescent="0.35">
      <c r="A2715" t="s">
        <v>101</v>
      </c>
      <c r="B2715">
        <v>202404</v>
      </c>
      <c r="C2715" t="str">
        <f>MID(analisis_productividad__4[[#This Row],[Periodo]],1,4)</f>
        <v>2024</v>
      </c>
      <c r="D2715" t="str">
        <f>MID(analisis_productividad__4[[#This Row],[Periodo]],5,2)</f>
        <v>04</v>
      </c>
      <c r="E2715" t="s">
        <v>9</v>
      </c>
      <c r="F2715" t="s">
        <v>9</v>
      </c>
      <c r="G2715">
        <v>61165</v>
      </c>
      <c r="H2715">
        <v>337045</v>
      </c>
      <c r="I2715">
        <v>5.5104583333333323</v>
      </c>
      <c r="J2715">
        <v>0</v>
      </c>
      <c r="K2715">
        <v>8.5</v>
      </c>
      <c r="L2715">
        <v>6.5</v>
      </c>
      <c r="N2715">
        <v>0</v>
      </c>
    </row>
    <row r="2716" spans="1:14" x14ac:dyDescent="0.35">
      <c r="A2716" t="s">
        <v>89</v>
      </c>
      <c r="B2716">
        <v>202511</v>
      </c>
      <c r="C2716" t="str">
        <f>MID(analisis_productividad__4[[#This Row],[Periodo]],1,4)</f>
        <v>2025</v>
      </c>
      <c r="D2716" t="str">
        <f>MID(analisis_productividad__4[[#This Row],[Periodo]],5,2)</f>
        <v>11</v>
      </c>
      <c r="E2716" t="s">
        <v>9</v>
      </c>
      <c r="F2716" t="s">
        <v>9</v>
      </c>
      <c r="G2716">
        <v>61161</v>
      </c>
      <c r="H2716">
        <v>968081</v>
      </c>
      <c r="I2716">
        <v>15.828312499999992</v>
      </c>
      <c r="J2716">
        <v>64737.796761738675</v>
      </c>
      <c r="K2716">
        <v>17</v>
      </c>
      <c r="L2716">
        <v>13.5</v>
      </c>
      <c r="M2716">
        <v>14.953875145966586</v>
      </c>
      <c r="N2716">
        <v>1088357</v>
      </c>
    </row>
    <row r="2717" spans="1:14" x14ac:dyDescent="0.35">
      <c r="A2717" t="s">
        <v>82</v>
      </c>
      <c r="B2717">
        <v>202404</v>
      </c>
      <c r="C2717" t="str">
        <f>MID(analisis_productividad__4[[#This Row],[Periodo]],1,4)</f>
        <v>2024</v>
      </c>
      <c r="D2717" t="str">
        <f>MID(analisis_productividad__4[[#This Row],[Periodo]],5,2)</f>
        <v>04</v>
      </c>
      <c r="E2717" t="s">
        <v>11</v>
      </c>
      <c r="F2717" t="s">
        <v>12</v>
      </c>
      <c r="G2717">
        <v>61154</v>
      </c>
      <c r="H2717">
        <v>3389244</v>
      </c>
      <c r="I2717">
        <v>55.421819444444445</v>
      </c>
      <c r="J2717">
        <v>0</v>
      </c>
      <c r="K2717">
        <v>53.5</v>
      </c>
      <c r="L2717">
        <v>54</v>
      </c>
      <c r="N2717">
        <v>0</v>
      </c>
    </row>
    <row r="2718" spans="1:14" x14ac:dyDescent="0.35">
      <c r="A2718" t="s">
        <v>112</v>
      </c>
      <c r="B2718">
        <v>202404</v>
      </c>
      <c r="C2718" t="str">
        <f>MID(analisis_productividad__4[[#This Row],[Periodo]],1,4)</f>
        <v>2024</v>
      </c>
      <c r="D2718" t="str">
        <f>MID(analisis_productividad__4[[#This Row],[Periodo]],5,2)</f>
        <v>04</v>
      </c>
      <c r="E2718" t="s">
        <v>34</v>
      </c>
      <c r="F2718" t="s">
        <v>35</v>
      </c>
      <c r="G2718">
        <v>61123</v>
      </c>
      <c r="H2718">
        <v>1707532</v>
      </c>
      <c r="I2718">
        <v>27.935881944444443</v>
      </c>
      <c r="J2718">
        <v>0</v>
      </c>
      <c r="K2718">
        <v>31</v>
      </c>
      <c r="L2718">
        <v>27</v>
      </c>
      <c r="N2718">
        <v>0</v>
      </c>
    </row>
    <row r="2719" spans="1:14" x14ac:dyDescent="0.35">
      <c r="A2719" t="s">
        <v>111</v>
      </c>
      <c r="B2719">
        <v>202509</v>
      </c>
      <c r="C2719" t="str">
        <f>MID(analisis_productividad__4[[#This Row],[Periodo]],1,4)</f>
        <v>2025</v>
      </c>
      <c r="D2719" t="str">
        <f>MID(analisis_productividad__4[[#This Row],[Periodo]],5,2)</f>
        <v>09</v>
      </c>
      <c r="E2719" t="s">
        <v>34</v>
      </c>
      <c r="F2719" t="s">
        <v>35</v>
      </c>
      <c r="G2719">
        <v>61096</v>
      </c>
      <c r="H2719">
        <v>2126028</v>
      </c>
      <c r="I2719">
        <v>34.798312499999987</v>
      </c>
      <c r="J2719">
        <v>58056.786087450106</v>
      </c>
      <c r="K2719">
        <v>45.5</v>
      </c>
      <c r="L2719">
        <v>42.5</v>
      </c>
      <c r="M2719">
        <v>36.619800944502757</v>
      </c>
      <c r="N2719">
        <v>2408983</v>
      </c>
    </row>
    <row r="2720" spans="1:14" x14ac:dyDescent="0.35">
      <c r="A2720" t="s">
        <v>102</v>
      </c>
      <c r="B2720">
        <v>202407</v>
      </c>
      <c r="C2720" t="str">
        <f>MID(analisis_productividad__4[[#This Row],[Periodo]],1,4)</f>
        <v>2024</v>
      </c>
      <c r="D2720" t="str">
        <f>MID(analisis_productividad__4[[#This Row],[Periodo]],5,2)</f>
        <v>07</v>
      </c>
      <c r="E2720" t="s">
        <v>11</v>
      </c>
      <c r="F2720" t="s">
        <v>12</v>
      </c>
      <c r="G2720">
        <v>61092</v>
      </c>
      <c r="H2720">
        <v>1982991</v>
      </c>
      <c r="I2720">
        <v>32.459112903225808</v>
      </c>
      <c r="J2720">
        <v>0</v>
      </c>
      <c r="K2720">
        <v>34</v>
      </c>
      <c r="L2720">
        <v>34</v>
      </c>
      <c r="N2720">
        <v>0</v>
      </c>
    </row>
    <row r="2721" spans="1:14" x14ac:dyDescent="0.35">
      <c r="A2721" t="s">
        <v>123</v>
      </c>
      <c r="B2721">
        <v>202603</v>
      </c>
      <c r="C2721" t="str">
        <f>MID(analisis_productividad__4[[#This Row],[Periodo]],1,4)</f>
        <v>2026</v>
      </c>
      <c r="D2721" t="str">
        <f>MID(analisis_productividad__4[[#This Row],[Periodo]],5,2)</f>
        <v>03</v>
      </c>
      <c r="E2721" t="s">
        <v>9</v>
      </c>
      <c r="F2721" t="s">
        <v>9</v>
      </c>
      <c r="G2721">
        <v>61046</v>
      </c>
      <c r="H2721">
        <v>566105</v>
      </c>
      <c r="I2721">
        <v>9.2733534946236578</v>
      </c>
      <c r="J2721">
        <v>58583.964674689523</v>
      </c>
      <c r="K2721">
        <v>11</v>
      </c>
      <c r="L2721">
        <v>10</v>
      </c>
      <c r="M2721">
        <v>10.023956063077975</v>
      </c>
      <c r="N2721">
        <v>587243</v>
      </c>
    </row>
    <row r="2722" spans="1:14" x14ac:dyDescent="0.35">
      <c r="A2722" t="s">
        <v>102</v>
      </c>
      <c r="B2722">
        <v>202411</v>
      </c>
      <c r="C2722" t="str">
        <f>MID(analisis_productividad__4[[#This Row],[Periodo]],1,4)</f>
        <v>2024</v>
      </c>
      <c r="D2722" t="str">
        <f>MID(analisis_productividad__4[[#This Row],[Periodo]],5,2)</f>
        <v>11</v>
      </c>
      <c r="E2722" t="s">
        <v>11</v>
      </c>
      <c r="F2722" t="s">
        <v>12</v>
      </c>
      <c r="G2722">
        <v>61036</v>
      </c>
      <c r="H2722">
        <v>1767853</v>
      </c>
      <c r="I2722">
        <v>28.96425</v>
      </c>
      <c r="J2722">
        <v>0</v>
      </c>
      <c r="K2722">
        <v>34</v>
      </c>
      <c r="L2722">
        <v>34</v>
      </c>
      <c r="N2722">
        <v>0</v>
      </c>
    </row>
    <row r="2723" spans="1:14" x14ac:dyDescent="0.35">
      <c r="A2723" t="s">
        <v>45</v>
      </c>
      <c r="B2723">
        <v>202504</v>
      </c>
      <c r="C2723" t="str">
        <f>MID(analisis_productividad__4[[#This Row],[Periodo]],1,4)</f>
        <v>2025</v>
      </c>
      <c r="D2723" t="str">
        <f>MID(analisis_productividad__4[[#This Row],[Periodo]],5,2)</f>
        <v>04</v>
      </c>
      <c r="E2723" t="s">
        <v>34</v>
      </c>
      <c r="F2723" t="s">
        <v>35</v>
      </c>
      <c r="G2723">
        <v>60971</v>
      </c>
      <c r="H2723">
        <v>1251344</v>
      </c>
      <c r="I2723">
        <v>20.523562500000008</v>
      </c>
      <c r="J2723">
        <v>47904.603429141003</v>
      </c>
      <c r="K2723">
        <v>22.5</v>
      </c>
      <c r="L2723">
        <v>21</v>
      </c>
      <c r="M2723">
        <v>26.121576642439983</v>
      </c>
      <c r="N2723">
        <v>877253</v>
      </c>
    </row>
    <row r="2724" spans="1:14" x14ac:dyDescent="0.35">
      <c r="A2724" t="s">
        <v>109</v>
      </c>
      <c r="B2724">
        <v>202604</v>
      </c>
      <c r="C2724" t="str">
        <f>MID(analisis_productividad__4[[#This Row],[Periodo]],1,4)</f>
        <v>2026</v>
      </c>
      <c r="D2724" t="str">
        <f>MID(analisis_productividad__4[[#This Row],[Periodo]],5,2)</f>
        <v>04</v>
      </c>
      <c r="E2724" t="s">
        <v>9</v>
      </c>
      <c r="F2724" t="s">
        <v>9</v>
      </c>
      <c r="G2724">
        <v>60956</v>
      </c>
      <c r="H2724">
        <v>498743</v>
      </c>
      <c r="I2724">
        <v>8.1820763888888877</v>
      </c>
      <c r="J2724">
        <v>54492.477005236789</v>
      </c>
      <c r="K2724">
        <v>10</v>
      </c>
      <c r="L2724">
        <v>9</v>
      </c>
      <c r="M2724">
        <v>8.1521894564878892</v>
      </c>
      <c r="N2724">
        <v>444233</v>
      </c>
    </row>
    <row r="2725" spans="1:14" x14ac:dyDescent="0.35">
      <c r="A2725" t="s">
        <v>114</v>
      </c>
      <c r="B2725">
        <v>202402</v>
      </c>
      <c r="C2725" t="str">
        <f>MID(analisis_productividad__4[[#This Row],[Periodo]],1,4)</f>
        <v>2024</v>
      </c>
      <c r="D2725" t="str">
        <f>MID(analisis_productividad__4[[#This Row],[Periodo]],5,2)</f>
        <v>02</v>
      </c>
      <c r="E2725" t="s">
        <v>9</v>
      </c>
      <c r="F2725" t="s">
        <v>9</v>
      </c>
      <c r="G2725">
        <v>60944</v>
      </c>
      <c r="H2725">
        <v>899897</v>
      </c>
      <c r="I2725">
        <v>14.766027298850577</v>
      </c>
      <c r="J2725">
        <v>0</v>
      </c>
      <c r="K2725">
        <v>13.5</v>
      </c>
      <c r="L2725">
        <v>14.5</v>
      </c>
      <c r="N2725">
        <v>0</v>
      </c>
    </row>
    <row r="2726" spans="1:14" x14ac:dyDescent="0.35">
      <c r="A2726" t="s">
        <v>109</v>
      </c>
      <c r="B2726">
        <v>202401</v>
      </c>
      <c r="C2726" t="str">
        <f>MID(analisis_productividad__4[[#This Row],[Periodo]],1,4)</f>
        <v>2024</v>
      </c>
      <c r="D2726" t="str">
        <f>MID(analisis_productividad__4[[#This Row],[Periodo]],5,2)</f>
        <v>01</v>
      </c>
      <c r="E2726" t="s">
        <v>9</v>
      </c>
      <c r="F2726" t="s">
        <v>9</v>
      </c>
      <c r="G2726">
        <v>60910</v>
      </c>
      <c r="H2726">
        <v>548623</v>
      </c>
      <c r="I2726">
        <v>9.0071370967741942</v>
      </c>
      <c r="J2726">
        <v>0</v>
      </c>
      <c r="K2726">
        <v>10</v>
      </c>
      <c r="L2726">
        <v>9</v>
      </c>
      <c r="N2726">
        <v>0</v>
      </c>
    </row>
    <row r="2727" spans="1:14" x14ac:dyDescent="0.35">
      <c r="A2727" t="s">
        <v>48</v>
      </c>
      <c r="B2727">
        <v>202410</v>
      </c>
      <c r="C2727" t="str">
        <f>MID(analisis_productividad__4[[#This Row],[Periodo]],1,4)</f>
        <v>2024</v>
      </c>
      <c r="D2727" t="str">
        <f>MID(analisis_productividad__4[[#This Row],[Periodo]],5,2)</f>
        <v>10</v>
      </c>
      <c r="E2727" t="s">
        <v>16</v>
      </c>
      <c r="F2727" t="s">
        <v>21</v>
      </c>
      <c r="G2727">
        <v>60903</v>
      </c>
      <c r="H2727">
        <v>3183302</v>
      </c>
      <c r="I2727">
        <v>52.268124999999998</v>
      </c>
      <c r="J2727">
        <v>0</v>
      </c>
      <c r="K2727">
        <v>56</v>
      </c>
      <c r="L2727">
        <v>60</v>
      </c>
      <c r="N2727">
        <v>0</v>
      </c>
    </row>
    <row r="2728" spans="1:14" x14ac:dyDescent="0.35">
      <c r="A2728" t="s">
        <v>108</v>
      </c>
      <c r="B2728">
        <v>202402</v>
      </c>
      <c r="C2728" t="str">
        <f>MID(analisis_productividad__4[[#This Row],[Periodo]],1,4)</f>
        <v>2024</v>
      </c>
      <c r="D2728" t="str">
        <f>MID(analisis_productividad__4[[#This Row],[Periodo]],5,2)</f>
        <v>02</v>
      </c>
      <c r="E2728" t="s">
        <v>11</v>
      </c>
      <c r="F2728" t="s">
        <v>14</v>
      </c>
      <c r="G2728">
        <v>60883</v>
      </c>
      <c r="H2728">
        <v>2892307</v>
      </c>
      <c r="I2728">
        <v>47.506264367816094</v>
      </c>
      <c r="J2728">
        <v>0</v>
      </c>
      <c r="K2728">
        <v>47.5</v>
      </c>
      <c r="L2728">
        <v>43</v>
      </c>
      <c r="N2728">
        <v>0</v>
      </c>
    </row>
    <row r="2729" spans="1:14" x14ac:dyDescent="0.35">
      <c r="A2729" t="s">
        <v>118</v>
      </c>
      <c r="B2729">
        <v>202411</v>
      </c>
      <c r="C2729" t="str">
        <f>MID(analisis_productividad__4[[#This Row],[Periodo]],1,4)</f>
        <v>2024</v>
      </c>
      <c r="D2729" t="str">
        <f>MID(analisis_productividad__4[[#This Row],[Periodo]],5,2)</f>
        <v>11</v>
      </c>
      <c r="E2729" t="s">
        <v>34</v>
      </c>
      <c r="F2729" t="s">
        <v>35</v>
      </c>
      <c r="G2729">
        <v>60870</v>
      </c>
      <c r="H2729">
        <v>1157447</v>
      </c>
      <c r="I2729">
        <v>19.014916666666668</v>
      </c>
      <c r="J2729">
        <v>0</v>
      </c>
      <c r="K2729">
        <v>19</v>
      </c>
      <c r="L2729">
        <v>21.5</v>
      </c>
      <c r="N2729">
        <v>0</v>
      </c>
    </row>
    <row r="2730" spans="1:14" x14ac:dyDescent="0.35">
      <c r="A2730" t="s">
        <v>113</v>
      </c>
      <c r="B2730">
        <v>202506</v>
      </c>
      <c r="C2730" t="str">
        <f>MID(analisis_productividad__4[[#This Row],[Periodo]],1,4)</f>
        <v>2025</v>
      </c>
      <c r="D2730" t="str">
        <f>MID(analisis_productividad__4[[#This Row],[Periodo]],5,2)</f>
        <v>06</v>
      </c>
      <c r="E2730" t="s">
        <v>9</v>
      </c>
      <c r="F2730" t="s">
        <v>9</v>
      </c>
      <c r="G2730">
        <v>60839</v>
      </c>
      <c r="H2730">
        <v>553282</v>
      </c>
      <c r="I2730">
        <v>9.0941666666666663</v>
      </c>
      <c r="J2730">
        <v>68505.811199402466</v>
      </c>
      <c r="K2730">
        <v>11.5</v>
      </c>
      <c r="L2730">
        <v>10</v>
      </c>
      <c r="M2730">
        <v>8.0764214059087873</v>
      </c>
      <c r="N2730">
        <v>639745</v>
      </c>
    </row>
    <row r="2731" spans="1:14" x14ac:dyDescent="0.35">
      <c r="A2731" t="s">
        <v>121</v>
      </c>
      <c r="B2731">
        <v>202508</v>
      </c>
      <c r="C2731" t="str">
        <f>MID(analisis_productividad__4[[#This Row],[Periodo]],1,4)</f>
        <v>2025</v>
      </c>
      <c r="D2731" t="str">
        <f>MID(analisis_productividad__4[[#This Row],[Periodo]],5,2)</f>
        <v>08</v>
      </c>
      <c r="E2731" t="s">
        <v>11</v>
      </c>
      <c r="F2731" t="s">
        <v>14</v>
      </c>
      <c r="G2731">
        <v>60838</v>
      </c>
      <c r="H2731">
        <v>1825597</v>
      </c>
      <c r="I2731">
        <v>30.007654569892466</v>
      </c>
      <c r="J2731">
        <v>61475.135646099086</v>
      </c>
      <c r="K2731">
        <v>36</v>
      </c>
      <c r="L2731">
        <v>35</v>
      </c>
      <c r="M2731">
        <v>29.696502509723917</v>
      </c>
      <c r="N2731">
        <v>2064322</v>
      </c>
    </row>
    <row r="2732" spans="1:14" x14ac:dyDescent="0.35">
      <c r="A2732" t="s">
        <v>124</v>
      </c>
      <c r="B2732">
        <v>202603</v>
      </c>
      <c r="C2732" t="str">
        <f>MID(analisis_productividad__4[[#This Row],[Periodo]],1,4)</f>
        <v>2026</v>
      </c>
      <c r="D2732" t="str">
        <f>MID(analisis_productividad__4[[#This Row],[Periodo]],5,2)</f>
        <v>03</v>
      </c>
      <c r="E2732" t="s">
        <v>9</v>
      </c>
      <c r="F2732" t="s">
        <v>9</v>
      </c>
      <c r="G2732">
        <v>60831</v>
      </c>
      <c r="H2732">
        <v>736031</v>
      </c>
      <c r="I2732">
        <v>12.099650537634407</v>
      </c>
      <c r="J2732">
        <v>75154.427411477256</v>
      </c>
      <c r="K2732">
        <v>11</v>
      </c>
      <c r="L2732">
        <v>12</v>
      </c>
      <c r="M2732">
        <v>10.653753026634384</v>
      </c>
      <c r="N2732">
        <v>800677</v>
      </c>
    </row>
    <row r="2733" spans="1:14" x14ac:dyDescent="0.35">
      <c r="A2733" t="s">
        <v>119</v>
      </c>
      <c r="B2733">
        <v>202509</v>
      </c>
      <c r="C2733" t="str">
        <f>MID(analisis_productividad__4[[#This Row],[Periodo]],1,4)</f>
        <v>2025</v>
      </c>
      <c r="D2733" t="str">
        <f>MID(analisis_productividad__4[[#This Row],[Periodo]],5,2)</f>
        <v>09</v>
      </c>
      <c r="E2733" t="s">
        <v>16</v>
      </c>
      <c r="F2733" t="s">
        <v>21</v>
      </c>
      <c r="G2733">
        <v>60805</v>
      </c>
      <c r="H2733">
        <v>2704834</v>
      </c>
      <c r="I2733">
        <v>44.483736111111121</v>
      </c>
      <c r="J2733">
        <v>65890.492023799947</v>
      </c>
      <c r="K2733">
        <v>52.5</v>
      </c>
      <c r="L2733">
        <v>52.5</v>
      </c>
      <c r="M2733">
        <v>41.050439402137137</v>
      </c>
      <c r="N2733">
        <v>3494292</v>
      </c>
    </row>
    <row r="2734" spans="1:14" x14ac:dyDescent="0.35">
      <c r="A2734" t="s">
        <v>116</v>
      </c>
      <c r="B2734">
        <v>202511</v>
      </c>
      <c r="C2734" t="str">
        <f>MID(analisis_productividad__4[[#This Row],[Periodo]],1,4)</f>
        <v>2025</v>
      </c>
      <c r="D2734" t="str">
        <f>MID(analisis_productividad__4[[#This Row],[Periodo]],5,2)</f>
        <v>11</v>
      </c>
      <c r="E2734" t="s">
        <v>9</v>
      </c>
      <c r="F2734" t="s">
        <v>9</v>
      </c>
      <c r="G2734">
        <v>60801</v>
      </c>
      <c r="H2734">
        <v>599401</v>
      </c>
      <c r="I2734">
        <v>9.8583333333333343</v>
      </c>
      <c r="J2734">
        <v>62533.630136268599</v>
      </c>
      <c r="K2734">
        <v>11.5</v>
      </c>
      <c r="L2734">
        <v>10</v>
      </c>
      <c r="M2734">
        <v>9.5852578635500656</v>
      </c>
      <c r="N2734">
        <v>694560</v>
      </c>
    </row>
    <row r="2735" spans="1:14" x14ac:dyDescent="0.35">
      <c r="A2735" t="s">
        <v>115</v>
      </c>
      <c r="B2735">
        <v>202408</v>
      </c>
      <c r="C2735" t="str">
        <f>MID(analisis_productividad__4[[#This Row],[Periodo]],1,4)</f>
        <v>2024</v>
      </c>
      <c r="D2735" t="str">
        <f>MID(analisis_productividad__4[[#This Row],[Periodo]],5,2)</f>
        <v>08</v>
      </c>
      <c r="E2735" t="s">
        <v>34</v>
      </c>
      <c r="F2735" t="s">
        <v>35</v>
      </c>
      <c r="G2735">
        <v>60797</v>
      </c>
      <c r="H2735">
        <v>3009584</v>
      </c>
      <c r="I2735">
        <v>49.502372311827941</v>
      </c>
      <c r="J2735">
        <v>0</v>
      </c>
      <c r="K2735">
        <v>53.5</v>
      </c>
      <c r="L2735">
        <v>51</v>
      </c>
      <c r="N2735">
        <v>0</v>
      </c>
    </row>
    <row r="2736" spans="1:14" x14ac:dyDescent="0.35">
      <c r="A2736" t="s">
        <v>105</v>
      </c>
      <c r="B2736">
        <v>202403</v>
      </c>
      <c r="C2736" t="str">
        <f>MID(analisis_productividad__4[[#This Row],[Periodo]],1,4)</f>
        <v>2024</v>
      </c>
      <c r="D2736" t="str">
        <f>MID(analisis_productividad__4[[#This Row],[Periodo]],5,2)</f>
        <v>03</v>
      </c>
      <c r="E2736" t="s">
        <v>34</v>
      </c>
      <c r="F2736" t="s">
        <v>35</v>
      </c>
      <c r="G2736">
        <v>60788</v>
      </c>
      <c r="H2736">
        <v>2579412</v>
      </c>
      <c r="I2736">
        <v>42.432795698924721</v>
      </c>
      <c r="J2736">
        <v>0</v>
      </c>
      <c r="K2736">
        <v>33</v>
      </c>
      <c r="L2736">
        <v>31.5</v>
      </c>
      <c r="N2736">
        <v>0</v>
      </c>
    </row>
    <row r="2737" spans="1:14" x14ac:dyDescent="0.35">
      <c r="A2737" t="s">
        <v>110</v>
      </c>
      <c r="B2737">
        <v>202507</v>
      </c>
      <c r="C2737" t="str">
        <f>MID(analisis_productividad__4[[#This Row],[Periodo]],1,4)</f>
        <v>2025</v>
      </c>
      <c r="D2737" t="str">
        <f>MID(analisis_productividad__4[[#This Row],[Periodo]],5,2)</f>
        <v>07</v>
      </c>
      <c r="E2737" t="s">
        <v>34</v>
      </c>
      <c r="F2737" t="s">
        <v>35</v>
      </c>
      <c r="G2737">
        <v>60774</v>
      </c>
      <c r="H2737">
        <v>2136099</v>
      </c>
      <c r="I2737">
        <v>35.148420698924753</v>
      </c>
      <c r="J2737">
        <v>61696.571245355146</v>
      </c>
      <c r="K2737">
        <v>41.5</v>
      </c>
      <c r="L2737">
        <v>43</v>
      </c>
      <c r="M2737">
        <v>34.622651905648929</v>
      </c>
      <c r="N2737">
        <v>2379109</v>
      </c>
    </row>
    <row r="2738" spans="1:14" x14ac:dyDescent="0.35">
      <c r="A2738" t="s">
        <v>110</v>
      </c>
      <c r="B2738">
        <v>202403</v>
      </c>
      <c r="C2738" t="str">
        <f>MID(analisis_productividad__4[[#This Row],[Periodo]],1,4)</f>
        <v>2024</v>
      </c>
      <c r="D2738" t="str">
        <f>MID(analisis_productividad__4[[#This Row],[Periodo]],5,2)</f>
        <v>03</v>
      </c>
      <c r="E2738" t="s">
        <v>34</v>
      </c>
      <c r="F2738" t="s">
        <v>35</v>
      </c>
      <c r="G2738">
        <v>60767</v>
      </c>
      <c r="H2738">
        <v>2449737</v>
      </c>
      <c r="I2738">
        <v>40.313319892473103</v>
      </c>
      <c r="J2738">
        <v>0</v>
      </c>
      <c r="K2738">
        <v>41.5</v>
      </c>
      <c r="L2738">
        <v>43</v>
      </c>
      <c r="N2738">
        <v>0</v>
      </c>
    </row>
    <row r="2739" spans="1:14" x14ac:dyDescent="0.35">
      <c r="A2739" t="s">
        <v>112</v>
      </c>
      <c r="B2739">
        <v>202509</v>
      </c>
      <c r="C2739" t="str">
        <f>MID(analisis_productividad__4[[#This Row],[Periodo]],1,4)</f>
        <v>2025</v>
      </c>
      <c r="D2739" t="str">
        <f>MID(analisis_productividad__4[[#This Row],[Periodo]],5,2)</f>
        <v>09</v>
      </c>
      <c r="E2739" t="s">
        <v>34</v>
      </c>
      <c r="F2739" t="s">
        <v>35</v>
      </c>
      <c r="G2739">
        <v>60736</v>
      </c>
      <c r="H2739">
        <v>1551267</v>
      </c>
      <c r="I2739">
        <v>25.541006944444447</v>
      </c>
      <c r="J2739">
        <v>66695.012886887402</v>
      </c>
      <c r="K2739">
        <v>31</v>
      </c>
      <c r="L2739">
        <v>27</v>
      </c>
      <c r="M2739">
        <v>23.259112980919557</v>
      </c>
      <c r="N2739">
        <v>1609700</v>
      </c>
    </row>
    <row r="2740" spans="1:14" x14ac:dyDescent="0.35">
      <c r="A2740" t="s">
        <v>102</v>
      </c>
      <c r="B2740">
        <v>202605</v>
      </c>
      <c r="C2740" t="str">
        <f>MID(analisis_productividad__4[[#This Row],[Periodo]],1,4)</f>
        <v>2026</v>
      </c>
      <c r="D2740" t="str">
        <f>MID(analisis_productividad__4[[#This Row],[Periodo]],5,2)</f>
        <v>05</v>
      </c>
      <c r="E2740" t="s">
        <v>11</v>
      </c>
      <c r="F2740" t="s">
        <v>12</v>
      </c>
      <c r="G2740">
        <v>60712</v>
      </c>
      <c r="H2740">
        <v>1858752</v>
      </c>
      <c r="I2740">
        <v>30.615779569892776</v>
      </c>
      <c r="J2740">
        <v>64398.840932948719</v>
      </c>
      <c r="K2740">
        <v>34</v>
      </c>
      <c r="L2740">
        <v>34</v>
      </c>
      <c r="M2740">
        <v>29.696606396863505</v>
      </c>
      <c r="N2740">
        <v>1912427</v>
      </c>
    </row>
    <row r="2741" spans="1:14" x14ac:dyDescent="0.35">
      <c r="A2741" t="s">
        <v>127</v>
      </c>
      <c r="B2741">
        <v>202506</v>
      </c>
      <c r="C2741" t="str">
        <f>MID(analisis_productividad__4[[#This Row],[Periodo]],1,4)</f>
        <v>2025</v>
      </c>
      <c r="D2741" t="str">
        <f>MID(analisis_productividad__4[[#This Row],[Periodo]],5,2)</f>
        <v>06</v>
      </c>
      <c r="E2741" t="s">
        <v>104</v>
      </c>
      <c r="F2741" t="s">
        <v>104</v>
      </c>
      <c r="G2741">
        <v>60709</v>
      </c>
      <c r="H2741">
        <v>3244500</v>
      </c>
      <c r="I2741">
        <v>53.443541666666675</v>
      </c>
      <c r="J2741">
        <v>56747.713313363834</v>
      </c>
      <c r="K2741">
        <v>61.5</v>
      </c>
      <c r="L2741">
        <v>56</v>
      </c>
      <c r="M2741">
        <v>57.174115229695694</v>
      </c>
      <c r="N2741">
        <v>3426889</v>
      </c>
    </row>
    <row r="2742" spans="1:14" x14ac:dyDescent="0.35">
      <c r="A2742" t="s">
        <v>118</v>
      </c>
      <c r="B2742">
        <v>202502</v>
      </c>
      <c r="C2742" t="str">
        <f>MID(analisis_productividad__4[[#This Row],[Periodo]],1,4)</f>
        <v>2025</v>
      </c>
      <c r="D2742" t="str">
        <f>MID(analisis_productividad__4[[#This Row],[Periodo]],5,2)</f>
        <v>02</v>
      </c>
      <c r="E2742" t="s">
        <v>34</v>
      </c>
      <c r="F2742" t="s">
        <v>35</v>
      </c>
      <c r="G2742">
        <v>60708</v>
      </c>
      <c r="H2742">
        <v>1170970</v>
      </c>
      <c r="I2742">
        <v>19.288697916666671</v>
      </c>
      <c r="J2742">
        <v>57366.020556004638</v>
      </c>
      <c r="K2742">
        <v>19</v>
      </c>
      <c r="L2742">
        <v>21.5</v>
      </c>
      <c r="M2742">
        <v>20.412263020001859</v>
      </c>
      <c r="N2742">
        <v>1141420</v>
      </c>
    </row>
    <row r="2743" spans="1:14" x14ac:dyDescent="0.35">
      <c r="A2743" t="s">
        <v>112</v>
      </c>
      <c r="B2743">
        <v>202510</v>
      </c>
      <c r="C2743" t="str">
        <f>MID(analisis_productividad__4[[#This Row],[Periodo]],1,4)</f>
        <v>2025</v>
      </c>
      <c r="D2743" t="str">
        <f>MID(analisis_productividad__4[[#This Row],[Periodo]],5,2)</f>
        <v>10</v>
      </c>
      <c r="E2743" t="s">
        <v>34</v>
      </c>
      <c r="F2743" t="s">
        <v>35</v>
      </c>
      <c r="G2743">
        <v>60643</v>
      </c>
      <c r="H2743">
        <v>1547006</v>
      </c>
      <c r="I2743">
        <v>25.510060483870969</v>
      </c>
      <c r="J2743">
        <v>69331.199186136495</v>
      </c>
      <c r="K2743">
        <v>31</v>
      </c>
      <c r="L2743">
        <v>27</v>
      </c>
      <c r="M2743">
        <v>22.313273074170912</v>
      </c>
      <c r="N2743">
        <v>1684326</v>
      </c>
    </row>
    <row r="2744" spans="1:14" x14ac:dyDescent="0.35">
      <c r="A2744" t="s">
        <v>105</v>
      </c>
      <c r="B2744">
        <v>202412</v>
      </c>
      <c r="C2744" t="str">
        <f>MID(analisis_productividad__4[[#This Row],[Periodo]],1,4)</f>
        <v>2024</v>
      </c>
      <c r="D2744" t="str">
        <f>MID(analisis_productividad__4[[#This Row],[Periodo]],5,2)</f>
        <v>12</v>
      </c>
      <c r="E2744" t="s">
        <v>34</v>
      </c>
      <c r="F2744" t="s">
        <v>35</v>
      </c>
      <c r="G2744">
        <v>60600</v>
      </c>
      <c r="H2744">
        <v>3137712</v>
      </c>
      <c r="I2744">
        <v>51.777184139784929</v>
      </c>
      <c r="J2744">
        <v>0</v>
      </c>
      <c r="K2744">
        <v>33</v>
      </c>
      <c r="L2744">
        <v>31.5</v>
      </c>
      <c r="N2744">
        <v>0</v>
      </c>
    </row>
    <row r="2745" spans="1:14" x14ac:dyDescent="0.35">
      <c r="A2745" t="s">
        <v>115</v>
      </c>
      <c r="B2745">
        <v>202510</v>
      </c>
      <c r="C2745" t="str">
        <f>MID(analisis_productividad__4[[#This Row],[Periodo]],1,4)</f>
        <v>2025</v>
      </c>
      <c r="D2745" t="str">
        <f>MID(analisis_productividad__4[[#This Row],[Periodo]],5,2)</f>
        <v>10</v>
      </c>
      <c r="E2745" t="s">
        <v>34</v>
      </c>
      <c r="F2745" t="s">
        <v>35</v>
      </c>
      <c r="G2745">
        <v>60542</v>
      </c>
      <c r="H2745">
        <v>2859461</v>
      </c>
      <c r="I2745">
        <v>47.230665322580663</v>
      </c>
      <c r="J2745">
        <v>56823.434353153483</v>
      </c>
      <c r="K2745">
        <v>53.5</v>
      </c>
      <c r="L2745">
        <v>51</v>
      </c>
      <c r="M2745">
        <v>50.32186460657514</v>
      </c>
      <c r="N2745">
        <v>3261894</v>
      </c>
    </row>
    <row r="2746" spans="1:14" x14ac:dyDescent="0.35">
      <c r="A2746" t="s">
        <v>99</v>
      </c>
      <c r="B2746">
        <v>202407</v>
      </c>
      <c r="C2746" t="str">
        <f>MID(analisis_productividad__4[[#This Row],[Periodo]],1,4)</f>
        <v>2024</v>
      </c>
      <c r="D2746" t="str">
        <f>MID(analisis_productividad__4[[#This Row],[Periodo]],5,2)</f>
        <v>07</v>
      </c>
      <c r="E2746" t="s">
        <v>11</v>
      </c>
      <c r="F2746" t="s">
        <v>12</v>
      </c>
      <c r="G2746">
        <v>60476</v>
      </c>
      <c r="H2746">
        <v>1549399</v>
      </c>
      <c r="I2746">
        <v>25.619905913978496</v>
      </c>
      <c r="J2746">
        <v>0</v>
      </c>
      <c r="K2746">
        <v>27</v>
      </c>
      <c r="L2746">
        <v>27</v>
      </c>
      <c r="N2746">
        <v>0</v>
      </c>
    </row>
    <row r="2747" spans="1:14" x14ac:dyDescent="0.35">
      <c r="A2747" t="s">
        <v>113</v>
      </c>
      <c r="B2747">
        <v>202404</v>
      </c>
      <c r="C2747" t="str">
        <f>MID(analisis_productividad__4[[#This Row],[Periodo]],1,4)</f>
        <v>2024</v>
      </c>
      <c r="D2747" t="str">
        <f>MID(analisis_productividad__4[[#This Row],[Periodo]],5,2)</f>
        <v>04</v>
      </c>
      <c r="E2747" t="s">
        <v>9</v>
      </c>
      <c r="F2747" t="s">
        <v>9</v>
      </c>
      <c r="G2747">
        <v>60475</v>
      </c>
      <c r="H2747">
        <v>585020</v>
      </c>
      <c r="I2747">
        <v>9.6738055555555569</v>
      </c>
      <c r="J2747">
        <v>0</v>
      </c>
      <c r="K2747">
        <v>11.5</v>
      </c>
      <c r="L2747">
        <v>10</v>
      </c>
      <c r="N2747">
        <v>0</v>
      </c>
    </row>
    <row r="2748" spans="1:14" x14ac:dyDescent="0.35">
      <c r="A2748" t="s">
        <v>109</v>
      </c>
      <c r="B2748">
        <v>202402</v>
      </c>
      <c r="C2748" t="str">
        <f>MID(analisis_productividad__4[[#This Row],[Periodo]],1,4)</f>
        <v>2024</v>
      </c>
      <c r="D2748" t="str">
        <f>MID(analisis_productividad__4[[#This Row],[Periodo]],5,2)</f>
        <v>02</v>
      </c>
      <c r="E2748" t="s">
        <v>9</v>
      </c>
      <c r="F2748" t="s">
        <v>9</v>
      </c>
      <c r="G2748">
        <v>60466</v>
      </c>
      <c r="H2748">
        <v>531731</v>
      </c>
      <c r="I2748">
        <v>8.7938505747126445</v>
      </c>
      <c r="J2748">
        <v>0</v>
      </c>
      <c r="K2748">
        <v>10</v>
      </c>
      <c r="L2748">
        <v>9</v>
      </c>
      <c r="N2748">
        <v>0</v>
      </c>
    </row>
    <row r="2749" spans="1:14" x14ac:dyDescent="0.35">
      <c r="A2749" t="s">
        <v>119</v>
      </c>
      <c r="B2749">
        <v>202605</v>
      </c>
      <c r="C2749" t="str">
        <f>MID(analisis_productividad__4[[#This Row],[Periodo]],1,4)</f>
        <v>2026</v>
      </c>
      <c r="D2749" t="str">
        <f>MID(analisis_productividad__4[[#This Row],[Periodo]],5,2)</f>
        <v>05</v>
      </c>
      <c r="E2749" t="s">
        <v>16</v>
      </c>
      <c r="F2749" t="s">
        <v>21</v>
      </c>
      <c r="G2749">
        <v>60430</v>
      </c>
      <c r="H2749">
        <v>2837037</v>
      </c>
      <c r="I2749">
        <v>46.947278225807167</v>
      </c>
      <c r="J2749">
        <v>73265.106943532708</v>
      </c>
      <c r="K2749">
        <v>52.5</v>
      </c>
      <c r="L2749">
        <v>52.5</v>
      </c>
      <c r="M2749">
        <v>46.965208254619732</v>
      </c>
      <c r="N2749">
        <v>3440911</v>
      </c>
    </row>
    <row r="2750" spans="1:14" x14ac:dyDescent="0.35">
      <c r="A2750" t="s">
        <v>110</v>
      </c>
      <c r="B2750">
        <v>202406</v>
      </c>
      <c r="C2750" t="str">
        <f>MID(analisis_productividad__4[[#This Row],[Periodo]],1,4)</f>
        <v>2024</v>
      </c>
      <c r="D2750" t="str">
        <f>MID(analisis_productividad__4[[#This Row],[Periodo]],5,2)</f>
        <v>06</v>
      </c>
      <c r="E2750" t="s">
        <v>34</v>
      </c>
      <c r="F2750" t="s">
        <v>35</v>
      </c>
      <c r="G2750">
        <v>60424</v>
      </c>
      <c r="H2750">
        <v>2273610</v>
      </c>
      <c r="I2750">
        <v>37.62733333333334</v>
      </c>
      <c r="J2750">
        <v>0</v>
      </c>
      <c r="K2750">
        <v>41.5</v>
      </c>
      <c r="L2750">
        <v>43</v>
      </c>
      <c r="N2750">
        <v>0</v>
      </c>
    </row>
    <row r="2751" spans="1:14" x14ac:dyDescent="0.35">
      <c r="A2751" t="s">
        <v>95</v>
      </c>
      <c r="B2751">
        <v>202502</v>
      </c>
      <c r="C2751" t="str">
        <f>MID(analisis_productividad__4[[#This Row],[Periodo]],1,4)</f>
        <v>2025</v>
      </c>
      <c r="D2751" t="str">
        <f>MID(analisis_productividad__4[[#This Row],[Periodo]],5,2)</f>
        <v>02</v>
      </c>
      <c r="E2751" t="s">
        <v>9</v>
      </c>
      <c r="F2751" t="s">
        <v>9</v>
      </c>
      <c r="G2751">
        <v>60405</v>
      </c>
      <c r="H2751">
        <v>604072</v>
      </c>
      <c r="I2751">
        <v>10.000364583333333</v>
      </c>
      <c r="J2751">
        <v>81288.584684543413</v>
      </c>
      <c r="K2751">
        <v>11</v>
      </c>
      <c r="L2751">
        <v>11</v>
      </c>
      <c r="M2751">
        <v>7.4312028231789471</v>
      </c>
      <c r="N2751">
        <v>651006</v>
      </c>
    </row>
    <row r="2752" spans="1:14" x14ac:dyDescent="0.35">
      <c r="A2752" t="s">
        <v>118</v>
      </c>
      <c r="B2752">
        <v>202604</v>
      </c>
      <c r="C2752" t="str">
        <f>MID(analisis_productividad__4[[#This Row],[Periodo]],1,4)</f>
        <v>2026</v>
      </c>
      <c r="D2752" t="str">
        <f>MID(analisis_productividad__4[[#This Row],[Periodo]],5,2)</f>
        <v>04</v>
      </c>
      <c r="E2752" t="s">
        <v>34</v>
      </c>
      <c r="F2752" t="s">
        <v>35</v>
      </c>
      <c r="G2752">
        <v>60380</v>
      </c>
      <c r="H2752">
        <v>1163569</v>
      </c>
      <c r="I2752">
        <v>19.270854166666687</v>
      </c>
      <c r="J2752">
        <v>62135.3623502513</v>
      </c>
      <c r="K2752">
        <v>19</v>
      </c>
      <c r="L2752">
        <v>21.5</v>
      </c>
      <c r="M2752">
        <v>17.464859694273773</v>
      </c>
      <c r="N2752">
        <v>1085185</v>
      </c>
    </row>
    <row r="2753" spans="1:14" x14ac:dyDescent="0.35">
      <c r="A2753" t="s">
        <v>126</v>
      </c>
      <c r="B2753">
        <v>202412</v>
      </c>
      <c r="C2753" t="str">
        <f>MID(analisis_productividad__4[[#This Row],[Periodo]],1,4)</f>
        <v>2024</v>
      </c>
      <c r="D2753" t="str">
        <f>MID(analisis_productividad__4[[#This Row],[Periodo]],5,2)</f>
        <v>12</v>
      </c>
      <c r="E2753" t="s">
        <v>104</v>
      </c>
      <c r="F2753" t="s">
        <v>104</v>
      </c>
      <c r="G2753">
        <v>60376</v>
      </c>
      <c r="H2753">
        <v>3644203</v>
      </c>
      <c r="I2753">
        <v>60.358487903225779</v>
      </c>
      <c r="J2753">
        <v>0</v>
      </c>
      <c r="K2753">
        <v>64.5</v>
      </c>
      <c r="L2753">
        <v>61</v>
      </c>
      <c r="N2753">
        <v>0</v>
      </c>
    </row>
    <row r="2754" spans="1:14" x14ac:dyDescent="0.35">
      <c r="A2754" t="s">
        <v>101</v>
      </c>
      <c r="B2754">
        <v>202606</v>
      </c>
      <c r="C2754" t="str">
        <f>MID(analisis_productividad__4[[#This Row],[Periodo]],1,4)</f>
        <v>2026</v>
      </c>
      <c r="D2754" t="str">
        <f>MID(analisis_productividad__4[[#This Row],[Periodo]],5,2)</f>
        <v>06</v>
      </c>
      <c r="E2754" t="s">
        <v>9</v>
      </c>
      <c r="F2754" t="s">
        <v>9</v>
      </c>
      <c r="G2754">
        <v>60341</v>
      </c>
      <c r="H2754">
        <v>335763</v>
      </c>
      <c r="I2754">
        <v>5.5644652777777779</v>
      </c>
      <c r="J2754">
        <v>44707.452040538046</v>
      </c>
      <c r="K2754">
        <v>8.5</v>
      </c>
      <c r="L2754">
        <v>6.5</v>
      </c>
      <c r="M2754">
        <v>7.4225653700663532</v>
      </c>
      <c r="N2754">
        <v>331844</v>
      </c>
    </row>
    <row r="2755" spans="1:14" x14ac:dyDescent="0.35">
      <c r="A2755" t="s">
        <v>121</v>
      </c>
      <c r="B2755">
        <v>202407</v>
      </c>
      <c r="C2755" t="str">
        <f>MID(analisis_productividad__4[[#This Row],[Periodo]],1,4)</f>
        <v>2024</v>
      </c>
      <c r="D2755" t="str">
        <f>MID(analisis_productividad__4[[#This Row],[Periodo]],5,2)</f>
        <v>07</v>
      </c>
      <c r="E2755" t="s">
        <v>11</v>
      </c>
      <c r="F2755" t="s">
        <v>14</v>
      </c>
      <c r="G2755">
        <v>60335</v>
      </c>
      <c r="H2755">
        <v>2224938</v>
      </c>
      <c r="I2755">
        <v>36.876545698924723</v>
      </c>
      <c r="J2755">
        <v>0</v>
      </c>
      <c r="K2755">
        <v>36</v>
      </c>
      <c r="L2755">
        <v>35</v>
      </c>
      <c r="N2755">
        <v>0</v>
      </c>
    </row>
    <row r="2756" spans="1:14" x14ac:dyDescent="0.35">
      <c r="A2756" t="s">
        <v>125</v>
      </c>
      <c r="B2756">
        <v>202606</v>
      </c>
      <c r="C2756" t="str">
        <f>MID(analisis_productividad__4[[#This Row],[Periodo]],1,4)</f>
        <v>2026</v>
      </c>
      <c r="D2756" t="str">
        <f>MID(analisis_productividad__4[[#This Row],[Periodo]],5,2)</f>
        <v>06</v>
      </c>
      <c r="E2756" t="s">
        <v>104</v>
      </c>
      <c r="F2756" t="s">
        <v>104</v>
      </c>
      <c r="G2756">
        <v>60188</v>
      </c>
      <c r="H2756">
        <v>2854550</v>
      </c>
      <c r="I2756">
        <v>47.427381944444448</v>
      </c>
      <c r="J2756">
        <v>55173.888862472057</v>
      </c>
      <c r="K2756">
        <v>59</v>
      </c>
      <c r="L2756">
        <v>50</v>
      </c>
      <c r="M2756">
        <v>50.48039166574727</v>
      </c>
      <c r="N2756">
        <v>2785200</v>
      </c>
    </row>
    <row r="2757" spans="1:14" x14ac:dyDescent="0.35">
      <c r="A2757" t="s">
        <v>120</v>
      </c>
      <c r="B2757">
        <v>202510</v>
      </c>
      <c r="C2757" t="str">
        <f>MID(analisis_productividad__4[[#This Row],[Periodo]],1,4)</f>
        <v>2025</v>
      </c>
      <c r="D2757" t="str">
        <f>MID(analisis_productividad__4[[#This Row],[Periodo]],5,2)</f>
        <v>10</v>
      </c>
      <c r="E2757" t="s">
        <v>9</v>
      </c>
      <c r="F2757" t="s">
        <v>9</v>
      </c>
      <c r="G2757">
        <v>60123</v>
      </c>
      <c r="H2757">
        <v>674923</v>
      </c>
      <c r="I2757">
        <v>11.225779569892476</v>
      </c>
      <c r="J2757">
        <v>68349.184238919304</v>
      </c>
      <c r="K2757">
        <v>11.5</v>
      </c>
      <c r="L2757">
        <v>12</v>
      </c>
      <c r="M2757">
        <v>9.8746261204926942</v>
      </c>
      <c r="N2757">
        <v>877570</v>
      </c>
    </row>
    <row r="2758" spans="1:14" x14ac:dyDescent="0.35">
      <c r="A2758" t="s">
        <v>48</v>
      </c>
      <c r="B2758">
        <v>202411</v>
      </c>
      <c r="C2758" t="str">
        <f>MID(analisis_productividad__4[[#This Row],[Periodo]],1,4)</f>
        <v>2024</v>
      </c>
      <c r="D2758" t="str">
        <f>MID(analisis_productividad__4[[#This Row],[Periodo]],5,2)</f>
        <v>11</v>
      </c>
      <c r="E2758" t="s">
        <v>16</v>
      </c>
      <c r="F2758" t="s">
        <v>21</v>
      </c>
      <c r="G2758">
        <v>60107</v>
      </c>
      <c r="H2758">
        <v>3205105</v>
      </c>
      <c r="I2758">
        <v>53.322986111111121</v>
      </c>
      <c r="J2758">
        <v>0</v>
      </c>
      <c r="K2758">
        <v>56</v>
      </c>
      <c r="L2758">
        <v>60</v>
      </c>
      <c r="N2758">
        <v>0</v>
      </c>
    </row>
    <row r="2759" spans="1:14" x14ac:dyDescent="0.35">
      <c r="A2759" t="s">
        <v>117</v>
      </c>
      <c r="B2759">
        <v>202605</v>
      </c>
      <c r="C2759" t="str">
        <f>MID(analisis_productividad__4[[#This Row],[Periodo]],1,4)</f>
        <v>2026</v>
      </c>
      <c r="D2759" t="str">
        <f>MID(analisis_productividad__4[[#This Row],[Periodo]],5,2)</f>
        <v>05</v>
      </c>
      <c r="E2759" t="s">
        <v>104</v>
      </c>
      <c r="F2759" t="s">
        <v>104</v>
      </c>
      <c r="G2759">
        <v>60097</v>
      </c>
      <c r="H2759">
        <v>3684960</v>
      </c>
      <c r="I2759">
        <v>61.317130376344778</v>
      </c>
      <c r="J2759">
        <v>62951.728929195699</v>
      </c>
      <c r="K2759">
        <v>66</v>
      </c>
      <c r="L2759">
        <v>65.5</v>
      </c>
      <c r="M2759">
        <v>58.116081161406527</v>
      </c>
      <c r="N2759">
        <v>3658508</v>
      </c>
    </row>
    <row r="2760" spans="1:14" x14ac:dyDescent="0.35">
      <c r="A2760" t="s">
        <v>115</v>
      </c>
      <c r="B2760">
        <v>202601</v>
      </c>
      <c r="C2760" t="str">
        <f>MID(analisis_productividad__4[[#This Row],[Periodo]],1,4)</f>
        <v>2026</v>
      </c>
      <c r="D2760" t="str">
        <f>MID(analisis_productividad__4[[#This Row],[Periodo]],5,2)</f>
        <v>01</v>
      </c>
      <c r="E2760" t="s">
        <v>34</v>
      </c>
      <c r="F2760" t="s">
        <v>35</v>
      </c>
      <c r="G2760">
        <v>60076</v>
      </c>
      <c r="H2760">
        <v>2882492</v>
      </c>
      <c r="I2760">
        <v>47.981142473118261</v>
      </c>
      <c r="J2760">
        <v>70225.000016786071</v>
      </c>
      <c r="K2760">
        <v>53.5</v>
      </c>
      <c r="L2760">
        <v>51</v>
      </c>
      <c r="M2760">
        <v>45.515809558361951</v>
      </c>
      <c r="N2760">
        <v>3196348</v>
      </c>
    </row>
    <row r="2761" spans="1:14" x14ac:dyDescent="0.35">
      <c r="A2761" t="s">
        <v>117</v>
      </c>
      <c r="B2761">
        <v>202504</v>
      </c>
      <c r="C2761" t="str">
        <f>MID(analisis_productividad__4[[#This Row],[Periodo]],1,4)</f>
        <v>2025</v>
      </c>
      <c r="D2761" t="str">
        <f>MID(analisis_productividad__4[[#This Row],[Periodo]],5,2)</f>
        <v>04</v>
      </c>
      <c r="E2761" t="s">
        <v>104</v>
      </c>
      <c r="F2761" t="s">
        <v>104</v>
      </c>
      <c r="G2761">
        <v>60075</v>
      </c>
      <c r="H2761">
        <v>3443434</v>
      </c>
      <c r="I2761">
        <v>57.319013888888904</v>
      </c>
      <c r="J2761">
        <v>58646.546651065684</v>
      </c>
      <c r="K2761">
        <v>66</v>
      </c>
      <c r="L2761">
        <v>65.5</v>
      </c>
      <c r="M2761">
        <v>58.715036206440104</v>
      </c>
      <c r="N2761">
        <v>3701498</v>
      </c>
    </row>
    <row r="2762" spans="1:14" x14ac:dyDescent="0.35">
      <c r="A2762" t="s">
        <v>111</v>
      </c>
      <c r="B2762">
        <v>202403</v>
      </c>
      <c r="C2762" t="str">
        <f>MID(analisis_productividad__4[[#This Row],[Periodo]],1,4)</f>
        <v>2024</v>
      </c>
      <c r="D2762" t="str">
        <f>MID(analisis_productividad__4[[#This Row],[Periodo]],5,2)</f>
        <v>03</v>
      </c>
      <c r="E2762" t="s">
        <v>34</v>
      </c>
      <c r="F2762" t="s">
        <v>35</v>
      </c>
      <c r="G2762">
        <v>60042</v>
      </c>
      <c r="H2762">
        <v>2647640</v>
      </c>
      <c r="I2762">
        <v>44.096377688172048</v>
      </c>
      <c r="J2762">
        <v>0</v>
      </c>
      <c r="K2762">
        <v>45.5</v>
      </c>
      <c r="L2762">
        <v>42.5</v>
      </c>
      <c r="N2762">
        <v>0</v>
      </c>
    </row>
    <row r="2763" spans="1:14" x14ac:dyDescent="0.35">
      <c r="A2763" t="s">
        <v>111</v>
      </c>
      <c r="B2763">
        <v>202602</v>
      </c>
      <c r="C2763" t="str">
        <f>MID(analisis_productividad__4[[#This Row],[Periodo]],1,4)</f>
        <v>2026</v>
      </c>
      <c r="D2763" t="str">
        <f>MID(analisis_productividad__4[[#This Row],[Periodo]],5,2)</f>
        <v>02</v>
      </c>
      <c r="E2763" t="s">
        <v>34</v>
      </c>
      <c r="F2763" t="s">
        <v>35</v>
      </c>
      <c r="G2763">
        <v>60036</v>
      </c>
      <c r="H2763">
        <v>2348347</v>
      </c>
      <c r="I2763">
        <v>39.115781249999998</v>
      </c>
      <c r="J2763">
        <v>61943.894607911039</v>
      </c>
      <c r="K2763">
        <v>45.5</v>
      </c>
      <c r="L2763">
        <v>42.5</v>
      </c>
      <c r="M2763">
        <v>36.981595266169094</v>
      </c>
      <c r="N2763">
        <v>2290784</v>
      </c>
    </row>
    <row r="2764" spans="1:14" x14ac:dyDescent="0.35">
      <c r="A2764" t="s">
        <v>109</v>
      </c>
      <c r="B2764">
        <v>202602</v>
      </c>
      <c r="C2764" t="str">
        <f>MID(analisis_productividad__4[[#This Row],[Periodo]],1,4)</f>
        <v>2026</v>
      </c>
      <c r="D2764" t="str">
        <f>MID(analisis_productividad__4[[#This Row],[Periodo]],5,2)</f>
        <v>02</v>
      </c>
      <c r="E2764" t="s">
        <v>9</v>
      </c>
      <c r="F2764" t="s">
        <v>9</v>
      </c>
      <c r="G2764">
        <v>59966</v>
      </c>
      <c r="H2764">
        <v>465796</v>
      </c>
      <c r="I2764">
        <v>7.7676041666666658</v>
      </c>
      <c r="J2764">
        <v>59272.734187432936</v>
      </c>
      <c r="K2764">
        <v>10</v>
      </c>
      <c r="L2764">
        <v>9</v>
      </c>
      <c r="M2764">
        <v>8.1521894564878892</v>
      </c>
      <c r="N2764">
        <v>483203</v>
      </c>
    </row>
    <row r="2765" spans="1:14" x14ac:dyDescent="0.35">
      <c r="A2765" t="s">
        <v>89</v>
      </c>
      <c r="B2765">
        <v>202404</v>
      </c>
      <c r="C2765" t="str">
        <f>MID(analisis_productividad__4[[#This Row],[Periodo]],1,4)</f>
        <v>2024</v>
      </c>
      <c r="D2765" t="str">
        <f>MID(analisis_productividad__4[[#This Row],[Periodo]],5,2)</f>
        <v>04</v>
      </c>
      <c r="E2765" t="s">
        <v>9</v>
      </c>
      <c r="F2765" t="s">
        <v>9</v>
      </c>
      <c r="G2765">
        <v>59962</v>
      </c>
      <c r="H2765">
        <v>1035652</v>
      </c>
      <c r="I2765">
        <v>17.271722222222227</v>
      </c>
      <c r="J2765">
        <v>0</v>
      </c>
      <c r="K2765">
        <v>17</v>
      </c>
      <c r="L2765">
        <v>13.5</v>
      </c>
      <c r="N2765">
        <v>0</v>
      </c>
    </row>
    <row r="2766" spans="1:14" x14ac:dyDescent="0.35">
      <c r="A2766" t="s">
        <v>125</v>
      </c>
      <c r="B2766">
        <v>202508</v>
      </c>
      <c r="C2766" t="str">
        <f>MID(analisis_productividad__4[[#This Row],[Periodo]],1,4)</f>
        <v>2025</v>
      </c>
      <c r="D2766" t="str">
        <f>MID(analisis_productividad__4[[#This Row],[Periodo]],5,2)</f>
        <v>08</v>
      </c>
      <c r="E2766" t="s">
        <v>104</v>
      </c>
      <c r="F2766" t="s">
        <v>104</v>
      </c>
      <c r="G2766">
        <v>59858</v>
      </c>
      <c r="H2766">
        <v>2722294</v>
      </c>
      <c r="I2766">
        <v>45.479065860215066</v>
      </c>
      <c r="J2766">
        <v>58620.803417057978</v>
      </c>
      <c r="K2766">
        <v>59</v>
      </c>
      <c r="L2766">
        <v>50</v>
      </c>
      <c r="M2766">
        <v>46.439048960694457</v>
      </c>
      <c r="N2766">
        <v>2800998</v>
      </c>
    </row>
    <row r="2767" spans="1:14" x14ac:dyDescent="0.35">
      <c r="A2767" t="s">
        <v>116</v>
      </c>
      <c r="B2767">
        <v>202602</v>
      </c>
      <c r="C2767" t="str">
        <f>MID(analisis_productividad__4[[#This Row],[Periodo]],1,4)</f>
        <v>2026</v>
      </c>
      <c r="D2767" t="str">
        <f>MID(analisis_productividad__4[[#This Row],[Periodo]],5,2)</f>
        <v>02</v>
      </c>
      <c r="E2767" t="s">
        <v>9</v>
      </c>
      <c r="F2767" t="s">
        <v>9</v>
      </c>
      <c r="G2767">
        <v>59849</v>
      </c>
      <c r="H2767">
        <v>603202</v>
      </c>
      <c r="I2767">
        <v>10.078645833333333</v>
      </c>
      <c r="J2767">
        <v>65449.887473983632</v>
      </c>
      <c r="K2767">
        <v>11.5</v>
      </c>
      <c r="L2767">
        <v>10</v>
      </c>
      <c r="M2767">
        <v>10.042294324207418</v>
      </c>
      <c r="N2767">
        <v>657267</v>
      </c>
    </row>
    <row r="2768" spans="1:14" x14ac:dyDescent="0.35">
      <c r="A2768" t="s">
        <v>123</v>
      </c>
      <c r="B2768">
        <v>202407</v>
      </c>
      <c r="C2768" t="str">
        <f>MID(analisis_productividad__4[[#This Row],[Periodo]],1,4)</f>
        <v>2024</v>
      </c>
      <c r="D2768" t="str">
        <f>MID(analisis_productividad__4[[#This Row],[Periodo]],5,2)</f>
        <v>07</v>
      </c>
      <c r="E2768" t="s">
        <v>9</v>
      </c>
      <c r="F2768" t="s">
        <v>9</v>
      </c>
      <c r="G2768">
        <v>59839</v>
      </c>
      <c r="H2768">
        <v>556030</v>
      </c>
      <c r="I2768">
        <v>9.2921706989247337</v>
      </c>
      <c r="J2768">
        <v>0</v>
      </c>
      <c r="K2768">
        <v>11</v>
      </c>
      <c r="L2768">
        <v>10</v>
      </c>
      <c r="N2768">
        <v>0</v>
      </c>
    </row>
    <row r="2769" spans="1:14" x14ac:dyDescent="0.35">
      <c r="A2769" t="s">
        <v>102</v>
      </c>
      <c r="B2769">
        <v>202410</v>
      </c>
      <c r="C2769" t="str">
        <f>MID(analisis_productividad__4[[#This Row],[Periodo]],1,4)</f>
        <v>2024</v>
      </c>
      <c r="D2769" t="str">
        <f>MID(analisis_productividad__4[[#This Row],[Periodo]],5,2)</f>
        <v>10</v>
      </c>
      <c r="E2769" t="s">
        <v>11</v>
      </c>
      <c r="F2769" t="s">
        <v>12</v>
      </c>
      <c r="G2769">
        <v>59811</v>
      </c>
      <c r="H2769">
        <v>1670453</v>
      </c>
      <c r="I2769">
        <v>27.928635752688173</v>
      </c>
      <c r="J2769">
        <v>0</v>
      </c>
      <c r="K2769">
        <v>34</v>
      </c>
      <c r="L2769">
        <v>34</v>
      </c>
      <c r="N2769">
        <v>0</v>
      </c>
    </row>
    <row r="2770" spans="1:14" x14ac:dyDescent="0.35">
      <c r="A2770" t="s">
        <v>108</v>
      </c>
      <c r="B2770">
        <v>202510</v>
      </c>
      <c r="C2770" t="str">
        <f>MID(analisis_productividad__4[[#This Row],[Periodo]],1,4)</f>
        <v>2025</v>
      </c>
      <c r="D2770" t="str">
        <f>MID(analisis_productividad__4[[#This Row],[Periodo]],5,2)</f>
        <v>10</v>
      </c>
      <c r="E2770" t="s">
        <v>11</v>
      </c>
      <c r="F2770" t="s">
        <v>14</v>
      </c>
      <c r="G2770">
        <v>59721</v>
      </c>
      <c r="H2770">
        <v>2176587</v>
      </c>
      <c r="I2770">
        <v>36.445725806451613</v>
      </c>
      <c r="J2770">
        <v>57906.933865138824</v>
      </c>
      <c r="K2770">
        <v>47.5</v>
      </c>
      <c r="L2770">
        <v>43</v>
      </c>
      <c r="M2770">
        <v>37.58767292133129</v>
      </c>
      <c r="N2770">
        <v>3009988</v>
      </c>
    </row>
    <row r="2771" spans="1:14" x14ac:dyDescent="0.35">
      <c r="A2771" t="s">
        <v>102</v>
      </c>
      <c r="B2771">
        <v>202601</v>
      </c>
      <c r="C2771" t="str">
        <f>MID(analisis_productividad__4[[#This Row],[Periodo]],1,4)</f>
        <v>2026</v>
      </c>
      <c r="D2771" t="str">
        <f>MID(analisis_productividad__4[[#This Row],[Periodo]],5,2)</f>
        <v>01</v>
      </c>
      <c r="E2771" t="s">
        <v>11</v>
      </c>
      <c r="F2771" t="s">
        <v>12</v>
      </c>
      <c r="G2771">
        <v>59721</v>
      </c>
      <c r="H2771">
        <v>1773812</v>
      </c>
      <c r="I2771">
        <v>29.701875000000001</v>
      </c>
      <c r="J2771">
        <v>60173.339347917317</v>
      </c>
      <c r="K2771">
        <v>34</v>
      </c>
      <c r="L2771">
        <v>34</v>
      </c>
      <c r="M2771">
        <v>29.696606396863505</v>
      </c>
      <c r="N2771">
        <v>1786944</v>
      </c>
    </row>
    <row r="2772" spans="1:14" x14ac:dyDescent="0.35">
      <c r="A2772" t="s">
        <v>107</v>
      </c>
      <c r="B2772">
        <v>202406</v>
      </c>
      <c r="C2772" t="str">
        <f>MID(analisis_productividad__4[[#This Row],[Periodo]],1,4)</f>
        <v>2024</v>
      </c>
      <c r="D2772" t="str">
        <f>MID(analisis_productividad__4[[#This Row],[Periodo]],5,2)</f>
        <v>06</v>
      </c>
      <c r="E2772" t="s">
        <v>34</v>
      </c>
      <c r="F2772" t="s">
        <v>35</v>
      </c>
      <c r="G2772">
        <v>59710</v>
      </c>
      <c r="H2772">
        <v>5055235</v>
      </c>
      <c r="I2772">
        <v>84.66247222222222</v>
      </c>
      <c r="J2772">
        <v>0</v>
      </c>
      <c r="K2772">
        <v>87</v>
      </c>
      <c r="L2772">
        <v>77.5</v>
      </c>
      <c r="N2772">
        <v>0</v>
      </c>
    </row>
    <row r="2773" spans="1:14" x14ac:dyDescent="0.35">
      <c r="A2773" t="s">
        <v>109</v>
      </c>
      <c r="B2773">
        <v>202407</v>
      </c>
      <c r="C2773" t="str">
        <f>MID(analisis_productividad__4[[#This Row],[Periodo]],1,4)</f>
        <v>2024</v>
      </c>
      <c r="D2773" t="str">
        <f>MID(analisis_productividad__4[[#This Row],[Periodo]],5,2)</f>
        <v>07</v>
      </c>
      <c r="E2773" t="s">
        <v>9</v>
      </c>
      <c r="F2773" t="s">
        <v>9</v>
      </c>
      <c r="G2773">
        <v>59702</v>
      </c>
      <c r="H2773">
        <v>568477</v>
      </c>
      <c r="I2773">
        <v>9.5218817204301107</v>
      </c>
      <c r="J2773">
        <v>0</v>
      </c>
      <c r="K2773">
        <v>10</v>
      </c>
      <c r="L2773">
        <v>9</v>
      </c>
      <c r="N2773">
        <v>0</v>
      </c>
    </row>
    <row r="2774" spans="1:14" x14ac:dyDescent="0.35">
      <c r="A2774" t="s">
        <v>95</v>
      </c>
      <c r="B2774">
        <v>202508</v>
      </c>
      <c r="C2774" t="str">
        <f>MID(analisis_productividad__4[[#This Row],[Periodo]],1,4)</f>
        <v>2025</v>
      </c>
      <c r="D2774" t="str">
        <f>MID(analisis_productividad__4[[#This Row],[Periodo]],5,2)</f>
        <v>08</v>
      </c>
      <c r="E2774" t="s">
        <v>9</v>
      </c>
      <c r="F2774" t="s">
        <v>9</v>
      </c>
      <c r="G2774">
        <v>59672</v>
      </c>
      <c r="H2774">
        <v>636861</v>
      </c>
      <c r="I2774">
        <v>10.672647849462365</v>
      </c>
      <c r="J2774">
        <v>73233.051077736003</v>
      </c>
      <c r="K2774">
        <v>11</v>
      </c>
      <c r="L2774">
        <v>11</v>
      </c>
      <c r="M2774">
        <v>8.696358824705797</v>
      </c>
      <c r="N2774">
        <v>695471</v>
      </c>
    </row>
    <row r="2775" spans="1:14" x14ac:dyDescent="0.35">
      <c r="A2775" t="s">
        <v>109</v>
      </c>
      <c r="B2775">
        <v>202507</v>
      </c>
      <c r="C2775" t="str">
        <f>MID(analisis_productividad__4[[#This Row],[Periodo]],1,4)</f>
        <v>2025</v>
      </c>
      <c r="D2775" t="str">
        <f>MID(analisis_productividad__4[[#This Row],[Periodo]],5,2)</f>
        <v>07</v>
      </c>
      <c r="E2775" t="s">
        <v>9</v>
      </c>
      <c r="F2775" t="s">
        <v>9</v>
      </c>
      <c r="G2775">
        <v>59665</v>
      </c>
      <c r="H2775">
        <v>485401</v>
      </c>
      <c r="I2775">
        <v>8.1354771505376355</v>
      </c>
      <c r="J2775">
        <v>62687.261827595743</v>
      </c>
      <c r="K2775">
        <v>10</v>
      </c>
      <c r="L2775">
        <v>9</v>
      </c>
      <c r="M2775">
        <v>7.7432216027390757</v>
      </c>
      <c r="N2775">
        <v>596164</v>
      </c>
    </row>
    <row r="2776" spans="1:14" x14ac:dyDescent="0.35">
      <c r="A2776" t="s">
        <v>117</v>
      </c>
      <c r="B2776">
        <v>202409</v>
      </c>
      <c r="C2776" t="str">
        <f>MID(analisis_productividad__4[[#This Row],[Periodo]],1,4)</f>
        <v>2024</v>
      </c>
      <c r="D2776" t="str">
        <f>MID(analisis_productividad__4[[#This Row],[Periodo]],5,2)</f>
        <v>09</v>
      </c>
      <c r="E2776" t="s">
        <v>104</v>
      </c>
      <c r="F2776" t="s">
        <v>104</v>
      </c>
      <c r="G2776">
        <v>59659</v>
      </c>
      <c r="H2776">
        <v>3264239</v>
      </c>
      <c r="I2776">
        <v>54.715354166666678</v>
      </c>
      <c r="J2776">
        <v>0</v>
      </c>
      <c r="K2776">
        <v>66</v>
      </c>
      <c r="L2776">
        <v>65.5</v>
      </c>
      <c r="N2776">
        <v>0</v>
      </c>
    </row>
    <row r="2777" spans="1:14" x14ac:dyDescent="0.35">
      <c r="A2777" t="s">
        <v>45</v>
      </c>
      <c r="B2777">
        <v>202604</v>
      </c>
      <c r="C2777" t="str">
        <f>MID(analisis_productividad__4[[#This Row],[Periodo]],1,4)</f>
        <v>2026</v>
      </c>
      <c r="D2777" t="str">
        <f>MID(analisis_productividad__4[[#This Row],[Periodo]],5,2)</f>
        <v>04</v>
      </c>
      <c r="E2777" t="s">
        <v>34</v>
      </c>
      <c r="F2777" t="s">
        <v>35</v>
      </c>
      <c r="G2777">
        <v>59602</v>
      </c>
      <c r="H2777">
        <v>1189667</v>
      </c>
      <c r="I2777">
        <v>19.960159722222286</v>
      </c>
      <c r="J2777">
        <v>65879.568889695642</v>
      </c>
      <c r="K2777">
        <v>22.5</v>
      </c>
      <c r="L2777">
        <v>21</v>
      </c>
      <c r="M2777">
        <v>19.647967156057994</v>
      </c>
      <c r="N2777">
        <v>1294400</v>
      </c>
    </row>
    <row r="2778" spans="1:14" x14ac:dyDescent="0.35">
      <c r="A2778" t="s">
        <v>118</v>
      </c>
      <c r="B2778">
        <v>202510</v>
      </c>
      <c r="C2778" t="str">
        <f>MID(analisis_productividad__4[[#This Row],[Periodo]],1,4)</f>
        <v>2025</v>
      </c>
      <c r="D2778" t="str">
        <f>MID(analisis_productividad__4[[#This Row],[Periodo]],5,2)</f>
        <v>10</v>
      </c>
      <c r="E2778" t="s">
        <v>34</v>
      </c>
      <c r="F2778" t="s">
        <v>35</v>
      </c>
      <c r="G2778">
        <v>59589</v>
      </c>
      <c r="H2778">
        <v>1038126</v>
      </c>
      <c r="I2778">
        <v>17.421438172043004</v>
      </c>
      <c r="J2778">
        <v>65781.072873047713</v>
      </c>
      <c r="K2778">
        <v>19</v>
      </c>
      <c r="L2778">
        <v>21.5</v>
      </c>
      <c r="M2778">
        <v>15.781527796050105</v>
      </c>
      <c r="N2778">
        <v>1230484</v>
      </c>
    </row>
    <row r="2779" spans="1:14" x14ac:dyDescent="0.35">
      <c r="A2779" t="s">
        <v>121</v>
      </c>
      <c r="B2779">
        <v>202503</v>
      </c>
      <c r="C2779" t="str">
        <f>MID(analisis_productividad__4[[#This Row],[Periodo]],1,4)</f>
        <v>2025</v>
      </c>
      <c r="D2779" t="str">
        <f>MID(analisis_productividad__4[[#This Row],[Periodo]],5,2)</f>
        <v>03</v>
      </c>
      <c r="E2779" t="s">
        <v>11</v>
      </c>
      <c r="F2779" t="s">
        <v>14</v>
      </c>
      <c r="G2779">
        <v>59576</v>
      </c>
      <c r="H2779">
        <v>2126697</v>
      </c>
      <c r="I2779">
        <v>35.697177419354837</v>
      </c>
      <c r="J2779">
        <v>65775.617360423843</v>
      </c>
      <c r="K2779">
        <v>36</v>
      </c>
      <c r="L2779">
        <v>35</v>
      </c>
      <c r="M2779">
        <v>32.332602951433493</v>
      </c>
      <c r="N2779">
        <v>2296305</v>
      </c>
    </row>
    <row r="2780" spans="1:14" x14ac:dyDescent="0.35">
      <c r="A2780" t="s">
        <v>116</v>
      </c>
      <c r="B2780">
        <v>202411</v>
      </c>
      <c r="C2780" t="str">
        <f>MID(analisis_productividad__4[[#This Row],[Periodo]],1,4)</f>
        <v>2024</v>
      </c>
      <c r="D2780" t="str">
        <f>MID(analisis_productividad__4[[#This Row],[Periodo]],5,2)</f>
        <v>11</v>
      </c>
      <c r="E2780" t="s">
        <v>9</v>
      </c>
      <c r="F2780" t="s">
        <v>9</v>
      </c>
      <c r="G2780">
        <v>59556</v>
      </c>
      <c r="H2780">
        <v>607830</v>
      </c>
      <c r="I2780">
        <v>10.206048611111111</v>
      </c>
      <c r="J2780">
        <v>0</v>
      </c>
      <c r="K2780">
        <v>11.5</v>
      </c>
      <c r="L2780">
        <v>10</v>
      </c>
      <c r="N2780">
        <v>0</v>
      </c>
    </row>
    <row r="2781" spans="1:14" x14ac:dyDescent="0.35">
      <c r="A2781" t="s">
        <v>110</v>
      </c>
      <c r="B2781">
        <v>202605</v>
      </c>
      <c r="C2781" t="str">
        <f>MID(analisis_productividad__4[[#This Row],[Periodo]],1,4)</f>
        <v>2026</v>
      </c>
      <c r="D2781" t="str">
        <f>MID(analisis_productividad__4[[#This Row],[Periodo]],5,2)</f>
        <v>05</v>
      </c>
      <c r="E2781" t="s">
        <v>34</v>
      </c>
      <c r="F2781" t="s">
        <v>35</v>
      </c>
      <c r="G2781">
        <v>59548</v>
      </c>
      <c r="H2781">
        <v>2207601</v>
      </c>
      <c r="I2781">
        <v>37.072903225806641</v>
      </c>
      <c r="J2781">
        <v>70019.471582744809</v>
      </c>
      <c r="K2781">
        <v>41.5</v>
      </c>
      <c r="L2781">
        <v>43</v>
      </c>
      <c r="M2781">
        <v>33.730466012000377</v>
      </c>
      <c r="N2781">
        <v>2361789</v>
      </c>
    </row>
    <row r="2782" spans="1:14" x14ac:dyDescent="0.35">
      <c r="A2782" t="s">
        <v>124</v>
      </c>
      <c r="B2782">
        <v>202604</v>
      </c>
      <c r="C2782" t="str">
        <f>MID(analisis_productividad__4[[#This Row],[Periodo]],1,4)</f>
        <v>2026</v>
      </c>
      <c r="D2782" t="str">
        <f>MID(analisis_productividad__4[[#This Row],[Periodo]],5,2)</f>
        <v>04</v>
      </c>
      <c r="E2782" t="s">
        <v>9</v>
      </c>
      <c r="F2782" t="s">
        <v>9</v>
      </c>
      <c r="G2782">
        <v>59532</v>
      </c>
      <c r="H2782">
        <v>672313</v>
      </c>
      <c r="I2782">
        <v>11.293381944444421</v>
      </c>
      <c r="J2782">
        <v>65712.53362545454</v>
      </c>
      <c r="K2782">
        <v>11</v>
      </c>
      <c r="L2782">
        <v>12</v>
      </c>
      <c r="M2782">
        <v>10.653753026634384</v>
      </c>
      <c r="N2782">
        <v>700085</v>
      </c>
    </row>
    <row r="2783" spans="1:14" x14ac:dyDescent="0.35">
      <c r="A2783" t="s">
        <v>117</v>
      </c>
      <c r="B2783">
        <v>202410</v>
      </c>
      <c r="C2783" t="str">
        <f>MID(analisis_productividad__4[[#This Row],[Periodo]],1,4)</f>
        <v>2024</v>
      </c>
      <c r="D2783" t="str">
        <f>MID(analisis_productividad__4[[#This Row],[Periodo]],5,2)</f>
        <v>10</v>
      </c>
      <c r="E2783" t="s">
        <v>104</v>
      </c>
      <c r="F2783" t="s">
        <v>104</v>
      </c>
      <c r="G2783">
        <v>59526</v>
      </c>
      <c r="H2783">
        <v>3204716</v>
      </c>
      <c r="I2783">
        <v>53.83724462365592</v>
      </c>
      <c r="J2783">
        <v>0</v>
      </c>
      <c r="K2783">
        <v>66</v>
      </c>
      <c r="L2783">
        <v>65.5</v>
      </c>
      <c r="N2783">
        <v>0</v>
      </c>
    </row>
    <row r="2784" spans="1:14" x14ac:dyDescent="0.35">
      <c r="A2784" t="s">
        <v>124</v>
      </c>
      <c r="B2784">
        <v>202409</v>
      </c>
      <c r="C2784" t="str">
        <f>MID(analisis_productividad__4[[#This Row],[Periodo]],1,4)</f>
        <v>2024</v>
      </c>
      <c r="D2784" t="str">
        <f>MID(analisis_productividad__4[[#This Row],[Periodo]],5,2)</f>
        <v>09</v>
      </c>
      <c r="E2784" t="s">
        <v>9</v>
      </c>
      <c r="F2784" t="s">
        <v>9</v>
      </c>
      <c r="G2784">
        <v>59510</v>
      </c>
      <c r="H2784">
        <v>592436</v>
      </c>
      <c r="I2784">
        <v>9.9553124999999998</v>
      </c>
      <c r="J2784">
        <v>0</v>
      </c>
      <c r="K2784">
        <v>11</v>
      </c>
      <c r="L2784">
        <v>12</v>
      </c>
      <c r="N2784">
        <v>0</v>
      </c>
    </row>
    <row r="2785" spans="1:14" x14ac:dyDescent="0.35">
      <c r="A2785" t="s">
        <v>111</v>
      </c>
      <c r="B2785">
        <v>202407</v>
      </c>
      <c r="C2785" t="str">
        <f>MID(analisis_productividad__4[[#This Row],[Periodo]],1,4)</f>
        <v>2024</v>
      </c>
      <c r="D2785" t="str">
        <f>MID(analisis_productividad__4[[#This Row],[Periodo]],5,2)</f>
        <v>07</v>
      </c>
      <c r="E2785" t="s">
        <v>34</v>
      </c>
      <c r="F2785" t="s">
        <v>35</v>
      </c>
      <c r="G2785">
        <v>59487</v>
      </c>
      <c r="H2785">
        <v>2421473</v>
      </c>
      <c r="I2785">
        <v>40.705752688172034</v>
      </c>
      <c r="J2785">
        <v>0</v>
      </c>
      <c r="K2785">
        <v>45.5</v>
      </c>
      <c r="L2785">
        <v>42.5</v>
      </c>
      <c r="N2785">
        <v>0</v>
      </c>
    </row>
    <row r="2786" spans="1:14" x14ac:dyDescent="0.35">
      <c r="A2786" t="s">
        <v>99</v>
      </c>
      <c r="B2786">
        <v>202408</v>
      </c>
      <c r="C2786" t="str">
        <f>MID(analisis_productividad__4[[#This Row],[Periodo]],1,4)</f>
        <v>2024</v>
      </c>
      <c r="D2786" t="str">
        <f>MID(analisis_productividad__4[[#This Row],[Periodo]],5,2)</f>
        <v>08</v>
      </c>
      <c r="E2786" t="s">
        <v>11</v>
      </c>
      <c r="F2786" t="s">
        <v>12</v>
      </c>
      <c r="G2786">
        <v>59486</v>
      </c>
      <c r="H2786">
        <v>1503568</v>
      </c>
      <c r="I2786">
        <v>25.276115591397847</v>
      </c>
      <c r="J2786">
        <v>0</v>
      </c>
      <c r="K2786">
        <v>27</v>
      </c>
      <c r="L2786">
        <v>27</v>
      </c>
      <c r="N2786">
        <v>0</v>
      </c>
    </row>
    <row r="2787" spans="1:14" x14ac:dyDescent="0.35">
      <c r="A2787" t="s">
        <v>128</v>
      </c>
      <c r="B2787">
        <v>202508</v>
      </c>
      <c r="C2787" t="str">
        <f>MID(analisis_productividad__4[[#This Row],[Periodo]],1,4)</f>
        <v>2025</v>
      </c>
      <c r="D2787" t="str">
        <f>MID(analisis_productividad__4[[#This Row],[Periodo]],5,2)</f>
        <v>08</v>
      </c>
      <c r="E2787" t="s">
        <v>104</v>
      </c>
      <c r="F2787" t="s">
        <v>104</v>
      </c>
      <c r="G2787">
        <v>59472</v>
      </c>
      <c r="H2787">
        <v>2669829</v>
      </c>
      <c r="I2787">
        <v>44.89253360215055</v>
      </c>
      <c r="J2787">
        <v>53678.184174585687</v>
      </c>
      <c r="K2787">
        <v>57.5</v>
      </c>
      <c r="L2787">
        <v>57</v>
      </c>
      <c r="M2787">
        <v>49.737695323606872</v>
      </c>
      <c r="N2787">
        <v>2610554</v>
      </c>
    </row>
    <row r="2788" spans="1:14" x14ac:dyDescent="0.35">
      <c r="A2788" t="s">
        <v>121</v>
      </c>
      <c r="B2788">
        <v>202401</v>
      </c>
      <c r="C2788" t="str">
        <f>MID(analisis_productividad__4[[#This Row],[Periodo]],1,4)</f>
        <v>2024</v>
      </c>
      <c r="D2788" t="str">
        <f>MID(analisis_productividad__4[[#This Row],[Periodo]],5,2)</f>
        <v>01</v>
      </c>
      <c r="E2788" t="s">
        <v>11</v>
      </c>
      <c r="F2788" t="s">
        <v>14</v>
      </c>
      <c r="G2788">
        <v>59388</v>
      </c>
      <c r="H2788">
        <v>2038209</v>
      </c>
      <c r="I2788">
        <v>34.320322580645168</v>
      </c>
      <c r="J2788">
        <v>0</v>
      </c>
      <c r="K2788">
        <v>36</v>
      </c>
      <c r="L2788">
        <v>35</v>
      </c>
      <c r="N2788">
        <v>0</v>
      </c>
    </row>
    <row r="2789" spans="1:14" x14ac:dyDescent="0.35">
      <c r="A2789" t="s">
        <v>8</v>
      </c>
      <c r="B2789">
        <v>202504</v>
      </c>
      <c r="C2789" t="str">
        <f>MID(analisis_productividad__4[[#This Row],[Periodo]],1,4)</f>
        <v>2025</v>
      </c>
      <c r="D2789" t="str">
        <f>MID(analisis_productividad__4[[#This Row],[Periodo]],5,2)</f>
        <v>04</v>
      </c>
      <c r="E2789" t="s">
        <v>9</v>
      </c>
      <c r="F2789" t="s">
        <v>9</v>
      </c>
      <c r="G2789">
        <v>59339</v>
      </c>
      <c r="H2789">
        <v>1380007</v>
      </c>
      <c r="I2789">
        <v>23.256479166666665</v>
      </c>
      <c r="J2789">
        <v>70492.122266405466</v>
      </c>
      <c r="K2789">
        <v>13.5</v>
      </c>
      <c r="L2789">
        <v>12.5</v>
      </c>
      <c r="M2789">
        <v>19.576753197820398</v>
      </c>
      <c r="N2789">
        <v>879806</v>
      </c>
    </row>
    <row r="2790" spans="1:14" x14ac:dyDescent="0.35">
      <c r="A2790" t="s">
        <v>127</v>
      </c>
      <c r="B2790">
        <v>202403</v>
      </c>
      <c r="C2790" t="str">
        <f>MID(analisis_productividad__4[[#This Row],[Periodo]],1,4)</f>
        <v>2024</v>
      </c>
      <c r="D2790" t="str">
        <f>MID(analisis_productividad__4[[#This Row],[Periodo]],5,2)</f>
        <v>03</v>
      </c>
      <c r="E2790" t="s">
        <v>104</v>
      </c>
      <c r="F2790" t="s">
        <v>104</v>
      </c>
      <c r="G2790">
        <v>59319</v>
      </c>
      <c r="H2790">
        <v>3422536</v>
      </c>
      <c r="I2790">
        <v>57.697452956989238</v>
      </c>
      <c r="J2790">
        <v>0</v>
      </c>
      <c r="K2790">
        <v>61.5</v>
      </c>
      <c r="L2790">
        <v>56</v>
      </c>
      <c r="N2790">
        <v>0</v>
      </c>
    </row>
    <row r="2791" spans="1:14" x14ac:dyDescent="0.35">
      <c r="A2791" t="s">
        <v>102</v>
      </c>
      <c r="B2791">
        <v>202504</v>
      </c>
      <c r="C2791" t="str">
        <f>MID(analisis_productividad__4[[#This Row],[Periodo]],1,4)</f>
        <v>2025</v>
      </c>
      <c r="D2791" t="str">
        <f>MID(analisis_productividad__4[[#This Row],[Periodo]],5,2)</f>
        <v>04</v>
      </c>
      <c r="E2791" t="s">
        <v>11</v>
      </c>
      <c r="F2791" t="s">
        <v>12</v>
      </c>
      <c r="G2791">
        <v>59310</v>
      </c>
      <c r="H2791">
        <v>1711418</v>
      </c>
      <c r="I2791">
        <v>28.855652777777784</v>
      </c>
      <c r="J2791">
        <v>56463.179922599709</v>
      </c>
      <c r="K2791">
        <v>34</v>
      </c>
      <c r="L2791">
        <v>34</v>
      </c>
      <c r="M2791">
        <v>30.310332722068225</v>
      </c>
      <c r="N2791">
        <v>1795569</v>
      </c>
    </row>
    <row r="2792" spans="1:14" x14ac:dyDescent="0.35">
      <c r="A2792" t="s">
        <v>115</v>
      </c>
      <c r="B2792">
        <v>202407</v>
      </c>
      <c r="C2792" t="str">
        <f>MID(analisis_productividad__4[[#This Row],[Periodo]],1,4)</f>
        <v>2024</v>
      </c>
      <c r="D2792" t="str">
        <f>MID(analisis_productividad__4[[#This Row],[Periodo]],5,2)</f>
        <v>07</v>
      </c>
      <c r="E2792" t="s">
        <v>34</v>
      </c>
      <c r="F2792" t="s">
        <v>35</v>
      </c>
      <c r="G2792">
        <v>59307</v>
      </c>
      <c r="H2792">
        <v>2990369</v>
      </c>
      <c r="I2792">
        <v>50.421498655913972</v>
      </c>
      <c r="J2792">
        <v>0</v>
      </c>
      <c r="K2792">
        <v>53.5</v>
      </c>
      <c r="L2792">
        <v>51</v>
      </c>
      <c r="N2792">
        <v>0</v>
      </c>
    </row>
    <row r="2793" spans="1:14" x14ac:dyDescent="0.35">
      <c r="A2793" t="s">
        <v>102</v>
      </c>
      <c r="B2793">
        <v>202406</v>
      </c>
      <c r="C2793" t="str">
        <f>MID(analisis_productividad__4[[#This Row],[Periodo]],1,4)</f>
        <v>2024</v>
      </c>
      <c r="D2793" t="str">
        <f>MID(analisis_productividad__4[[#This Row],[Periodo]],5,2)</f>
        <v>06</v>
      </c>
      <c r="E2793" t="s">
        <v>11</v>
      </c>
      <c r="F2793" t="s">
        <v>12</v>
      </c>
      <c r="G2793">
        <v>59182</v>
      </c>
      <c r="H2793">
        <v>1782815</v>
      </c>
      <c r="I2793">
        <v>30.124500000000005</v>
      </c>
      <c r="J2793">
        <v>0</v>
      </c>
      <c r="K2793">
        <v>34</v>
      </c>
      <c r="L2793">
        <v>34</v>
      </c>
      <c r="N2793">
        <v>0</v>
      </c>
    </row>
    <row r="2794" spans="1:14" x14ac:dyDescent="0.35">
      <c r="A2794" t="s">
        <v>117</v>
      </c>
      <c r="B2794">
        <v>202408</v>
      </c>
      <c r="C2794" t="str">
        <f>MID(analisis_productividad__4[[#This Row],[Periodo]],1,4)</f>
        <v>2024</v>
      </c>
      <c r="D2794" t="str">
        <f>MID(analisis_productividad__4[[#This Row],[Periodo]],5,2)</f>
        <v>08</v>
      </c>
      <c r="E2794" t="s">
        <v>104</v>
      </c>
      <c r="F2794" t="s">
        <v>104</v>
      </c>
      <c r="G2794">
        <v>59160</v>
      </c>
      <c r="H2794">
        <v>3476282</v>
      </c>
      <c r="I2794">
        <v>58.760766129032248</v>
      </c>
      <c r="J2794">
        <v>0</v>
      </c>
      <c r="K2794">
        <v>66</v>
      </c>
      <c r="L2794">
        <v>65.5</v>
      </c>
      <c r="N2794">
        <v>0</v>
      </c>
    </row>
    <row r="2795" spans="1:14" x14ac:dyDescent="0.35">
      <c r="A2795" t="s">
        <v>118</v>
      </c>
      <c r="B2795">
        <v>202401</v>
      </c>
      <c r="C2795" t="str">
        <f>MID(analisis_productividad__4[[#This Row],[Periodo]],1,4)</f>
        <v>2024</v>
      </c>
      <c r="D2795" t="str">
        <f>MID(analisis_productividad__4[[#This Row],[Periodo]],5,2)</f>
        <v>01</v>
      </c>
      <c r="E2795" t="s">
        <v>34</v>
      </c>
      <c r="F2795" t="s">
        <v>35</v>
      </c>
      <c r="G2795">
        <v>59149</v>
      </c>
      <c r="H2795">
        <v>1132392</v>
      </c>
      <c r="I2795">
        <v>19.144576612903229</v>
      </c>
      <c r="J2795">
        <v>0</v>
      </c>
      <c r="K2795">
        <v>19</v>
      </c>
      <c r="L2795">
        <v>21.5</v>
      </c>
      <c r="N2795">
        <v>0</v>
      </c>
    </row>
    <row r="2796" spans="1:14" x14ac:dyDescent="0.35">
      <c r="A2796" t="s">
        <v>119</v>
      </c>
      <c r="B2796">
        <v>202602</v>
      </c>
      <c r="C2796" t="str">
        <f>MID(analisis_productividad__4[[#This Row],[Periodo]],1,4)</f>
        <v>2026</v>
      </c>
      <c r="D2796" t="str">
        <f>MID(analisis_productividad__4[[#This Row],[Periodo]],5,2)</f>
        <v>02</v>
      </c>
      <c r="E2796" t="s">
        <v>16</v>
      </c>
      <c r="F2796" t="s">
        <v>21</v>
      </c>
      <c r="G2796">
        <v>59138</v>
      </c>
      <c r="H2796">
        <v>2779834</v>
      </c>
      <c r="I2796">
        <v>47.005520833333321</v>
      </c>
      <c r="J2796">
        <v>66446.737071437019</v>
      </c>
      <c r="K2796">
        <v>52.5</v>
      </c>
      <c r="L2796">
        <v>52.5</v>
      </c>
      <c r="M2796">
        <v>46.965208254619732</v>
      </c>
      <c r="N2796">
        <v>3120685</v>
      </c>
    </row>
    <row r="2797" spans="1:14" x14ac:dyDescent="0.35">
      <c r="A2797" t="s">
        <v>118</v>
      </c>
      <c r="B2797">
        <v>202405</v>
      </c>
      <c r="C2797" t="str">
        <f>MID(analisis_productividad__4[[#This Row],[Periodo]],1,4)</f>
        <v>2024</v>
      </c>
      <c r="D2797" t="str">
        <f>MID(analisis_productividad__4[[#This Row],[Periodo]],5,2)</f>
        <v>05</v>
      </c>
      <c r="E2797" t="s">
        <v>34</v>
      </c>
      <c r="F2797" t="s">
        <v>35</v>
      </c>
      <c r="G2797">
        <v>59129</v>
      </c>
      <c r="H2797">
        <v>1103857</v>
      </c>
      <c r="I2797">
        <v>18.668595430107523</v>
      </c>
      <c r="J2797">
        <v>0</v>
      </c>
      <c r="K2797">
        <v>19</v>
      </c>
      <c r="L2797">
        <v>21.5</v>
      </c>
      <c r="N2797">
        <v>0</v>
      </c>
    </row>
    <row r="2798" spans="1:14" x14ac:dyDescent="0.35">
      <c r="A2798" t="s">
        <v>108</v>
      </c>
      <c r="B2798">
        <v>202502</v>
      </c>
      <c r="C2798" t="str">
        <f>MID(analisis_productividad__4[[#This Row],[Periodo]],1,4)</f>
        <v>2025</v>
      </c>
      <c r="D2798" t="str">
        <f>MID(analisis_productividad__4[[#This Row],[Periodo]],5,2)</f>
        <v>02</v>
      </c>
      <c r="E2798" t="s">
        <v>11</v>
      </c>
      <c r="F2798" t="s">
        <v>14</v>
      </c>
      <c r="G2798">
        <v>59116</v>
      </c>
      <c r="H2798">
        <v>2775224</v>
      </c>
      <c r="I2798">
        <v>46.945052083333316</v>
      </c>
      <c r="J2798">
        <v>63926.766446772293</v>
      </c>
      <c r="K2798">
        <v>47.5</v>
      </c>
      <c r="L2798">
        <v>43</v>
      </c>
      <c r="M2798">
        <v>43.412556809216227</v>
      </c>
      <c r="N2798">
        <v>2931971</v>
      </c>
    </row>
    <row r="2799" spans="1:14" x14ac:dyDescent="0.35">
      <c r="A2799" t="s">
        <v>95</v>
      </c>
      <c r="B2799">
        <v>202507</v>
      </c>
      <c r="C2799" t="str">
        <f>MID(analisis_productividad__4[[#This Row],[Periodo]],1,4)</f>
        <v>2025</v>
      </c>
      <c r="D2799" t="str">
        <f>MID(analisis_productividad__4[[#This Row],[Periodo]],5,2)</f>
        <v>07</v>
      </c>
      <c r="E2799" t="s">
        <v>9</v>
      </c>
      <c r="F2799" t="s">
        <v>9</v>
      </c>
      <c r="G2799">
        <v>58964</v>
      </c>
      <c r="H2799">
        <v>631090</v>
      </c>
      <c r="I2799">
        <v>10.702896505376343</v>
      </c>
      <c r="J2799">
        <v>77401.883683630265</v>
      </c>
      <c r="K2799">
        <v>11</v>
      </c>
      <c r="L2799">
        <v>11</v>
      </c>
      <c r="M2799">
        <v>8.1534144902660692</v>
      </c>
      <c r="N2799">
        <v>723569</v>
      </c>
    </row>
    <row r="2800" spans="1:14" x14ac:dyDescent="0.35">
      <c r="A2800" t="s">
        <v>116</v>
      </c>
      <c r="B2800">
        <v>202407</v>
      </c>
      <c r="C2800" t="str">
        <f>MID(analisis_productividad__4[[#This Row],[Periodo]],1,4)</f>
        <v>2024</v>
      </c>
      <c r="D2800" t="str">
        <f>MID(analisis_productividad__4[[#This Row],[Periodo]],5,2)</f>
        <v>07</v>
      </c>
      <c r="E2800" t="s">
        <v>9</v>
      </c>
      <c r="F2800" t="s">
        <v>9</v>
      </c>
      <c r="G2800">
        <v>58951</v>
      </c>
      <c r="H2800">
        <v>669280</v>
      </c>
      <c r="I2800">
        <v>11.353219086021506</v>
      </c>
      <c r="J2800">
        <v>0</v>
      </c>
      <c r="K2800">
        <v>11.5</v>
      </c>
      <c r="L2800">
        <v>10</v>
      </c>
      <c r="N2800">
        <v>0</v>
      </c>
    </row>
    <row r="2801" spans="1:14" x14ac:dyDescent="0.35">
      <c r="A2801" t="s">
        <v>117</v>
      </c>
      <c r="B2801">
        <v>202510</v>
      </c>
      <c r="C2801" t="str">
        <f>MID(analisis_productividad__4[[#This Row],[Periodo]],1,4)</f>
        <v>2025</v>
      </c>
      <c r="D2801" t="str">
        <f>MID(analisis_productividad__4[[#This Row],[Periodo]],5,2)</f>
        <v>10</v>
      </c>
      <c r="E2801" t="s">
        <v>104</v>
      </c>
      <c r="F2801" t="s">
        <v>104</v>
      </c>
      <c r="G2801">
        <v>58945</v>
      </c>
      <c r="H2801">
        <v>3755725</v>
      </c>
      <c r="I2801">
        <v>63.716182795698955</v>
      </c>
      <c r="J2801">
        <v>62502.298567141974</v>
      </c>
      <c r="K2801">
        <v>66</v>
      </c>
      <c r="L2801">
        <v>65.5</v>
      </c>
      <c r="M2801">
        <v>60.089383848267282</v>
      </c>
      <c r="N2801">
        <v>3728861</v>
      </c>
    </row>
    <row r="2802" spans="1:14" x14ac:dyDescent="0.35">
      <c r="A2802" t="s">
        <v>64</v>
      </c>
      <c r="B2802">
        <v>202506</v>
      </c>
      <c r="C2802" t="str">
        <f>MID(analisis_productividad__4[[#This Row],[Periodo]],1,4)</f>
        <v>2025</v>
      </c>
      <c r="D2802" t="str">
        <f>MID(analisis_productividad__4[[#This Row],[Periodo]],5,2)</f>
        <v>06</v>
      </c>
      <c r="E2802" t="s">
        <v>16</v>
      </c>
      <c r="F2802" t="s">
        <v>21</v>
      </c>
      <c r="G2802">
        <v>58893</v>
      </c>
      <c r="H2802">
        <v>7651930</v>
      </c>
      <c r="I2802">
        <v>129.92870138888892</v>
      </c>
      <c r="J2802">
        <v>77987.955874729843</v>
      </c>
      <c r="K2802">
        <v>88.5</v>
      </c>
      <c r="L2802">
        <v>92.5</v>
      </c>
      <c r="M2802">
        <v>98.116811297004716</v>
      </c>
      <c r="N2802">
        <v>5962370</v>
      </c>
    </row>
    <row r="2803" spans="1:14" x14ac:dyDescent="0.35">
      <c r="A2803" t="s">
        <v>115</v>
      </c>
      <c r="B2803">
        <v>202504</v>
      </c>
      <c r="C2803" t="str">
        <f>MID(analisis_productividad__4[[#This Row],[Periodo]],1,4)</f>
        <v>2025</v>
      </c>
      <c r="D2803" t="str">
        <f>MID(analisis_productividad__4[[#This Row],[Periodo]],5,2)</f>
        <v>04</v>
      </c>
      <c r="E2803" t="s">
        <v>34</v>
      </c>
      <c r="F2803" t="s">
        <v>35</v>
      </c>
      <c r="G2803">
        <v>58888</v>
      </c>
      <c r="H2803">
        <v>2990521</v>
      </c>
      <c r="I2803">
        <v>50.782958333333326</v>
      </c>
      <c r="J2803">
        <v>57351.307324359717</v>
      </c>
      <c r="K2803">
        <v>53.5</v>
      </c>
      <c r="L2803">
        <v>51</v>
      </c>
      <c r="M2803">
        <v>52.143899930416929</v>
      </c>
      <c r="N2803">
        <v>3196285</v>
      </c>
    </row>
    <row r="2804" spans="1:14" x14ac:dyDescent="0.35">
      <c r="A2804" t="s">
        <v>115</v>
      </c>
      <c r="B2804">
        <v>202406</v>
      </c>
      <c r="C2804" t="str">
        <f>MID(analisis_productividad__4[[#This Row],[Periodo]],1,4)</f>
        <v>2024</v>
      </c>
      <c r="D2804" t="str">
        <f>MID(analisis_productividad__4[[#This Row],[Periodo]],5,2)</f>
        <v>06</v>
      </c>
      <c r="E2804" t="s">
        <v>34</v>
      </c>
      <c r="F2804" t="s">
        <v>35</v>
      </c>
      <c r="G2804">
        <v>58850</v>
      </c>
      <c r="H2804">
        <v>2987857</v>
      </c>
      <c r="I2804">
        <v>50.770368055555558</v>
      </c>
      <c r="J2804">
        <v>0</v>
      </c>
      <c r="K2804">
        <v>53.5</v>
      </c>
      <c r="L2804">
        <v>51</v>
      </c>
      <c r="N2804">
        <v>0</v>
      </c>
    </row>
    <row r="2805" spans="1:14" x14ac:dyDescent="0.35">
      <c r="A2805" t="s">
        <v>111</v>
      </c>
      <c r="B2805">
        <v>202502</v>
      </c>
      <c r="C2805" t="str">
        <f>MID(analisis_productividad__4[[#This Row],[Periodo]],1,4)</f>
        <v>2025</v>
      </c>
      <c r="D2805" t="str">
        <f>MID(analisis_productividad__4[[#This Row],[Periodo]],5,2)</f>
        <v>02</v>
      </c>
      <c r="E2805" t="s">
        <v>34</v>
      </c>
      <c r="F2805" t="s">
        <v>35</v>
      </c>
      <c r="G2805">
        <v>58813</v>
      </c>
      <c r="H2805">
        <v>2174557</v>
      </c>
      <c r="I2805">
        <v>36.974322916666672</v>
      </c>
      <c r="J2805">
        <v>57768.367422201816</v>
      </c>
      <c r="K2805">
        <v>45.5</v>
      </c>
      <c r="L2805">
        <v>42.5</v>
      </c>
      <c r="M2805">
        <v>37.642696462359503</v>
      </c>
      <c r="N2805">
        <v>2245141</v>
      </c>
    </row>
    <row r="2806" spans="1:14" x14ac:dyDescent="0.35">
      <c r="A2806" t="s">
        <v>112</v>
      </c>
      <c r="B2806">
        <v>202601</v>
      </c>
      <c r="C2806" t="str">
        <f>MID(analisis_productividad__4[[#This Row],[Periodo]],1,4)</f>
        <v>2026</v>
      </c>
      <c r="D2806" t="str">
        <f>MID(analisis_productividad__4[[#This Row],[Periodo]],5,2)</f>
        <v>01</v>
      </c>
      <c r="E2806" t="s">
        <v>34</v>
      </c>
      <c r="F2806" t="s">
        <v>35</v>
      </c>
      <c r="G2806">
        <v>58809</v>
      </c>
      <c r="H2806">
        <v>1535141</v>
      </c>
      <c r="I2806">
        <v>26.104025537634406</v>
      </c>
      <c r="J2806">
        <v>65497.882946665741</v>
      </c>
      <c r="K2806">
        <v>31</v>
      </c>
      <c r="L2806">
        <v>27</v>
      </c>
      <c r="M2806">
        <v>27.070532526124346</v>
      </c>
      <c r="N2806">
        <v>1773063</v>
      </c>
    </row>
    <row r="2807" spans="1:14" x14ac:dyDescent="0.35">
      <c r="A2807" t="s">
        <v>110</v>
      </c>
      <c r="B2807">
        <v>202405</v>
      </c>
      <c r="C2807" t="str">
        <f>MID(analisis_productividad__4[[#This Row],[Periodo]],1,4)</f>
        <v>2024</v>
      </c>
      <c r="D2807" t="str">
        <f>MID(analisis_productividad__4[[#This Row],[Periodo]],5,2)</f>
        <v>05</v>
      </c>
      <c r="E2807" t="s">
        <v>34</v>
      </c>
      <c r="F2807" t="s">
        <v>35</v>
      </c>
      <c r="G2807">
        <v>58798</v>
      </c>
      <c r="H2807">
        <v>2318569</v>
      </c>
      <c r="I2807">
        <v>39.433004032258069</v>
      </c>
      <c r="J2807">
        <v>0</v>
      </c>
      <c r="K2807">
        <v>41.5</v>
      </c>
      <c r="L2807">
        <v>43</v>
      </c>
      <c r="N2807">
        <v>0</v>
      </c>
    </row>
    <row r="2808" spans="1:14" x14ac:dyDescent="0.35">
      <c r="A2808" t="s">
        <v>109</v>
      </c>
      <c r="B2808">
        <v>202511</v>
      </c>
      <c r="C2808" t="str">
        <f>MID(analisis_productividad__4[[#This Row],[Periodo]],1,4)</f>
        <v>2025</v>
      </c>
      <c r="D2808" t="str">
        <f>MID(analisis_productividad__4[[#This Row],[Periodo]],5,2)</f>
        <v>11</v>
      </c>
      <c r="E2808" t="s">
        <v>9</v>
      </c>
      <c r="F2808" t="s">
        <v>9</v>
      </c>
      <c r="G2808">
        <v>58788</v>
      </c>
      <c r="H2808">
        <v>487732</v>
      </c>
      <c r="I2808">
        <v>8.2964097222222222</v>
      </c>
      <c r="J2808">
        <v>60043.768922203024</v>
      </c>
      <c r="K2808">
        <v>10</v>
      </c>
      <c r="L2808">
        <v>9</v>
      </c>
      <c r="M2808">
        <v>8.1229472892006633</v>
      </c>
      <c r="N2808">
        <v>580756</v>
      </c>
    </row>
    <row r="2809" spans="1:14" x14ac:dyDescent="0.35">
      <c r="A2809" t="s">
        <v>123</v>
      </c>
      <c r="B2809">
        <v>202408</v>
      </c>
      <c r="C2809" t="str">
        <f>MID(analisis_productividad__4[[#This Row],[Periodo]],1,4)</f>
        <v>2024</v>
      </c>
      <c r="D2809" t="str">
        <f>MID(analisis_productividad__4[[#This Row],[Periodo]],5,2)</f>
        <v>08</v>
      </c>
      <c r="E2809" t="s">
        <v>9</v>
      </c>
      <c r="F2809" t="s">
        <v>9</v>
      </c>
      <c r="G2809">
        <v>58786</v>
      </c>
      <c r="H2809">
        <v>556845</v>
      </c>
      <c r="I2809">
        <v>9.4724395161290342</v>
      </c>
      <c r="J2809">
        <v>0</v>
      </c>
      <c r="K2809">
        <v>11</v>
      </c>
      <c r="L2809">
        <v>10</v>
      </c>
      <c r="N2809">
        <v>0</v>
      </c>
    </row>
    <row r="2810" spans="1:14" x14ac:dyDescent="0.35">
      <c r="A2810" t="s">
        <v>126</v>
      </c>
      <c r="B2810">
        <v>202601</v>
      </c>
      <c r="C2810" t="str">
        <f>MID(analisis_productividad__4[[#This Row],[Periodo]],1,4)</f>
        <v>2026</v>
      </c>
      <c r="D2810" t="str">
        <f>MID(analisis_productividad__4[[#This Row],[Periodo]],5,2)</f>
        <v>01</v>
      </c>
      <c r="E2810" t="s">
        <v>104</v>
      </c>
      <c r="F2810" t="s">
        <v>104</v>
      </c>
      <c r="G2810">
        <v>58768</v>
      </c>
      <c r="H2810">
        <v>3274355</v>
      </c>
      <c r="I2810">
        <v>55.716518817204324</v>
      </c>
      <c r="J2810">
        <v>59287.666607148429</v>
      </c>
      <c r="K2810">
        <v>64.5</v>
      </c>
      <c r="L2810">
        <v>61</v>
      </c>
      <c r="M2810">
        <v>55.57085132952011</v>
      </c>
      <c r="N2810">
        <v>3294666</v>
      </c>
    </row>
    <row r="2811" spans="1:14" x14ac:dyDescent="0.35">
      <c r="A2811" t="s">
        <v>110</v>
      </c>
      <c r="B2811">
        <v>202407</v>
      </c>
      <c r="C2811" t="str">
        <f>MID(analisis_productividad__4[[#This Row],[Periodo]],1,4)</f>
        <v>2024</v>
      </c>
      <c r="D2811" t="str">
        <f>MID(analisis_productividad__4[[#This Row],[Periodo]],5,2)</f>
        <v>07</v>
      </c>
      <c r="E2811" t="s">
        <v>34</v>
      </c>
      <c r="F2811" t="s">
        <v>35</v>
      </c>
      <c r="G2811">
        <v>58759</v>
      </c>
      <c r="H2811">
        <v>2267360</v>
      </c>
      <c r="I2811">
        <v>38.587688172043016</v>
      </c>
      <c r="J2811">
        <v>0</v>
      </c>
      <c r="K2811">
        <v>41.5</v>
      </c>
      <c r="L2811">
        <v>43</v>
      </c>
      <c r="N2811">
        <v>0</v>
      </c>
    </row>
    <row r="2812" spans="1:14" x14ac:dyDescent="0.35">
      <c r="A2812" t="s">
        <v>120</v>
      </c>
      <c r="B2812">
        <v>202509</v>
      </c>
      <c r="C2812" t="str">
        <f>MID(analisis_productividad__4[[#This Row],[Periodo]],1,4)</f>
        <v>2025</v>
      </c>
      <c r="D2812" t="str">
        <f>MID(analisis_productividad__4[[#This Row],[Periodo]],5,2)</f>
        <v>09</v>
      </c>
      <c r="E2812" t="s">
        <v>9</v>
      </c>
      <c r="F2812" t="s">
        <v>9</v>
      </c>
      <c r="G2812">
        <v>58756</v>
      </c>
      <c r="H2812">
        <v>667524</v>
      </c>
      <c r="I2812">
        <v>11.360902777777778</v>
      </c>
      <c r="J2812">
        <v>68893.222491471795</v>
      </c>
      <c r="K2812">
        <v>11.5</v>
      </c>
      <c r="L2812">
        <v>12</v>
      </c>
      <c r="M2812">
        <v>9.6892597828854932</v>
      </c>
      <c r="N2812">
        <v>855400</v>
      </c>
    </row>
    <row r="2813" spans="1:14" x14ac:dyDescent="0.35">
      <c r="A2813" t="s">
        <v>116</v>
      </c>
      <c r="B2813">
        <v>202402</v>
      </c>
      <c r="C2813" t="str">
        <f>MID(analisis_productividad__4[[#This Row],[Periodo]],1,4)</f>
        <v>2024</v>
      </c>
      <c r="D2813" t="str">
        <f>MID(analisis_productividad__4[[#This Row],[Periodo]],5,2)</f>
        <v>02</v>
      </c>
      <c r="E2813" t="s">
        <v>9</v>
      </c>
      <c r="F2813" t="s">
        <v>9</v>
      </c>
      <c r="G2813">
        <v>58745</v>
      </c>
      <c r="H2813">
        <v>671131</v>
      </c>
      <c r="I2813">
        <v>11.424482758620693</v>
      </c>
      <c r="J2813">
        <v>0</v>
      </c>
      <c r="K2813">
        <v>11.5</v>
      </c>
      <c r="L2813">
        <v>10</v>
      </c>
      <c r="N2813">
        <v>0</v>
      </c>
    </row>
    <row r="2814" spans="1:14" x14ac:dyDescent="0.35">
      <c r="A2814" t="s">
        <v>118</v>
      </c>
      <c r="B2814">
        <v>202409</v>
      </c>
      <c r="C2814" t="str">
        <f>MID(analisis_productividad__4[[#This Row],[Periodo]],1,4)</f>
        <v>2024</v>
      </c>
      <c r="D2814" t="str">
        <f>MID(analisis_productividad__4[[#This Row],[Periodo]],5,2)</f>
        <v>09</v>
      </c>
      <c r="E2814" t="s">
        <v>34</v>
      </c>
      <c r="F2814" t="s">
        <v>35</v>
      </c>
      <c r="G2814">
        <v>58682</v>
      </c>
      <c r="H2814">
        <v>1066628</v>
      </c>
      <c r="I2814">
        <v>18.176326388888889</v>
      </c>
      <c r="J2814">
        <v>0</v>
      </c>
      <c r="K2814">
        <v>19</v>
      </c>
      <c r="L2814">
        <v>21.5</v>
      </c>
      <c r="N2814">
        <v>0</v>
      </c>
    </row>
    <row r="2815" spans="1:14" x14ac:dyDescent="0.35">
      <c r="A2815" t="s">
        <v>127</v>
      </c>
      <c r="B2815">
        <v>202606</v>
      </c>
      <c r="C2815" t="str">
        <f>MID(analisis_productividad__4[[#This Row],[Periodo]],1,4)</f>
        <v>2026</v>
      </c>
      <c r="D2815" t="str">
        <f>MID(analisis_productividad__4[[#This Row],[Periodo]],5,2)</f>
        <v>06</v>
      </c>
      <c r="E2815" t="s">
        <v>104</v>
      </c>
      <c r="F2815" t="s">
        <v>104</v>
      </c>
      <c r="G2815">
        <v>58661</v>
      </c>
      <c r="H2815">
        <v>2920448</v>
      </c>
      <c r="I2815">
        <v>49.785458333333416</v>
      </c>
      <c r="K2815">
        <v>61.5</v>
      </c>
      <c r="L2815">
        <v>56</v>
      </c>
      <c r="N2815">
        <v>3350928</v>
      </c>
    </row>
    <row r="2816" spans="1:14" x14ac:dyDescent="0.35">
      <c r="A2816" t="s">
        <v>101</v>
      </c>
      <c r="B2816">
        <v>202512</v>
      </c>
      <c r="C2816" t="str">
        <f>MID(analisis_productividad__4[[#This Row],[Periodo]],1,4)</f>
        <v>2025</v>
      </c>
      <c r="D2816" t="str">
        <f>MID(analisis_productividad__4[[#This Row],[Periodo]],5,2)</f>
        <v>12</v>
      </c>
      <c r="E2816" t="s">
        <v>9</v>
      </c>
      <c r="F2816" t="s">
        <v>9</v>
      </c>
      <c r="G2816">
        <v>58656</v>
      </c>
      <c r="H2816">
        <v>373185</v>
      </c>
      <c r="I2816">
        <v>6.3622849462365458</v>
      </c>
      <c r="J2816">
        <v>55796.735028354677</v>
      </c>
      <c r="K2816">
        <v>8.5</v>
      </c>
      <c r="L2816">
        <v>6.5</v>
      </c>
      <c r="M2816">
        <v>6.6882986936485711</v>
      </c>
      <c r="N2816">
        <v>396541</v>
      </c>
    </row>
    <row r="2817" spans="1:14" x14ac:dyDescent="0.35">
      <c r="A2817" t="s">
        <v>121</v>
      </c>
      <c r="B2817">
        <v>202504</v>
      </c>
      <c r="C2817" t="str">
        <f>MID(analisis_productividad__4[[#This Row],[Periodo]],1,4)</f>
        <v>2025</v>
      </c>
      <c r="D2817" t="str">
        <f>MID(analisis_productividad__4[[#This Row],[Periodo]],5,2)</f>
        <v>04</v>
      </c>
      <c r="E2817" t="s">
        <v>11</v>
      </c>
      <c r="F2817" t="s">
        <v>14</v>
      </c>
      <c r="G2817">
        <v>58651</v>
      </c>
      <c r="H2817">
        <v>1919161</v>
      </c>
      <c r="I2817">
        <v>32.721888888888905</v>
      </c>
      <c r="J2817">
        <v>53630.960740027491</v>
      </c>
      <c r="K2817">
        <v>36</v>
      </c>
      <c r="L2817">
        <v>35</v>
      </c>
      <c r="M2817">
        <v>35.784578413633248</v>
      </c>
      <c r="N2817">
        <v>2026039</v>
      </c>
    </row>
    <row r="2818" spans="1:14" x14ac:dyDescent="0.35">
      <c r="A2818" t="s">
        <v>124</v>
      </c>
      <c r="B2818">
        <v>202605</v>
      </c>
      <c r="C2818" t="str">
        <f>MID(analisis_productividad__4[[#This Row],[Periodo]],1,4)</f>
        <v>2026</v>
      </c>
      <c r="D2818" t="str">
        <f>MID(analisis_productividad__4[[#This Row],[Periodo]],5,2)</f>
        <v>05</v>
      </c>
      <c r="E2818" t="s">
        <v>9</v>
      </c>
      <c r="F2818" t="s">
        <v>9</v>
      </c>
      <c r="G2818">
        <v>58631</v>
      </c>
      <c r="H2818">
        <v>697767</v>
      </c>
      <c r="I2818">
        <v>11.900940860215069</v>
      </c>
      <c r="J2818">
        <v>65816.996399954543</v>
      </c>
      <c r="K2818">
        <v>11</v>
      </c>
      <c r="L2818">
        <v>12</v>
      </c>
      <c r="M2818">
        <v>10.653753026634384</v>
      </c>
      <c r="N2818">
        <v>701198</v>
      </c>
    </row>
    <row r="2819" spans="1:14" x14ac:dyDescent="0.35">
      <c r="A2819" t="s">
        <v>117</v>
      </c>
      <c r="B2819">
        <v>202602</v>
      </c>
      <c r="C2819" t="str">
        <f>MID(analisis_productividad__4[[#This Row],[Periodo]],1,4)</f>
        <v>2026</v>
      </c>
      <c r="D2819" t="str">
        <f>MID(analisis_productividad__4[[#This Row],[Periodo]],5,2)</f>
        <v>02</v>
      </c>
      <c r="E2819" t="s">
        <v>104</v>
      </c>
      <c r="F2819" t="s">
        <v>104</v>
      </c>
      <c r="G2819">
        <v>58628</v>
      </c>
      <c r="H2819">
        <v>3462166</v>
      </c>
      <c r="I2819">
        <v>59.053124999999987</v>
      </c>
      <c r="J2819">
        <v>47730.289879594944</v>
      </c>
      <c r="K2819">
        <v>66</v>
      </c>
      <c r="L2819">
        <v>65.5</v>
      </c>
      <c r="M2819">
        <v>58.116081161406527</v>
      </c>
      <c r="N2819">
        <v>2773897</v>
      </c>
    </row>
    <row r="2820" spans="1:14" x14ac:dyDescent="0.35">
      <c r="A2820" t="s">
        <v>116</v>
      </c>
      <c r="B2820">
        <v>202505</v>
      </c>
      <c r="C2820" t="str">
        <f>MID(analisis_productividad__4[[#This Row],[Periodo]],1,4)</f>
        <v>2025</v>
      </c>
      <c r="D2820" t="str">
        <f>MID(analisis_productividad__4[[#This Row],[Periodo]],5,2)</f>
        <v>05</v>
      </c>
      <c r="E2820" t="s">
        <v>9</v>
      </c>
      <c r="F2820" t="s">
        <v>9</v>
      </c>
      <c r="G2820">
        <v>58592</v>
      </c>
      <c r="H2820">
        <v>605059</v>
      </c>
      <c r="I2820">
        <v>10.326599462365593</v>
      </c>
      <c r="J2820">
        <v>57487.690511162029</v>
      </c>
      <c r="K2820">
        <v>11.5</v>
      </c>
      <c r="L2820">
        <v>10</v>
      </c>
      <c r="M2820">
        <v>10.525023785440109</v>
      </c>
      <c r="N2820">
        <v>674475</v>
      </c>
    </row>
    <row r="2821" spans="1:14" x14ac:dyDescent="0.35">
      <c r="A2821" t="s">
        <v>126</v>
      </c>
      <c r="B2821">
        <v>202501</v>
      </c>
      <c r="C2821" t="str">
        <f>MID(analisis_productividad__4[[#This Row],[Periodo]],1,4)</f>
        <v>2025</v>
      </c>
      <c r="D2821" t="str">
        <f>MID(analisis_productividad__4[[#This Row],[Periodo]],5,2)</f>
        <v>01</v>
      </c>
      <c r="E2821" t="s">
        <v>104</v>
      </c>
      <c r="F2821" t="s">
        <v>104</v>
      </c>
      <c r="G2821">
        <v>58583</v>
      </c>
      <c r="H2821">
        <v>3197874</v>
      </c>
      <c r="I2821">
        <v>54.587016129032257</v>
      </c>
      <c r="J2821">
        <v>53493.039269444314</v>
      </c>
      <c r="K2821">
        <v>64.5</v>
      </c>
      <c r="L2821">
        <v>61</v>
      </c>
      <c r="M2821">
        <v>59.781130473673691</v>
      </c>
      <c r="N2821">
        <v>3002472</v>
      </c>
    </row>
    <row r="2822" spans="1:14" x14ac:dyDescent="0.35">
      <c r="A2822" t="s">
        <v>101</v>
      </c>
      <c r="B2822">
        <v>202409</v>
      </c>
      <c r="C2822" t="str">
        <f>MID(analisis_productividad__4[[#This Row],[Periodo]],1,4)</f>
        <v>2024</v>
      </c>
      <c r="D2822" t="str">
        <f>MID(analisis_productividad__4[[#This Row],[Periodo]],5,2)</f>
        <v>09</v>
      </c>
      <c r="E2822" t="s">
        <v>9</v>
      </c>
      <c r="F2822" t="s">
        <v>9</v>
      </c>
      <c r="G2822">
        <v>58571</v>
      </c>
      <c r="H2822">
        <v>364024</v>
      </c>
      <c r="I2822">
        <v>6.2151250000000005</v>
      </c>
      <c r="J2822">
        <v>0</v>
      </c>
      <c r="K2822">
        <v>8.5</v>
      </c>
      <c r="L2822">
        <v>6.5</v>
      </c>
      <c r="N2822">
        <v>0</v>
      </c>
    </row>
    <row r="2823" spans="1:14" x14ac:dyDescent="0.35">
      <c r="A2823" t="s">
        <v>121</v>
      </c>
      <c r="B2823">
        <v>202408</v>
      </c>
      <c r="C2823" t="str">
        <f>MID(analisis_productividad__4[[#This Row],[Periodo]],1,4)</f>
        <v>2024</v>
      </c>
      <c r="D2823" t="str">
        <f>MID(analisis_productividad__4[[#This Row],[Periodo]],5,2)</f>
        <v>08</v>
      </c>
      <c r="E2823" t="s">
        <v>11</v>
      </c>
      <c r="F2823" t="s">
        <v>14</v>
      </c>
      <c r="G2823">
        <v>58548</v>
      </c>
      <c r="H2823">
        <v>2007532</v>
      </c>
      <c r="I2823">
        <v>34.28880376344086</v>
      </c>
      <c r="J2823">
        <v>0</v>
      </c>
      <c r="K2823">
        <v>36</v>
      </c>
      <c r="L2823">
        <v>35</v>
      </c>
      <c r="N2823">
        <v>0</v>
      </c>
    </row>
    <row r="2824" spans="1:14" x14ac:dyDescent="0.35">
      <c r="A2824" t="s">
        <v>108</v>
      </c>
      <c r="B2824">
        <v>202409</v>
      </c>
      <c r="C2824" t="str">
        <f>MID(analisis_productividad__4[[#This Row],[Periodo]],1,4)</f>
        <v>2024</v>
      </c>
      <c r="D2824" t="str">
        <f>MID(analisis_productividad__4[[#This Row],[Periodo]],5,2)</f>
        <v>09</v>
      </c>
      <c r="E2824" t="s">
        <v>11</v>
      </c>
      <c r="F2824" t="s">
        <v>14</v>
      </c>
      <c r="G2824">
        <v>58532</v>
      </c>
      <c r="H2824">
        <v>2482785</v>
      </c>
      <c r="I2824">
        <v>42.417666666666683</v>
      </c>
      <c r="J2824">
        <v>0</v>
      </c>
      <c r="K2824">
        <v>47.5</v>
      </c>
      <c r="L2824">
        <v>43</v>
      </c>
      <c r="N2824">
        <v>0</v>
      </c>
    </row>
    <row r="2825" spans="1:14" x14ac:dyDescent="0.35">
      <c r="A2825" t="s">
        <v>124</v>
      </c>
      <c r="B2825">
        <v>202407</v>
      </c>
      <c r="C2825" t="str">
        <f>MID(analisis_productividad__4[[#This Row],[Periodo]],1,4)</f>
        <v>2024</v>
      </c>
      <c r="D2825" t="str">
        <f>MID(analisis_productividad__4[[#This Row],[Periodo]],5,2)</f>
        <v>07</v>
      </c>
      <c r="E2825" t="s">
        <v>9</v>
      </c>
      <c r="F2825" t="s">
        <v>9</v>
      </c>
      <c r="G2825">
        <v>58532</v>
      </c>
      <c r="H2825">
        <v>608138</v>
      </c>
      <c r="I2825">
        <v>10.389919354838712</v>
      </c>
      <c r="J2825">
        <v>0</v>
      </c>
      <c r="K2825">
        <v>11</v>
      </c>
      <c r="L2825">
        <v>12</v>
      </c>
      <c r="N2825">
        <v>0</v>
      </c>
    </row>
    <row r="2826" spans="1:14" x14ac:dyDescent="0.35">
      <c r="A2826" t="s">
        <v>110</v>
      </c>
      <c r="B2826">
        <v>202402</v>
      </c>
      <c r="C2826" t="str">
        <f>MID(analisis_productividad__4[[#This Row],[Periodo]],1,4)</f>
        <v>2024</v>
      </c>
      <c r="D2826" t="str">
        <f>MID(analisis_productividad__4[[#This Row],[Periodo]],5,2)</f>
        <v>02</v>
      </c>
      <c r="E2826" t="s">
        <v>34</v>
      </c>
      <c r="F2826" t="s">
        <v>35</v>
      </c>
      <c r="G2826">
        <v>58529</v>
      </c>
      <c r="H2826">
        <v>2233159</v>
      </c>
      <c r="I2826">
        <v>38.154525862068986</v>
      </c>
      <c r="J2826">
        <v>0</v>
      </c>
      <c r="K2826">
        <v>41.5</v>
      </c>
      <c r="L2826">
        <v>43</v>
      </c>
      <c r="N2826">
        <v>0</v>
      </c>
    </row>
    <row r="2827" spans="1:14" x14ac:dyDescent="0.35">
      <c r="A2827" t="s">
        <v>109</v>
      </c>
      <c r="B2827">
        <v>202405</v>
      </c>
      <c r="C2827" t="str">
        <f>MID(analisis_productividad__4[[#This Row],[Periodo]],1,4)</f>
        <v>2024</v>
      </c>
      <c r="D2827" t="str">
        <f>MID(analisis_productividad__4[[#This Row],[Periodo]],5,2)</f>
        <v>05</v>
      </c>
      <c r="E2827" t="s">
        <v>9</v>
      </c>
      <c r="F2827" t="s">
        <v>9</v>
      </c>
      <c r="G2827">
        <v>58460</v>
      </c>
      <c r="H2827">
        <v>544483</v>
      </c>
      <c r="I2827">
        <v>9.313716397849463</v>
      </c>
      <c r="J2827">
        <v>0</v>
      </c>
      <c r="K2827">
        <v>10</v>
      </c>
      <c r="L2827">
        <v>9</v>
      </c>
      <c r="N2827">
        <v>0</v>
      </c>
    </row>
    <row r="2828" spans="1:14" x14ac:dyDescent="0.35">
      <c r="A2828" t="s">
        <v>113</v>
      </c>
      <c r="B2828">
        <v>202502</v>
      </c>
      <c r="C2828" t="str">
        <f>MID(analisis_productividad__4[[#This Row],[Periodo]],1,4)</f>
        <v>2025</v>
      </c>
      <c r="D2828" t="str">
        <f>MID(analisis_productividad__4[[#This Row],[Periodo]],5,2)</f>
        <v>02</v>
      </c>
      <c r="E2828" t="s">
        <v>9</v>
      </c>
      <c r="F2828" t="s">
        <v>9</v>
      </c>
      <c r="G2828">
        <v>58454</v>
      </c>
      <c r="H2828">
        <v>543513</v>
      </c>
      <c r="I2828">
        <v>9.2980729166666674</v>
      </c>
      <c r="J2828">
        <v>58570.610201847376</v>
      </c>
      <c r="K2828">
        <v>11.5</v>
      </c>
      <c r="L2828">
        <v>10</v>
      </c>
      <c r="M2828">
        <v>9.2796168270559889</v>
      </c>
      <c r="N2828">
        <v>575429</v>
      </c>
    </row>
    <row r="2829" spans="1:14" x14ac:dyDescent="0.35">
      <c r="A2829" t="s">
        <v>126</v>
      </c>
      <c r="B2829">
        <v>202508</v>
      </c>
      <c r="C2829" t="str">
        <f>MID(analisis_productividad__4[[#This Row],[Periodo]],1,4)</f>
        <v>2025</v>
      </c>
      <c r="D2829" t="str">
        <f>MID(analisis_productividad__4[[#This Row],[Periodo]],5,2)</f>
        <v>08</v>
      </c>
      <c r="E2829" t="s">
        <v>104</v>
      </c>
      <c r="F2829" t="s">
        <v>104</v>
      </c>
      <c r="G2829">
        <v>58414</v>
      </c>
      <c r="H2829">
        <v>3195837</v>
      </c>
      <c r="I2829">
        <v>54.710409946236588</v>
      </c>
      <c r="J2829">
        <v>58034.33703917278</v>
      </c>
      <c r="K2829">
        <v>64.5</v>
      </c>
      <c r="L2829">
        <v>61</v>
      </c>
      <c r="M2829">
        <v>55.068037528245256</v>
      </c>
      <c r="N2829">
        <v>3227369</v>
      </c>
    </row>
    <row r="2830" spans="1:14" x14ac:dyDescent="0.35">
      <c r="A2830" t="s">
        <v>112</v>
      </c>
      <c r="B2830">
        <v>202501</v>
      </c>
      <c r="C2830" t="str">
        <f>MID(analisis_productividad__4[[#This Row],[Periodo]],1,4)</f>
        <v>2025</v>
      </c>
      <c r="D2830" t="str">
        <f>MID(analisis_productividad__4[[#This Row],[Periodo]],5,2)</f>
        <v>01</v>
      </c>
      <c r="E2830" t="s">
        <v>34</v>
      </c>
      <c r="F2830" t="s">
        <v>35</v>
      </c>
      <c r="G2830">
        <v>58410</v>
      </c>
      <c r="H2830">
        <v>1570142</v>
      </c>
      <c r="I2830">
        <v>26.881176075268808</v>
      </c>
      <c r="J2830">
        <v>65964.487108396948</v>
      </c>
      <c r="K2830">
        <v>31</v>
      </c>
      <c r="L2830">
        <v>27</v>
      </c>
      <c r="M2830">
        <v>23.802832839734592</v>
      </c>
      <c r="N2830">
        <v>1569109</v>
      </c>
    </row>
    <row r="2831" spans="1:14" x14ac:dyDescent="0.35">
      <c r="A2831" t="s">
        <v>95</v>
      </c>
      <c r="B2831">
        <v>202511</v>
      </c>
      <c r="C2831" t="str">
        <f>MID(analisis_productividad__4[[#This Row],[Periodo]],1,4)</f>
        <v>2025</v>
      </c>
      <c r="D2831" t="str">
        <f>MID(analisis_productividad__4[[#This Row],[Periodo]],5,2)</f>
        <v>11</v>
      </c>
      <c r="E2831" t="s">
        <v>9</v>
      </c>
      <c r="F2831" t="s">
        <v>9</v>
      </c>
      <c r="G2831">
        <v>58410</v>
      </c>
      <c r="H2831">
        <v>644661</v>
      </c>
      <c r="I2831">
        <v>11.036909722222218</v>
      </c>
      <c r="J2831">
        <v>82554.291258030789</v>
      </c>
      <c r="K2831">
        <v>11</v>
      </c>
      <c r="L2831">
        <v>11</v>
      </c>
      <c r="M2831">
        <v>7.8089309492713754</v>
      </c>
      <c r="N2831">
        <v>688718</v>
      </c>
    </row>
    <row r="2832" spans="1:14" x14ac:dyDescent="0.35">
      <c r="A2832" t="s">
        <v>114</v>
      </c>
      <c r="B2832">
        <v>202606</v>
      </c>
      <c r="C2832" t="str">
        <f>MID(analisis_productividad__4[[#This Row],[Periodo]],1,4)</f>
        <v>2026</v>
      </c>
      <c r="D2832" t="str">
        <f>MID(analisis_productividad__4[[#This Row],[Periodo]],5,2)</f>
        <v>06</v>
      </c>
      <c r="E2832" t="s">
        <v>9</v>
      </c>
      <c r="F2832" t="s">
        <v>9</v>
      </c>
      <c r="G2832">
        <v>58340</v>
      </c>
      <c r="H2832">
        <v>862652</v>
      </c>
      <c r="I2832">
        <v>14.786624999999999</v>
      </c>
      <c r="J2832">
        <v>58760.527396708741</v>
      </c>
      <c r="K2832">
        <v>13.5</v>
      </c>
      <c r="L2832">
        <v>14.5</v>
      </c>
      <c r="M2832">
        <v>13.189776457714554</v>
      </c>
      <c r="N2832">
        <v>775038</v>
      </c>
    </row>
    <row r="2833" spans="1:14" x14ac:dyDescent="0.35">
      <c r="A2833" t="s">
        <v>115</v>
      </c>
      <c r="B2833">
        <v>202505</v>
      </c>
      <c r="C2833" t="str">
        <f>MID(analisis_productividad__4[[#This Row],[Periodo]],1,4)</f>
        <v>2025</v>
      </c>
      <c r="D2833" t="str">
        <f>MID(analisis_productividad__4[[#This Row],[Periodo]],5,2)</f>
        <v>05</v>
      </c>
      <c r="E2833" t="s">
        <v>34</v>
      </c>
      <c r="F2833" t="s">
        <v>35</v>
      </c>
      <c r="G2833">
        <v>58337</v>
      </c>
      <c r="H2833">
        <v>2996508</v>
      </c>
      <c r="I2833">
        <v>51.365087365591386</v>
      </c>
      <c r="J2833">
        <v>58781.59644793794</v>
      </c>
      <c r="K2833">
        <v>53.5</v>
      </c>
      <c r="L2833">
        <v>51</v>
      </c>
      <c r="M2833">
        <v>50.976971383449346</v>
      </c>
      <c r="N2833">
        <v>3163356</v>
      </c>
    </row>
    <row r="2834" spans="1:14" x14ac:dyDescent="0.35">
      <c r="A2834" t="s">
        <v>118</v>
      </c>
      <c r="B2834">
        <v>202407</v>
      </c>
      <c r="C2834" t="str">
        <f>MID(analisis_productividad__4[[#This Row],[Periodo]],1,4)</f>
        <v>2024</v>
      </c>
      <c r="D2834" t="str">
        <f>MID(analisis_productividad__4[[#This Row],[Periodo]],5,2)</f>
        <v>07</v>
      </c>
      <c r="E2834" t="s">
        <v>34</v>
      </c>
      <c r="F2834" t="s">
        <v>35</v>
      </c>
      <c r="G2834">
        <v>58317</v>
      </c>
      <c r="H2834">
        <v>1243210</v>
      </c>
      <c r="I2834">
        <v>21.317963709677418</v>
      </c>
      <c r="J2834">
        <v>0</v>
      </c>
      <c r="K2834">
        <v>19</v>
      </c>
      <c r="L2834">
        <v>21.5</v>
      </c>
      <c r="N2834">
        <v>0</v>
      </c>
    </row>
    <row r="2835" spans="1:14" x14ac:dyDescent="0.35">
      <c r="A2835" t="s">
        <v>118</v>
      </c>
      <c r="B2835">
        <v>202508</v>
      </c>
      <c r="C2835" t="str">
        <f>MID(analisis_productividad__4[[#This Row],[Periodo]],1,4)</f>
        <v>2025</v>
      </c>
      <c r="D2835" t="str">
        <f>MID(analisis_productividad__4[[#This Row],[Periodo]],5,2)</f>
        <v>08</v>
      </c>
      <c r="E2835" t="s">
        <v>34</v>
      </c>
      <c r="F2835" t="s">
        <v>35</v>
      </c>
      <c r="G2835">
        <v>58305</v>
      </c>
      <c r="H2835">
        <v>1088181</v>
      </c>
      <c r="I2835">
        <v>18.663608870967739</v>
      </c>
      <c r="J2835">
        <v>65394.20270035346</v>
      </c>
      <c r="K2835">
        <v>19</v>
      </c>
      <c r="L2835">
        <v>21.5</v>
      </c>
      <c r="M2835">
        <v>16.640329800887969</v>
      </c>
      <c r="N2835">
        <v>1277129</v>
      </c>
    </row>
    <row r="2836" spans="1:14" x14ac:dyDescent="0.35">
      <c r="A2836" t="s">
        <v>115</v>
      </c>
      <c r="B2836">
        <v>202401</v>
      </c>
      <c r="C2836" t="str">
        <f>MID(analisis_productividad__4[[#This Row],[Periodo]],1,4)</f>
        <v>2024</v>
      </c>
      <c r="D2836" t="str">
        <f>MID(analisis_productividad__4[[#This Row],[Periodo]],5,2)</f>
        <v>01</v>
      </c>
      <c r="E2836" t="s">
        <v>34</v>
      </c>
      <c r="F2836" t="s">
        <v>35</v>
      </c>
      <c r="G2836">
        <v>58243</v>
      </c>
      <c r="H2836">
        <v>3044318</v>
      </c>
      <c r="I2836">
        <v>52.268924731182764</v>
      </c>
      <c r="J2836">
        <v>0</v>
      </c>
      <c r="K2836">
        <v>53.5</v>
      </c>
      <c r="L2836">
        <v>51</v>
      </c>
      <c r="N2836">
        <v>0</v>
      </c>
    </row>
    <row r="2837" spans="1:14" x14ac:dyDescent="0.35">
      <c r="A2837" t="s">
        <v>109</v>
      </c>
      <c r="B2837">
        <v>202410</v>
      </c>
      <c r="C2837" t="str">
        <f>MID(analisis_productividad__4[[#This Row],[Periodo]],1,4)</f>
        <v>2024</v>
      </c>
      <c r="D2837" t="str">
        <f>MID(analisis_productividad__4[[#This Row],[Periodo]],5,2)</f>
        <v>10</v>
      </c>
      <c r="E2837" t="s">
        <v>9</v>
      </c>
      <c r="F2837" t="s">
        <v>9</v>
      </c>
      <c r="G2837">
        <v>58176</v>
      </c>
      <c r="H2837">
        <v>510476</v>
      </c>
      <c r="I2837">
        <v>8.7747446236559163</v>
      </c>
      <c r="J2837">
        <v>0</v>
      </c>
      <c r="K2837">
        <v>10</v>
      </c>
      <c r="L2837">
        <v>9</v>
      </c>
      <c r="N2837">
        <v>0</v>
      </c>
    </row>
    <row r="2838" spans="1:14" x14ac:dyDescent="0.35">
      <c r="A2838" t="s">
        <v>117</v>
      </c>
      <c r="B2838">
        <v>202403</v>
      </c>
      <c r="C2838" t="str">
        <f>MID(analisis_productividad__4[[#This Row],[Periodo]],1,4)</f>
        <v>2024</v>
      </c>
      <c r="D2838" t="str">
        <f>MID(analisis_productividad__4[[#This Row],[Periodo]],5,2)</f>
        <v>03</v>
      </c>
      <c r="E2838" t="s">
        <v>104</v>
      </c>
      <c r="F2838" t="s">
        <v>104</v>
      </c>
      <c r="G2838">
        <v>58165</v>
      </c>
      <c r="H2838">
        <v>3667681</v>
      </c>
      <c r="I2838">
        <v>63.056545698924744</v>
      </c>
      <c r="J2838">
        <v>0</v>
      </c>
      <c r="K2838">
        <v>66</v>
      </c>
      <c r="L2838">
        <v>65.5</v>
      </c>
      <c r="N2838">
        <v>0</v>
      </c>
    </row>
    <row r="2839" spans="1:14" x14ac:dyDescent="0.35">
      <c r="A2839" t="s">
        <v>113</v>
      </c>
      <c r="B2839">
        <v>202602</v>
      </c>
      <c r="C2839" t="str">
        <f>MID(analisis_productividad__4[[#This Row],[Periodo]],1,4)</f>
        <v>2026</v>
      </c>
      <c r="D2839" t="str">
        <f>MID(analisis_productividad__4[[#This Row],[Periodo]],5,2)</f>
        <v>02</v>
      </c>
      <c r="E2839" t="s">
        <v>9</v>
      </c>
      <c r="F2839" t="s">
        <v>9</v>
      </c>
      <c r="G2839">
        <v>58155</v>
      </c>
      <c r="H2839">
        <v>565192</v>
      </c>
      <c r="I2839">
        <v>9.7188020833333333</v>
      </c>
      <c r="J2839">
        <v>58912.666368867169</v>
      </c>
      <c r="K2839">
        <v>11.5</v>
      </c>
      <c r="L2839">
        <v>10</v>
      </c>
      <c r="M2839">
        <v>10.042294324207418</v>
      </c>
      <c r="N2839">
        <v>591618</v>
      </c>
    </row>
    <row r="2840" spans="1:14" x14ac:dyDescent="0.35">
      <c r="A2840" t="s">
        <v>110</v>
      </c>
      <c r="B2840">
        <v>202404</v>
      </c>
      <c r="C2840" t="str">
        <f>MID(analisis_productividad__4[[#This Row],[Periodo]],1,4)</f>
        <v>2024</v>
      </c>
      <c r="D2840" t="str">
        <f>MID(analisis_productividad__4[[#This Row],[Periodo]],5,2)</f>
        <v>04</v>
      </c>
      <c r="E2840" t="s">
        <v>34</v>
      </c>
      <c r="F2840" t="s">
        <v>35</v>
      </c>
      <c r="G2840">
        <v>58137</v>
      </c>
      <c r="H2840">
        <v>2294310</v>
      </c>
      <c r="I2840">
        <v>39.463958333333331</v>
      </c>
      <c r="J2840">
        <v>0</v>
      </c>
      <c r="K2840">
        <v>41.5</v>
      </c>
      <c r="L2840">
        <v>43</v>
      </c>
      <c r="N2840">
        <v>0</v>
      </c>
    </row>
    <row r="2841" spans="1:14" x14ac:dyDescent="0.35">
      <c r="A2841" t="s">
        <v>120</v>
      </c>
      <c r="B2841">
        <v>202602</v>
      </c>
      <c r="C2841" t="str">
        <f>MID(analisis_productividad__4[[#This Row],[Periodo]],1,4)</f>
        <v>2026</v>
      </c>
      <c r="D2841" t="str">
        <f>MID(analisis_productividad__4[[#This Row],[Periodo]],5,2)</f>
        <v>02</v>
      </c>
      <c r="E2841" t="s">
        <v>9</v>
      </c>
      <c r="F2841" t="s">
        <v>9</v>
      </c>
      <c r="G2841">
        <v>58115</v>
      </c>
      <c r="H2841">
        <v>655011</v>
      </c>
      <c r="I2841">
        <v>11.270937499999999</v>
      </c>
      <c r="J2841">
        <v>75343.304495281816</v>
      </c>
      <c r="K2841">
        <v>11.5</v>
      </c>
      <c r="L2841">
        <v>12</v>
      </c>
      <c r="M2841">
        <v>10.04229432420742</v>
      </c>
      <c r="N2841">
        <v>756620</v>
      </c>
    </row>
    <row r="2842" spans="1:14" x14ac:dyDescent="0.35">
      <c r="A2842" t="s">
        <v>121</v>
      </c>
      <c r="B2842">
        <v>202603</v>
      </c>
      <c r="C2842" t="str">
        <f>MID(analisis_productividad__4[[#This Row],[Periodo]],1,4)</f>
        <v>2026</v>
      </c>
      <c r="D2842" t="str">
        <f>MID(analisis_productividad__4[[#This Row],[Periodo]],5,2)</f>
        <v>03</v>
      </c>
      <c r="E2842" t="s">
        <v>11</v>
      </c>
      <c r="F2842" t="s">
        <v>14</v>
      </c>
      <c r="G2842">
        <v>58101</v>
      </c>
      <c r="H2842">
        <v>2126605</v>
      </c>
      <c r="I2842">
        <v>36.601673387096767</v>
      </c>
      <c r="J2842">
        <v>68357.87186025118</v>
      </c>
      <c r="K2842">
        <v>36</v>
      </c>
      <c r="L2842">
        <v>35</v>
      </c>
      <c r="M2842">
        <v>31.443465596679005</v>
      </c>
      <c r="N2842">
        <v>2149408</v>
      </c>
    </row>
    <row r="2843" spans="1:14" x14ac:dyDescent="0.35">
      <c r="A2843" t="s">
        <v>110</v>
      </c>
      <c r="B2843">
        <v>202506</v>
      </c>
      <c r="C2843" t="str">
        <f>MID(analisis_productividad__4[[#This Row],[Periodo]],1,4)</f>
        <v>2025</v>
      </c>
      <c r="D2843" t="str">
        <f>MID(analisis_productividad__4[[#This Row],[Periodo]],5,2)</f>
        <v>06</v>
      </c>
      <c r="E2843" t="s">
        <v>34</v>
      </c>
      <c r="F2843" t="s">
        <v>35</v>
      </c>
      <c r="G2843">
        <v>58100</v>
      </c>
      <c r="H2843">
        <v>2162608</v>
      </c>
      <c r="I2843">
        <v>37.222159722222237</v>
      </c>
      <c r="J2843">
        <v>63445.652920749097</v>
      </c>
      <c r="K2843">
        <v>41.5</v>
      </c>
      <c r="L2843">
        <v>43</v>
      </c>
      <c r="M2843">
        <v>34.085991245158212</v>
      </c>
      <c r="N2843">
        <v>2374343</v>
      </c>
    </row>
    <row r="2844" spans="1:14" x14ac:dyDescent="0.35">
      <c r="A2844" t="s">
        <v>111</v>
      </c>
      <c r="B2844">
        <v>202501</v>
      </c>
      <c r="C2844" t="str">
        <f>MID(analisis_productividad__4[[#This Row],[Periodo]],1,4)</f>
        <v>2025</v>
      </c>
      <c r="D2844" t="str">
        <f>MID(analisis_productividad__4[[#This Row],[Periodo]],5,2)</f>
        <v>01</v>
      </c>
      <c r="E2844" t="s">
        <v>34</v>
      </c>
      <c r="F2844" t="s">
        <v>35</v>
      </c>
      <c r="G2844">
        <v>58094</v>
      </c>
      <c r="H2844">
        <v>2225295</v>
      </c>
      <c r="I2844">
        <v>38.304818548387104</v>
      </c>
      <c r="J2844">
        <v>59781.538471576852</v>
      </c>
      <c r="K2844">
        <v>45.5</v>
      </c>
      <c r="L2844">
        <v>42.5</v>
      </c>
      <c r="M2844">
        <v>37.223783744843189</v>
      </c>
      <c r="N2844">
        <v>2397517</v>
      </c>
    </row>
    <row r="2845" spans="1:14" x14ac:dyDescent="0.35">
      <c r="A2845" t="s">
        <v>108</v>
      </c>
      <c r="B2845">
        <v>202504</v>
      </c>
      <c r="C2845" t="str">
        <f>MID(analisis_productividad__4[[#This Row],[Periodo]],1,4)</f>
        <v>2025</v>
      </c>
      <c r="D2845" t="str">
        <f>MID(analisis_productividad__4[[#This Row],[Periodo]],5,2)</f>
        <v>04</v>
      </c>
      <c r="E2845" t="s">
        <v>11</v>
      </c>
      <c r="F2845" t="s">
        <v>14</v>
      </c>
      <c r="G2845">
        <v>58050</v>
      </c>
      <c r="H2845">
        <v>2649130</v>
      </c>
      <c r="I2845">
        <v>45.635041666666659</v>
      </c>
      <c r="J2845">
        <v>57290.172052808164</v>
      </c>
      <c r="K2845">
        <v>47.5</v>
      </c>
      <c r="L2845">
        <v>43</v>
      </c>
      <c r="M2845">
        <v>46.240569282251769</v>
      </c>
      <c r="N2845">
        <v>3155897</v>
      </c>
    </row>
    <row r="2846" spans="1:14" x14ac:dyDescent="0.35">
      <c r="A2846" t="s">
        <v>117</v>
      </c>
      <c r="B2846">
        <v>202501</v>
      </c>
      <c r="C2846" t="str">
        <f>MID(analisis_productividad__4[[#This Row],[Periodo]],1,4)</f>
        <v>2025</v>
      </c>
      <c r="D2846" t="str">
        <f>MID(analisis_productividad__4[[#This Row],[Periodo]],5,2)</f>
        <v>01</v>
      </c>
      <c r="E2846" t="s">
        <v>104</v>
      </c>
      <c r="F2846" t="s">
        <v>104</v>
      </c>
      <c r="G2846">
        <v>57965</v>
      </c>
      <c r="H2846">
        <v>3307978</v>
      </c>
      <c r="I2846">
        <v>57.068393817204317</v>
      </c>
      <c r="J2846">
        <v>59840.638207872966</v>
      </c>
      <c r="K2846">
        <v>66</v>
      </c>
      <c r="L2846">
        <v>65.5</v>
      </c>
      <c r="M2846">
        <v>55.279793114986937</v>
      </c>
      <c r="N2846">
        <v>3540031</v>
      </c>
    </row>
    <row r="2847" spans="1:14" x14ac:dyDescent="0.35">
      <c r="A2847" t="s">
        <v>113</v>
      </c>
      <c r="B2847">
        <v>202601</v>
      </c>
      <c r="C2847" t="str">
        <f>MID(analisis_productividad__4[[#This Row],[Periodo]],1,4)</f>
        <v>2026</v>
      </c>
      <c r="D2847" t="str">
        <f>MID(analisis_productividad__4[[#This Row],[Periodo]],5,2)</f>
        <v>01</v>
      </c>
      <c r="E2847" t="s">
        <v>9</v>
      </c>
      <c r="F2847" t="s">
        <v>9</v>
      </c>
      <c r="G2847">
        <v>57948</v>
      </c>
      <c r="H2847">
        <v>582226</v>
      </c>
      <c r="I2847">
        <v>10.047399193548388</v>
      </c>
      <c r="J2847">
        <v>64228.781300024944</v>
      </c>
      <c r="K2847">
        <v>11.5</v>
      </c>
      <c r="L2847">
        <v>10</v>
      </c>
      <c r="M2847">
        <v>10.042294324207418</v>
      </c>
      <c r="N2847">
        <v>645004</v>
      </c>
    </row>
    <row r="2848" spans="1:14" x14ac:dyDescent="0.35">
      <c r="A2848" t="s">
        <v>124</v>
      </c>
      <c r="B2848">
        <v>202411</v>
      </c>
      <c r="C2848" t="str">
        <f>MID(analisis_productividad__4[[#This Row],[Periodo]],1,4)</f>
        <v>2024</v>
      </c>
      <c r="D2848" t="str">
        <f>MID(analisis_productividad__4[[#This Row],[Periodo]],5,2)</f>
        <v>11</v>
      </c>
      <c r="E2848" t="s">
        <v>9</v>
      </c>
      <c r="F2848" t="s">
        <v>9</v>
      </c>
      <c r="G2848">
        <v>57942</v>
      </c>
      <c r="H2848">
        <v>591405</v>
      </c>
      <c r="I2848">
        <v>10.20682638888889</v>
      </c>
      <c r="J2848">
        <v>0</v>
      </c>
      <c r="K2848">
        <v>11</v>
      </c>
      <c r="L2848">
        <v>12</v>
      </c>
      <c r="N2848">
        <v>0</v>
      </c>
    </row>
    <row r="2849" spans="1:14" x14ac:dyDescent="0.35">
      <c r="A2849" t="s">
        <v>110</v>
      </c>
      <c r="B2849">
        <v>202509</v>
      </c>
      <c r="C2849" t="str">
        <f>MID(analisis_productividad__4[[#This Row],[Periodo]],1,4)</f>
        <v>2025</v>
      </c>
      <c r="D2849" t="str">
        <f>MID(analisis_productividad__4[[#This Row],[Periodo]],5,2)</f>
        <v>09</v>
      </c>
      <c r="E2849" t="s">
        <v>34</v>
      </c>
      <c r="F2849" t="s">
        <v>35</v>
      </c>
      <c r="G2849">
        <v>57836</v>
      </c>
      <c r="H2849">
        <v>2057836</v>
      </c>
      <c r="I2849">
        <v>35.580513888888895</v>
      </c>
      <c r="J2849">
        <v>67847.081992609921</v>
      </c>
      <c r="K2849">
        <v>41.5</v>
      </c>
      <c r="L2849">
        <v>43</v>
      </c>
      <c r="M2849">
        <v>30.330507658739762</v>
      </c>
      <c r="N2849">
        <v>2402330</v>
      </c>
    </row>
    <row r="2850" spans="1:14" x14ac:dyDescent="0.35">
      <c r="A2850" t="s">
        <v>105</v>
      </c>
      <c r="B2850">
        <v>202410</v>
      </c>
      <c r="C2850" t="str">
        <f>MID(analisis_productividad__4[[#This Row],[Periodo]],1,4)</f>
        <v>2024</v>
      </c>
      <c r="D2850" t="str">
        <f>MID(analisis_productividad__4[[#This Row],[Periodo]],5,2)</f>
        <v>10</v>
      </c>
      <c r="E2850" t="s">
        <v>34</v>
      </c>
      <c r="F2850" t="s">
        <v>35</v>
      </c>
      <c r="G2850">
        <v>57821</v>
      </c>
      <c r="H2850">
        <v>2389872</v>
      </c>
      <c r="I2850">
        <v>41.3323185483871</v>
      </c>
      <c r="J2850">
        <v>0</v>
      </c>
      <c r="K2850">
        <v>33</v>
      </c>
      <c r="L2850">
        <v>31.5</v>
      </c>
      <c r="N2850">
        <v>0</v>
      </c>
    </row>
    <row r="2851" spans="1:14" x14ac:dyDescent="0.35">
      <c r="A2851" t="s">
        <v>108</v>
      </c>
      <c r="B2851">
        <v>202501</v>
      </c>
      <c r="C2851" t="str">
        <f>MID(analisis_productividad__4[[#This Row],[Periodo]],1,4)</f>
        <v>2025</v>
      </c>
      <c r="D2851" t="str">
        <f>MID(analisis_productividad__4[[#This Row],[Periodo]],5,2)</f>
        <v>01</v>
      </c>
      <c r="E2851" t="s">
        <v>11</v>
      </c>
      <c r="F2851" t="s">
        <v>14</v>
      </c>
      <c r="G2851">
        <v>57805</v>
      </c>
      <c r="H2851">
        <v>2496107</v>
      </c>
      <c r="I2851">
        <v>43.181814516129037</v>
      </c>
      <c r="J2851">
        <v>59437.46708346637</v>
      </c>
      <c r="K2851">
        <v>47.5</v>
      </c>
      <c r="L2851">
        <v>43</v>
      </c>
      <c r="M2851">
        <v>41.995519534753825</v>
      </c>
      <c r="N2851">
        <v>2731123</v>
      </c>
    </row>
    <row r="2852" spans="1:14" x14ac:dyDescent="0.35">
      <c r="A2852" t="s">
        <v>117</v>
      </c>
      <c r="B2852">
        <v>202507</v>
      </c>
      <c r="C2852" t="str">
        <f>MID(analisis_productividad__4[[#This Row],[Periodo]],1,4)</f>
        <v>2025</v>
      </c>
      <c r="D2852" t="str">
        <f>MID(analisis_productividad__4[[#This Row],[Periodo]],5,2)</f>
        <v>07</v>
      </c>
      <c r="E2852" t="s">
        <v>104</v>
      </c>
      <c r="F2852" t="s">
        <v>104</v>
      </c>
      <c r="G2852">
        <v>57783</v>
      </c>
      <c r="H2852">
        <v>3540284</v>
      </c>
      <c r="I2852">
        <v>61.268770161290341</v>
      </c>
      <c r="J2852">
        <v>60379.600810782933</v>
      </c>
      <c r="K2852">
        <v>66</v>
      </c>
      <c r="L2852">
        <v>65.5</v>
      </c>
      <c r="M2852">
        <v>58.633775852452402</v>
      </c>
      <c r="N2852">
        <v>3598882</v>
      </c>
    </row>
    <row r="2853" spans="1:14" x14ac:dyDescent="0.35">
      <c r="A2853" t="s">
        <v>111</v>
      </c>
      <c r="B2853">
        <v>202507</v>
      </c>
      <c r="C2853" t="str">
        <f>MID(analisis_productividad__4[[#This Row],[Periodo]],1,4)</f>
        <v>2025</v>
      </c>
      <c r="D2853" t="str">
        <f>MID(analisis_productividad__4[[#This Row],[Periodo]],5,2)</f>
        <v>07</v>
      </c>
      <c r="E2853" t="s">
        <v>34</v>
      </c>
      <c r="F2853" t="s">
        <v>35</v>
      </c>
      <c r="G2853">
        <v>57772</v>
      </c>
      <c r="H2853">
        <v>2359337</v>
      </c>
      <c r="I2853">
        <v>40.838743279569897</v>
      </c>
      <c r="J2853">
        <v>62461.597368737355</v>
      </c>
      <c r="K2853">
        <v>45.5</v>
      </c>
      <c r="L2853">
        <v>42.5</v>
      </c>
      <c r="M2853">
        <v>37.772602837417537</v>
      </c>
      <c r="N2853">
        <v>2529845</v>
      </c>
    </row>
    <row r="2854" spans="1:14" x14ac:dyDescent="0.35">
      <c r="A2854" t="s">
        <v>113</v>
      </c>
      <c r="B2854">
        <v>202408</v>
      </c>
      <c r="C2854" t="str">
        <f>MID(analisis_productividad__4[[#This Row],[Periodo]],1,4)</f>
        <v>2024</v>
      </c>
      <c r="D2854" t="str">
        <f>MID(analisis_productividad__4[[#This Row],[Periodo]],5,2)</f>
        <v>08</v>
      </c>
      <c r="E2854" t="s">
        <v>9</v>
      </c>
      <c r="F2854" t="s">
        <v>9</v>
      </c>
      <c r="G2854">
        <v>57758</v>
      </c>
      <c r="H2854">
        <v>633258</v>
      </c>
      <c r="I2854">
        <v>10.963891129032261</v>
      </c>
      <c r="J2854">
        <v>0</v>
      </c>
      <c r="K2854">
        <v>11.5</v>
      </c>
      <c r="L2854">
        <v>10</v>
      </c>
      <c r="N2854">
        <v>0</v>
      </c>
    </row>
    <row r="2855" spans="1:14" x14ac:dyDescent="0.35">
      <c r="A2855" t="s">
        <v>101</v>
      </c>
      <c r="B2855">
        <v>202511</v>
      </c>
      <c r="C2855" t="str">
        <f>MID(analisis_productividad__4[[#This Row],[Periodo]],1,4)</f>
        <v>2025</v>
      </c>
      <c r="D2855" t="str">
        <f>MID(analisis_productividad__4[[#This Row],[Periodo]],5,2)</f>
        <v>11</v>
      </c>
      <c r="E2855" t="s">
        <v>9</v>
      </c>
      <c r="F2855" t="s">
        <v>9</v>
      </c>
      <c r="G2855">
        <v>57730</v>
      </c>
      <c r="H2855">
        <v>317345</v>
      </c>
      <c r="I2855">
        <v>5.4970902777777795</v>
      </c>
      <c r="J2855">
        <v>55898.895761410873</v>
      </c>
      <c r="K2855">
        <v>8.5</v>
      </c>
      <c r="L2855">
        <v>6.5</v>
      </c>
      <c r="M2855">
        <v>5.6771239516877046</v>
      </c>
      <c r="N2855">
        <v>342071</v>
      </c>
    </row>
    <row r="2856" spans="1:14" x14ac:dyDescent="0.35">
      <c r="A2856" t="s">
        <v>112</v>
      </c>
      <c r="B2856">
        <v>202506</v>
      </c>
      <c r="C2856" t="str">
        <f>MID(analisis_productividad__4[[#This Row],[Periodo]],1,4)</f>
        <v>2025</v>
      </c>
      <c r="D2856" t="str">
        <f>MID(analisis_productividad__4[[#This Row],[Periodo]],5,2)</f>
        <v>06</v>
      </c>
      <c r="E2856" t="s">
        <v>34</v>
      </c>
      <c r="F2856" t="s">
        <v>35</v>
      </c>
      <c r="G2856">
        <v>57724</v>
      </c>
      <c r="H2856">
        <v>1568156</v>
      </c>
      <c r="I2856">
        <v>27.166562500000015</v>
      </c>
      <c r="J2856">
        <v>68886.849868990525</v>
      </c>
      <c r="K2856">
        <v>31</v>
      </c>
      <c r="L2856">
        <v>27</v>
      </c>
      <c r="M2856">
        <v>22.764225581258678</v>
      </c>
      <c r="N2856">
        <v>1473350</v>
      </c>
    </row>
    <row r="2857" spans="1:14" x14ac:dyDescent="0.35">
      <c r="A2857" t="s">
        <v>111</v>
      </c>
      <c r="B2857">
        <v>202505</v>
      </c>
      <c r="C2857" t="str">
        <f>MID(analisis_productividad__4[[#This Row],[Periodo]],1,4)</f>
        <v>2025</v>
      </c>
      <c r="D2857" t="str">
        <f>MID(analisis_productividad__4[[#This Row],[Periodo]],5,2)</f>
        <v>05</v>
      </c>
      <c r="E2857" t="s">
        <v>34</v>
      </c>
      <c r="F2857" t="s">
        <v>35</v>
      </c>
      <c r="G2857">
        <v>57701</v>
      </c>
      <c r="H2857">
        <v>2363562</v>
      </c>
      <c r="I2857">
        <v>40.962137096774178</v>
      </c>
      <c r="J2857">
        <v>51308.0762759996</v>
      </c>
      <c r="K2857">
        <v>45.5</v>
      </c>
      <c r="L2857">
        <v>42.5</v>
      </c>
      <c r="M2857">
        <v>46.066089425878644</v>
      </c>
      <c r="N2857">
        <v>2133699</v>
      </c>
    </row>
    <row r="2858" spans="1:14" x14ac:dyDescent="0.35">
      <c r="A2858" t="s">
        <v>105</v>
      </c>
      <c r="B2858">
        <v>202407</v>
      </c>
      <c r="C2858" t="str">
        <f>MID(analisis_productividad__4[[#This Row],[Periodo]],1,4)</f>
        <v>2024</v>
      </c>
      <c r="D2858" t="str">
        <f>MID(analisis_productividad__4[[#This Row],[Periodo]],5,2)</f>
        <v>07</v>
      </c>
      <c r="E2858" t="s">
        <v>34</v>
      </c>
      <c r="F2858" t="s">
        <v>35</v>
      </c>
      <c r="G2858">
        <v>57699</v>
      </c>
      <c r="H2858">
        <v>2389532</v>
      </c>
      <c r="I2858">
        <v>41.413514784946237</v>
      </c>
      <c r="J2858">
        <v>0</v>
      </c>
      <c r="K2858">
        <v>33</v>
      </c>
      <c r="L2858">
        <v>31.5</v>
      </c>
      <c r="N2858">
        <v>0</v>
      </c>
    </row>
    <row r="2859" spans="1:14" x14ac:dyDescent="0.35">
      <c r="A2859" t="s">
        <v>110</v>
      </c>
      <c r="B2859">
        <v>202601</v>
      </c>
      <c r="C2859" t="str">
        <f>MID(analisis_productividad__4[[#This Row],[Periodo]],1,4)</f>
        <v>2026</v>
      </c>
      <c r="D2859" t="str">
        <f>MID(analisis_productividad__4[[#This Row],[Periodo]],5,2)</f>
        <v>01</v>
      </c>
      <c r="E2859" t="s">
        <v>34</v>
      </c>
      <c r="F2859" t="s">
        <v>35</v>
      </c>
      <c r="G2859">
        <v>57667</v>
      </c>
      <c r="H2859">
        <v>2001640</v>
      </c>
      <c r="I2859">
        <v>34.710450268817205</v>
      </c>
      <c r="J2859">
        <v>70583.081006143722</v>
      </c>
      <c r="K2859">
        <v>41.5</v>
      </c>
      <c r="L2859">
        <v>43</v>
      </c>
      <c r="M2859">
        <v>33.730466012000377</v>
      </c>
      <c r="N2859">
        <v>2380800</v>
      </c>
    </row>
    <row r="2860" spans="1:14" x14ac:dyDescent="0.35">
      <c r="A2860" t="s">
        <v>121</v>
      </c>
      <c r="B2860">
        <v>202501</v>
      </c>
      <c r="C2860" t="str">
        <f>MID(analisis_productividad__4[[#This Row],[Periodo]],1,4)</f>
        <v>2025</v>
      </c>
      <c r="D2860" t="str">
        <f>MID(analisis_productividad__4[[#This Row],[Periodo]],5,2)</f>
        <v>01</v>
      </c>
      <c r="E2860" t="s">
        <v>11</v>
      </c>
      <c r="F2860" t="s">
        <v>14</v>
      </c>
      <c r="G2860">
        <v>57665</v>
      </c>
      <c r="H2860">
        <v>1825356</v>
      </c>
      <c r="I2860">
        <v>31.654301075268826</v>
      </c>
      <c r="J2860">
        <v>62357.203358773586</v>
      </c>
      <c r="K2860">
        <v>36</v>
      </c>
      <c r="L2860">
        <v>35</v>
      </c>
      <c r="M2860">
        <v>29.272569032606786</v>
      </c>
      <c r="N2860">
        <v>1953570</v>
      </c>
    </row>
    <row r="2861" spans="1:14" x14ac:dyDescent="0.35">
      <c r="A2861" t="s">
        <v>126</v>
      </c>
      <c r="B2861">
        <v>202502</v>
      </c>
      <c r="C2861" t="str">
        <f>MID(analisis_productividad__4[[#This Row],[Periodo]],1,4)</f>
        <v>2025</v>
      </c>
      <c r="D2861" t="str">
        <f>MID(analisis_productividad__4[[#This Row],[Periodo]],5,2)</f>
        <v>02</v>
      </c>
      <c r="E2861" t="s">
        <v>104</v>
      </c>
      <c r="F2861" t="s">
        <v>104</v>
      </c>
      <c r="G2861">
        <v>57658</v>
      </c>
      <c r="H2861">
        <v>3045628</v>
      </c>
      <c r="I2861">
        <v>52.822239583333342</v>
      </c>
      <c r="J2861">
        <v>51222.101577207774</v>
      </c>
      <c r="K2861">
        <v>64.5</v>
      </c>
      <c r="L2861">
        <v>61</v>
      </c>
      <c r="M2861">
        <v>59.459259503620387</v>
      </c>
      <c r="N2861">
        <v>2907850</v>
      </c>
    </row>
    <row r="2862" spans="1:14" x14ac:dyDescent="0.35">
      <c r="A2862" t="s">
        <v>124</v>
      </c>
      <c r="B2862">
        <v>202606</v>
      </c>
      <c r="C2862" t="str">
        <f>MID(analisis_productividad__4[[#This Row],[Periodo]],1,4)</f>
        <v>2026</v>
      </c>
      <c r="D2862" t="str">
        <f>MID(analisis_productividad__4[[#This Row],[Periodo]],5,2)</f>
        <v>06</v>
      </c>
      <c r="E2862" t="s">
        <v>9</v>
      </c>
      <c r="F2862" t="s">
        <v>9</v>
      </c>
      <c r="G2862">
        <v>57650</v>
      </c>
      <c r="H2862">
        <v>661304</v>
      </c>
      <c r="I2862">
        <v>11.471006944444442</v>
      </c>
      <c r="J2862">
        <v>61182.246666545434</v>
      </c>
      <c r="K2862">
        <v>11</v>
      </c>
      <c r="L2862">
        <v>12</v>
      </c>
      <c r="M2862">
        <v>10.653753026634384</v>
      </c>
      <c r="N2862">
        <v>651821</v>
      </c>
    </row>
    <row r="2863" spans="1:14" x14ac:dyDescent="0.35">
      <c r="A2863" t="s">
        <v>114</v>
      </c>
      <c r="B2863">
        <v>202410</v>
      </c>
      <c r="C2863" t="str">
        <f>MID(analisis_productividad__4[[#This Row],[Periodo]],1,4)</f>
        <v>2024</v>
      </c>
      <c r="D2863" t="str">
        <f>MID(analisis_productividad__4[[#This Row],[Periodo]],5,2)</f>
        <v>10</v>
      </c>
      <c r="E2863" t="s">
        <v>9</v>
      </c>
      <c r="F2863" t="s">
        <v>9</v>
      </c>
      <c r="G2863">
        <v>57637</v>
      </c>
      <c r="H2863">
        <v>786738</v>
      </c>
      <c r="I2863">
        <v>13.649905913978499</v>
      </c>
      <c r="J2863">
        <v>0</v>
      </c>
      <c r="K2863">
        <v>13.5</v>
      </c>
      <c r="L2863">
        <v>14.5</v>
      </c>
      <c r="N2863">
        <v>0</v>
      </c>
    </row>
    <row r="2864" spans="1:14" x14ac:dyDescent="0.35">
      <c r="A2864" t="s">
        <v>121</v>
      </c>
      <c r="B2864">
        <v>202601</v>
      </c>
      <c r="C2864" t="str">
        <f>MID(analisis_productividad__4[[#This Row],[Periodo]],1,4)</f>
        <v>2026</v>
      </c>
      <c r="D2864" t="str">
        <f>MID(analisis_productividad__4[[#This Row],[Periodo]],5,2)</f>
        <v>01</v>
      </c>
      <c r="E2864" t="s">
        <v>11</v>
      </c>
      <c r="F2864" t="s">
        <v>14</v>
      </c>
      <c r="G2864">
        <v>57623</v>
      </c>
      <c r="H2864">
        <v>1886916</v>
      </c>
      <c r="I2864">
        <v>32.745651881720427</v>
      </c>
      <c r="J2864">
        <v>58637.478888291967</v>
      </c>
      <c r="K2864">
        <v>36</v>
      </c>
      <c r="L2864">
        <v>35</v>
      </c>
      <c r="M2864">
        <v>31.443465596679005</v>
      </c>
      <c r="N2864">
        <v>1843766</v>
      </c>
    </row>
    <row r="2865" spans="1:14" x14ac:dyDescent="0.35">
      <c r="A2865" t="s">
        <v>113</v>
      </c>
      <c r="B2865">
        <v>202509</v>
      </c>
      <c r="C2865" t="str">
        <f>MID(analisis_productividad__4[[#This Row],[Periodo]],1,4)</f>
        <v>2025</v>
      </c>
      <c r="D2865" t="str">
        <f>MID(analisis_productividad__4[[#This Row],[Periodo]],5,2)</f>
        <v>09</v>
      </c>
      <c r="E2865" t="s">
        <v>9</v>
      </c>
      <c r="F2865" t="s">
        <v>9</v>
      </c>
      <c r="G2865">
        <v>57612</v>
      </c>
      <c r="H2865">
        <v>558835</v>
      </c>
      <c r="I2865">
        <v>9.7000555555555543</v>
      </c>
      <c r="J2865">
        <v>60302.037870425396</v>
      </c>
      <c r="K2865">
        <v>11.5</v>
      </c>
      <c r="L2865">
        <v>10</v>
      </c>
      <c r="M2865">
        <v>9.2672667414789931</v>
      </c>
      <c r="N2865">
        <v>646275</v>
      </c>
    </row>
    <row r="2866" spans="1:14" x14ac:dyDescent="0.35">
      <c r="A2866" t="s">
        <v>8</v>
      </c>
      <c r="B2866">
        <v>202411</v>
      </c>
      <c r="C2866" t="str">
        <f>MID(analisis_productividad__4[[#This Row],[Periodo]],1,4)</f>
        <v>2024</v>
      </c>
      <c r="D2866" t="str">
        <f>MID(analisis_productividad__4[[#This Row],[Periodo]],5,2)</f>
        <v>11</v>
      </c>
      <c r="E2866" t="s">
        <v>9</v>
      </c>
      <c r="F2866" t="s">
        <v>9</v>
      </c>
      <c r="G2866">
        <v>57585</v>
      </c>
      <c r="H2866">
        <v>768126</v>
      </c>
      <c r="I2866">
        <v>13.33898611111111</v>
      </c>
      <c r="J2866">
        <v>0</v>
      </c>
      <c r="K2866">
        <v>13.5</v>
      </c>
      <c r="L2866">
        <v>12.5</v>
      </c>
      <c r="N2866">
        <v>0</v>
      </c>
    </row>
    <row r="2867" spans="1:14" x14ac:dyDescent="0.35">
      <c r="A2867" t="s">
        <v>116</v>
      </c>
      <c r="B2867">
        <v>202404</v>
      </c>
      <c r="C2867" t="str">
        <f>MID(analisis_productividad__4[[#This Row],[Periodo]],1,4)</f>
        <v>2024</v>
      </c>
      <c r="D2867" t="str">
        <f>MID(analisis_productividad__4[[#This Row],[Periodo]],5,2)</f>
        <v>04</v>
      </c>
      <c r="E2867" t="s">
        <v>9</v>
      </c>
      <c r="F2867" t="s">
        <v>9</v>
      </c>
      <c r="G2867">
        <v>57584</v>
      </c>
      <c r="H2867">
        <v>627401</v>
      </c>
      <c r="I2867">
        <v>10.895354166666673</v>
      </c>
      <c r="J2867">
        <v>0</v>
      </c>
      <c r="K2867">
        <v>11.5</v>
      </c>
      <c r="L2867">
        <v>10</v>
      </c>
      <c r="N2867">
        <v>0</v>
      </c>
    </row>
    <row r="2868" spans="1:14" x14ac:dyDescent="0.35">
      <c r="A2868" t="s">
        <v>127</v>
      </c>
      <c r="B2868">
        <v>202502</v>
      </c>
      <c r="C2868" t="str">
        <f>MID(analisis_productividad__4[[#This Row],[Periodo]],1,4)</f>
        <v>2025</v>
      </c>
      <c r="D2868" t="str">
        <f>MID(analisis_productividad__4[[#This Row],[Periodo]],5,2)</f>
        <v>02</v>
      </c>
      <c r="E2868" t="s">
        <v>104</v>
      </c>
      <c r="F2868" t="s">
        <v>104</v>
      </c>
      <c r="G2868">
        <v>57575</v>
      </c>
      <c r="H2868">
        <v>3074727</v>
      </c>
      <c r="I2868">
        <v>53.403906249999999</v>
      </c>
      <c r="J2868">
        <v>56950.110791693412</v>
      </c>
      <c r="K2868">
        <v>61.5</v>
      </c>
      <c r="L2868">
        <v>56</v>
      </c>
      <c r="M2868">
        <v>53.989835441171287</v>
      </c>
      <c r="N2868">
        <v>2973673</v>
      </c>
    </row>
    <row r="2869" spans="1:14" x14ac:dyDescent="0.35">
      <c r="A2869" t="s">
        <v>127</v>
      </c>
      <c r="B2869">
        <v>202408</v>
      </c>
      <c r="C2869" t="str">
        <f>MID(analisis_productividad__4[[#This Row],[Periodo]],1,4)</f>
        <v>2024</v>
      </c>
      <c r="D2869" t="str">
        <f>MID(analisis_productividad__4[[#This Row],[Periodo]],5,2)</f>
        <v>08</v>
      </c>
      <c r="E2869" t="s">
        <v>104</v>
      </c>
      <c r="F2869" t="s">
        <v>104</v>
      </c>
      <c r="G2869">
        <v>57548</v>
      </c>
      <c r="H2869">
        <v>3256744</v>
      </c>
      <c r="I2869">
        <v>56.591989247311844</v>
      </c>
      <c r="J2869">
        <v>0</v>
      </c>
      <c r="K2869">
        <v>61.5</v>
      </c>
      <c r="L2869">
        <v>56</v>
      </c>
      <c r="N2869">
        <v>0</v>
      </c>
    </row>
    <row r="2870" spans="1:14" x14ac:dyDescent="0.35">
      <c r="A2870" t="s">
        <v>116</v>
      </c>
      <c r="B2870">
        <v>202409</v>
      </c>
      <c r="C2870" t="str">
        <f>MID(analisis_productividad__4[[#This Row],[Periodo]],1,4)</f>
        <v>2024</v>
      </c>
      <c r="D2870" t="str">
        <f>MID(analisis_productividad__4[[#This Row],[Periodo]],5,2)</f>
        <v>09</v>
      </c>
      <c r="E2870" t="s">
        <v>9</v>
      </c>
      <c r="F2870" t="s">
        <v>9</v>
      </c>
      <c r="G2870">
        <v>57516</v>
      </c>
      <c r="H2870">
        <v>595987</v>
      </c>
      <c r="I2870">
        <v>10.362041666666668</v>
      </c>
      <c r="J2870">
        <v>0</v>
      </c>
      <c r="K2870">
        <v>11.5</v>
      </c>
      <c r="L2870">
        <v>10</v>
      </c>
      <c r="N2870">
        <v>0</v>
      </c>
    </row>
    <row r="2871" spans="1:14" x14ac:dyDescent="0.35">
      <c r="A2871" t="s">
        <v>117</v>
      </c>
      <c r="B2871">
        <v>202407</v>
      </c>
      <c r="C2871" t="str">
        <f>MID(analisis_productividad__4[[#This Row],[Periodo]],1,4)</f>
        <v>2024</v>
      </c>
      <c r="D2871" t="str">
        <f>MID(analisis_productividad__4[[#This Row],[Periodo]],5,2)</f>
        <v>07</v>
      </c>
      <c r="E2871" t="s">
        <v>104</v>
      </c>
      <c r="F2871" t="s">
        <v>104</v>
      </c>
      <c r="G2871">
        <v>57504</v>
      </c>
      <c r="H2871">
        <v>3383213</v>
      </c>
      <c r="I2871">
        <v>58.834012096774202</v>
      </c>
      <c r="J2871">
        <v>0</v>
      </c>
      <c r="K2871">
        <v>66</v>
      </c>
      <c r="L2871">
        <v>65.5</v>
      </c>
      <c r="N2871">
        <v>0</v>
      </c>
    </row>
    <row r="2872" spans="1:14" x14ac:dyDescent="0.35">
      <c r="A2872" t="s">
        <v>112</v>
      </c>
      <c r="B2872">
        <v>202504</v>
      </c>
      <c r="C2872" t="str">
        <f>MID(analisis_productividad__4[[#This Row],[Periodo]],1,4)</f>
        <v>2025</v>
      </c>
      <c r="D2872" t="str">
        <f>MID(analisis_productividad__4[[#This Row],[Periodo]],5,2)</f>
        <v>04</v>
      </c>
      <c r="E2872" t="s">
        <v>34</v>
      </c>
      <c r="F2872" t="s">
        <v>35</v>
      </c>
      <c r="G2872">
        <v>57456</v>
      </c>
      <c r="H2872">
        <v>1540390</v>
      </c>
      <c r="I2872">
        <v>26.809854166666668</v>
      </c>
      <c r="J2872">
        <v>64179.430689373774</v>
      </c>
      <c r="K2872">
        <v>31</v>
      </c>
      <c r="L2872">
        <v>27</v>
      </c>
      <c r="M2872">
        <v>24.001305612314241</v>
      </c>
      <c r="N2872">
        <v>1479918</v>
      </c>
    </row>
    <row r="2873" spans="1:14" x14ac:dyDescent="0.35">
      <c r="A2873" t="s">
        <v>108</v>
      </c>
      <c r="B2873">
        <v>202509</v>
      </c>
      <c r="C2873" t="str">
        <f>MID(analisis_productividad__4[[#This Row],[Periodo]],1,4)</f>
        <v>2025</v>
      </c>
      <c r="D2873" t="str">
        <f>MID(analisis_productividad__4[[#This Row],[Periodo]],5,2)</f>
        <v>09</v>
      </c>
      <c r="E2873" t="s">
        <v>11</v>
      </c>
      <c r="F2873" t="s">
        <v>14</v>
      </c>
      <c r="G2873">
        <v>57431</v>
      </c>
      <c r="H2873">
        <v>2098240</v>
      </c>
      <c r="I2873">
        <v>36.534652777777779</v>
      </c>
      <c r="J2873">
        <v>61458.45580064907</v>
      </c>
      <c r="K2873">
        <v>47.5</v>
      </c>
      <c r="L2873">
        <v>43</v>
      </c>
      <c r="M2873">
        <v>34.140783276527429</v>
      </c>
      <c r="N2873">
        <v>2940499</v>
      </c>
    </row>
    <row r="2874" spans="1:14" x14ac:dyDescent="0.35">
      <c r="A2874" t="s">
        <v>113</v>
      </c>
      <c r="B2874">
        <v>202409</v>
      </c>
      <c r="C2874" t="str">
        <f>MID(analisis_productividad__4[[#This Row],[Periodo]],1,4)</f>
        <v>2024</v>
      </c>
      <c r="D2874" t="str">
        <f>MID(analisis_productividad__4[[#This Row],[Periodo]],5,2)</f>
        <v>09</v>
      </c>
      <c r="E2874" t="s">
        <v>9</v>
      </c>
      <c r="F2874" t="s">
        <v>9</v>
      </c>
      <c r="G2874">
        <v>57431</v>
      </c>
      <c r="H2874">
        <v>591814</v>
      </c>
      <c r="I2874">
        <v>10.304875000000003</v>
      </c>
      <c r="J2874">
        <v>0</v>
      </c>
      <c r="K2874">
        <v>11.5</v>
      </c>
      <c r="L2874">
        <v>10</v>
      </c>
      <c r="N2874">
        <v>0</v>
      </c>
    </row>
    <row r="2875" spans="1:14" x14ac:dyDescent="0.35">
      <c r="A2875" t="s">
        <v>105</v>
      </c>
      <c r="B2875">
        <v>202401</v>
      </c>
      <c r="C2875" t="str">
        <f>MID(analisis_productividad__4[[#This Row],[Periodo]],1,4)</f>
        <v>2024</v>
      </c>
      <c r="D2875" t="str">
        <f>MID(analisis_productividad__4[[#This Row],[Periodo]],5,2)</f>
        <v>01</v>
      </c>
      <c r="E2875" t="s">
        <v>34</v>
      </c>
      <c r="F2875" t="s">
        <v>35</v>
      </c>
      <c r="G2875">
        <v>57397</v>
      </c>
      <c r="H2875">
        <v>2468942</v>
      </c>
      <c r="I2875">
        <v>43.014811827956983</v>
      </c>
      <c r="J2875">
        <v>0</v>
      </c>
      <c r="K2875">
        <v>33</v>
      </c>
      <c r="L2875">
        <v>31.5</v>
      </c>
      <c r="N2875">
        <v>0</v>
      </c>
    </row>
    <row r="2876" spans="1:14" x14ac:dyDescent="0.35">
      <c r="A2876" t="s">
        <v>126</v>
      </c>
      <c r="B2876">
        <v>202512</v>
      </c>
      <c r="C2876" t="str">
        <f>MID(analisis_productividad__4[[#This Row],[Periodo]],1,4)</f>
        <v>2025</v>
      </c>
      <c r="D2876" t="str">
        <f>MID(analisis_productividad__4[[#This Row],[Periodo]],5,2)</f>
        <v>12</v>
      </c>
      <c r="E2876" t="s">
        <v>104</v>
      </c>
      <c r="F2876" t="s">
        <v>104</v>
      </c>
      <c r="G2876">
        <v>57372</v>
      </c>
      <c r="H2876">
        <v>3697500</v>
      </c>
      <c r="I2876">
        <v>64.448172043010715</v>
      </c>
      <c r="J2876">
        <v>63394.784593261858</v>
      </c>
      <c r="K2876">
        <v>64.5</v>
      </c>
      <c r="L2876">
        <v>61</v>
      </c>
      <c r="M2876">
        <v>58.324990828867044</v>
      </c>
      <c r="N2876">
        <v>3620998</v>
      </c>
    </row>
    <row r="2877" spans="1:14" x14ac:dyDescent="0.35">
      <c r="A2877" t="s">
        <v>117</v>
      </c>
      <c r="B2877">
        <v>202406</v>
      </c>
      <c r="C2877" t="str">
        <f>MID(analisis_productividad__4[[#This Row],[Periodo]],1,4)</f>
        <v>2024</v>
      </c>
      <c r="D2877" t="str">
        <f>MID(analisis_productividad__4[[#This Row],[Periodo]],5,2)</f>
        <v>06</v>
      </c>
      <c r="E2877" t="s">
        <v>104</v>
      </c>
      <c r="F2877" t="s">
        <v>104</v>
      </c>
      <c r="G2877">
        <v>57347</v>
      </c>
      <c r="H2877">
        <v>3479178</v>
      </c>
      <c r="I2877">
        <v>60.668368055555575</v>
      </c>
      <c r="J2877">
        <v>0</v>
      </c>
      <c r="K2877">
        <v>66</v>
      </c>
      <c r="L2877">
        <v>65.5</v>
      </c>
      <c r="N2877">
        <v>0</v>
      </c>
    </row>
    <row r="2878" spans="1:14" x14ac:dyDescent="0.35">
      <c r="A2878" t="s">
        <v>107</v>
      </c>
      <c r="B2878">
        <v>202407</v>
      </c>
      <c r="C2878" t="str">
        <f>MID(analisis_productividad__4[[#This Row],[Periodo]],1,4)</f>
        <v>2024</v>
      </c>
      <c r="D2878" t="str">
        <f>MID(analisis_productividad__4[[#This Row],[Periodo]],5,2)</f>
        <v>07</v>
      </c>
      <c r="E2878" t="s">
        <v>34</v>
      </c>
      <c r="F2878" t="s">
        <v>35</v>
      </c>
      <c r="G2878">
        <v>57345</v>
      </c>
      <c r="H2878">
        <v>4910168</v>
      </c>
      <c r="I2878">
        <v>85.62533602150539</v>
      </c>
      <c r="J2878">
        <v>0</v>
      </c>
      <c r="K2878">
        <v>87</v>
      </c>
      <c r="L2878">
        <v>77.5</v>
      </c>
      <c r="N2878">
        <v>0</v>
      </c>
    </row>
    <row r="2879" spans="1:14" x14ac:dyDescent="0.35">
      <c r="A2879" t="s">
        <v>118</v>
      </c>
      <c r="B2879">
        <v>202507</v>
      </c>
      <c r="C2879" t="str">
        <f>MID(analisis_productividad__4[[#This Row],[Periodo]],1,4)</f>
        <v>2025</v>
      </c>
      <c r="D2879" t="str">
        <f>MID(analisis_productividad__4[[#This Row],[Periodo]],5,2)</f>
        <v>07</v>
      </c>
      <c r="E2879" t="s">
        <v>34</v>
      </c>
      <c r="F2879" t="s">
        <v>35</v>
      </c>
      <c r="G2879">
        <v>57323</v>
      </c>
      <c r="H2879">
        <v>1123763</v>
      </c>
      <c r="I2879">
        <v>19.604045698924729</v>
      </c>
      <c r="J2879">
        <v>61233.361275843563</v>
      </c>
      <c r="K2879">
        <v>19</v>
      </c>
      <c r="L2879">
        <v>21.5</v>
      </c>
      <c r="M2879">
        <v>18.352132507272994</v>
      </c>
      <c r="N2879">
        <v>1307076</v>
      </c>
    </row>
    <row r="2880" spans="1:14" x14ac:dyDescent="0.35">
      <c r="A2880" t="s">
        <v>125</v>
      </c>
      <c r="B2880">
        <v>202605</v>
      </c>
      <c r="C2880" t="str">
        <f>MID(analisis_productividad__4[[#This Row],[Periodo]],1,4)</f>
        <v>2026</v>
      </c>
      <c r="D2880" t="str">
        <f>MID(analisis_productividad__4[[#This Row],[Periodo]],5,2)</f>
        <v>05</v>
      </c>
      <c r="E2880" t="s">
        <v>104</v>
      </c>
      <c r="F2880" t="s">
        <v>104</v>
      </c>
      <c r="G2880">
        <v>57323</v>
      </c>
      <c r="H2880">
        <v>2782428</v>
      </c>
      <c r="I2880">
        <v>48.539684139785329</v>
      </c>
      <c r="J2880">
        <v>57934.110457474933</v>
      </c>
      <c r="K2880">
        <v>59</v>
      </c>
      <c r="L2880">
        <v>50</v>
      </c>
      <c r="M2880">
        <v>50.48039166574727</v>
      </c>
      <c r="N2880">
        <v>2924537</v>
      </c>
    </row>
    <row r="2881" spans="1:14" x14ac:dyDescent="0.35">
      <c r="A2881" t="s">
        <v>99</v>
      </c>
      <c r="B2881">
        <v>202509</v>
      </c>
      <c r="C2881" t="str">
        <f>MID(analisis_productividad__4[[#This Row],[Periodo]],1,4)</f>
        <v>2025</v>
      </c>
      <c r="D2881" t="str">
        <f>MID(analisis_productividad__4[[#This Row],[Periodo]],5,2)</f>
        <v>09</v>
      </c>
      <c r="E2881" t="s">
        <v>11</v>
      </c>
      <c r="F2881" t="s">
        <v>12</v>
      </c>
      <c r="G2881">
        <v>57292</v>
      </c>
      <c r="H2881">
        <v>1261697</v>
      </c>
      <c r="I2881">
        <v>22.022340277777776</v>
      </c>
      <c r="J2881">
        <v>57280.493263868462</v>
      </c>
      <c r="K2881">
        <v>27</v>
      </c>
      <c r="L2881">
        <v>27</v>
      </c>
      <c r="M2881">
        <v>22.026649354918465</v>
      </c>
      <c r="N2881">
        <v>1428697</v>
      </c>
    </row>
    <row r="2882" spans="1:14" x14ac:dyDescent="0.35">
      <c r="A2882" t="s">
        <v>105</v>
      </c>
      <c r="B2882">
        <v>202405</v>
      </c>
      <c r="C2882" t="str">
        <f>MID(analisis_productividad__4[[#This Row],[Periodo]],1,4)</f>
        <v>2024</v>
      </c>
      <c r="D2882" t="str">
        <f>MID(analisis_productividad__4[[#This Row],[Periodo]],5,2)</f>
        <v>05</v>
      </c>
      <c r="E2882" t="s">
        <v>34</v>
      </c>
      <c r="F2882" t="s">
        <v>35</v>
      </c>
      <c r="G2882">
        <v>57270</v>
      </c>
      <c r="H2882">
        <v>2437681</v>
      </c>
      <c r="I2882">
        <v>42.564469086021496</v>
      </c>
      <c r="J2882">
        <v>0</v>
      </c>
      <c r="K2882">
        <v>33</v>
      </c>
      <c r="L2882">
        <v>31.5</v>
      </c>
      <c r="N2882">
        <v>0</v>
      </c>
    </row>
    <row r="2883" spans="1:14" x14ac:dyDescent="0.35">
      <c r="A2883" t="s">
        <v>121</v>
      </c>
      <c r="B2883">
        <v>202510</v>
      </c>
      <c r="C2883" t="str">
        <f>MID(analisis_productividad__4[[#This Row],[Periodo]],1,4)</f>
        <v>2025</v>
      </c>
      <c r="D2883" t="str">
        <f>MID(analisis_productividad__4[[#This Row],[Periodo]],5,2)</f>
        <v>10</v>
      </c>
      <c r="E2883" t="s">
        <v>11</v>
      </c>
      <c r="F2883" t="s">
        <v>14</v>
      </c>
      <c r="G2883">
        <v>57244</v>
      </c>
      <c r="H2883">
        <v>1774260</v>
      </c>
      <c r="I2883">
        <v>30.99456989247312</v>
      </c>
      <c r="J2883">
        <v>57333.367490909863</v>
      </c>
      <c r="K2883">
        <v>36</v>
      </c>
      <c r="L2883">
        <v>35</v>
      </c>
      <c r="M2883">
        <v>30.946383365346659</v>
      </c>
      <c r="N2883">
        <v>2036866</v>
      </c>
    </row>
    <row r="2884" spans="1:14" x14ac:dyDescent="0.35">
      <c r="A2884" t="s">
        <v>109</v>
      </c>
      <c r="B2884">
        <v>202411</v>
      </c>
      <c r="C2884" t="str">
        <f>MID(analisis_productividad__4[[#This Row],[Periodo]],1,4)</f>
        <v>2024</v>
      </c>
      <c r="D2884" t="str">
        <f>MID(analisis_productividad__4[[#This Row],[Periodo]],5,2)</f>
        <v>11</v>
      </c>
      <c r="E2884" t="s">
        <v>9</v>
      </c>
      <c r="F2884" t="s">
        <v>9</v>
      </c>
      <c r="G2884">
        <v>57185</v>
      </c>
      <c r="H2884">
        <v>474693</v>
      </c>
      <c r="I2884">
        <v>8.3010763888888892</v>
      </c>
      <c r="J2884">
        <v>0</v>
      </c>
      <c r="K2884">
        <v>10</v>
      </c>
      <c r="L2884">
        <v>9</v>
      </c>
      <c r="N2884">
        <v>0</v>
      </c>
    </row>
    <row r="2885" spans="1:14" x14ac:dyDescent="0.35">
      <c r="A2885" t="s">
        <v>95</v>
      </c>
      <c r="B2885">
        <v>202506</v>
      </c>
      <c r="C2885" t="str">
        <f>MID(analisis_productividad__4[[#This Row],[Periodo]],1,4)</f>
        <v>2025</v>
      </c>
      <c r="D2885" t="str">
        <f>MID(analisis_productividad__4[[#This Row],[Periodo]],5,2)</f>
        <v>06</v>
      </c>
      <c r="E2885" t="s">
        <v>9</v>
      </c>
      <c r="F2885" t="s">
        <v>9</v>
      </c>
      <c r="G2885">
        <v>57155</v>
      </c>
      <c r="H2885">
        <v>600190</v>
      </c>
      <c r="I2885">
        <v>10.501166666666666</v>
      </c>
      <c r="J2885">
        <v>77970.734860945566</v>
      </c>
      <c r="K2885">
        <v>11</v>
      </c>
      <c r="L2885">
        <v>11</v>
      </c>
      <c r="M2885">
        <v>7.6976252830037941</v>
      </c>
      <c r="N2885">
        <v>700311</v>
      </c>
    </row>
    <row r="2886" spans="1:14" x14ac:dyDescent="0.35">
      <c r="A2886" t="s">
        <v>109</v>
      </c>
      <c r="B2886">
        <v>202406</v>
      </c>
      <c r="C2886" t="str">
        <f>MID(analisis_productividad__4[[#This Row],[Periodo]],1,4)</f>
        <v>2024</v>
      </c>
      <c r="D2886" t="str">
        <f>MID(analisis_productividad__4[[#This Row],[Periodo]],5,2)</f>
        <v>06</v>
      </c>
      <c r="E2886" t="s">
        <v>9</v>
      </c>
      <c r="F2886" t="s">
        <v>9</v>
      </c>
      <c r="G2886">
        <v>57124</v>
      </c>
      <c r="H2886">
        <v>515248</v>
      </c>
      <c r="I2886">
        <v>9.019840277777778</v>
      </c>
      <c r="J2886">
        <v>0</v>
      </c>
      <c r="K2886">
        <v>10</v>
      </c>
      <c r="L2886">
        <v>9</v>
      </c>
      <c r="N2886">
        <v>0</v>
      </c>
    </row>
    <row r="2887" spans="1:14" x14ac:dyDescent="0.35">
      <c r="A2887" t="s">
        <v>123</v>
      </c>
      <c r="B2887">
        <v>202511</v>
      </c>
      <c r="C2887" t="str">
        <f>MID(analisis_productividad__4[[#This Row],[Periodo]],1,4)</f>
        <v>2025</v>
      </c>
      <c r="D2887" t="str">
        <f>MID(analisis_productividad__4[[#This Row],[Periodo]],5,2)</f>
        <v>11</v>
      </c>
      <c r="E2887" t="s">
        <v>9</v>
      </c>
      <c r="F2887" t="s">
        <v>9</v>
      </c>
      <c r="G2887">
        <v>57114</v>
      </c>
      <c r="H2887">
        <v>516147</v>
      </c>
      <c r="I2887">
        <v>9.0371944444444452</v>
      </c>
      <c r="J2887">
        <v>66759.350192462633</v>
      </c>
      <c r="K2887">
        <v>11</v>
      </c>
      <c r="L2887">
        <v>10</v>
      </c>
      <c r="M2887">
        <v>7.7314503288600731</v>
      </c>
      <c r="N2887">
        <v>535291</v>
      </c>
    </row>
    <row r="2888" spans="1:14" x14ac:dyDescent="0.35">
      <c r="A2888" t="s">
        <v>116</v>
      </c>
      <c r="B2888">
        <v>202604</v>
      </c>
      <c r="C2888" t="str">
        <f>MID(analisis_productividad__4[[#This Row],[Periodo]],1,4)</f>
        <v>2026</v>
      </c>
      <c r="D2888" t="str">
        <f>MID(analisis_productividad__4[[#This Row],[Periodo]],5,2)</f>
        <v>04</v>
      </c>
      <c r="E2888" t="s">
        <v>9</v>
      </c>
      <c r="F2888" t="s">
        <v>9</v>
      </c>
      <c r="G2888">
        <v>57072</v>
      </c>
      <c r="H2888">
        <v>636295</v>
      </c>
      <c r="I2888">
        <v>11.149006944444443</v>
      </c>
      <c r="J2888">
        <v>59235.841919714811</v>
      </c>
      <c r="K2888">
        <v>11.5</v>
      </c>
      <c r="L2888">
        <v>10</v>
      </c>
      <c r="M2888">
        <v>10.042294324207418</v>
      </c>
      <c r="N2888">
        <v>594864</v>
      </c>
    </row>
    <row r="2889" spans="1:14" x14ac:dyDescent="0.35">
      <c r="A2889" t="s">
        <v>107</v>
      </c>
      <c r="B2889">
        <v>202502</v>
      </c>
      <c r="C2889" t="str">
        <f>MID(analisis_productividad__4[[#This Row],[Periodo]],1,4)</f>
        <v>2025</v>
      </c>
      <c r="D2889" t="str">
        <f>MID(analisis_productividad__4[[#This Row],[Periodo]],5,2)</f>
        <v>02</v>
      </c>
      <c r="E2889" t="s">
        <v>34</v>
      </c>
      <c r="F2889" t="s">
        <v>35</v>
      </c>
      <c r="G2889">
        <v>57065</v>
      </c>
      <c r="H2889">
        <v>4473828</v>
      </c>
      <c r="I2889">
        <v>78.39947916666668</v>
      </c>
      <c r="J2889">
        <v>66711.246981130709</v>
      </c>
      <c r="K2889">
        <v>87</v>
      </c>
      <c r="L2889">
        <v>77.5</v>
      </c>
      <c r="M2889">
        <v>67.062578537400498</v>
      </c>
      <c r="N2889">
        <v>4829260</v>
      </c>
    </row>
    <row r="2890" spans="1:14" x14ac:dyDescent="0.35">
      <c r="A2890" t="s">
        <v>123</v>
      </c>
      <c r="B2890">
        <v>202410</v>
      </c>
      <c r="C2890" t="str">
        <f>MID(analisis_productividad__4[[#This Row],[Periodo]],1,4)</f>
        <v>2024</v>
      </c>
      <c r="D2890" t="str">
        <f>MID(analisis_productividad__4[[#This Row],[Periodo]],5,2)</f>
        <v>10</v>
      </c>
      <c r="E2890" t="s">
        <v>9</v>
      </c>
      <c r="F2890" t="s">
        <v>9</v>
      </c>
      <c r="G2890">
        <v>57039</v>
      </c>
      <c r="H2890">
        <v>553456</v>
      </c>
      <c r="I2890">
        <v>9.7030913978494642</v>
      </c>
      <c r="J2890">
        <v>0</v>
      </c>
      <c r="K2890">
        <v>11</v>
      </c>
      <c r="L2890">
        <v>10</v>
      </c>
      <c r="N2890">
        <v>0</v>
      </c>
    </row>
    <row r="2891" spans="1:14" x14ac:dyDescent="0.35">
      <c r="A2891" t="s">
        <v>110</v>
      </c>
      <c r="B2891">
        <v>202606</v>
      </c>
      <c r="C2891" t="str">
        <f>MID(analisis_productividad__4[[#This Row],[Periodo]],1,4)</f>
        <v>2026</v>
      </c>
      <c r="D2891" t="str">
        <f>MID(analisis_productividad__4[[#This Row],[Periodo]],5,2)</f>
        <v>06</v>
      </c>
      <c r="E2891" t="s">
        <v>34</v>
      </c>
      <c r="F2891" t="s">
        <v>35</v>
      </c>
      <c r="G2891">
        <v>57038</v>
      </c>
      <c r="H2891">
        <v>2119703</v>
      </c>
      <c r="I2891">
        <v>37.16309722222217</v>
      </c>
      <c r="J2891">
        <v>68114.52959121883</v>
      </c>
      <c r="K2891">
        <v>41.5</v>
      </c>
      <c r="L2891">
        <v>43</v>
      </c>
      <c r="M2891">
        <v>33.730466012000377</v>
      </c>
      <c r="N2891">
        <v>2297535</v>
      </c>
    </row>
    <row r="2892" spans="1:14" x14ac:dyDescent="0.35">
      <c r="A2892" t="s">
        <v>117</v>
      </c>
      <c r="B2892">
        <v>202401</v>
      </c>
      <c r="C2892" t="str">
        <f>MID(analisis_productividad__4[[#This Row],[Periodo]],1,4)</f>
        <v>2024</v>
      </c>
      <c r="D2892" t="str">
        <f>MID(analisis_productividad__4[[#This Row],[Periodo]],5,2)</f>
        <v>01</v>
      </c>
      <c r="E2892" t="s">
        <v>104</v>
      </c>
      <c r="F2892" t="s">
        <v>104</v>
      </c>
      <c r="G2892">
        <v>56991</v>
      </c>
      <c r="H2892">
        <v>3349856</v>
      </c>
      <c r="I2892">
        <v>58.778595430107529</v>
      </c>
      <c r="J2892">
        <v>0</v>
      </c>
      <c r="K2892">
        <v>66</v>
      </c>
      <c r="L2892">
        <v>65.5</v>
      </c>
      <c r="N2892">
        <v>0</v>
      </c>
    </row>
    <row r="2893" spans="1:14" x14ac:dyDescent="0.35">
      <c r="A2893" t="s">
        <v>116</v>
      </c>
      <c r="B2893">
        <v>202501</v>
      </c>
      <c r="C2893" t="str">
        <f>MID(analisis_productividad__4[[#This Row],[Periodo]],1,4)</f>
        <v>2025</v>
      </c>
      <c r="D2893" t="str">
        <f>MID(analisis_productividad__4[[#This Row],[Periodo]],5,2)</f>
        <v>01</v>
      </c>
      <c r="E2893" t="s">
        <v>9</v>
      </c>
      <c r="F2893" t="s">
        <v>9</v>
      </c>
      <c r="G2893">
        <v>56982</v>
      </c>
      <c r="H2893">
        <v>634784</v>
      </c>
      <c r="I2893">
        <v>11.140020161290323</v>
      </c>
      <c r="J2893">
        <v>71671.405013665382</v>
      </c>
      <c r="K2893">
        <v>11.5</v>
      </c>
      <c r="L2893">
        <v>10</v>
      </c>
      <c r="M2893">
        <v>8.8568678105161656</v>
      </c>
      <c r="N2893">
        <v>734107</v>
      </c>
    </row>
    <row r="2894" spans="1:14" x14ac:dyDescent="0.35">
      <c r="A2894" t="s">
        <v>123</v>
      </c>
      <c r="B2894">
        <v>202405</v>
      </c>
      <c r="C2894" t="str">
        <f>MID(analisis_productividad__4[[#This Row],[Periodo]],1,4)</f>
        <v>2024</v>
      </c>
      <c r="D2894" t="str">
        <f>MID(analisis_productividad__4[[#This Row],[Periodo]],5,2)</f>
        <v>05</v>
      </c>
      <c r="E2894" t="s">
        <v>9</v>
      </c>
      <c r="F2894" t="s">
        <v>9</v>
      </c>
      <c r="G2894">
        <v>56982</v>
      </c>
      <c r="H2894">
        <v>532477</v>
      </c>
      <c r="I2894">
        <v>9.3447177419354865</v>
      </c>
      <c r="J2894">
        <v>0</v>
      </c>
      <c r="K2894">
        <v>11</v>
      </c>
      <c r="L2894">
        <v>10</v>
      </c>
      <c r="N2894">
        <v>0</v>
      </c>
    </row>
    <row r="2895" spans="1:14" x14ac:dyDescent="0.35">
      <c r="A2895" t="s">
        <v>127</v>
      </c>
      <c r="B2895">
        <v>202411</v>
      </c>
      <c r="C2895" t="str">
        <f>MID(analisis_productividad__4[[#This Row],[Periodo]],1,4)</f>
        <v>2024</v>
      </c>
      <c r="D2895" t="str">
        <f>MID(analisis_productividad__4[[#This Row],[Periodo]],5,2)</f>
        <v>11</v>
      </c>
      <c r="E2895" t="s">
        <v>104</v>
      </c>
      <c r="F2895" t="s">
        <v>104</v>
      </c>
      <c r="G2895">
        <v>56979</v>
      </c>
      <c r="H2895">
        <v>3297572</v>
      </c>
      <c r="I2895">
        <v>57.872986111111082</v>
      </c>
      <c r="J2895">
        <v>0</v>
      </c>
      <c r="K2895">
        <v>61.5</v>
      </c>
      <c r="L2895">
        <v>56</v>
      </c>
      <c r="N2895">
        <v>0</v>
      </c>
    </row>
    <row r="2896" spans="1:14" x14ac:dyDescent="0.35">
      <c r="A2896" t="s">
        <v>89</v>
      </c>
      <c r="B2896">
        <v>202402</v>
      </c>
      <c r="C2896" t="str">
        <f>MID(analisis_productividad__4[[#This Row],[Periodo]],1,4)</f>
        <v>2024</v>
      </c>
      <c r="D2896" t="str">
        <f>MID(analisis_productividad__4[[#This Row],[Periodo]],5,2)</f>
        <v>02</v>
      </c>
      <c r="E2896" t="s">
        <v>9</v>
      </c>
      <c r="F2896" t="s">
        <v>9</v>
      </c>
      <c r="G2896">
        <v>56966</v>
      </c>
      <c r="H2896">
        <v>1018333</v>
      </c>
      <c r="I2896">
        <v>17.876048850574712</v>
      </c>
      <c r="J2896">
        <v>0</v>
      </c>
      <c r="K2896">
        <v>17</v>
      </c>
      <c r="L2896">
        <v>13.5</v>
      </c>
      <c r="N2896">
        <v>0</v>
      </c>
    </row>
    <row r="2897" spans="1:14" x14ac:dyDescent="0.35">
      <c r="A2897" t="s">
        <v>111</v>
      </c>
      <c r="B2897">
        <v>202401</v>
      </c>
      <c r="C2897" t="str">
        <f>MID(analisis_productividad__4[[#This Row],[Periodo]],1,4)</f>
        <v>2024</v>
      </c>
      <c r="D2897" t="str">
        <f>MID(analisis_productividad__4[[#This Row],[Periodo]],5,2)</f>
        <v>01</v>
      </c>
      <c r="E2897" t="s">
        <v>34</v>
      </c>
      <c r="F2897" t="s">
        <v>35</v>
      </c>
      <c r="G2897">
        <v>56935</v>
      </c>
      <c r="H2897">
        <v>2331547</v>
      </c>
      <c r="I2897">
        <v>40.951176075268812</v>
      </c>
      <c r="J2897">
        <v>0</v>
      </c>
      <c r="K2897">
        <v>45.5</v>
      </c>
      <c r="L2897">
        <v>42.5</v>
      </c>
      <c r="N2897">
        <v>0</v>
      </c>
    </row>
    <row r="2898" spans="1:14" x14ac:dyDescent="0.35">
      <c r="A2898" t="s">
        <v>127</v>
      </c>
      <c r="B2898">
        <v>202401</v>
      </c>
      <c r="C2898" t="str">
        <f>MID(analisis_productividad__4[[#This Row],[Periodo]],1,4)</f>
        <v>2024</v>
      </c>
      <c r="D2898" t="str">
        <f>MID(analisis_productividad__4[[#This Row],[Periodo]],5,2)</f>
        <v>01</v>
      </c>
      <c r="E2898" t="s">
        <v>104</v>
      </c>
      <c r="F2898" t="s">
        <v>104</v>
      </c>
      <c r="G2898">
        <v>56917</v>
      </c>
      <c r="H2898">
        <v>3156556</v>
      </c>
      <c r="I2898">
        <v>55.459193548387105</v>
      </c>
      <c r="J2898">
        <v>0</v>
      </c>
      <c r="K2898">
        <v>61.5</v>
      </c>
      <c r="L2898">
        <v>56</v>
      </c>
      <c r="N2898">
        <v>0</v>
      </c>
    </row>
    <row r="2899" spans="1:14" x14ac:dyDescent="0.35">
      <c r="A2899" t="s">
        <v>109</v>
      </c>
      <c r="B2899">
        <v>202404</v>
      </c>
      <c r="C2899" t="str">
        <f>MID(analisis_productividad__4[[#This Row],[Periodo]],1,4)</f>
        <v>2024</v>
      </c>
      <c r="D2899" t="str">
        <f>MID(analisis_productividad__4[[#This Row],[Periodo]],5,2)</f>
        <v>04</v>
      </c>
      <c r="E2899" t="s">
        <v>9</v>
      </c>
      <c r="F2899" t="s">
        <v>9</v>
      </c>
      <c r="G2899">
        <v>56893</v>
      </c>
      <c r="H2899">
        <v>518613</v>
      </c>
      <c r="I2899">
        <v>9.1156041666666656</v>
      </c>
      <c r="J2899">
        <v>0</v>
      </c>
      <c r="K2899">
        <v>10</v>
      </c>
      <c r="L2899">
        <v>9</v>
      </c>
      <c r="N2899">
        <v>0</v>
      </c>
    </row>
    <row r="2900" spans="1:14" x14ac:dyDescent="0.35">
      <c r="A2900" t="s">
        <v>126</v>
      </c>
      <c r="B2900">
        <v>202605</v>
      </c>
      <c r="C2900" t="str">
        <f>MID(analisis_productividad__4[[#This Row],[Periodo]],1,4)</f>
        <v>2026</v>
      </c>
      <c r="D2900" t="str">
        <f>MID(analisis_productividad__4[[#This Row],[Periodo]],5,2)</f>
        <v>05</v>
      </c>
      <c r="E2900" t="s">
        <v>104</v>
      </c>
      <c r="F2900" t="s">
        <v>104</v>
      </c>
      <c r="G2900">
        <v>56854</v>
      </c>
      <c r="H2900">
        <v>3379480</v>
      </c>
      <c r="I2900">
        <v>59.441713709677479</v>
      </c>
      <c r="J2900">
        <v>59289.774383027303</v>
      </c>
      <c r="K2900">
        <v>64.5</v>
      </c>
      <c r="L2900">
        <v>61</v>
      </c>
      <c r="M2900">
        <v>55.57085132952011</v>
      </c>
      <c r="N2900">
        <v>3294783</v>
      </c>
    </row>
    <row r="2901" spans="1:14" x14ac:dyDescent="0.35">
      <c r="A2901" t="s">
        <v>102</v>
      </c>
      <c r="B2901">
        <v>202606</v>
      </c>
      <c r="C2901" t="str">
        <f>MID(analisis_productividad__4[[#This Row],[Periodo]],1,4)</f>
        <v>2026</v>
      </c>
      <c r="D2901" t="str">
        <f>MID(analisis_productividad__4[[#This Row],[Periodo]],5,2)</f>
        <v>06</v>
      </c>
      <c r="E2901" t="s">
        <v>11</v>
      </c>
      <c r="F2901" t="s">
        <v>12</v>
      </c>
      <c r="G2901">
        <v>56831</v>
      </c>
      <c r="H2901">
        <v>1748913</v>
      </c>
      <c r="I2901">
        <v>30.773847222222102</v>
      </c>
      <c r="J2901">
        <v>57016.047438970345</v>
      </c>
      <c r="K2901">
        <v>34</v>
      </c>
      <c r="L2901">
        <v>34</v>
      </c>
      <c r="M2901">
        <v>29.696606396863505</v>
      </c>
      <c r="N2901">
        <v>1693183</v>
      </c>
    </row>
    <row r="2902" spans="1:14" x14ac:dyDescent="0.35">
      <c r="A2902" t="s">
        <v>105</v>
      </c>
      <c r="B2902">
        <v>202406</v>
      </c>
      <c r="C2902" t="str">
        <f>MID(analisis_productividad__4[[#This Row],[Periodo]],1,4)</f>
        <v>2024</v>
      </c>
      <c r="D2902" t="str">
        <f>MID(analisis_productividad__4[[#This Row],[Periodo]],5,2)</f>
        <v>06</v>
      </c>
      <c r="E2902" t="s">
        <v>34</v>
      </c>
      <c r="F2902" t="s">
        <v>35</v>
      </c>
      <c r="G2902">
        <v>56817</v>
      </c>
      <c r="H2902">
        <v>2385451</v>
      </c>
      <c r="I2902">
        <v>41.984444444444456</v>
      </c>
      <c r="J2902">
        <v>0</v>
      </c>
      <c r="K2902">
        <v>33</v>
      </c>
      <c r="L2902">
        <v>31.5</v>
      </c>
      <c r="N2902">
        <v>0</v>
      </c>
    </row>
    <row r="2903" spans="1:14" x14ac:dyDescent="0.35">
      <c r="A2903" t="s">
        <v>115</v>
      </c>
      <c r="B2903">
        <v>202509</v>
      </c>
      <c r="C2903" t="str">
        <f>MID(analisis_productividad__4[[#This Row],[Periodo]],1,4)</f>
        <v>2025</v>
      </c>
      <c r="D2903" t="str">
        <f>MID(analisis_productividad__4[[#This Row],[Periodo]],5,2)</f>
        <v>09</v>
      </c>
      <c r="E2903" t="s">
        <v>34</v>
      </c>
      <c r="F2903" t="s">
        <v>35</v>
      </c>
      <c r="G2903">
        <v>56813</v>
      </c>
      <c r="H2903">
        <v>2755404</v>
      </c>
      <c r="I2903">
        <v>48.499694444444479</v>
      </c>
      <c r="J2903">
        <v>57495.340141930727</v>
      </c>
      <c r="K2903">
        <v>53.5</v>
      </c>
      <c r="L2903">
        <v>51</v>
      </c>
      <c r="M2903">
        <v>47.923945544075728</v>
      </c>
      <c r="N2903">
        <v>3198876</v>
      </c>
    </row>
    <row r="2904" spans="1:14" x14ac:dyDescent="0.35">
      <c r="A2904" t="s">
        <v>119</v>
      </c>
      <c r="B2904">
        <v>202402</v>
      </c>
      <c r="C2904" t="str">
        <f>MID(analisis_productividad__4[[#This Row],[Periodo]],1,4)</f>
        <v>2024</v>
      </c>
      <c r="D2904" t="str">
        <f>MID(analisis_productividad__4[[#This Row],[Periodo]],5,2)</f>
        <v>02</v>
      </c>
      <c r="E2904" t="s">
        <v>16</v>
      </c>
      <c r="F2904" t="s">
        <v>21</v>
      </c>
      <c r="G2904">
        <v>56778</v>
      </c>
      <c r="H2904">
        <v>3143089</v>
      </c>
      <c r="I2904">
        <v>55.357277298850583</v>
      </c>
      <c r="J2904">
        <v>0</v>
      </c>
      <c r="K2904">
        <v>52.5</v>
      </c>
      <c r="L2904">
        <v>52.5</v>
      </c>
      <c r="N2904">
        <v>0</v>
      </c>
    </row>
    <row r="2905" spans="1:14" x14ac:dyDescent="0.35">
      <c r="A2905" t="s">
        <v>125</v>
      </c>
      <c r="B2905">
        <v>202601</v>
      </c>
      <c r="C2905" t="str">
        <f>MID(analisis_productividad__4[[#This Row],[Periodo]],1,4)</f>
        <v>2026</v>
      </c>
      <c r="D2905" t="str">
        <f>MID(analisis_productividad__4[[#This Row],[Periodo]],5,2)</f>
        <v>01</v>
      </c>
      <c r="E2905" t="s">
        <v>104</v>
      </c>
      <c r="F2905" t="s">
        <v>104</v>
      </c>
      <c r="G2905">
        <v>56752</v>
      </c>
      <c r="H2905">
        <v>2589819</v>
      </c>
      <c r="I2905">
        <v>45.633978494623662</v>
      </c>
      <c r="J2905">
        <v>61213.66201872666</v>
      </c>
      <c r="K2905">
        <v>59</v>
      </c>
      <c r="L2905">
        <v>50</v>
      </c>
      <c r="M2905">
        <v>50.48039166574727</v>
      </c>
      <c r="N2905">
        <v>3090090</v>
      </c>
    </row>
    <row r="2906" spans="1:14" x14ac:dyDescent="0.35">
      <c r="A2906" t="s">
        <v>109</v>
      </c>
      <c r="B2906">
        <v>202408</v>
      </c>
      <c r="C2906" t="str">
        <f>MID(analisis_productividad__4[[#This Row],[Periodo]],1,4)</f>
        <v>2024</v>
      </c>
      <c r="D2906" t="str">
        <f>MID(analisis_productividad__4[[#This Row],[Periodo]],5,2)</f>
        <v>08</v>
      </c>
      <c r="E2906" t="s">
        <v>9</v>
      </c>
      <c r="F2906" t="s">
        <v>9</v>
      </c>
      <c r="G2906">
        <v>56731</v>
      </c>
      <c r="H2906">
        <v>552099</v>
      </c>
      <c r="I2906">
        <v>9.7318817204301116</v>
      </c>
      <c r="J2906">
        <v>0</v>
      </c>
      <c r="K2906">
        <v>10</v>
      </c>
      <c r="L2906">
        <v>9</v>
      </c>
      <c r="N2906">
        <v>0</v>
      </c>
    </row>
    <row r="2907" spans="1:14" x14ac:dyDescent="0.35">
      <c r="A2907" t="s">
        <v>111</v>
      </c>
      <c r="B2907">
        <v>202404</v>
      </c>
      <c r="C2907" t="str">
        <f>MID(analisis_productividad__4[[#This Row],[Periodo]],1,4)</f>
        <v>2024</v>
      </c>
      <c r="D2907" t="str">
        <f>MID(analisis_productividad__4[[#This Row],[Periodo]],5,2)</f>
        <v>04</v>
      </c>
      <c r="E2907" t="s">
        <v>34</v>
      </c>
      <c r="F2907" t="s">
        <v>35</v>
      </c>
      <c r="G2907">
        <v>56683</v>
      </c>
      <c r="H2907">
        <v>2206003</v>
      </c>
      <c r="I2907">
        <v>38.918006944444457</v>
      </c>
      <c r="J2907">
        <v>0</v>
      </c>
      <c r="K2907">
        <v>45.5</v>
      </c>
      <c r="L2907">
        <v>42.5</v>
      </c>
      <c r="N2907">
        <v>0</v>
      </c>
    </row>
    <row r="2908" spans="1:14" x14ac:dyDescent="0.35">
      <c r="A2908" t="s">
        <v>126</v>
      </c>
      <c r="B2908">
        <v>202606</v>
      </c>
      <c r="C2908" t="str">
        <f>MID(analisis_productividad__4[[#This Row],[Periodo]],1,4)</f>
        <v>2026</v>
      </c>
      <c r="D2908" t="str">
        <f>MID(analisis_productividad__4[[#This Row],[Periodo]],5,2)</f>
        <v>06</v>
      </c>
      <c r="E2908" t="s">
        <v>104</v>
      </c>
      <c r="F2908" t="s">
        <v>104</v>
      </c>
      <c r="G2908">
        <v>56661</v>
      </c>
      <c r="H2908">
        <v>3134248</v>
      </c>
      <c r="I2908">
        <v>55.315749999999838</v>
      </c>
      <c r="J2908">
        <v>58269.006108961534</v>
      </c>
      <c r="K2908">
        <v>64.5</v>
      </c>
      <c r="L2908">
        <v>61</v>
      </c>
      <c r="M2908">
        <v>55.57085132952011</v>
      </c>
      <c r="N2908">
        <v>3238058</v>
      </c>
    </row>
    <row r="2909" spans="1:14" x14ac:dyDescent="0.35">
      <c r="A2909" t="s">
        <v>110</v>
      </c>
      <c r="B2909">
        <v>202504</v>
      </c>
      <c r="C2909" t="str">
        <f>MID(analisis_productividad__4[[#This Row],[Periodo]],1,4)</f>
        <v>2025</v>
      </c>
      <c r="D2909" t="str">
        <f>MID(analisis_productividad__4[[#This Row],[Periodo]],5,2)</f>
        <v>04</v>
      </c>
      <c r="E2909" t="s">
        <v>34</v>
      </c>
      <c r="F2909" t="s">
        <v>35</v>
      </c>
      <c r="G2909">
        <v>56630</v>
      </c>
      <c r="H2909">
        <v>2207757</v>
      </c>
      <c r="I2909">
        <v>38.985624999999992</v>
      </c>
      <c r="J2909">
        <v>61043.683825431435</v>
      </c>
      <c r="K2909">
        <v>41.5</v>
      </c>
      <c r="L2909">
        <v>43</v>
      </c>
      <c r="M2909">
        <v>36.166845636537836</v>
      </c>
      <c r="N2909">
        <v>2448646</v>
      </c>
    </row>
    <row r="2910" spans="1:14" x14ac:dyDescent="0.35">
      <c r="A2910" t="s">
        <v>108</v>
      </c>
      <c r="B2910">
        <v>202401</v>
      </c>
      <c r="C2910" t="str">
        <f>MID(analisis_productividad__4[[#This Row],[Periodo]],1,4)</f>
        <v>2024</v>
      </c>
      <c r="D2910" t="str">
        <f>MID(analisis_productividad__4[[#This Row],[Periodo]],5,2)</f>
        <v>01</v>
      </c>
      <c r="E2910" t="s">
        <v>11</v>
      </c>
      <c r="F2910" t="s">
        <v>14</v>
      </c>
      <c r="G2910">
        <v>56607</v>
      </c>
      <c r="H2910">
        <v>2510485</v>
      </c>
      <c r="I2910">
        <v>44.349280913978504</v>
      </c>
      <c r="J2910">
        <v>0</v>
      </c>
      <c r="K2910">
        <v>47.5</v>
      </c>
      <c r="L2910">
        <v>43</v>
      </c>
      <c r="N2910">
        <v>0</v>
      </c>
    </row>
    <row r="2911" spans="1:14" x14ac:dyDescent="0.35">
      <c r="A2911" t="s">
        <v>112</v>
      </c>
      <c r="B2911">
        <v>202402</v>
      </c>
      <c r="C2911" t="str">
        <f>MID(analisis_productividad__4[[#This Row],[Periodo]],1,4)</f>
        <v>2024</v>
      </c>
      <c r="D2911" t="str">
        <f>MID(analisis_productividad__4[[#This Row],[Periodo]],5,2)</f>
        <v>02</v>
      </c>
      <c r="E2911" t="s">
        <v>34</v>
      </c>
      <c r="F2911" t="s">
        <v>35</v>
      </c>
      <c r="G2911">
        <v>56539</v>
      </c>
      <c r="H2911">
        <v>1606633</v>
      </c>
      <c r="I2911">
        <v>28.4165301724138</v>
      </c>
      <c r="J2911">
        <v>0</v>
      </c>
      <c r="K2911">
        <v>31</v>
      </c>
      <c r="L2911">
        <v>27</v>
      </c>
      <c r="N2911">
        <v>0</v>
      </c>
    </row>
    <row r="2912" spans="1:14" x14ac:dyDescent="0.35">
      <c r="A2912" t="s">
        <v>115</v>
      </c>
      <c r="B2912">
        <v>202507</v>
      </c>
      <c r="C2912" t="str">
        <f>MID(analisis_productividad__4[[#This Row],[Periodo]],1,4)</f>
        <v>2025</v>
      </c>
      <c r="D2912" t="str">
        <f>MID(analisis_productividad__4[[#This Row],[Periodo]],5,2)</f>
        <v>07</v>
      </c>
      <c r="E2912" t="s">
        <v>34</v>
      </c>
      <c r="F2912" t="s">
        <v>35</v>
      </c>
      <c r="G2912">
        <v>56534</v>
      </c>
      <c r="H2912">
        <v>2843431</v>
      </c>
      <c r="I2912">
        <v>50.29589381720433</v>
      </c>
      <c r="J2912">
        <v>62272.786880596235</v>
      </c>
      <c r="K2912">
        <v>53.5</v>
      </c>
      <c r="L2912">
        <v>51</v>
      </c>
      <c r="M2912">
        <v>45.660884351491802</v>
      </c>
      <c r="N2912">
        <v>3124305</v>
      </c>
    </row>
    <row r="2913" spans="1:14" x14ac:dyDescent="0.35">
      <c r="A2913" t="s">
        <v>119</v>
      </c>
      <c r="B2913">
        <v>202405</v>
      </c>
      <c r="C2913" t="str">
        <f>MID(analisis_productividad__4[[#This Row],[Periodo]],1,4)</f>
        <v>2024</v>
      </c>
      <c r="D2913" t="str">
        <f>MID(analisis_productividad__4[[#This Row],[Periodo]],5,2)</f>
        <v>05</v>
      </c>
      <c r="E2913" t="s">
        <v>16</v>
      </c>
      <c r="F2913" t="s">
        <v>21</v>
      </c>
      <c r="G2913">
        <v>56505</v>
      </c>
      <c r="H2913">
        <v>3238597</v>
      </c>
      <c r="I2913">
        <v>57.314758064516141</v>
      </c>
      <c r="J2913">
        <v>0</v>
      </c>
      <c r="K2913">
        <v>52.5</v>
      </c>
      <c r="L2913">
        <v>52.5</v>
      </c>
      <c r="N2913">
        <v>0</v>
      </c>
    </row>
    <row r="2914" spans="1:14" x14ac:dyDescent="0.35">
      <c r="A2914" t="s">
        <v>124</v>
      </c>
      <c r="B2914">
        <v>202512</v>
      </c>
      <c r="C2914" t="str">
        <f>MID(analisis_productividad__4[[#This Row],[Periodo]],1,4)</f>
        <v>2025</v>
      </c>
      <c r="D2914" t="str">
        <f>MID(analisis_productividad__4[[#This Row],[Periodo]],5,2)</f>
        <v>12</v>
      </c>
      <c r="E2914" t="s">
        <v>9</v>
      </c>
      <c r="F2914" t="s">
        <v>9</v>
      </c>
      <c r="G2914">
        <v>56498</v>
      </c>
      <c r="H2914">
        <v>921392</v>
      </c>
      <c r="I2914">
        <v>16.308541666666663</v>
      </c>
      <c r="J2914">
        <v>75830.432717601245</v>
      </c>
      <c r="K2914">
        <v>11</v>
      </c>
      <c r="L2914">
        <v>12</v>
      </c>
      <c r="M2914">
        <v>12.150688146952019</v>
      </c>
      <c r="N2914">
        <v>941905</v>
      </c>
    </row>
    <row r="2915" spans="1:14" x14ac:dyDescent="0.35">
      <c r="A2915" t="s">
        <v>126</v>
      </c>
      <c r="B2915">
        <v>202507</v>
      </c>
      <c r="C2915" t="str">
        <f>MID(analisis_productividad__4[[#This Row],[Periodo]],1,4)</f>
        <v>2025</v>
      </c>
      <c r="D2915" t="str">
        <f>MID(analisis_productividad__4[[#This Row],[Periodo]],5,2)</f>
        <v>07</v>
      </c>
      <c r="E2915" t="s">
        <v>104</v>
      </c>
      <c r="F2915" t="s">
        <v>104</v>
      </c>
      <c r="G2915">
        <v>56470</v>
      </c>
      <c r="H2915">
        <v>3163743</v>
      </c>
      <c r="I2915">
        <v>56.025638440860234</v>
      </c>
      <c r="J2915">
        <v>55489.753917888673</v>
      </c>
      <c r="K2915">
        <v>64.5</v>
      </c>
      <c r="L2915">
        <v>61</v>
      </c>
      <c r="M2915">
        <v>57.014899627804603</v>
      </c>
      <c r="N2915">
        <v>3250058</v>
      </c>
    </row>
    <row r="2916" spans="1:14" x14ac:dyDescent="0.35">
      <c r="A2916" t="s">
        <v>127</v>
      </c>
      <c r="B2916">
        <v>202407</v>
      </c>
      <c r="C2916" t="str">
        <f>MID(analisis_productividad__4[[#This Row],[Periodo]],1,4)</f>
        <v>2024</v>
      </c>
      <c r="D2916" t="str">
        <f>MID(analisis_productividad__4[[#This Row],[Periodo]],5,2)</f>
        <v>07</v>
      </c>
      <c r="E2916" t="s">
        <v>104</v>
      </c>
      <c r="F2916" t="s">
        <v>104</v>
      </c>
      <c r="G2916">
        <v>56454</v>
      </c>
      <c r="H2916">
        <v>3255820</v>
      </c>
      <c r="I2916">
        <v>57.672426075268831</v>
      </c>
      <c r="J2916">
        <v>0</v>
      </c>
      <c r="K2916">
        <v>61.5</v>
      </c>
      <c r="L2916">
        <v>56</v>
      </c>
      <c r="N2916">
        <v>0</v>
      </c>
    </row>
    <row r="2917" spans="1:14" x14ac:dyDescent="0.35">
      <c r="A2917" t="s">
        <v>102</v>
      </c>
      <c r="B2917">
        <v>202409</v>
      </c>
      <c r="C2917" t="str">
        <f>MID(analisis_productividad__4[[#This Row],[Periodo]],1,4)</f>
        <v>2024</v>
      </c>
      <c r="D2917" t="str">
        <f>MID(analisis_productividad__4[[#This Row],[Periodo]],5,2)</f>
        <v>09</v>
      </c>
      <c r="E2917" t="s">
        <v>11</v>
      </c>
      <c r="F2917" t="s">
        <v>12</v>
      </c>
      <c r="G2917">
        <v>56439</v>
      </c>
      <c r="H2917">
        <v>1647954</v>
      </c>
      <c r="I2917">
        <v>29.198750000000015</v>
      </c>
      <c r="J2917">
        <v>0</v>
      </c>
      <c r="K2917">
        <v>34</v>
      </c>
      <c r="L2917">
        <v>34</v>
      </c>
      <c r="N2917">
        <v>0</v>
      </c>
    </row>
    <row r="2918" spans="1:14" x14ac:dyDescent="0.35">
      <c r="A2918" t="s">
        <v>71</v>
      </c>
      <c r="B2918">
        <v>202402</v>
      </c>
      <c r="C2918" t="str">
        <f>MID(analisis_productividad__4[[#This Row],[Periodo]],1,4)</f>
        <v>2024</v>
      </c>
      <c r="D2918" t="str">
        <f>MID(analisis_productividad__4[[#This Row],[Periodo]],5,2)</f>
        <v>02</v>
      </c>
      <c r="E2918" t="s">
        <v>16</v>
      </c>
      <c r="F2918" t="s">
        <v>19</v>
      </c>
      <c r="G2918">
        <v>56396</v>
      </c>
      <c r="H2918">
        <v>1917553</v>
      </c>
      <c r="I2918">
        <v>34.001645114942534</v>
      </c>
      <c r="J2918">
        <v>0</v>
      </c>
      <c r="K2918">
        <v>41.5</v>
      </c>
      <c r="L2918">
        <v>35.5</v>
      </c>
      <c r="N2918">
        <v>0</v>
      </c>
    </row>
    <row r="2919" spans="1:14" x14ac:dyDescent="0.35">
      <c r="A2919" t="s">
        <v>121</v>
      </c>
      <c r="B2919">
        <v>202411</v>
      </c>
      <c r="C2919" t="str">
        <f>MID(analisis_productividad__4[[#This Row],[Periodo]],1,4)</f>
        <v>2024</v>
      </c>
      <c r="D2919" t="str">
        <f>MID(analisis_productividad__4[[#This Row],[Periodo]],5,2)</f>
        <v>11</v>
      </c>
      <c r="E2919" t="s">
        <v>11</v>
      </c>
      <c r="F2919" t="s">
        <v>14</v>
      </c>
      <c r="G2919">
        <v>56392</v>
      </c>
      <c r="H2919">
        <v>2028623</v>
      </c>
      <c r="I2919">
        <v>35.973437499999996</v>
      </c>
      <c r="J2919">
        <v>0</v>
      </c>
      <c r="K2919">
        <v>36</v>
      </c>
      <c r="L2919">
        <v>35</v>
      </c>
      <c r="N2919">
        <v>0</v>
      </c>
    </row>
    <row r="2920" spans="1:14" x14ac:dyDescent="0.35">
      <c r="A2920" t="s">
        <v>128</v>
      </c>
      <c r="B2920">
        <v>202606</v>
      </c>
      <c r="C2920" t="str">
        <f>MID(analisis_productividad__4[[#This Row],[Periodo]],1,4)</f>
        <v>2026</v>
      </c>
      <c r="D2920" t="str">
        <f>MID(analisis_productividad__4[[#This Row],[Periodo]],5,2)</f>
        <v>06</v>
      </c>
      <c r="E2920" t="s">
        <v>104</v>
      </c>
      <c r="F2920" t="s">
        <v>104</v>
      </c>
      <c r="G2920">
        <v>56387</v>
      </c>
      <c r="H2920">
        <v>2681039</v>
      </c>
      <c r="I2920">
        <v>47.547402777777727</v>
      </c>
      <c r="J2920">
        <v>52244.914385891163</v>
      </c>
      <c r="K2920">
        <v>57.5</v>
      </c>
      <c r="L2920">
        <v>57</v>
      </c>
      <c r="M2920">
        <v>50.0561866937662</v>
      </c>
      <c r="N2920">
        <v>2615181</v>
      </c>
    </row>
    <row r="2921" spans="1:14" x14ac:dyDescent="0.35">
      <c r="A2921" t="s">
        <v>123</v>
      </c>
      <c r="B2921">
        <v>202601</v>
      </c>
      <c r="C2921" t="str">
        <f>MID(analisis_productividad__4[[#This Row],[Periodo]],1,4)</f>
        <v>2026</v>
      </c>
      <c r="D2921" t="str">
        <f>MID(analisis_productividad__4[[#This Row],[Periodo]],5,2)</f>
        <v>01</v>
      </c>
      <c r="E2921" t="s">
        <v>9</v>
      </c>
      <c r="F2921" t="s">
        <v>9</v>
      </c>
      <c r="G2921">
        <v>56360</v>
      </c>
      <c r="H2921">
        <v>492038</v>
      </c>
      <c r="I2921">
        <v>8.7301948924731203</v>
      </c>
      <c r="J2921">
        <v>52504.135272356085</v>
      </c>
      <c r="K2921">
        <v>11</v>
      </c>
      <c r="L2921">
        <v>10</v>
      </c>
      <c r="M2921">
        <v>10.023956063077975</v>
      </c>
      <c r="N2921">
        <v>526299</v>
      </c>
    </row>
    <row r="2922" spans="1:14" x14ac:dyDescent="0.35">
      <c r="A2922" t="s">
        <v>116</v>
      </c>
      <c r="B2922">
        <v>202509</v>
      </c>
      <c r="C2922" t="str">
        <f>MID(analisis_productividad__4[[#This Row],[Periodo]],1,4)</f>
        <v>2025</v>
      </c>
      <c r="D2922" t="str">
        <f>MID(analisis_productividad__4[[#This Row],[Periodo]],5,2)</f>
        <v>09</v>
      </c>
      <c r="E2922" t="s">
        <v>9</v>
      </c>
      <c r="F2922" t="s">
        <v>9</v>
      </c>
      <c r="G2922">
        <v>56343</v>
      </c>
      <c r="H2922">
        <v>568094</v>
      </c>
      <c r="I2922">
        <v>10.082868055555556</v>
      </c>
      <c r="J2922">
        <v>60392.157851774697</v>
      </c>
      <c r="K2922">
        <v>11.5</v>
      </c>
      <c r="L2922">
        <v>10</v>
      </c>
      <c r="M2922">
        <v>9.4067516414021615</v>
      </c>
      <c r="N2922">
        <v>699266</v>
      </c>
    </row>
    <row r="2923" spans="1:14" x14ac:dyDescent="0.35">
      <c r="A2923" t="s">
        <v>89</v>
      </c>
      <c r="B2923">
        <v>202509</v>
      </c>
      <c r="C2923" t="str">
        <f>MID(analisis_productividad__4[[#This Row],[Periodo]],1,4)</f>
        <v>2025</v>
      </c>
      <c r="D2923" t="str">
        <f>MID(analisis_productividad__4[[#This Row],[Periodo]],5,2)</f>
        <v>09</v>
      </c>
      <c r="E2923" t="s">
        <v>9</v>
      </c>
      <c r="F2923" t="s">
        <v>9</v>
      </c>
      <c r="G2923">
        <v>56333</v>
      </c>
      <c r="H2923">
        <v>889146</v>
      </c>
      <c r="I2923">
        <v>15.783881944444444</v>
      </c>
      <c r="J2923">
        <v>67089.793011031026</v>
      </c>
      <c r="K2923">
        <v>17</v>
      </c>
      <c r="L2923">
        <v>13.5</v>
      </c>
      <c r="M2923">
        <v>13.253072041134557</v>
      </c>
      <c r="N2923">
        <v>1144762</v>
      </c>
    </row>
    <row r="2924" spans="1:14" x14ac:dyDescent="0.35">
      <c r="A2924" t="s">
        <v>99</v>
      </c>
      <c r="B2924">
        <v>202510</v>
      </c>
      <c r="C2924" t="str">
        <f>MID(analisis_productividad__4[[#This Row],[Periodo]],1,4)</f>
        <v>2025</v>
      </c>
      <c r="D2924" t="str">
        <f>MID(analisis_productividad__4[[#This Row],[Periodo]],5,2)</f>
        <v>10</v>
      </c>
      <c r="E2924" t="s">
        <v>11</v>
      </c>
      <c r="F2924" t="s">
        <v>12</v>
      </c>
      <c r="G2924">
        <v>56330</v>
      </c>
      <c r="H2924">
        <v>1320182</v>
      </c>
      <c r="I2924">
        <v>23.436639784946234</v>
      </c>
      <c r="J2924">
        <v>55194.547147635785</v>
      </c>
      <c r="K2924">
        <v>27</v>
      </c>
      <c r="L2924">
        <v>27</v>
      </c>
      <c r="M2924">
        <v>23.918708427278929</v>
      </c>
      <c r="N2924">
        <v>1410300</v>
      </c>
    </row>
    <row r="2925" spans="1:14" x14ac:dyDescent="0.35">
      <c r="A2925" t="s">
        <v>123</v>
      </c>
      <c r="B2925">
        <v>202403</v>
      </c>
      <c r="C2925" t="str">
        <f>MID(analisis_productividad__4[[#This Row],[Periodo]],1,4)</f>
        <v>2024</v>
      </c>
      <c r="D2925" t="str">
        <f>MID(analisis_productividad__4[[#This Row],[Periodo]],5,2)</f>
        <v>03</v>
      </c>
      <c r="E2925" t="s">
        <v>9</v>
      </c>
      <c r="F2925" t="s">
        <v>9</v>
      </c>
      <c r="G2925">
        <v>56302</v>
      </c>
      <c r="H2925">
        <v>575259</v>
      </c>
      <c r="I2925">
        <v>10.217459677419358</v>
      </c>
      <c r="J2925">
        <v>0</v>
      </c>
      <c r="K2925">
        <v>11</v>
      </c>
      <c r="L2925">
        <v>10</v>
      </c>
      <c r="N2925">
        <v>0</v>
      </c>
    </row>
    <row r="2926" spans="1:14" x14ac:dyDescent="0.35">
      <c r="A2926" t="s">
        <v>111</v>
      </c>
      <c r="B2926">
        <v>202410</v>
      </c>
      <c r="C2926" t="str">
        <f>MID(analisis_productividad__4[[#This Row],[Periodo]],1,4)</f>
        <v>2024</v>
      </c>
      <c r="D2926" t="str">
        <f>MID(analisis_productividad__4[[#This Row],[Periodo]],5,2)</f>
        <v>10</v>
      </c>
      <c r="E2926" t="s">
        <v>34</v>
      </c>
      <c r="F2926" t="s">
        <v>35</v>
      </c>
      <c r="G2926">
        <v>56291</v>
      </c>
      <c r="H2926">
        <v>2211877</v>
      </c>
      <c r="I2926">
        <v>39.293756720430125</v>
      </c>
      <c r="J2926">
        <v>0</v>
      </c>
      <c r="K2926">
        <v>45.5</v>
      </c>
      <c r="L2926">
        <v>42.5</v>
      </c>
      <c r="N2926">
        <v>0</v>
      </c>
    </row>
    <row r="2927" spans="1:14" x14ac:dyDescent="0.35">
      <c r="A2927" t="s">
        <v>105</v>
      </c>
      <c r="B2927">
        <v>202408</v>
      </c>
      <c r="C2927" t="str">
        <f>MID(analisis_productividad__4[[#This Row],[Periodo]],1,4)</f>
        <v>2024</v>
      </c>
      <c r="D2927" t="str">
        <f>MID(analisis_productividad__4[[#This Row],[Periodo]],5,2)</f>
        <v>08</v>
      </c>
      <c r="E2927" t="s">
        <v>34</v>
      </c>
      <c r="F2927" t="s">
        <v>35</v>
      </c>
      <c r="G2927">
        <v>56285</v>
      </c>
      <c r="H2927">
        <v>2425269</v>
      </c>
      <c r="I2927">
        <v>43.08871639784946</v>
      </c>
      <c r="J2927">
        <v>0</v>
      </c>
      <c r="K2927">
        <v>33</v>
      </c>
      <c r="L2927">
        <v>31.5</v>
      </c>
      <c r="N2927">
        <v>0</v>
      </c>
    </row>
    <row r="2928" spans="1:14" x14ac:dyDescent="0.35">
      <c r="A2928" t="s">
        <v>117</v>
      </c>
      <c r="B2928">
        <v>202505</v>
      </c>
      <c r="C2928" t="str">
        <f>MID(analisis_productividad__4[[#This Row],[Periodo]],1,4)</f>
        <v>2025</v>
      </c>
      <c r="D2928" t="str">
        <f>MID(analisis_productividad__4[[#This Row],[Periodo]],5,2)</f>
        <v>05</v>
      </c>
      <c r="E2928" t="s">
        <v>104</v>
      </c>
      <c r="F2928" t="s">
        <v>104</v>
      </c>
      <c r="G2928">
        <v>56243</v>
      </c>
      <c r="H2928">
        <v>3486990</v>
      </c>
      <c r="I2928">
        <v>61.998689516129048</v>
      </c>
      <c r="J2928">
        <v>58345.721622917255</v>
      </c>
      <c r="K2928">
        <v>66</v>
      </c>
      <c r="L2928">
        <v>65.5</v>
      </c>
      <c r="M2928">
        <v>59.764285246758625</v>
      </c>
      <c r="N2928">
        <v>3708002</v>
      </c>
    </row>
    <row r="2929" spans="1:14" x14ac:dyDescent="0.35">
      <c r="A2929" t="s">
        <v>116</v>
      </c>
      <c r="B2929">
        <v>202506</v>
      </c>
      <c r="C2929" t="str">
        <f>MID(analisis_productividad__4[[#This Row],[Periodo]],1,4)</f>
        <v>2025</v>
      </c>
      <c r="D2929" t="str">
        <f>MID(analisis_productividad__4[[#This Row],[Periodo]],5,2)</f>
        <v>06</v>
      </c>
      <c r="E2929" t="s">
        <v>9</v>
      </c>
      <c r="F2929" t="s">
        <v>9</v>
      </c>
      <c r="G2929">
        <v>56207</v>
      </c>
      <c r="H2929">
        <v>580203</v>
      </c>
      <c r="I2929">
        <v>10.322569444444444</v>
      </c>
      <c r="J2929">
        <v>57488.604841056673</v>
      </c>
      <c r="K2929">
        <v>11.5</v>
      </c>
      <c r="L2929">
        <v>10</v>
      </c>
      <c r="M2929">
        <v>10.092479050485437</v>
      </c>
      <c r="N2929">
        <v>671559</v>
      </c>
    </row>
    <row r="2930" spans="1:14" x14ac:dyDescent="0.35">
      <c r="A2930" t="s">
        <v>53</v>
      </c>
      <c r="B2930">
        <v>202503</v>
      </c>
      <c r="C2930" t="str">
        <f>MID(analisis_productividad__4[[#This Row],[Periodo]],1,4)</f>
        <v>2025</v>
      </c>
      <c r="D2930" t="str">
        <f>MID(analisis_productividad__4[[#This Row],[Periodo]],5,2)</f>
        <v>03</v>
      </c>
      <c r="E2930" t="s">
        <v>11</v>
      </c>
      <c r="F2930" t="s">
        <v>12</v>
      </c>
      <c r="G2930">
        <v>56192</v>
      </c>
      <c r="H2930">
        <v>3832333</v>
      </c>
      <c r="I2930">
        <v>68.200463709677422</v>
      </c>
      <c r="J2930">
        <v>108413.73374939286</v>
      </c>
      <c r="K2930">
        <v>81</v>
      </c>
      <c r="L2930">
        <v>77</v>
      </c>
      <c r="M2930">
        <v>35.349148004244078</v>
      </c>
      <c r="N2930">
        <v>7890806</v>
      </c>
    </row>
    <row r="2931" spans="1:14" x14ac:dyDescent="0.35">
      <c r="A2931" t="s">
        <v>101</v>
      </c>
      <c r="B2931">
        <v>202506</v>
      </c>
      <c r="C2931" t="str">
        <f>MID(analisis_productividad__4[[#This Row],[Periodo]],1,4)</f>
        <v>2025</v>
      </c>
      <c r="D2931" t="str">
        <f>MID(analisis_productividad__4[[#This Row],[Periodo]],5,2)</f>
        <v>06</v>
      </c>
      <c r="E2931" t="s">
        <v>9</v>
      </c>
      <c r="F2931" t="s">
        <v>9</v>
      </c>
      <c r="G2931">
        <v>56187</v>
      </c>
      <c r="H2931">
        <v>330401</v>
      </c>
      <c r="I2931">
        <v>5.8803402777777789</v>
      </c>
      <c r="J2931">
        <v>40866.219376944224</v>
      </c>
      <c r="K2931">
        <v>8.5</v>
      </c>
      <c r="L2931">
        <v>6.5</v>
      </c>
      <c r="M2931">
        <v>8.0849365328470899</v>
      </c>
      <c r="N2931">
        <v>351802</v>
      </c>
    </row>
    <row r="2932" spans="1:14" x14ac:dyDescent="0.35">
      <c r="A2932" t="s">
        <v>109</v>
      </c>
      <c r="B2932">
        <v>202503</v>
      </c>
      <c r="C2932" t="str">
        <f>MID(analisis_productividad__4[[#This Row],[Periodo]],1,4)</f>
        <v>2025</v>
      </c>
      <c r="D2932" t="str">
        <f>MID(analisis_productividad__4[[#This Row],[Periodo]],5,2)</f>
        <v>03</v>
      </c>
      <c r="E2932" t="s">
        <v>9</v>
      </c>
      <c r="F2932" t="s">
        <v>9</v>
      </c>
      <c r="G2932">
        <v>56164</v>
      </c>
      <c r="H2932">
        <v>462706</v>
      </c>
      <c r="I2932">
        <v>8.2385483870967757</v>
      </c>
      <c r="J2932">
        <v>72722.227275524987</v>
      </c>
      <c r="K2932">
        <v>10</v>
      </c>
      <c r="L2932">
        <v>9</v>
      </c>
      <c r="M2932">
        <v>6.3626475334278698</v>
      </c>
      <c r="N2932">
        <v>579791</v>
      </c>
    </row>
    <row r="2933" spans="1:14" x14ac:dyDescent="0.35">
      <c r="A2933" t="s">
        <v>110</v>
      </c>
      <c r="B2933">
        <v>202505</v>
      </c>
      <c r="C2933" t="str">
        <f>MID(analisis_productividad__4[[#This Row],[Periodo]],1,4)</f>
        <v>2025</v>
      </c>
      <c r="D2933" t="str">
        <f>MID(analisis_productividad__4[[#This Row],[Periodo]],5,2)</f>
        <v>05</v>
      </c>
      <c r="E2933" t="s">
        <v>34</v>
      </c>
      <c r="F2933" t="s">
        <v>35</v>
      </c>
      <c r="G2933">
        <v>56071</v>
      </c>
      <c r="H2933">
        <v>2246607</v>
      </c>
      <c r="I2933">
        <v>40.067426075268799</v>
      </c>
      <c r="J2933">
        <v>61737.566329171008</v>
      </c>
      <c r="K2933">
        <v>41.5</v>
      </c>
      <c r="L2933">
        <v>43</v>
      </c>
      <c r="M2933">
        <v>36.38962180694962</v>
      </c>
      <c r="N2933">
        <v>2461996</v>
      </c>
    </row>
    <row r="2934" spans="1:14" x14ac:dyDescent="0.35">
      <c r="A2934" t="s">
        <v>115</v>
      </c>
      <c r="B2934">
        <v>202411</v>
      </c>
      <c r="C2934" t="str">
        <f>MID(analisis_productividad__4[[#This Row],[Periodo]],1,4)</f>
        <v>2024</v>
      </c>
      <c r="D2934" t="str">
        <f>MID(analisis_productividad__4[[#This Row],[Periodo]],5,2)</f>
        <v>11</v>
      </c>
      <c r="E2934" t="s">
        <v>34</v>
      </c>
      <c r="F2934" t="s">
        <v>35</v>
      </c>
      <c r="G2934">
        <v>56068</v>
      </c>
      <c r="H2934">
        <v>2902020</v>
      </c>
      <c r="I2934">
        <v>51.759361111111112</v>
      </c>
      <c r="J2934">
        <v>0</v>
      </c>
      <c r="K2934">
        <v>53.5</v>
      </c>
      <c r="L2934">
        <v>51</v>
      </c>
      <c r="N2934">
        <v>0</v>
      </c>
    </row>
    <row r="2935" spans="1:14" x14ac:dyDescent="0.35">
      <c r="A2935" t="s">
        <v>123</v>
      </c>
      <c r="B2935">
        <v>202503</v>
      </c>
      <c r="C2935" t="str">
        <f>MID(analisis_productividad__4[[#This Row],[Periodo]],1,4)</f>
        <v>2025</v>
      </c>
      <c r="D2935" t="str">
        <f>MID(analisis_productividad__4[[#This Row],[Periodo]],5,2)</f>
        <v>03</v>
      </c>
      <c r="E2935" t="s">
        <v>9</v>
      </c>
      <c r="F2935" t="s">
        <v>9</v>
      </c>
      <c r="G2935">
        <v>56015</v>
      </c>
      <c r="H2935">
        <v>559020</v>
      </c>
      <c r="I2935">
        <v>9.9797983870967748</v>
      </c>
      <c r="J2935">
        <v>59116.670979861301</v>
      </c>
      <c r="K2935">
        <v>11</v>
      </c>
      <c r="L2935">
        <v>10</v>
      </c>
      <c r="M2935">
        <v>9.4562112638317508</v>
      </c>
      <c r="N2935">
        <v>569805</v>
      </c>
    </row>
    <row r="2936" spans="1:14" x14ac:dyDescent="0.35">
      <c r="A2936" t="s">
        <v>115</v>
      </c>
      <c r="B2936">
        <v>202405</v>
      </c>
      <c r="C2936" t="str">
        <f>MID(analisis_productividad__4[[#This Row],[Periodo]],1,4)</f>
        <v>2024</v>
      </c>
      <c r="D2936" t="str">
        <f>MID(analisis_productividad__4[[#This Row],[Periodo]],5,2)</f>
        <v>05</v>
      </c>
      <c r="E2936" t="s">
        <v>34</v>
      </c>
      <c r="F2936" t="s">
        <v>35</v>
      </c>
      <c r="G2936">
        <v>55982</v>
      </c>
      <c r="H2936">
        <v>2975186</v>
      </c>
      <c r="I2936">
        <v>53.144959677419365</v>
      </c>
      <c r="J2936">
        <v>0</v>
      </c>
      <c r="K2936">
        <v>53.5</v>
      </c>
      <c r="L2936">
        <v>51</v>
      </c>
      <c r="N2936">
        <v>0</v>
      </c>
    </row>
    <row r="2937" spans="1:14" x14ac:dyDescent="0.35">
      <c r="A2937" t="s">
        <v>102</v>
      </c>
      <c r="B2937">
        <v>202507</v>
      </c>
      <c r="C2937" t="str">
        <f>MID(analisis_productividad__4[[#This Row],[Periodo]],1,4)</f>
        <v>2025</v>
      </c>
      <c r="D2937" t="str">
        <f>MID(analisis_productividad__4[[#This Row],[Periodo]],5,2)</f>
        <v>07</v>
      </c>
      <c r="E2937" t="s">
        <v>11</v>
      </c>
      <c r="F2937" t="s">
        <v>12</v>
      </c>
      <c r="G2937">
        <v>55949</v>
      </c>
      <c r="H2937">
        <v>1784607</v>
      </c>
      <c r="I2937">
        <v>31.896760752688181</v>
      </c>
      <c r="J2937">
        <v>64146.550653054837</v>
      </c>
      <c r="K2937">
        <v>34</v>
      </c>
      <c r="L2937">
        <v>34</v>
      </c>
      <c r="M2937">
        <v>27.820783687220946</v>
      </c>
      <c r="N2937">
        <v>1980355</v>
      </c>
    </row>
    <row r="2938" spans="1:14" x14ac:dyDescent="0.35">
      <c r="A2938" t="s">
        <v>117</v>
      </c>
      <c r="B2938">
        <v>202404</v>
      </c>
      <c r="C2938" t="str">
        <f>MID(analisis_productividad__4[[#This Row],[Periodo]],1,4)</f>
        <v>2024</v>
      </c>
      <c r="D2938" t="str">
        <f>MID(analisis_productividad__4[[#This Row],[Periodo]],5,2)</f>
        <v>04</v>
      </c>
      <c r="E2938" t="s">
        <v>104</v>
      </c>
      <c r="F2938" t="s">
        <v>104</v>
      </c>
      <c r="G2938">
        <v>55854</v>
      </c>
      <c r="H2938">
        <v>3434298</v>
      </c>
      <c r="I2938">
        <v>61.487222222222243</v>
      </c>
      <c r="J2938">
        <v>0</v>
      </c>
      <c r="K2938">
        <v>66</v>
      </c>
      <c r="L2938">
        <v>65.5</v>
      </c>
      <c r="N2938">
        <v>0</v>
      </c>
    </row>
    <row r="2939" spans="1:14" x14ac:dyDescent="0.35">
      <c r="A2939" t="s">
        <v>105</v>
      </c>
      <c r="B2939">
        <v>202602</v>
      </c>
      <c r="C2939" t="str">
        <f>MID(analisis_productividad__4[[#This Row],[Periodo]],1,4)</f>
        <v>2026</v>
      </c>
      <c r="D2939" t="str">
        <f>MID(analisis_productividad__4[[#This Row],[Periodo]],5,2)</f>
        <v>02</v>
      </c>
      <c r="E2939" t="s">
        <v>34</v>
      </c>
      <c r="F2939" t="s">
        <v>35</v>
      </c>
      <c r="G2939">
        <v>55835</v>
      </c>
      <c r="H2939">
        <v>1759321</v>
      </c>
      <c r="I2939">
        <v>31.509010416666662</v>
      </c>
      <c r="J2939">
        <v>0</v>
      </c>
      <c r="K2939">
        <v>33</v>
      </c>
      <c r="L2939">
        <v>31.5</v>
      </c>
      <c r="M2939">
        <v>35.22317754154448</v>
      </c>
      <c r="N2939">
        <v>0</v>
      </c>
    </row>
    <row r="2940" spans="1:14" x14ac:dyDescent="0.35">
      <c r="A2940" t="s">
        <v>125</v>
      </c>
      <c r="B2940">
        <v>202408</v>
      </c>
      <c r="C2940" t="str">
        <f>MID(analisis_productividad__4[[#This Row],[Periodo]],1,4)</f>
        <v>2024</v>
      </c>
      <c r="D2940" t="str">
        <f>MID(analisis_productividad__4[[#This Row],[Periodo]],5,2)</f>
        <v>08</v>
      </c>
      <c r="E2940" t="s">
        <v>104</v>
      </c>
      <c r="F2940" t="s">
        <v>104</v>
      </c>
      <c r="G2940">
        <v>55829</v>
      </c>
      <c r="H2940">
        <v>2654467</v>
      </c>
      <c r="I2940">
        <v>47.54608870967742</v>
      </c>
      <c r="J2940">
        <v>0</v>
      </c>
      <c r="K2940">
        <v>59</v>
      </c>
      <c r="L2940">
        <v>50</v>
      </c>
      <c r="N2940">
        <v>0</v>
      </c>
    </row>
    <row r="2941" spans="1:14" x14ac:dyDescent="0.35">
      <c r="A2941" t="s">
        <v>111</v>
      </c>
      <c r="B2941">
        <v>202504</v>
      </c>
      <c r="C2941" t="str">
        <f>MID(analisis_productividad__4[[#This Row],[Periodo]],1,4)</f>
        <v>2025</v>
      </c>
      <c r="D2941" t="str">
        <f>MID(analisis_productividad__4[[#This Row],[Periodo]],5,2)</f>
        <v>04</v>
      </c>
      <c r="E2941" t="s">
        <v>34</v>
      </c>
      <c r="F2941" t="s">
        <v>35</v>
      </c>
      <c r="G2941">
        <v>55825</v>
      </c>
      <c r="H2941">
        <v>2270465</v>
      </c>
      <c r="I2941">
        <v>40.671312499999999</v>
      </c>
      <c r="J2941">
        <v>59517.507816022735</v>
      </c>
      <c r="K2941">
        <v>45.5</v>
      </c>
      <c r="L2941">
        <v>42.5</v>
      </c>
      <c r="M2941">
        <v>38.147845286437999</v>
      </c>
      <c r="N2941">
        <v>2359859</v>
      </c>
    </row>
    <row r="2942" spans="1:14" x14ac:dyDescent="0.35">
      <c r="A2942" t="s">
        <v>113</v>
      </c>
      <c r="B2942">
        <v>202402</v>
      </c>
      <c r="C2942" t="str">
        <f>MID(analisis_productividad__4[[#This Row],[Periodo]],1,4)</f>
        <v>2024</v>
      </c>
      <c r="D2942" t="str">
        <f>MID(analisis_productividad__4[[#This Row],[Periodo]],5,2)</f>
        <v>02</v>
      </c>
      <c r="E2942" t="s">
        <v>9</v>
      </c>
      <c r="F2942" t="s">
        <v>9</v>
      </c>
      <c r="G2942">
        <v>55782</v>
      </c>
      <c r="H2942">
        <v>591880</v>
      </c>
      <c r="I2942">
        <v>10.610682471264372</v>
      </c>
      <c r="J2942">
        <v>0</v>
      </c>
      <c r="K2942">
        <v>11.5</v>
      </c>
      <c r="L2942">
        <v>10</v>
      </c>
      <c r="N2942">
        <v>0</v>
      </c>
    </row>
    <row r="2943" spans="1:14" x14ac:dyDescent="0.35">
      <c r="A2943" t="s">
        <v>123</v>
      </c>
      <c r="B2943">
        <v>202507</v>
      </c>
      <c r="C2943" t="str">
        <f>MID(analisis_productividad__4[[#This Row],[Periodo]],1,4)</f>
        <v>2025</v>
      </c>
      <c r="D2943" t="str">
        <f>MID(analisis_productividad__4[[#This Row],[Periodo]],5,2)</f>
        <v>07</v>
      </c>
      <c r="E2943" t="s">
        <v>9</v>
      </c>
      <c r="F2943" t="s">
        <v>9</v>
      </c>
      <c r="G2943">
        <v>55749</v>
      </c>
      <c r="H2943">
        <v>530101</v>
      </c>
      <c r="I2943">
        <v>9.5086626344086014</v>
      </c>
      <c r="J2943">
        <v>62830.530498924185</v>
      </c>
      <c r="K2943">
        <v>11</v>
      </c>
      <c r="L2943">
        <v>10</v>
      </c>
      <c r="M2943">
        <v>8.4369965650548941</v>
      </c>
      <c r="N2943">
        <v>582630</v>
      </c>
    </row>
    <row r="2944" spans="1:14" x14ac:dyDescent="0.35">
      <c r="A2944" t="s">
        <v>125</v>
      </c>
      <c r="B2944">
        <v>202412</v>
      </c>
      <c r="C2944" t="str">
        <f>MID(analisis_productividad__4[[#This Row],[Periodo]],1,4)</f>
        <v>2024</v>
      </c>
      <c r="D2944" t="str">
        <f>MID(analisis_productividad__4[[#This Row],[Periodo]],5,2)</f>
        <v>12</v>
      </c>
      <c r="E2944" t="s">
        <v>104</v>
      </c>
      <c r="F2944" t="s">
        <v>104</v>
      </c>
      <c r="G2944">
        <v>55741</v>
      </c>
      <c r="H2944">
        <v>3150704</v>
      </c>
      <c r="I2944">
        <v>56.524341397849476</v>
      </c>
      <c r="J2944">
        <v>0</v>
      </c>
      <c r="K2944">
        <v>59</v>
      </c>
      <c r="L2944">
        <v>50</v>
      </c>
      <c r="N2944">
        <v>0</v>
      </c>
    </row>
    <row r="2945" spans="1:14" x14ac:dyDescent="0.35">
      <c r="A2945" t="s">
        <v>125</v>
      </c>
      <c r="B2945">
        <v>202604</v>
      </c>
      <c r="C2945" t="str">
        <f>MID(analisis_productividad__4[[#This Row],[Periodo]],1,4)</f>
        <v>2026</v>
      </c>
      <c r="D2945" t="str">
        <f>MID(analisis_productividad__4[[#This Row],[Periodo]],5,2)</f>
        <v>04</v>
      </c>
      <c r="E2945" t="s">
        <v>104</v>
      </c>
      <c r="F2945" t="s">
        <v>104</v>
      </c>
      <c r="G2945">
        <v>55694</v>
      </c>
      <c r="H2945">
        <v>2791217</v>
      </c>
      <c r="I2945">
        <v>50.116840277777619</v>
      </c>
      <c r="J2945">
        <v>56175.846823394902</v>
      </c>
      <c r="K2945">
        <v>59</v>
      </c>
      <c r="L2945">
        <v>50</v>
      </c>
      <c r="M2945">
        <v>50.48039166574727</v>
      </c>
      <c r="N2945">
        <v>2835779</v>
      </c>
    </row>
    <row r="2946" spans="1:14" x14ac:dyDescent="0.35">
      <c r="A2946" t="s">
        <v>114</v>
      </c>
      <c r="B2946">
        <v>202501</v>
      </c>
      <c r="C2946" t="str">
        <f>MID(analisis_productividad__4[[#This Row],[Periodo]],1,4)</f>
        <v>2025</v>
      </c>
      <c r="D2946" t="str">
        <f>MID(analisis_productividad__4[[#This Row],[Periodo]],5,2)</f>
        <v>01</v>
      </c>
      <c r="E2946" t="s">
        <v>9</v>
      </c>
      <c r="F2946" t="s">
        <v>9</v>
      </c>
      <c r="G2946">
        <v>55690</v>
      </c>
      <c r="H2946">
        <v>721674</v>
      </c>
      <c r="I2946">
        <v>12.958797043010756</v>
      </c>
      <c r="J2946">
        <v>77679.527704463311</v>
      </c>
      <c r="K2946">
        <v>13.5</v>
      </c>
      <c r="L2946">
        <v>14.5</v>
      </c>
      <c r="M2946">
        <v>9.290395054223973</v>
      </c>
      <c r="N2946">
        <v>1010802</v>
      </c>
    </row>
    <row r="2947" spans="1:14" x14ac:dyDescent="0.35">
      <c r="A2947" t="s">
        <v>113</v>
      </c>
      <c r="B2947">
        <v>202411</v>
      </c>
      <c r="C2947" t="str">
        <f>MID(analisis_productividad__4[[#This Row],[Periodo]],1,4)</f>
        <v>2024</v>
      </c>
      <c r="D2947" t="str">
        <f>MID(analisis_productividad__4[[#This Row],[Periodo]],5,2)</f>
        <v>11</v>
      </c>
      <c r="E2947" t="s">
        <v>9</v>
      </c>
      <c r="F2947" t="s">
        <v>9</v>
      </c>
      <c r="G2947">
        <v>55652</v>
      </c>
      <c r="H2947">
        <v>577213</v>
      </c>
      <c r="I2947">
        <v>10.371812499999999</v>
      </c>
      <c r="J2947">
        <v>0</v>
      </c>
      <c r="K2947">
        <v>11.5</v>
      </c>
      <c r="L2947">
        <v>10</v>
      </c>
      <c r="N2947">
        <v>0</v>
      </c>
    </row>
    <row r="2948" spans="1:14" x14ac:dyDescent="0.35">
      <c r="A2948" t="s">
        <v>126</v>
      </c>
      <c r="B2948">
        <v>202411</v>
      </c>
      <c r="C2948" t="str">
        <f>MID(analisis_productividad__4[[#This Row],[Periodo]],1,4)</f>
        <v>2024</v>
      </c>
      <c r="D2948" t="str">
        <f>MID(analisis_productividad__4[[#This Row],[Periodo]],5,2)</f>
        <v>11</v>
      </c>
      <c r="E2948" t="s">
        <v>104</v>
      </c>
      <c r="F2948" t="s">
        <v>104</v>
      </c>
      <c r="G2948">
        <v>55642</v>
      </c>
      <c r="H2948">
        <v>3136557</v>
      </c>
      <c r="I2948">
        <v>56.370125000000002</v>
      </c>
      <c r="J2948">
        <v>0</v>
      </c>
      <c r="K2948">
        <v>64.5</v>
      </c>
      <c r="L2948">
        <v>61</v>
      </c>
      <c r="N2948">
        <v>0</v>
      </c>
    </row>
    <row r="2949" spans="1:14" x14ac:dyDescent="0.35">
      <c r="A2949" t="s">
        <v>117</v>
      </c>
      <c r="B2949">
        <v>202405</v>
      </c>
      <c r="C2949" t="str">
        <f>MID(analisis_productividad__4[[#This Row],[Periodo]],1,4)</f>
        <v>2024</v>
      </c>
      <c r="D2949" t="str">
        <f>MID(analisis_productividad__4[[#This Row],[Periodo]],5,2)</f>
        <v>05</v>
      </c>
      <c r="E2949" t="s">
        <v>104</v>
      </c>
      <c r="F2949" t="s">
        <v>104</v>
      </c>
      <c r="G2949">
        <v>55567</v>
      </c>
      <c r="H2949">
        <v>3517220</v>
      </c>
      <c r="I2949">
        <v>63.296512096774173</v>
      </c>
      <c r="J2949">
        <v>0</v>
      </c>
      <c r="K2949">
        <v>66</v>
      </c>
      <c r="L2949">
        <v>65.5</v>
      </c>
      <c r="N2949">
        <v>0</v>
      </c>
    </row>
    <row r="2950" spans="1:14" x14ac:dyDescent="0.35">
      <c r="A2950" t="s">
        <v>127</v>
      </c>
      <c r="B2950">
        <v>202410</v>
      </c>
      <c r="C2950" t="str">
        <f>MID(analisis_productividad__4[[#This Row],[Periodo]],1,4)</f>
        <v>2024</v>
      </c>
      <c r="D2950" t="str">
        <f>MID(analisis_productividad__4[[#This Row],[Periodo]],5,2)</f>
        <v>10</v>
      </c>
      <c r="E2950" t="s">
        <v>104</v>
      </c>
      <c r="F2950" t="s">
        <v>104</v>
      </c>
      <c r="G2950">
        <v>55551</v>
      </c>
      <c r="H2950">
        <v>3261201</v>
      </c>
      <c r="I2950">
        <v>58.706290322580656</v>
      </c>
      <c r="J2950">
        <v>0</v>
      </c>
      <c r="K2950">
        <v>61.5</v>
      </c>
      <c r="L2950">
        <v>56</v>
      </c>
      <c r="N2950">
        <v>0</v>
      </c>
    </row>
    <row r="2951" spans="1:14" x14ac:dyDescent="0.35">
      <c r="A2951" t="s">
        <v>113</v>
      </c>
      <c r="B2951">
        <v>202410</v>
      </c>
      <c r="C2951" t="str">
        <f>MID(analisis_productividad__4[[#This Row],[Periodo]],1,4)</f>
        <v>2024</v>
      </c>
      <c r="D2951" t="str">
        <f>MID(analisis_productividad__4[[#This Row],[Periodo]],5,2)</f>
        <v>10</v>
      </c>
      <c r="E2951" t="s">
        <v>9</v>
      </c>
      <c r="F2951" t="s">
        <v>9</v>
      </c>
      <c r="G2951">
        <v>55547</v>
      </c>
      <c r="H2951">
        <v>593648</v>
      </c>
      <c r="I2951">
        <v>10.687372311827961</v>
      </c>
      <c r="J2951">
        <v>0</v>
      </c>
      <c r="K2951">
        <v>11.5</v>
      </c>
      <c r="L2951">
        <v>10</v>
      </c>
      <c r="N2951">
        <v>0</v>
      </c>
    </row>
    <row r="2952" spans="1:14" x14ac:dyDescent="0.35">
      <c r="A2952" t="s">
        <v>115</v>
      </c>
      <c r="B2952">
        <v>202506</v>
      </c>
      <c r="C2952" t="str">
        <f>MID(analisis_productividad__4[[#This Row],[Periodo]],1,4)</f>
        <v>2025</v>
      </c>
      <c r="D2952" t="str">
        <f>MID(analisis_productividad__4[[#This Row],[Periodo]],5,2)</f>
        <v>06</v>
      </c>
      <c r="E2952" t="s">
        <v>34</v>
      </c>
      <c r="F2952" t="s">
        <v>35</v>
      </c>
      <c r="G2952">
        <v>55536</v>
      </c>
      <c r="H2952">
        <v>2831452</v>
      </c>
      <c r="I2952">
        <v>50.984305555555572</v>
      </c>
      <c r="J2952">
        <v>61792.922311830793</v>
      </c>
      <c r="K2952">
        <v>53.5</v>
      </c>
      <c r="L2952">
        <v>51</v>
      </c>
      <c r="M2952">
        <v>45.821615066389157</v>
      </c>
      <c r="N2952">
        <v>3122899</v>
      </c>
    </row>
    <row r="2953" spans="1:14" x14ac:dyDescent="0.35">
      <c r="A2953" t="s">
        <v>99</v>
      </c>
      <c r="B2953">
        <v>202507</v>
      </c>
      <c r="C2953" t="str">
        <f>MID(analisis_productividad__4[[#This Row],[Periodo]],1,4)</f>
        <v>2025</v>
      </c>
      <c r="D2953" t="str">
        <f>MID(analisis_productividad__4[[#This Row],[Periodo]],5,2)</f>
        <v>07</v>
      </c>
      <c r="E2953" t="s">
        <v>11</v>
      </c>
      <c r="F2953" t="s">
        <v>12</v>
      </c>
      <c r="G2953">
        <v>55505</v>
      </c>
      <c r="H2953">
        <v>1362206</v>
      </c>
      <c r="I2953">
        <v>24.542197580645162</v>
      </c>
      <c r="J2953">
        <v>63500.178687711879</v>
      </c>
      <c r="K2953">
        <v>27</v>
      </c>
      <c r="L2953">
        <v>27</v>
      </c>
      <c r="M2953">
        <v>21.451996642390629</v>
      </c>
      <c r="N2953">
        <v>1636044</v>
      </c>
    </row>
    <row r="2954" spans="1:14" x14ac:dyDescent="0.35">
      <c r="A2954" t="s">
        <v>115</v>
      </c>
      <c r="B2954">
        <v>202502</v>
      </c>
      <c r="C2954" t="str">
        <f>MID(analisis_productividad__4[[#This Row],[Periodo]],1,4)</f>
        <v>2025</v>
      </c>
      <c r="D2954" t="str">
        <f>MID(analisis_productividad__4[[#This Row],[Periodo]],5,2)</f>
        <v>02</v>
      </c>
      <c r="E2954" t="s">
        <v>34</v>
      </c>
      <c r="F2954" t="s">
        <v>35</v>
      </c>
      <c r="G2954">
        <v>55474</v>
      </c>
      <c r="H2954">
        <v>2759308</v>
      </c>
      <c r="I2954">
        <v>49.740937500000015</v>
      </c>
      <c r="J2954">
        <v>56581.515085422114</v>
      </c>
      <c r="K2954">
        <v>53.5</v>
      </c>
      <c r="L2954">
        <v>51</v>
      </c>
      <c r="M2954">
        <v>48.766948460715902</v>
      </c>
      <c r="N2954">
        <v>2867029</v>
      </c>
    </row>
    <row r="2955" spans="1:14" x14ac:dyDescent="0.35">
      <c r="A2955" t="s">
        <v>99</v>
      </c>
      <c r="B2955">
        <v>202405</v>
      </c>
      <c r="C2955" t="str">
        <f>MID(analisis_productividad__4[[#This Row],[Periodo]],1,4)</f>
        <v>2024</v>
      </c>
      <c r="D2955" t="str">
        <f>MID(analisis_productividad__4[[#This Row],[Periodo]],5,2)</f>
        <v>05</v>
      </c>
      <c r="E2955" t="s">
        <v>11</v>
      </c>
      <c r="F2955" t="s">
        <v>12</v>
      </c>
      <c r="G2955">
        <v>55416</v>
      </c>
      <c r="H2955">
        <v>1447339</v>
      </c>
      <c r="I2955">
        <v>26.117950268817204</v>
      </c>
      <c r="J2955">
        <v>0</v>
      </c>
      <c r="K2955">
        <v>27</v>
      </c>
      <c r="L2955">
        <v>27</v>
      </c>
      <c r="N2955">
        <v>0</v>
      </c>
    </row>
    <row r="2956" spans="1:14" x14ac:dyDescent="0.35">
      <c r="A2956" t="s">
        <v>96</v>
      </c>
      <c r="B2956">
        <v>202601</v>
      </c>
      <c r="C2956" t="str">
        <f>MID(analisis_productividad__4[[#This Row],[Periodo]],1,4)</f>
        <v>2026</v>
      </c>
      <c r="D2956" t="str">
        <f>MID(analisis_productividad__4[[#This Row],[Periodo]],5,2)</f>
        <v>01</v>
      </c>
      <c r="E2956" t="s">
        <v>16</v>
      </c>
      <c r="F2956" t="s">
        <v>17</v>
      </c>
      <c r="G2956">
        <v>55382</v>
      </c>
      <c r="H2956">
        <v>5190041</v>
      </c>
      <c r="I2956">
        <v>93.712735215053755</v>
      </c>
      <c r="J2956">
        <v>63106.890682142861</v>
      </c>
      <c r="K2956">
        <v>84</v>
      </c>
      <c r="L2956">
        <v>76.5</v>
      </c>
      <c r="M2956">
        <v>84</v>
      </c>
      <c r="N2956">
        <v>5300979</v>
      </c>
    </row>
    <row r="2957" spans="1:14" x14ac:dyDescent="0.35">
      <c r="A2957" t="s">
        <v>102</v>
      </c>
      <c r="B2957">
        <v>202510</v>
      </c>
      <c r="C2957" t="str">
        <f>MID(analisis_productividad__4[[#This Row],[Periodo]],1,4)</f>
        <v>2025</v>
      </c>
      <c r="D2957" t="str">
        <f>MID(analisis_productividad__4[[#This Row],[Periodo]],5,2)</f>
        <v>10</v>
      </c>
      <c r="E2957" t="s">
        <v>11</v>
      </c>
      <c r="F2957" t="s">
        <v>12</v>
      </c>
      <c r="G2957">
        <v>55337</v>
      </c>
      <c r="H2957">
        <v>1548136</v>
      </c>
      <c r="I2957">
        <v>27.9764314516129</v>
      </c>
      <c r="J2957">
        <v>62802.03825678015</v>
      </c>
      <c r="K2957">
        <v>34</v>
      </c>
      <c r="L2957">
        <v>34</v>
      </c>
      <c r="M2957">
        <v>24.651048484606509</v>
      </c>
      <c r="N2957">
        <v>1843702</v>
      </c>
    </row>
    <row r="2958" spans="1:14" x14ac:dyDescent="0.35">
      <c r="A2958" t="s">
        <v>111</v>
      </c>
      <c r="B2958">
        <v>202409</v>
      </c>
      <c r="C2958" t="str">
        <f>MID(analisis_productividad__4[[#This Row],[Periodo]],1,4)</f>
        <v>2024</v>
      </c>
      <c r="D2958" t="str">
        <f>MID(analisis_productividad__4[[#This Row],[Periodo]],5,2)</f>
        <v>09</v>
      </c>
      <c r="E2958" t="s">
        <v>34</v>
      </c>
      <c r="F2958" t="s">
        <v>35</v>
      </c>
      <c r="G2958">
        <v>55292</v>
      </c>
      <c r="H2958">
        <v>2159285</v>
      </c>
      <c r="I2958">
        <v>39.052270833333331</v>
      </c>
      <c r="J2958">
        <v>0</v>
      </c>
      <c r="K2958">
        <v>45.5</v>
      </c>
      <c r="L2958">
        <v>42.5</v>
      </c>
      <c r="N2958">
        <v>0</v>
      </c>
    </row>
    <row r="2959" spans="1:14" x14ac:dyDescent="0.35">
      <c r="A2959" t="s">
        <v>118</v>
      </c>
      <c r="B2959">
        <v>202606</v>
      </c>
      <c r="C2959" t="str">
        <f>MID(analisis_productividad__4[[#This Row],[Periodo]],1,4)</f>
        <v>2026</v>
      </c>
      <c r="D2959" t="str">
        <f>MID(analisis_productividad__4[[#This Row],[Periodo]],5,2)</f>
        <v>06</v>
      </c>
      <c r="E2959" t="s">
        <v>34</v>
      </c>
      <c r="F2959" t="s">
        <v>35</v>
      </c>
      <c r="G2959">
        <v>55283</v>
      </c>
      <c r="H2959">
        <v>1010006</v>
      </c>
      <c r="I2959">
        <v>18.269611111111111</v>
      </c>
      <c r="J2959">
        <v>56402.980724945439</v>
      </c>
      <c r="K2959">
        <v>19</v>
      </c>
      <c r="L2959">
        <v>21.5</v>
      </c>
      <c r="M2959">
        <v>17.464859694273773</v>
      </c>
      <c r="N2959">
        <v>985070</v>
      </c>
    </row>
    <row r="2960" spans="1:14" x14ac:dyDescent="0.35">
      <c r="A2960" t="s">
        <v>126</v>
      </c>
      <c r="B2960">
        <v>202408</v>
      </c>
      <c r="C2960" t="str">
        <f>MID(analisis_productividad__4[[#This Row],[Periodo]],1,4)</f>
        <v>2024</v>
      </c>
      <c r="D2960" t="str">
        <f>MID(analisis_productividad__4[[#This Row],[Periodo]],5,2)</f>
        <v>08</v>
      </c>
      <c r="E2960" t="s">
        <v>104</v>
      </c>
      <c r="F2960" t="s">
        <v>104</v>
      </c>
      <c r="G2960">
        <v>55271</v>
      </c>
      <c r="H2960">
        <v>3115724</v>
      </c>
      <c r="I2960">
        <v>56.371969086021494</v>
      </c>
      <c r="J2960">
        <v>0</v>
      </c>
      <c r="K2960">
        <v>64.5</v>
      </c>
      <c r="L2960">
        <v>61</v>
      </c>
      <c r="N2960">
        <v>0</v>
      </c>
    </row>
    <row r="2961" spans="1:14" x14ac:dyDescent="0.35">
      <c r="A2961" t="s">
        <v>119</v>
      </c>
      <c r="B2961">
        <v>202606</v>
      </c>
      <c r="C2961" t="str">
        <f>MID(analisis_productividad__4[[#This Row],[Periodo]],1,4)</f>
        <v>2026</v>
      </c>
      <c r="D2961" t="str">
        <f>MID(analisis_productividad__4[[#This Row],[Periodo]],5,2)</f>
        <v>06</v>
      </c>
      <c r="E2961" t="s">
        <v>16</v>
      </c>
      <c r="F2961" t="s">
        <v>21</v>
      </c>
      <c r="G2961">
        <v>55258</v>
      </c>
      <c r="H2961">
        <v>2298744</v>
      </c>
      <c r="I2961">
        <v>41.599930555555247</v>
      </c>
      <c r="J2961">
        <v>67502.263150044862</v>
      </c>
      <c r="K2961">
        <v>52.5</v>
      </c>
      <c r="L2961">
        <v>52.5</v>
      </c>
      <c r="M2961">
        <v>46.965208254619732</v>
      </c>
      <c r="N2961">
        <v>3170258</v>
      </c>
    </row>
    <row r="2962" spans="1:14" x14ac:dyDescent="0.35">
      <c r="A2962" t="s">
        <v>96</v>
      </c>
      <c r="B2962">
        <v>202602</v>
      </c>
      <c r="C2962" t="str">
        <f>MID(analisis_productividad__4[[#This Row],[Periodo]],1,4)</f>
        <v>2026</v>
      </c>
      <c r="D2962" t="str">
        <f>MID(analisis_productividad__4[[#This Row],[Periodo]],5,2)</f>
        <v>02</v>
      </c>
      <c r="E2962" t="s">
        <v>16</v>
      </c>
      <c r="F2962" t="s">
        <v>17</v>
      </c>
      <c r="G2962">
        <v>55258</v>
      </c>
      <c r="H2962">
        <v>4870628</v>
      </c>
      <c r="I2962">
        <v>88.143854166666642</v>
      </c>
      <c r="J2962">
        <v>59438.87782500001</v>
      </c>
      <c r="K2962">
        <v>84</v>
      </c>
      <c r="L2962">
        <v>76.5</v>
      </c>
      <c r="M2962">
        <v>84</v>
      </c>
      <c r="N2962">
        <v>4992866</v>
      </c>
    </row>
    <row r="2963" spans="1:14" x14ac:dyDescent="0.35">
      <c r="A2963" t="s">
        <v>101</v>
      </c>
      <c r="B2963">
        <v>202505</v>
      </c>
      <c r="C2963" t="str">
        <f>MID(analisis_productividad__4[[#This Row],[Periodo]],1,4)</f>
        <v>2025</v>
      </c>
      <c r="D2963" t="str">
        <f>MID(analisis_productividad__4[[#This Row],[Periodo]],5,2)</f>
        <v>05</v>
      </c>
      <c r="E2963" t="s">
        <v>9</v>
      </c>
      <c r="F2963" t="s">
        <v>9</v>
      </c>
      <c r="G2963">
        <v>55241</v>
      </c>
      <c r="H2963">
        <v>342288</v>
      </c>
      <c r="I2963">
        <v>6.1962231182795708</v>
      </c>
      <c r="J2963">
        <v>45616.301672195514</v>
      </c>
      <c r="K2963">
        <v>8.5</v>
      </c>
      <c r="L2963">
        <v>6.5</v>
      </c>
      <c r="M2963">
        <v>7.5036232103979259</v>
      </c>
      <c r="N2963">
        <v>352859</v>
      </c>
    </row>
    <row r="2964" spans="1:14" x14ac:dyDescent="0.35">
      <c r="A2964" t="s">
        <v>112</v>
      </c>
      <c r="B2964">
        <v>202602</v>
      </c>
      <c r="C2964" t="str">
        <f>MID(analisis_productividad__4[[#This Row],[Periodo]],1,4)</f>
        <v>2026</v>
      </c>
      <c r="D2964" t="str">
        <f>MID(analisis_productividad__4[[#This Row],[Periodo]],5,2)</f>
        <v>02</v>
      </c>
      <c r="E2964" t="s">
        <v>34</v>
      </c>
      <c r="F2964" t="s">
        <v>35</v>
      </c>
      <c r="G2964">
        <v>55233</v>
      </c>
      <c r="H2964">
        <v>1400399</v>
      </c>
      <c r="I2964">
        <v>25.354583333333334</v>
      </c>
      <c r="J2964">
        <v>56925.586794897972</v>
      </c>
      <c r="K2964">
        <v>31</v>
      </c>
      <c r="L2964">
        <v>27</v>
      </c>
      <c r="M2964">
        <v>27.070532526124346</v>
      </c>
      <c r="N2964">
        <v>1541006</v>
      </c>
    </row>
    <row r="2965" spans="1:14" x14ac:dyDescent="0.35">
      <c r="A2965" t="s">
        <v>108</v>
      </c>
      <c r="B2965">
        <v>202406</v>
      </c>
      <c r="C2965" t="str">
        <f>MID(analisis_productividad__4[[#This Row],[Periodo]],1,4)</f>
        <v>2024</v>
      </c>
      <c r="D2965" t="str">
        <f>MID(analisis_productividad__4[[#This Row],[Periodo]],5,2)</f>
        <v>06</v>
      </c>
      <c r="E2965" t="s">
        <v>11</v>
      </c>
      <c r="F2965" t="s">
        <v>14</v>
      </c>
      <c r="G2965">
        <v>55151</v>
      </c>
      <c r="H2965">
        <v>2544770</v>
      </c>
      <c r="I2965">
        <v>46.141472222222212</v>
      </c>
      <c r="J2965">
        <v>0</v>
      </c>
      <c r="K2965">
        <v>47.5</v>
      </c>
      <c r="L2965">
        <v>43</v>
      </c>
      <c r="N2965">
        <v>0</v>
      </c>
    </row>
    <row r="2966" spans="1:14" x14ac:dyDescent="0.35">
      <c r="A2966" t="s">
        <v>108</v>
      </c>
      <c r="B2966">
        <v>202410</v>
      </c>
      <c r="C2966" t="str">
        <f>MID(analisis_productividad__4[[#This Row],[Periodo]],1,4)</f>
        <v>2024</v>
      </c>
      <c r="D2966" t="str">
        <f>MID(analisis_productividad__4[[#This Row],[Periodo]],5,2)</f>
        <v>10</v>
      </c>
      <c r="E2966" t="s">
        <v>11</v>
      </c>
      <c r="F2966" t="s">
        <v>14</v>
      </c>
      <c r="G2966">
        <v>55149</v>
      </c>
      <c r="H2966">
        <v>2375489</v>
      </c>
      <c r="I2966">
        <v>43.073662634408599</v>
      </c>
      <c r="J2966">
        <v>0</v>
      </c>
      <c r="K2966">
        <v>47.5</v>
      </c>
      <c r="L2966">
        <v>43</v>
      </c>
      <c r="N2966">
        <v>0</v>
      </c>
    </row>
    <row r="2967" spans="1:14" x14ac:dyDescent="0.35">
      <c r="A2967" t="s">
        <v>128</v>
      </c>
      <c r="B2967">
        <v>202604</v>
      </c>
      <c r="C2967" t="str">
        <f>MID(analisis_productividad__4[[#This Row],[Periodo]],1,4)</f>
        <v>2026</v>
      </c>
      <c r="D2967" t="str">
        <f>MID(analisis_productividad__4[[#This Row],[Periodo]],5,2)</f>
        <v>04</v>
      </c>
      <c r="E2967" t="s">
        <v>104</v>
      </c>
      <c r="F2967" t="s">
        <v>104</v>
      </c>
      <c r="G2967">
        <v>55130</v>
      </c>
      <c r="H2967">
        <v>2733988</v>
      </c>
      <c r="I2967">
        <v>49.591888888888555</v>
      </c>
      <c r="J2967">
        <v>53372.187087369792</v>
      </c>
      <c r="K2967">
        <v>57.5</v>
      </c>
      <c r="L2967">
        <v>57</v>
      </c>
      <c r="M2967">
        <v>50.0561866937662</v>
      </c>
      <c r="N2967">
        <v>2671608</v>
      </c>
    </row>
    <row r="2968" spans="1:14" x14ac:dyDescent="0.35">
      <c r="A2968" t="s">
        <v>118</v>
      </c>
      <c r="B2968">
        <v>202509</v>
      </c>
      <c r="C2968" t="str">
        <f>MID(analisis_productividad__4[[#This Row],[Periodo]],1,4)</f>
        <v>2025</v>
      </c>
      <c r="D2968" t="str">
        <f>MID(analisis_productividad__4[[#This Row],[Periodo]],5,2)</f>
        <v>09</v>
      </c>
      <c r="E2968" t="s">
        <v>34</v>
      </c>
      <c r="F2968" t="s">
        <v>35</v>
      </c>
      <c r="G2968">
        <v>55080</v>
      </c>
      <c r="H2968">
        <v>945510</v>
      </c>
      <c r="I2968">
        <v>17.166236111111107</v>
      </c>
      <c r="J2968">
        <v>61616.363699577174</v>
      </c>
      <c r="K2968">
        <v>19</v>
      </c>
      <c r="L2968">
        <v>21.5</v>
      </c>
      <c r="M2968">
        <v>15.345104177358136</v>
      </c>
      <c r="N2968">
        <v>1176892</v>
      </c>
    </row>
    <row r="2969" spans="1:14" x14ac:dyDescent="0.35">
      <c r="A2969" t="s">
        <v>126</v>
      </c>
      <c r="B2969">
        <v>202505</v>
      </c>
      <c r="C2969" t="str">
        <f>MID(analisis_productividad__4[[#This Row],[Periodo]],1,4)</f>
        <v>2025</v>
      </c>
      <c r="D2969" t="str">
        <f>MID(analisis_productividad__4[[#This Row],[Periodo]],5,2)</f>
        <v>05</v>
      </c>
      <c r="E2969" t="s">
        <v>104</v>
      </c>
      <c r="F2969" t="s">
        <v>104</v>
      </c>
      <c r="G2969">
        <v>55072</v>
      </c>
      <c r="H2969">
        <v>3181146</v>
      </c>
      <c r="I2969">
        <v>57.762889784946239</v>
      </c>
      <c r="J2969">
        <v>53285.707219435528</v>
      </c>
      <c r="K2969">
        <v>64.5</v>
      </c>
      <c r="L2969">
        <v>61</v>
      </c>
      <c r="M2969">
        <v>59.699798989243831</v>
      </c>
      <c r="N2969">
        <v>3165167</v>
      </c>
    </row>
    <row r="2970" spans="1:14" x14ac:dyDescent="0.35">
      <c r="A2970" t="s">
        <v>128</v>
      </c>
      <c r="B2970">
        <v>202412</v>
      </c>
      <c r="C2970" t="str">
        <f>MID(analisis_productividad__4[[#This Row],[Periodo]],1,4)</f>
        <v>2024</v>
      </c>
      <c r="D2970" t="str">
        <f>MID(analisis_productividad__4[[#This Row],[Periodo]],5,2)</f>
        <v>12</v>
      </c>
      <c r="E2970" t="s">
        <v>104</v>
      </c>
      <c r="F2970" t="s">
        <v>104</v>
      </c>
      <c r="G2970">
        <v>55028</v>
      </c>
      <c r="H2970">
        <v>3151150</v>
      </c>
      <c r="I2970">
        <v>57.264845430107535</v>
      </c>
      <c r="J2970">
        <v>0</v>
      </c>
      <c r="K2970">
        <v>57.5</v>
      </c>
      <c r="L2970">
        <v>57</v>
      </c>
      <c r="N2970">
        <v>0</v>
      </c>
    </row>
    <row r="2971" spans="1:14" x14ac:dyDescent="0.35">
      <c r="A2971" t="s">
        <v>126</v>
      </c>
      <c r="B2971">
        <v>202410</v>
      </c>
      <c r="C2971" t="str">
        <f>MID(analisis_productividad__4[[#This Row],[Periodo]],1,4)</f>
        <v>2024</v>
      </c>
      <c r="D2971" t="str">
        <f>MID(analisis_productividad__4[[#This Row],[Periodo]],5,2)</f>
        <v>10</v>
      </c>
      <c r="E2971" t="s">
        <v>104</v>
      </c>
      <c r="F2971" t="s">
        <v>104</v>
      </c>
      <c r="G2971">
        <v>55027</v>
      </c>
      <c r="H2971">
        <v>3140591</v>
      </c>
      <c r="I2971">
        <v>57.073944892473115</v>
      </c>
      <c r="J2971">
        <v>0</v>
      </c>
      <c r="K2971">
        <v>64.5</v>
      </c>
      <c r="L2971">
        <v>61</v>
      </c>
      <c r="N2971">
        <v>0</v>
      </c>
    </row>
    <row r="2972" spans="1:14" x14ac:dyDescent="0.35">
      <c r="A2972" t="s">
        <v>111</v>
      </c>
      <c r="B2972">
        <v>202402</v>
      </c>
      <c r="C2972" t="str">
        <f>MID(analisis_productividad__4[[#This Row],[Periodo]],1,4)</f>
        <v>2024</v>
      </c>
      <c r="D2972" t="str">
        <f>MID(analisis_productividad__4[[#This Row],[Periodo]],5,2)</f>
        <v>02</v>
      </c>
      <c r="E2972" t="s">
        <v>34</v>
      </c>
      <c r="F2972" t="s">
        <v>35</v>
      </c>
      <c r="G2972">
        <v>55017</v>
      </c>
      <c r="H2972">
        <v>2302839</v>
      </c>
      <c r="I2972">
        <v>41.856479885057482</v>
      </c>
      <c r="J2972">
        <v>0</v>
      </c>
      <c r="K2972">
        <v>45.5</v>
      </c>
      <c r="L2972">
        <v>42.5</v>
      </c>
      <c r="N2972">
        <v>0</v>
      </c>
    </row>
    <row r="2973" spans="1:14" x14ac:dyDescent="0.35">
      <c r="A2973" t="s">
        <v>125</v>
      </c>
      <c r="B2973">
        <v>202603</v>
      </c>
      <c r="C2973" t="str">
        <f>MID(analisis_productividad__4[[#This Row],[Periodo]],1,4)</f>
        <v>2026</v>
      </c>
      <c r="D2973" t="str">
        <f>MID(analisis_productividad__4[[#This Row],[Periodo]],5,2)</f>
        <v>03</v>
      </c>
      <c r="E2973" t="s">
        <v>104</v>
      </c>
      <c r="F2973" t="s">
        <v>104</v>
      </c>
      <c r="G2973">
        <v>55004</v>
      </c>
      <c r="H2973">
        <v>2824445</v>
      </c>
      <c r="I2973">
        <v>51.349422043010733</v>
      </c>
      <c r="J2973">
        <v>54536.795588454879</v>
      </c>
      <c r="K2973">
        <v>59</v>
      </c>
      <c r="L2973">
        <v>50</v>
      </c>
      <c r="M2973">
        <v>50.48039166574727</v>
      </c>
      <c r="N2973">
        <v>2753039</v>
      </c>
    </row>
    <row r="2974" spans="1:14" x14ac:dyDescent="0.35">
      <c r="A2974" t="s">
        <v>126</v>
      </c>
      <c r="B2974">
        <v>202504</v>
      </c>
      <c r="C2974" t="str">
        <f>MID(analisis_productividad__4[[#This Row],[Periodo]],1,4)</f>
        <v>2025</v>
      </c>
      <c r="D2974" t="str">
        <f>MID(analisis_productividad__4[[#This Row],[Periodo]],5,2)</f>
        <v>04</v>
      </c>
      <c r="E2974" t="s">
        <v>104</v>
      </c>
      <c r="F2974" t="s">
        <v>104</v>
      </c>
      <c r="G2974">
        <v>54943</v>
      </c>
      <c r="H2974">
        <v>3165034</v>
      </c>
      <c r="I2974">
        <v>57.606256944444439</v>
      </c>
      <c r="J2974">
        <v>50339.24238998512</v>
      </c>
      <c r="K2974">
        <v>64.5</v>
      </c>
      <c r="L2974">
        <v>61</v>
      </c>
      <c r="M2974">
        <v>62.874095233298064</v>
      </c>
      <c r="N2974">
        <v>3203237</v>
      </c>
    </row>
    <row r="2975" spans="1:14" x14ac:dyDescent="0.35">
      <c r="A2975" t="s">
        <v>126</v>
      </c>
      <c r="B2975">
        <v>202509</v>
      </c>
      <c r="C2975" t="str">
        <f>MID(analisis_productividad__4[[#This Row],[Periodo]],1,4)</f>
        <v>2025</v>
      </c>
      <c r="D2975" t="str">
        <f>MID(analisis_productividad__4[[#This Row],[Periodo]],5,2)</f>
        <v>09</v>
      </c>
      <c r="E2975" t="s">
        <v>104</v>
      </c>
      <c r="F2975" t="s">
        <v>104</v>
      </c>
      <c r="G2975">
        <v>54941</v>
      </c>
      <c r="H2975">
        <v>3015727</v>
      </c>
      <c r="I2975">
        <v>54.890451388888884</v>
      </c>
      <c r="J2975">
        <v>53403.904909693978</v>
      </c>
      <c r="K2975">
        <v>64.5</v>
      </c>
      <c r="L2975">
        <v>61</v>
      </c>
      <c r="M2975">
        <v>56.470155789161758</v>
      </c>
      <c r="N2975">
        <v>3161416</v>
      </c>
    </row>
    <row r="2976" spans="1:14" x14ac:dyDescent="0.35">
      <c r="A2976" t="s">
        <v>105</v>
      </c>
      <c r="B2976">
        <v>202404</v>
      </c>
      <c r="C2976" t="str">
        <f>MID(analisis_productividad__4[[#This Row],[Periodo]],1,4)</f>
        <v>2024</v>
      </c>
      <c r="D2976" t="str">
        <f>MID(analisis_productividad__4[[#This Row],[Periodo]],5,2)</f>
        <v>04</v>
      </c>
      <c r="E2976" t="s">
        <v>34</v>
      </c>
      <c r="F2976" t="s">
        <v>35</v>
      </c>
      <c r="G2976">
        <v>54861</v>
      </c>
      <c r="H2976">
        <v>2440753</v>
      </c>
      <c r="I2976">
        <v>44.489569444444442</v>
      </c>
      <c r="J2976">
        <v>0</v>
      </c>
      <c r="K2976">
        <v>33</v>
      </c>
      <c r="L2976">
        <v>31.5</v>
      </c>
      <c r="N2976">
        <v>0</v>
      </c>
    </row>
    <row r="2977" spans="1:14" x14ac:dyDescent="0.35">
      <c r="A2977" t="s">
        <v>128</v>
      </c>
      <c r="B2977">
        <v>202603</v>
      </c>
      <c r="C2977" t="str">
        <f>MID(analisis_productividad__4[[#This Row],[Periodo]],1,4)</f>
        <v>2026</v>
      </c>
      <c r="D2977" t="str">
        <f>MID(analisis_productividad__4[[#This Row],[Periodo]],5,2)</f>
        <v>03</v>
      </c>
      <c r="E2977" t="s">
        <v>104</v>
      </c>
      <c r="F2977" t="s">
        <v>104</v>
      </c>
      <c r="G2977">
        <v>54817</v>
      </c>
      <c r="H2977">
        <v>2853791</v>
      </c>
      <c r="I2977">
        <v>52.059912634408605</v>
      </c>
      <c r="J2977">
        <v>56039.920217281389</v>
      </c>
      <c r="K2977">
        <v>57.5</v>
      </c>
      <c r="L2977">
        <v>57</v>
      </c>
      <c r="M2977">
        <v>50.0561866937662</v>
      </c>
      <c r="N2977">
        <v>2805145</v>
      </c>
    </row>
    <row r="2978" spans="1:14" x14ac:dyDescent="0.35">
      <c r="A2978" t="s">
        <v>121</v>
      </c>
      <c r="B2978">
        <v>202509</v>
      </c>
      <c r="C2978" t="str">
        <f>MID(analisis_productividad__4[[#This Row],[Periodo]],1,4)</f>
        <v>2025</v>
      </c>
      <c r="D2978" t="str">
        <f>MID(analisis_productividad__4[[#This Row],[Periodo]],5,2)</f>
        <v>09</v>
      </c>
      <c r="E2978" t="s">
        <v>11</v>
      </c>
      <c r="F2978" t="s">
        <v>14</v>
      </c>
      <c r="G2978">
        <v>54760</v>
      </c>
      <c r="H2978">
        <v>1695303</v>
      </c>
      <c r="I2978">
        <v>30.959055555555565</v>
      </c>
      <c r="J2978">
        <v>53979.9669529038</v>
      </c>
      <c r="K2978">
        <v>36</v>
      </c>
      <c r="L2978">
        <v>35</v>
      </c>
      <c r="M2978">
        <v>31.406143161945799</v>
      </c>
      <c r="N2978">
        <v>2029304</v>
      </c>
    </row>
    <row r="2979" spans="1:14" x14ac:dyDescent="0.35">
      <c r="A2979" t="s">
        <v>115</v>
      </c>
      <c r="B2979">
        <v>202409</v>
      </c>
      <c r="C2979" t="str">
        <f>MID(analisis_productividad__4[[#This Row],[Periodo]],1,4)</f>
        <v>2024</v>
      </c>
      <c r="D2979" t="str">
        <f>MID(analisis_productividad__4[[#This Row],[Periodo]],5,2)</f>
        <v>09</v>
      </c>
      <c r="E2979" t="s">
        <v>34</v>
      </c>
      <c r="F2979" t="s">
        <v>35</v>
      </c>
      <c r="G2979">
        <v>54757</v>
      </c>
      <c r="H2979">
        <v>2890424</v>
      </c>
      <c r="I2979">
        <v>52.785930555555538</v>
      </c>
      <c r="J2979">
        <v>0</v>
      </c>
      <c r="K2979">
        <v>53.5</v>
      </c>
      <c r="L2979">
        <v>51</v>
      </c>
      <c r="N2979">
        <v>0</v>
      </c>
    </row>
    <row r="2980" spans="1:14" x14ac:dyDescent="0.35">
      <c r="A2980" t="s">
        <v>121</v>
      </c>
      <c r="B2980">
        <v>202602</v>
      </c>
      <c r="C2980" t="str">
        <f>MID(analisis_productividad__4[[#This Row],[Periodo]],1,4)</f>
        <v>2026</v>
      </c>
      <c r="D2980" t="str">
        <f>MID(analisis_productividad__4[[#This Row],[Periodo]],5,2)</f>
        <v>02</v>
      </c>
      <c r="E2980" t="s">
        <v>11</v>
      </c>
      <c r="F2980" t="s">
        <v>14</v>
      </c>
      <c r="G2980">
        <v>54754</v>
      </c>
      <c r="H2980">
        <v>1815700</v>
      </c>
      <c r="I2980">
        <v>33.161145833333336</v>
      </c>
      <c r="J2980">
        <v>59108.477291901916</v>
      </c>
      <c r="K2980">
        <v>36</v>
      </c>
      <c r="L2980">
        <v>35</v>
      </c>
      <c r="M2980">
        <v>31.443465596679005</v>
      </c>
      <c r="N2980">
        <v>1858575</v>
      </c>
    </row>
    <row r="2981" spans="1:14" x14ac:dyDescent="0.35">
      <c r="A2981" t="s">
        <v>116</v>
      </c>
      <c r="B2981">
        <v>202406</v>
      </c>
      <c r="C2981" t="str">
        <f>MID(analisis_productividad__4[[#This Row],[Periodo]],1,4)</f>
        <v>2024</v>
      </c>
      <c r="D2981" t="str">
        <f>MID(analisis_productividad__4[[#This Row],[Periodo]],5,2)</f>
        <v>06</v>
      </c>
      <c r="E2981" t="s">
        <v>9</v>
      </c>
      <c r="F2981" t="s">
        <v>9</v>
      </c>
      <c r="G2981">
        <v>54751</v>
      </c>
      <c r="H2981">
        <v>640162</v>
      </c>
      <c r="I2981">
        <v>11.692236111111113</v>
      </c>
      <c r="J2981">
        <v>0</v>
      </c>
      <c r="K2981">
        <v>11.5</v>
      </c>
      <c r="L2981">
        <v>10</v>
      </c>
      <c r="N2981">
        <v>0</v>
      </c>
    </row>
    <row r="2982" spans="1:14" x14ac:dyDescent="0.35">
      <c r="A2982" t="s">
        <v>116</v>
      </c>
      <c r="B2982">
        <v>202405</v>
      </c>
      <c r="C2982" t="str">
        <f>MID(analisis_productividad__4[[#This Row],[Periodo]],1,4)</f>
        <v>2024</v>
      </c>
      <c r="D2982" t="str">
        <f>MID(analisis_productividad__4[[#This Row],[Periodo]],5,2)</f>
        <v>05</v>
      </c>
      <c r="E2982" t="s">
        <v>9</v>
      </c>
      <c r="F2982" t="s">
        <v>9</v>
      </c>
      <c r="G2982">
        <v>54750</v>
      </c>
      <c r="H2982">
        <v>635133</v>
      </c>
      <c r="I2982">
        <v>11.600571236559141</v>
      </c>
      <c r="J2982">
        <v>0</v>
      </c>
      <c r="K2982">
        <v>11.5</v>
      </c>
      <c r="L2982">
        <v>10</v>
      </c>
      <c r="N2982">
        <v>0</v>
      </c>
    </row>
    <row r="2983" spans="1:14" x14ac:dyDescent="0.35">
      <c r="A2983" t="s">
        <v>111</v>
      </c>
      <c r="B2983">
        <v>202406</v>
      </c>
      <c r="C2983" t="str">
        <f>MID(analisis_productividad__4[[#This Row],[Periodo]],1,4)</f>
        <v>2024</v>
      </c>
      <c r="D2983" t="str">
        <f>MID(analisis_productividad__4[[#This Row],[Periodo]],5,2)</f>
        <v>06</v>
      </c>
      <c r="E2983" t="s">
        <v>34</v>
      </c>
      <c r="F2983" t="s">
        <v>35</v>
      </c>
      <c r="G2983">
        <v>54747</v>
      </c>
      <c r="H2983">
        <v>2220043</v>
      </c>
      <c r="I2983">
        <v>40.551048611111128</v>
      </c>
      <c r="J2983">
        <v>0</v>
      </c>
      <c r="K2983">
        <v>45.5</v>
      </c>
      <c r="L2983">
        <v>42.5</v>
      </c>
      <c r="N2983">
        <v>0</v>
      </c>
    </row>
    <row r="2984" spans="1:14" x14ac:dyDescent="0.35">
      <c r="A2984" t="s">
        <v>118</v>
      </c>
      <c r="B2984">
        <v>202505</v>
      </c>
      <c r="C2984" t="str">
        <f>MID(analisis_productividad__4[[#This Row],[Periodo]],1,4)</f>
        <v>2025</v>
      </c>
      <c r="D2984" t="str">
        <f>MID(analisis_productividad__4[[#This Row],[Periodo]],5,2)</f>
        <v>05</v>
      </c>
      <c r="E2984" t="s">
        <v>34</v>
      </c>
      <c r="F2984" t="s">
        <v>35</v>
      </c>
      <c r="G2984">
        <v>54738</v>
      </c>
      <c r="H2984">
        <v>1067583</v>
      </c>
      <c r="I2984">
        <v>19.503326612903223</v>
      </c>
      <c r="J2984">
        <v>62085.559159461867</v>
      </c>
      <c r="K2984">
        <v>19</v>
      </c>
      <c r="L2984">
        <v>21.5</v>
      </c>
      <c r="M2984">
        <v>17.195345656113009</v>
      </c>
      <c r="N2984">
        <v>1171700</v>
      </c>
    </row>
    <row r="2985" spans="1:14" x14ac:dyDescent="0.35">
      <c r="A2985" t="s">
        <v>111</v>
      </c>
      <c r="B2985">
        <v>202506</v>
      </c>
      <c r="C2985" t="str">
        <f>MID(analisis_productividad__4[[#This Row],[Periodo]],1,4)</f>
        <v>2025</v>
      </c>
      <c r="D2985" t="str">
        <f>MID(analisis_productividad__4[[#This Row],[Periodo]],5,2)</f>
        <v>06</v>
      </c>
      <c r="E2985" t="s">
        <v>34</v>
      </c>
      <c r="F2985" t="s">
        <v>35</v>
      </c>
      <c r="G2985">
        <v>54738</v>
      </c>
      <c r="H2985">
        <v>2169032</v>
      </c>
      <c r="I2985">
        <v>39.625736111111124</v>
      </c>
      <c r="J2985">
        <v>57484.22109511825</v>
      </c>
      <c r="K2985">
        <v>45.5</v>
      </c>
      <c r="L2985">
        <v>42.5</v>
      </c>
      <c r="M2985">
        <v>37.732646605943167</v>
      </c>
      <c r="N2985">
        <v>2307512</v>
      </c>
    </row>
    <row r="2986" spans="1:14" x14ac:dyDescent="0.35">
      <c r="A2986" t="s">
        <v>116</v>
      </c>
      <c r="B2986">
        <v>202510</v>
      </c>
      <c r="C2986" t="str">
        <f>MID(analisis_productividad__4[[#This Row],[Periodo]],1,4)</f>
        <v>2025</v>
      </c>
      <c r="D2986" t="str">
        <f>MID(analisis_productividad__4[[#This Row],[Periodo]],5,2)</f>
        <v>10</v>
      </c>
      <c r="E2986" t="s">
        <v>9</v>
      </c>
      <c r="F2986" t="s">
        <v>9</v>
      </c>
      <c r="G2986">
        <v>54715</v>
      </c>
      <c r="H2986">
        <v>568557</v>
      </c>
      <c r="I2986">
        <v>10.39133064516129</v>
      </c>
      <c r="J2986">
        <v>56102.540840978269</v>
      </c>
      <c r="K2986">
        <v>11.5</v>
      </c>
      <c r="L2986">
        <v>10</v>
      </c>
      <c r="M2986">
        <v>10.134250275964613</v>
      </c>
      <c r="N2986">
        <v>695088</v>
      </c>
    </row>
    <row r="2987" spans="1:14" x14ac:dyDescent="0.35">
      <c r="A2987" t="s">
        <v>101</v>
      </c>
      <c r="B2987">
        <v>202603</v>
      </c>
      <c r="C2987" t="str">
        <f>MID(analisis_productividad__4[[#This Row],[Periodo]],1,4)</f>
        <v>2026</v>
      </c>
      <c r="D2987" t="str">
        <f>MID(analisis_productividad__4[[#This Row],[Periodo]],5,2)</f>
        <v>03</v>
      </c>
      <c r="E2987" t="s">
        <v>9</v>
      </c>
      <c r="F2987" t="s">
        <v>9</v>
      </c>
      <c r="G2987">
        <v>54713</v>
      </c>
      <c r="H2987">
        <v>375877</v>
      </c>
      <c r="I2987">
        <v>6.8700201612903236</v>
      </c>
      <c r="J2987">
        <v>50698.007931001353</v>
      </c>
      <c r="K2987">
        <v>8.5</v>
      </c>
      <c r="L2987">
        <v>6.5</v>
      </c>
      <c r="M2987">
        <v>7.4225653700663532</v>
      </c>
      <c r="N2987">
        <v>376309</v>
      </c>
    </row>
    <row r="2988" spans="1:14" x14ac:dyDescent="0.35">
      <c r="A2988" t="s">
        <v>125</v>
      </c>
      <c r="B2988">
        <v>202403</v>
      </c>
      <c r="C2988" t="str">
        <f>MID(analisis_productividad__4[[#This Row],[Periodo]],1,4)</f>
        <v>2024</v>
      </c>
      <c r="D2988" t="str">
        <f>MID(analisis_productividad__4[[#This Row],[Periodo]],5,2)</f>
        <v>03</v>
      </c>
      <c r="E2988" t="s">
        <v>104</v>
      </c>
      <c r="F2988" t="s">
        <v>104</v>
      </c>
      <c r="G2988">
        <v>54675</v>
      </c>
      <c r="H2988">
        <v>2570339</v>
      </c>
      <c r="I2988">
        <v>47.011491935483868</v>
      </c>
      <c r="J2988">
        <v>0</v>
      </c>
      <c r="K2988">
        <v>59</v>
      </c>
      <c r="L2988">
        <v>50</v>
      </c>
      <c r="N2988">
        <v>0</v>
      </c>
    </row>
    <row r="2989" spans="1:14" x14ac:dyDescent="0.35">
      <c r="A2989" t="s">
        <v>109</v>
      </c>
      <c r="B2989">
        <v>202509</v>
      </c>
      <c r="C2989" t="str">
        <f>MID(analisis_productividad__4[[#This Row],[Periodo]],1,4)</f>
        <v>2025</v>
      </c>
      <c r="D2989" t="str">
        <f>MID(analisis_productividad__4[[#This Row],[Periodo]],5,2)</f>
        <v>09</v>
      </c>
      <c r="E2989" t="s">
        <v>9</v>
      </c>
      <c r="F2989" t="s">
        <v>9</v>
      </c>
      <c r="G2989">
        <v>54656</v>
      </c>
      <c r="H2989">
        <v>453369</v>
      </c>
      <c r="I2989">
        <v>8.2949513888888884</v>
      </c>
      <c r="J2989">
        <v>71412.670009578025</v>
      </c>
      <c r="K2989">
        <v>10</v>
      </c>
      <c r="L2989">
        <v>9</v>
      </c>
      <c r="M2989">
        <v>6.3485742787546418</v>
      </c>
      <c r="N2989">
        <v>574601</v>
      </c>
    </row>
    <row r="2990" spans="1:14" x14ac:dyDescent="0.35">
      <c r="A2990" t="s">
        <v>101</v>
      </c>
      <c r="B2990">
        <v>202601</v>
      </c>
      <c r="C2990" t="str">
        <f>MID(analisis_productividad__4[[#This Row],[Periodo]],1,4)</f>
        <v>2026</v>
      </c>
      <c r="D2990" t="str">
        <f>MID(analisis_productividad__4[[#This Row],[Periodo]],5,2)</f>
        <v>01</v>
      </c>
      <c r="E2990" t="s">
        <v>9</v>
      </c>
      <c r="F2990" t="s">
        <v>9</v>
      </c>
      <c r="G2990">
        <v>54648</v>
      </c>
      <c r="H2990">
        <v>321626</v>
      </c>
      <c r="I2990">
        <v>5.8854099462365586</v>
      </c>
      <c r="J2990">
        <v>46630.070271365752</v>
      </c>
      <c r="K2990">
        <v>8.5</v>
      </c>
      <c r="L2990">
        <v>6.5</v>
      </c>
      <c r="M2990">
        <v>7.4225653700663532</v>
      </c>
      <c r="N2990">
        <v>346115</v>
      </c>
    </row>
    <row r="2991" spans="1:14" x14ac:dyDescent="0.35">
      <c r="A2991" t="s">
        <v>118</v>
      </c>
      <c r="B2991">
        <v>202402</v>
      </c>
      <c r="C2991" t="str">
        <f>MID(analisis_productividad__4[[#This Row],[Periodo]],1,4)</f>
        <v>2024</v>
      </c>
      <c r="D2991" t="str">
        <f>MID(analisis_productividad__4[[#This Row],[Periodo]],5,2)</f>
        <v>02</v>
      </c>
      <c r="E2991" t="s">
        <v>34</v>
      </c>
      <c r="F2991" t="s">
        <v>35</v>
      </c>
      <c r="G2991">
        <v>54634</v>
      </c>
      <c r="H2991">
        <v>1172583</v>
      </c>
      <c r="I2991">
        <v>21.462392241379312</v>
      </c>
      <c r="J2991">
        <v>0</v>
      </c>
      <c r="K2991">
        <v>19</v>
      </c>
      <c r="L2991">
        <v>21.5</v>
      </c>
      <c r="N2991">
        <v>0</v>
      </c>
    </row>
    <row r="2992" spans="1:14" x14ac:dyDescent="0.35">
      <c r="A2992" t="s">
        <v>123</v>
      </c>
      <c r="B2992">
        <v>202401</v>
      </c>
      <c r="C2992" t="str">
        <f>MID(analisis_productividad__4[[#This Row],[Periodo]],1,4)</f>
        <v>2024</v>
      </c>
      <c r="D2992" t="str">
        <f>MID(analisis_productividad__4[[#This Row],[Periodo]],5,2)</f>
        <v>01</v>
      </c>
      <c r="E2992" t="s">
        <v>9</v>
      </c>
      <c r="F2992" t="s">
        <v>9</v>
      </c>
      <c r="G2992">
        <v>54625</v>
      </c>
      <c r="H2992">
        <v>486420</v>
      </c>
      <c r="I2992">
        <v>8.9046774193548401</v>
      </c>
      <c r="J2992">
        <v>0</v>
      </c>
      <c r="K2992">
        <v>11</v>
      </c>
      <c r="L2992">
        <v>10</v>
      </c>
      <c r="N2992">
        <v>0</v>
      </c>
    </row>
    <row r="2993" spans="1:14" x14ac:dyDescent="0.35">
      <c r="A2993" t="s">
        <v>115</v>
      </c>
      <c r="B2993">
        <v>202404</v>
      </c>
      <c r="C2993" t="str">
        <f>MID(analisis_productividad__4[[#This Row],[Periodo]],1,4)</f>
        <v>2024</v>
      </c>
      <c r="D2993" t="str">
        <f>MID(analisis_productividad__4[[#This Row],[Periodo]],5,2)</f>
        <v>04</v>
      </c>
      <c r="E2993" t="s">
        <v>34</v>
      </c>
      <c r="F2993" t="s">
        <v>35</v>
      </c>
      <c r="G2993">
        <v>54620</v>
      </c>
      <c r="H2993">
        <v>2996906</v>
      </c>
      <c r="I2993">
        <v>54.867993055555537</v>
      </c>
      <c r="J2993">
        <v>0</v>
      </c>
      <c r="K2993">
        <v>53.5</v>
      </c>
      <c r="L2993">
        <v>51</v>
      </c>
      <c r="N2993">
        <v>0</v>
      </c>
    </row>
    <row r="2994" spans="1:14" x14ac:dyDescent="0.35">
      <c r="A2994" t="s">
        <v>121</v>
      </c>
      <c r="B2994">
        <v>202410</v>
      </c>
      <c r="C2994" t="str">
        <f>MID(analisis_productividad__4[[#This Row],[Periodo]],1,4)</f>
        <v>2024</v>
      </c>
      <c r="D2994" t="str">
        <f>MID(analisis_productividad__4[[#This Row],[Periodo]],5,2)</f>
        <v>10</v>
      </c>
      <c r="E2994" t="s">
        <v>11</v>
      </c>
      <c r="F2994" t="s">
        <v>14</v>
      </c>
      <c r="G2994">
        <v>54603</v>
      </c>
      <c r="H2994">
        <v>1898947</v>
      </c>
      <c r="I2994">
        <v>34.777204301075272</v>
      </c>
      <c r="J2994">
        <v>0</v>
      </c>
      <c r="K2994">
        <v>36</v>
      </c>
      <c r="L2994">
        <v>35</v>
      </c>
      <c r="N2994">
        <v>0</v>
      </c>
    </row>
    <row r="2995" spans="1:14" x14ac:dyDescent="0.35">
      <c r="A2995" t="s">
        <v>99</v>
      </c>
      <c r="B2995">
        <v>202505</v>
      </c>
      <c r="C2995" t="str">
        <f>MID(analisis_productividad__4[[#This Row],[Periodo]],1,4)</f>
        <v>2025</v>
      </c>
      <c r="D2995" t="str">
        <f>MID(analisis_productividad__4[[#This Row],[Periodo]],5,2)</f>
        <v>05</v>
      </c>
      <c r="E2995" t="s">
        <v>11</v>
      </c>
      <c r="F2995" t="s">
        <v>12</v>
      </c>
      <c r="G2995">
        <v>54591</v>
      </c>
      <c r="H2995">
        <v>1403201</v>
      </c>
      <c r="I2995">
        <v>25.703689516129039</v>
      </c>
      <c r="J2995">
        <v>58186.27809068199</v>
      </c>
      <c r="K2995">
        <v>27</v>
      </c>
      <c r="L2995">
        <v>27</v>
      </c>
      <c r="M2995">
        <v>24.115662249665533</v>
      </c>
      <c r="N2995">
        <v>1547223</v>
      </c>
    </row>
    <row r="2996" spans="1:14" x14ac:dyDescent="0.35">
      <c r="A2996" t="s">
        <v>128</v>
      </c>
      <c r="B2996">
        <v>202510</v>
      </c>
      <c r="C2996" t="str">
        <f>MID(analisis_productividad__4[[#This Row],[Periodo]],1,4)</f>
        <v>2025</v>
      </c>
      <c r="D2996" t="str">
        <f>MID(analisis_productividad__4[[#This Row],[Periodo]],5,2)</f>
        <v>10</v>
      </c>
      <c r="E2996" t="s">
        <v>104</v>
      </c>
      <c r="F2996" t="s">
        <v>104</v>
      </c>
      <c r="G2996">
        <v>54563</v>
      </c>
      <c r="H2996">
        <v>2662103</v>
      </c>
      <c r="I2996">
        <v>48.789388440860229</v>
      </c>
      <c r="J2996">
        <v>51810.929622653406</v>
      </c>
      <c r="K2996">
        <v>57.5</v>
      </c>
      <c r="L2996">
        <v>57</v>
      </c>
      <c r="M2996">
        <v>51.381115710304549</v>
      </c>
      <c r="N2996">
        <v>2570315</v>
      </c>
    </row>
    <row r="2997" spans="1:14" x14ac:dyDescent="0.35">
      <c r="A2997" t="s">
        <v>108</v>
      </c>
      <c r="B2997">
        <v>202404</v>
      </c>
      <c r="C2997" t="str">
        <f>MID(analisis_productividad__4[[#This Row],[Periodo]],1,4)</f>
        <v>2024</v>
      </c>
      <c r="D2997" t="str">
        <f>MID(analisis_productividad__4[[#This Row],[Periodo]],5,2)</f>
        <v>04</v>
      </c>
      <c r="E2997" t="s">
        <v>11</v>
      </c>
      <c r="F2997" t="s">
        <v>14</v>
      </c>
      <c r="G2997">
        <v>54562</v>
      </c>
      <c r="H2997">
        <v>2718814</v>
      </c>
      <c r="I2997">
        <v>49.829743055555547</v>
      </c>
      <c r="J2997">
        <v>0</v>
      </c>
      <c r="K2997">
        <v>47.5</v>
      </c>
      <c r="L2997">
        <v>43</v>
      </c>
      <c r="N2997">
        <v>0</v>
      </c>
    </row>
    <row r="2998" spans="1:14" x14ac:dyDescent="0.35">
      <c r="A2998" t="s">
        <v>99</v>
      </c>
      <c r="B2998">
        <v>202409</v>
      </c>
      <c r="C2998" t="str">
        <f>MID(analisis_productividad__4[[#This Row],[Periodo]],1,4)</f>
        <v>2024</v>
      </c>
      <c r="D2998" t="str">
        <f>MID(analisis_productividad__4[[#This Row],[Periodo]],5,2)</f>
        <v>09</v>
      </c>
      <c r="E2998" t="s">
        <v>11</v>
      </c>
      <c r="F2998" t="s">
        <v>12</v>
      </c>
      <c r="G2998">
        <v>54553</v>
      </c>
      <c r="H2998">
        <v>1445590</v>
      </c>
      <c r="I2998">
        <v>26.498888888888899</v>
      </c>
      <c r="J2998">
        <v>0</v>
      </c>
      <c r="K2998">
        <v>27</v>
      </c>
      <c r="L2998">
        <v>27</v>
      </c>
      <c r="N2998">
        <v>0</v>
      </c>
    </row>
    <row r="2999" spans="1:14" x14ac:dyDescent="0.35">
      <c r="A2999" t="s">
        <v>125</v>
      </c>
      <c r="B2999">
        <v>202401</v>
      </c>
      <c r="C2999" t="str">
        <f>MID(analisis_productividad__4[[#This Row],[Periodo]],1,4)</f>
        <v>2024</v>
      </c>
      <c r="D2999" t="str">
        <f>MID(analisis_productividad__4[[#This Row],[Periodo]],5,2)</f>
        <v>01</v>
      </c>
      <c r="E2999" t="s">
        <v>104</v>
      </c>
      <c r="F2999" t="s">
        <v>104</v>
      </c>
      <c r="G2999">
        <v>54535</v>
      </c>
      <c r="H2999">
        <v>2430254</v>
      </c>
      <c r="I2999">
        <v>44.56342069892473</v>
      </c>
      <c r="J2999">
        <v>0</v>
      </c>
      <c r="K2999">
        <v>59</v>
      </c>
      <c r="L2999">
        <v>50</v>
      </c>
      <c r="N2999">
        <v>0</v>
      </c>
    </row>
    <row r="3000" spans="1:14" x14ac:dyDescent="0.35">
      <c r="A3000" t="s">
        <v>118</v>
      </c>
      <c r="B3000">
        <v>202504</v>
      </c>
      <c r="C3000" t="str">
        <f>MID(analisis_productividad__4[[#This Row],[Periodo]],1,4)</f>
        <v>2025</v>
      </c>
      <c r="D3000" t="str">
        <f>MID(analisis_productividad__4[[#This Row],[Periodo]],5,2)</f>
        <v>04</v>
      </c>
      <c r="E3000" t="s">
        <v>34</v>
      </c>
      <c r="F3000" t="s">
        <v>35</v>
      </c>
      <c r="G3000">
        <v>54531</v>
      </c>
      <c r="H3000">
        <v>1072879</v>
      </c>
      <c r="I3000">
        <v>19.674715277777775</v>
      </c>
      <c r="J3000">
        <v>53486.495884827869</v>
      </c>
      <c r="K3000">
        <v>19</v>
      </c>
      <c r="L3000">
        <v>21.5</v>
      </c>
      <c r="M3000">
        <v>20.058872473347723</v>
      </c>
      <c r="N3000">
        <v>1107928</v>
      </c>
    </row>
    <row r="3001" spans="1:14" x14ac:dyDescent="0.35">
      <c r="A3001" t="s">
        <v>109</v>
      </c>
      <c r="B3001">
        <v>202510</v>
      </c>
      <c r="C3001" t="str">
        <f>MID(analisis_productividad__4[[#This Row],[Periodo]],1,4)</f>
        <v>2025</v>
      </c>
      <c r="D3001" t="str">
        <f>MID(analisis_productividad__4[[#This Row],[Periodo]],5,2)</f>
        <v>10</v>
      </c>
      <c r="E3001" t="s">
        <v>9</v>
      </c>
      <c r="F3001" t="s">
        <v>9</v>
      </c>
      <c r="G3001">
        <v>54457</v>
      </c>
      <c r="H3001">
        <v>450664</v>
      </c>
      <c r="I3001">
        <v>8.2755712365591414</v>
      </c>
      <c r="J3001">
        <v>61084.352079602824</v>
      </c>
      <c r="K3001">
        <v>10</v>
      </c>
      <c r="L3001">
        <v>9</v>
      </c>
      <c r="M3001">
        <v>7.3777357810509532</v>
      </c>
      <c r="N3001">
        <v>585311</v>
      </c>
    </row>
    <row r="3002" spans="1:14" x14ac:dyDescent="0.35">
      <c r="A3002" t="s">
        <v>117</v>
      </c>
      <c r="B3002">
        <v>202411</v>
      </c>
      <c r="C3002" t="str">
        <f>MID(analisis_productividad__4[[#This Row],[Periodo]],1,4)</f>
        <v>2024</v>
      </c>
      <c r="D3002" t="str">
        <f>MID(analisis_productividad__4[[#This Row],[Periodo]],5,2)</f>
        <v>11</v>
      </c>
      <c r="E3002" t="s">
        <v>104</v>
      </c>
      <c r="F3002" t="s">
        <v>104</v>
      </c>
      <c r="G3002">
        <v>54426</v>
      </c>
      <c r="H3002">
        <v>3198692</v>
      </c>
      <c r="I3002">
        <v>58.771659722222232</v>
      </c>
      <c r="J3002">
        <v>0</v>
      </c>
      <c r="K3002">
        <v>66</v>
      </c>
      <c r="L3002">
        <v>65.5</v>
      </c>
      <c r="N3002">
        <v>0</v>
      </c>
    </row>
    <row r="3003" spans="1:14" x14ac:dyDescent="0.35">
      <c r="A3003" t="s">
        <v>128</v>
      </c>
      <c r="B3003">
        <v>202605</v>
      </c>
      <c r="C3003" t="str">
        <f>MID(analisis_productividad__4[[#This Row],[Periodo]],1,4)</f>
        <v>2026</v>
      </c>
      <c r="D3003" t="str">
        <f>MID(analisis_productividad__4[[#This Row],[Periodo]],5,2)</f>
        <v>05</v>
      </c>
      <c r="E3003" t="s">
        <v>104</v>
      </c>
      <c r="F3003" t="s">
        <v>104</v>
      </c>
      <c r="G3003">
        <v>54416</v>
      </c>
      <c r="H3003">
        <v>2772388</v>
      </c>
      <c r="I3003">
        <v>50.947862903226302</v>
      </c>
      <c r="J3003">
        <v>54864.194755810524</v>
      </c>
      <c r="K3003">
        <v>57.5</v>
      </c>
      <c r="L3003">
        <v>57</v>
      </c>
      <c r="M3003">
        <v>50.0561866937662</v>
      </c>
      <c r="N3003">
        <v>2746292</v>
      </c>
    </row>
    <row r="3004" spans="1:14" x14ac:dyDescent="0.35">
      <c r="A3004" t="s">
        <v>105</v>
      </c>
      <c r="B3004">
        <v>202501</v>
      </c>
      <c r="C3004" t="str">
        <f>MID(analisis_productividad__4[[#This Row],[Periodo]],1,4)</f>
        <v>2025</v>
      </c>
      <c r="D3004" t="str">
        <f>MID(analisis_productividad__4[[#This Row],[Periodo]],5,2)</f>
        <v>01</v>
      </c>
      <c r="E3004" t="s">
        <v>34</v>
      </c>
      <c r="F3004" t="s">
        <v>35</v>
      </c>
      <c r="G3004">
        <v>54377</v>
      </c>
      <c r="H3004">
        <v>2323976</v>
      </c>
      <c r="I3004">
        <v>42.738481182795688</v>
      </c>
      <c r="J3004">
        <v>60267.34859072676</v>
      </c>
      <c r="K3004">
        <v>33</v>
      </c>
      <c r="L3004">
        <v>31.5</v>
      </c>
      <c r="M3004">
        <v>38.561109528511537</v>
      </c>
      <c r="N3004">
        <v>2556852</v>
      </c>
    </row>
    <row r="3005" spans="1:14" x14ac:dyDescent="0.35">
      <c r="A3005" t="s">
        <v>117</v>
      </c>
      <c r="B3005">
        <v>202506</v>
      </c>
      <c r="C3005" t="str">
        <f>MID(analisis_productividad__4[[#This Row],[Periodo]],1,4)</f>
        <v>2025</v>
      </c>
      <c r="D3005" t="str">
        <f>MID(analisis_productividad__4[[#This Row],[Periodo]],5,2)</f>
        <v>06</v>
      </c>
      <c r="E3005" t="s">
        <v>104</v>
      </c>
      <c r="F3005" t="s">
        <v>104</v>
      </c>
      <c r="G3005">
        <v>54325</v>
      </c>
      <c r="H3005">
        <v>3346172</v>
      </c>
      <c r="I3005">
        <v>61.595722222222236</v>
      </c>
      <c r="J3005">
        <v>60214.846840032507</v>
      </c>
      <c r="K3005">
        <v>66</v>
      </c>
      <c r="L3005">
        <v>65.5</v>
      </c>
      <c r="M3005">
        <v>55.570547889783413</v>
      </c>
      <c r="N3005">
        <v>3664909</v>
      </c>
    </row>
    <row r="3006" spans="1:14" x14ac:dyDescent="0.35">
      <c r="A3006" t="s">
        <v>128</v>
      </c>
      <c r="B3006">
        <v>202509</v>
      </c>
      <c r="C3006" t="str">
        <f>MID(analisis_productividad__4[[#This Row],[Periodo]],1,4)</f>
        <v>2025</v>
      </c>
      <c r="D3006" t="str">
        <f>MID(analisis_productividad__4[[#This Row],[Periodo]],5,2)</f>
        <v>09</v>
      </c>
      <c r="E3006" t="s">
        <v>104</v>
      </c>
      <c r="F3006" t="s">
        <v>104</v>
      </c>
      <c r="G3006">
        <v>54276</v>
      </c>
      <c r="H3006">
        <v>2492819</v>
      </c>
      <c r="I3006">
        <v>45.928215277777817</v>
      </c>
      <c r="J3006">
        <v>52875.23445373532</v>
      </c>
      <c r="K3006">
        <v>57.5</v>
      </c>
      <c r="L3006">
        <v>57</v>
      </c>
      <c r="M3006">
        <v>47.145309250234398</v>
      </c>
      <c r="N3006">
        <v>2630822</v>
      </c>
    </row>
    <row r="3007" spans="1:14" x14ac:dyDescent="0.35">
      <c r="A3007" t="s">
        <v>128</v>
      </c>
      <c r="B3007">
        <v>202401</v>
      </c>
      <c r="C3007" t="str">
        <f>MID(analisis_productividad__4[[#This Row],[Periodo]],1,4)</f>
        <v>2024</v>
      </c>
      <c r="D3007" t="str">
        <f>MID(analisis_productividad__4[[#This Row],[Periodo]],5,2)</f>
        <v>01</v>
      </c>
      <c r="E3007" t="s">
        <v>104</v>
      </c>
      <c r="F3007" t="s">
        <v>104</v>
      </c>
      <c r="G3007">
        <v>54253</v>
      </c>
      <c r="H3007">
        <v>2344371</v>
      </c>
      <c r="I3007">
        <v>43.212063172043024</v>
      </c>
      <c r="J3007">
        <v>0</v>
      </c>
      <c r="K3007">
        <v>57.5</v>
      </c>
      <c r="L3007">
        <v>57</v>
      </c>
      <c r="N3007">
        <v>0</v>
      </c>
    </row>
    <row r="3008" spans="1:14" x14ac:dyDescent="0.35">
      <c r="A3008" t="s">
        <v>127</v>
      </c>
      <c r="B3008">
        <v>202402</v>
      </c>
      <c r="C3008" t="str">
        <f>MID(analisis_productividad__4[[#This Row],[Periodo]],1,4)</f>
        <v>2024</v>
      </c>
      <c r="D3008" t="str">
        <f>MID(analisis_productividad__4[[#This Row],[Periodo]],5,2)</f>
        <v>02</v>
      </c>
      <c r="E3008" t="s">
        <v>104</v>
      </c>
      <c r="F3008" t="s">
        <v>104</v>
      </c>
      <c r="G3008">
        <v>54238</v>
      </c>
      <c r="H3008">
        <v>3077062</v>
      </c>
      <c r="I3008">
        <v>56.732385057471255</v>
      </c>
      <c r="J3008">
        <v>0</v>
      </c>
      <c r="K3008">
        <v>61.5</v>
      </c>
      <c r="L3008">
        <v>56</v>
      </c>
      <c r="N3008">
        <v>0</v>
      </c>
    </row>
    <row r="3009" spans="1:14" x14ac:dyDescent="0.35">
      <c r="A3009" t="s">
        <v>114</v>
      </c>
      <c r="B3009">
        <v>202411</v>
      </c>
      <c r="C3009" t="str">
        <f>MID(analisis_productividad__4[[#This Row],[Periodo]],1,4)</f>
        <v>2024</v>
      </c>
      <c r="D3009" t="str">
        <f>MID(analisis_productividad__4[[#This Row],[Periodo]],5,2)</f>
        <v>11</v>
      </c>
      <c r="E3009" t="s">
        <v>9</v>
      </c>
      <c r="F3009" t="s">
        <v>9</v>
      </c>
      <c r="G3009">
        <v>54237</v>
      </c>
      <c r="H3009">
        <v>757352</v>
      </c>
      <c r="I3009">
        <v>13.963881944444443</v>
      </c>
      <c r="J3009">
        <v>0</v>
      </c>
      <c r="K3009">
        <v>13.5</v>
      </c>
      <c r="L3009">
        <v>14.5</v>
      </c>
      <c r="N3009">
        <v>0</v>
      </c>
    </row>
    <row r="3010" spans="1:14" x14ac:dyDescent="0.35">
      <c r="A3010" t="s">
        <v>101</v>
      </c>
      <c r="B3010">
        <v>202504</v>
      </c>
      <c r="C3010" t="str">
        <f>MID(analisis_productividad__4[[#This Row],[Periodo]],1,4)</f>
        <v>2025</v>
      </c>
      <c r="D3010" t="str">
        <f>MID(analisis_productividad__4[[#This Row],[Periodo]],5,2)</f>
        <v>04</v>
      </c>
      <c r="E3010" t="s">
        <v>9</v>
      </c>
      <c r="F3010" t="s">
        <v>9</v>
      </c>
      <c r="G3010">
        <v>54128</v>
      </c>
      <c r="H3010">
        <v>346279</v>
      </c>
      <c r="I3010">
        <v>6.3973680555555568</v>
      </c>
      <c r="J3010">
        <v>64222.911977981268</v>
      </c>
      <c r="K3010">
        <v>8.5</v>
      </c>
      <c r="L3010">
        <v>6.5</v>
      </c>
      <c r="M3010">
        <v>5.391831035607999</v>
      </c>
      <c r="N3010">
        <v>359515</v>
      </c>
    </row>
    <row r="3011" spans="1:14" x14ac:dyDescent="0.35">
      <c r="A3011" t="s">
        <v>121</v>
      </c>
      <c r="B3011">
        <v>202506</v>
      </c>
      <c r="C3011" t="str">
        <f>MID(analisis_productividad__4[[#This Row],[Periodo]],1,4)</f>
        <v>2025</v>
      </c>
      <c r="D3011" t="str">
        <f>MID(analisis_productividad__4[[#This Row],[Periodo]],5,2)</f>
        <v>06</v>
      </c>
      <c r="E3011" t="s">
        <v>11</v>
      </c>
      <c r="F3011" t="s">
        <v>14</v>
      </c>
      <c r="G3011">
        <v>54122</v>
      </c>
      <c r="H3011">
        <v>1763184</v>
      </c>
      <c r="I3011">
        <v>32.57814583333333</v>
      </c>
      <c r="J3011">
        <v>66342.482761722946</v>
      </c>
      <c r="K3011">
        <v>36</v>
      </c>
      <c r="L3011">
        <v>35</v>
      </c>
      <c r="M3011">
        <v>26.576990438128263</v>
      </c>
      <c r="N3011">
        <v>2106136</v>
      </c>
    </row>
    <row r="3012" spans="1:14" x14ac:dyDescent="0.35">
      <c r="A3012" t="s">
        <v>115</v>
      </c>
      <c r="B3012">
        <v>202410</v>
      </c>
      <c r="C3012" t="str">
        <f>MID(analisis_productividad__4[[#This Row],[Periodo]],1,4)</f>
        <v>2024</v>
      </c>
      <c r="D3012" t="str">
        <f>MID(analisis_productividad__4[[#This Row],[Periodo]],5,2)</f>
        <v>10</v>
      </c>
      <c r="E3012" t="s">
        <v>34</v>
      </c>
      <c r="F3012" t="s">
        <v>35</v>
      </c>
      <c r="G3012">
        <v>54118</v>
      </c>
      <c r="H3012">
        <v>2957039</v>
      </c>
      <c r="I3012">
        <v>54.641021505376337</v>
      </c>
      <c r="J3012">
        <v>0</v>
      </c>
      <c r="K3012">
        <v>53.5</v>
      </c>
      <c r="L3012">
        <v>51</v>
      </c>
      <c r="N3012">
        <v>0</v>
      </c>
    </row>
    <row r="3013" spans="1:14" x14ac:dyDescent="0.35">
      <c r="A3013" t="s">
        <v>127</v>
      </c>
      <c r="B3013">
        <v>202406</v>
      </c>
      <c r="C3013" t="str">
        <f>MID(analisis_productividad__4[[#This Row],[Periodo]],1,4)</f>
        <v>2024</v>
      </c>
      <c r="D3013" t="str">
        <f>MID(analisis_productividad__4[[#This Row],[Periodo]],5,2)</f>
        <v>06</v>
      </c>
      <c r="E3013" t="s">
        <v>104</v>
      </c>
      <c r="F3013" t="s">
        <v>104</v>
      </c>
      <c r="G3013">
        <v>54045</v>
      </c>
      <c r="H3013">
        <v>3246931</v>
      </c>
      <c r="I3013">
        <v>60.077791666666684</v>
      </c>
      <c r="J3013">
        <v>0</v>
      </c>
      <c r="K3013">
        <v>61.5</v>
      </c>
      <c r="L3013">
        <v>56</v>
      </c>
      <c r="N3013">
        <v>0</v>
      </c>
    </row>
    <row r="3014" spans="1:14" x14ac:dyDescent="0.35">
      <c r="A3014" t="s">
        <v>115</v>
      </c>
      <c r="B3014">
        <v>202402</v>
      </c>
      <c r="C3014" t="str">
        <f>MID(analisis_productividad__4[[#This Row],[Periodo]],1,4)</f>
        <v>2024</v>
      </c>
      <c r="D3014" t="str">
        <f>MID(analisis_productividad__4[[#This Row],[Periodo]],5,2)</f>
        <v>02</v>
      </c>
      <c r="E3014" t="s">
        <v>34</v>
      </c>
      <c r="F3014" t="s">
        <v>35</v>
      </c>
      <c r="G3014">
        <v>53887</v>
      </c>
      <c r="H3014">
        <v>2932153</v>
      </c>
      <c r="I3014">
        <v>54.412830459770142</v>
      </c>
      <c r="J3014">
        <v>0</v>
      </c>
      <c r="K3014">
        <v>53.5</v>
      </c>
      <c r="L3014">
        <v>51</v>
      </c>
      <c r="N3014">
        <v>0</v>
      </c>
    </row>
    <row r="3015" spans="1:14" x14ac:dyDescent="0.35">
      <c r="A3015" t="s">
        <v>102</v>
      </c>
      <c r="B3015">
        <v>202505</v>
      </c>
      <c r="C3015" t="str">
        <f>MID(analisis_productividad__4[[#This Row],[Periodo]],1,4)</f>
        <v>2025</v>
      </c>
      <c r="D3015" t="str">
        <f>MID(analisis_productividad__4[[#This Row],[Periodo]],5,2)</f>
        <v>05</v>
      </c>
      <c r="E3015" t="s">
        <v>11</v>
      </c>
      <c r="F3015" t="s">
        <v>12</v>
      </c>
      <c r="G3015">
        <v>53885</v>
      </c>
      <c r="H3015">
        <v>1738341</v>
      </c>
      <c r="I3015">
        <v>32.260168010752693</v>
      </c>
      <c r="J3015">
        <v>54247.377692088216</v>
      </c>
      <c r="K3015">
        <v>34</v>
      </c>
      <c r="L3015">
        <v>34</v>
      </c>
      <c r="M3015">
        <v>32.044700480582506</v>
      </c>
      <c r="N3015">
        <v>1739433</v>
      </c>
    </row>
    <row r="3016" spans="1:14" x14ac:dyDescent="0.35">
      <c r="A3016" t="s">
        <v>115</v>
      </c>
      <c r="B3016">
        <v>202501</v>
      </c>
      <c r="C3016" t="str">
        <f>MID(analisis_productividad__4[[#This Row],[Periodo]],1,4)</f>
        <v>2025</v>
      </c>
      <c r="D3016" t="str">
        <f>MID(analisis_productividad__4[[#This Row],[Periodo]],5,2)</f>
        <v>01</v>
      </c>
      <c r="E3016" t="s">
        <v>34</v>
      </c>
      <c r="F3016" t="s">
        <v>35</v>
      </c>
      <c r="G3016">
        <v>53855</v>
      </c>
      <c r="H3016">
        <v>2882393</v>
      </c>
      <c r="I3016">
        <v>53.520880376344081</v>
      </c>
      <c r="J3016">
        <v>61155.528804919173</v>
      </c>
      <c r="K3016">
        <v>53.5</v>
      </c>
      <c r="L3016">
        <v>51</v>
      </c>
      <c r="M3016">
        <v>47.132171633975773</v>
      </c>
      <c r="N3016">
        <v>3149800</v>
      </c>
    </row>
    <row r="3017" spans="1:14" x14ac:dyDescent="0.35">
      <c r="A3017" t="s">
        <v>127</v>
      </c>
      <c r="B3017">
        <v>202405</v>
      </c>
      <c r="C3017" t="str">
        <f>MID(analisis_productividad__4[[#This Row],[Periodo]],1,4)</f>
        <v>2024</v>
      </c>
      <c r="D3017" t="str">
        <f>MID(analisis_productividad__4[[#This Row],[Periodo]],5,2)</f>
        <v>05</v>
      </c>
      <c r="E3017" t="s">
        <v>104</v>
      </c>
      <c r="F3017" t="s">
        <v>104</v>
      </c>
      <c r="G3017">
        <v>53815</v>
      </c>
      <c r="H3017">
        <v>3280617</v>
      </c>
      <c r="I3017">
        <v>60.961344086021519</v>
      </c>
      <c r="J3017">
        <v>0</v>
      </c>
      <c r="K3017">
        <v>61.5</v>
      </c>
      <c r="L3017">
        <v>56</v>
      </c>
      <c r="N3017">
        <v>0</v>
      </c>
    </row>
    <row r="3018" spans="1:14" x14ac:dyDescent="0.35">
      <c r="A3018" t="s">
        <v>125</v>
      </c>
      <c r="B3018">
        <v>202406</v>
      </c>
      <c r="C3018" t="str">
        <f>MID(analisis_productividad__4[[#This Row],[Periodo]],1,4)</f>
        <v>2024</v>
      </c>
      <c r="D3018" t="str">
        <f>MID(analisis_productividad__4[[#This Row],[Periodo]],5,2)</f>
        <v>06</v>
      </c>
      <c r="E3018" t="s">
        <v>104</v>
      </c>
      <c r="F3018" t="s">
        <v>104</v>
      </c>
      <c r="G3018">
        <v>53781</v>
      </c>
      <c r="H3018">
        <v>2516142</v>
      </c>
      <c r="I3018">
        <v>46.78464583333335</v>
      </c>
      <c r="J3018">
        <v>0</v>
      </c>
      <c r="K3018">
        <v>59</v>
      </c>
      <c r="L3018">
        <v>50</v>
      </c>
      <c r="N3018">
        <v>0</v>
      </c>
    </row>
    <row r="3019" spans="1:14" x14ac:dyDescent="0.35">
      <c r="A3019" t="s">
        <v>128</v>
      </c>
      <c r="B3019">
        <v>202507</v>
      </c>
      <c r="C3019" t="str">
        <f>MID(analisis_productividad__4[[#This Row],[Periodo]],1,4)</f>
        <v>2025</v>
      </c>
      <c r="D3019" t="str">
        <f>MID(analisis_productividad__4[[#This Row],[Periodo]],5,2)</f>
        <v>07</v>
      </c>
      <c r="E3019" t="s">
        <v>104</v>
      </c>
      <c r="F3019" t="s">
        <v>104</v>
      </c>
      <c r="G3019">
        <v>53781</v>
      </c>
      <c r="H3019">
        <v>2573263</v>
      </c>
      <c r="I3019">
        <v>47.846740591397847</v>
      </c>
      <c r="J3019">
        <v>53596.349625762043</v>
      </c>
      <c r="K3019">
        <v>57.5</v>
      </c>
      <c r="L3019">
        <v>57</v>
      </c>
      <c r="M3019">
        <v>48.011899466435203</v>
      </c>
      <c r="N3019">
        <v>2579991</v>
      </c>
    </row>
    <row r="3020" spans="1:14" x14ac:dyDescent="0.35">
      <c r="A3020" t="s">
        <v>102</v>
      </c>
      <c r="B3020">
        <v>202404</v>
      </c>
      <c r="C3020" t="str">
        <f>MID(analisis_productividad__4[[#This Row],[Periodo]],1,4)</f>
        <v>2024</v>
      </c>
      <c r="D3020" t="str">
        <f>MID(analisis_productividad__4[[#This Row],[Periodo]],5,2)</f>
        <v>04</v>
      </c>
      <c r="E3020" t="s">
        <v>11</v>
      </c>
      <c r="F3020" t="s">
        <v>12</v>
      </c>
      <c r="G3020">
        <v>53774</v>
      </c>
      <c r="H3020">
        <v>1657576</v>
      </c>
      <c r="I3020">
        <v>30.82459722222222</v>
      </c>
      <c r="J3020">
        <v>0</v>
      </c>
      <c r="K3020">
        <v>34</v>
      </c>
      <c r="L3020">
        <v>34</v>
      </c>
      <c r="N3020">
        <v>0</v>
      </c>
    </row>
    <row r="3021" spans="1:14" x14ac:dyDescent="0.35">
      <c r="A3021" t="s">
        <v>102</v>
      </c>
      <c r="B3021">
        <v>202402</v>
      </c>
      <c r="C3021" t="str">
        <f>MID(analisis_productividad__4[[#This Row],[Periodo]],1,4)</f>
        <v>2024</v>
      </c>
      <c r="D3021" t="str">
        <f>MID(analisis_productividad__4[[#This Row],[Periodo]],5,2)</f>
        <v>02</v>
      </c>
      <c r="E3021" t="s">
        <v>11</v>
      </c>
      <c r="F3021" t="s">
        <v>12</v>
      </c>
      <c r="G3021">
        <v>53716</v>
      </c>
      <c r="H3021">
        <v>1790619</v>
      </c>
      <c r="I3021">
        <v>33.334985632183908</v>
      </c>
      <c r="J3021">
        <v>0</v>
      </c>
      <c r="K3021">
        <v>34</v>
      </c>
      <c r="L3021">
        <v>34</v>
      </c>
      <c r="N3021">
        <v>0</v>
      </c>
    </row>
    <row r="3022" spans="1:14" x14ac:dyDescent="0.35">
      <c r="A3022" t="s">
        <v>111</v>
      </c>
      <c r="B3022">
        <v>202411</v>
      </c>
      <c r="C3022" t="str">
        <f>MID(analisis_productividad__4[[#This Row],[Periodo]],1,4)</f>
        <v>2024</v>
      </c>
      <c r="D3022" t="str">
        <f>MID(analisis_productividad__4[[#This Row],[Periodo]],5,2)</f>
        <v>11</v>
      </c>
      <c r="E3022" t="s">
        <v>34</v>
      </c>
      <c r="F3022" t="s">
        <v>35</v>
      </c>
      <c r="G3022">
        <v>53700</v>
      </c>
      <c r="H3022">
        <v>2250447</v>
      </c>
      <c r="I3022">
        <v>41.90763888888889</v>
      </c>
      <c r="J3022">
        <v>0</v>
      </c>
      <c r="K3022">
        <v>45.5</v>
      </c>
      <c r="L3022">
        <v>42.5</v>
      </c>
      <c r="N3022">
        <v>0</v>
      </c>
    </row>
    <row r="3023" spans="1:14" x14ac:dyDescent="0.35">
      <c r="A3023" t="s">
        <v>102</v>
      </c>
      <c r="B3023">
        <v>202401</v>
      </c>
      <c r="C3023" t="str">
        <f>MID(analisis_productividad__4[[#This Row],[Periodo]],1,4)</f>
        <v>2024</v>
      </c>
      <c r="D3023" t="str">
        <f>MID(analisis_productividad__4[[#This Row],[Periodo]],5,2)</f>
        <v>01</v>
      </c>
      <c r="E3023" t="s">
        <v>11</v>
      </c>
      <c r="F3023" t="s">
        <v>12</v>
      </c>
      <c r="G3023">
        <v>53650</v>
      </c>
      <c r="H3023">
        <v>1779408</v>
      </c>
      <c r="I3023">
        <v>33.167063172043008</v>
      </c>
      <c r="J3023">
        <v>0</v>
      </c>
      <c r="K3023">
        <v>34</v>
      </c>
      <c r="L3023">
        <v>34</v>
      </c>
      <c r="N3023">
        <v>0</v>
      </c>
    </row>
    <row r="3024" spans="1:14" x14ac:dyDescent="0.35">
      <c r="A3024" t="s">
        <v>126</v>
      </c>
      <c r="B3024">
        <v>202506</v>
      </c>
      <c r="C3024" t="str">
        <f>MID(analisis_productividad__4[[#This Row],[Periodo]],1,4)</f>
        <v>2025</v>
      </c>
      <c r="D3024" t="str">
        <f>MID(analisis_productividad__4[[#This Row],[Periodo]],5,2)</f>
        <v>06</v>
      </c>
      <c r="E3024" t="s">
        <v>104</v>
      </c>
      <c r="F3024" t="s">
        <v>104</v>
      </c>
      <c r="G3024">
        <v>53643</v>
      </c>
      <c r="H3024">
        <v>3113046</v>
      </c>
      <c r="I3024">
        <v>58.03243055555555</v>
      </c>
      <c r="J3024">
        <v>54262.754302781417</v>
      </c>
      <c r="K3024">
        <v>64.5</v>
      </c>
      <c r="L3024">
        <v>61</v>
      </c>
      <c r="M3024">
        <v>57.369853226201428</v>
      </c>
      <c r="N3024">
        <v>3071716</v>
      </c>
    </row>
    <row r="3025" spans="1:14" x14ac:dyDescent="0.35">
      <c r="A3025" t="s">
        <v>99</v>
      </c>
      <c r="B3025">
        <v>202502</v>
      </c>
      <c r="C3025" t="str">
        <f>MID(analisis_productividad__4[[#This Row],[Periodo]],1,4)</f>
        <v>2025</v>
      </c>
      <c r="D3025" t="str">
        <f>MID(analisis_productividad__4[[#This Row],[Periodo]],5,2)</f>
        <v>02</v>
      </c>
      <c r="E3025" t="s">
        <v>11</v>
      </c>
      <c r="F3025" t="s">
        <v>12</v>
      </c>
      <c r="G3025">
        <v>53609</v>
      </c>
      <c r="H3025">
        <v>1411073</v>
      </c>
      <c r="I3025">
        <v>26.321406249999995</v>
      </c>
      <c r="J3025">
        <v>56236.871779005509</v>
      </c>
      <c r="K3025">
        <v>27</v>
      </c>
      <c r="L3025">
        <v>27</v>
      </c>
      <c r="M3025">
        <v>25.09160227732982</v>
      </c>
      <c r="N3025">
        <v>1396558</v>
      </c>
    </row>
    <row r="3026" spans="1:14" x14ac:dyDescent="0.35">
      <c r="A3026" t="s">
        <v>109</v>
      </c>
      <c r="B3026">
        <v>202504</v>
      </c>
      <c r="C3026" t="str">
        <f>MID(analisis_productividad__4[[#This Row],[Periodo]],1,4)</f>
        <v>2025</v>
      </c>
      <c r="D3026" t="str">
        <f>MID(analisis_productividad__4[[#This Row],[Periodo]],5,2)</f>
        <v>04</v>
      </c>
      <c r="E3026" t="s">
        <v>9</v>
      </c>
      <c r="F3026" t="s">
        <v>9</v>
      </c>
      <c r="G3026">
        <v>53572</v>
      </c>
      <c r="H3026">
        <v>430969</v>
      </c>
      <c r="I3026">
        <v>8.0446527777777774</v>
      </c>
      <c r="J3026">
        <v>59737.554641880131</v>
      </c>
      <c r="K3026">
        <v>10</v>
      </c>
      <c r="L3026">
        <v>9</v>
      </c>
      <c r="M3026">
        <v>7.2143679563652778</v>
      </c>
      <c r="N3026">
        <v>551154</v>
      </c>
    </row>
    <row r="3027" spans="1:14" x14ac:dyDescent="0.35">
      <c r="A3027" t="s">
        <v>99</v>
      </c>
      <c r="B3027">
        <v>202402</v>
      </c>
      <c r="C3027" t="str">
        <f>MID(analisis_productividad__4[[#This Row],[Periodo]],1,4)</f>
        <v>2024</v>
      </c>
      <c r="D3027" t="str">
        <f>MID(analisis_productividad__4[[#This Row],[Periodo]],5,2)</f>
        <v>02</v>
      </c>
      <c r="E3027" t="s">
        <v>11</v>
      </c>
      <c r="F3027" t="s">
        <v>12</v>
      </c>
      <c r="G3027">
        <v>53559</v>
      </c>
      <c r="H3027">
        <v>1425920</v>
      </c>
      <c r="I3027">
        <v>26.623383620689665</v>
      </c>
      <c r="J3027">
        <v>0</v>
      </c>
      <c r="K3027">
        <v>27</v>
      </c>
      <c r="L3027">
        <v>27</v>
      </c>
      <c r="N3027">
        <v>0</v>
      </c>
    </row>
    <row r="3028" spans="1:14" x14ac:dyDescent="0.35">
      <c r="A3028" t="s">
        <v>119</v>
      </c>
      <c r="B3028">
        <v>202404</v>
      </c>
      <c r="C3028" t="str">
        <f>MID(analisis_productividad__4[[#This Row],[Periodo]],1,4)</f>
        <v>2024</v>
      </c>
      <c r="D3028" t="str">
        <f>MID(analisis_productividad__4[[#This Row],[Periodo]],5,2)</f>
        <v>04</v>
      </c>
      <c r="E3028" t="s">
        <v>16</v>
      </c>
      <c r="F3028" t="s">
        <v>21</v>
      </c>
      <c r="G3028">
        <v>53553</v>
      </c>
      <c r="H3028">
        <v>3078507</v>
      </c>
      <c r="I3028">
        <v>57.484729166666675</v>
      </c>
      <c r="J3028">
        <v>0</v>
      </c>
      <c r="K3028">
        <v>52.5</v>
      </c>
      <c r="L3028">
        <v>52.5</v>
      </c>
      <c r="N3028">
        <v>0</v>
      </c>
    </row>
    <row r="3029" spans="1:14" x14ac:dyDescent="0.35">
      <c r="A3029" t="s">
        <v>127</v>
      </c>
      <c r="B3029">
        <v>202404</v>
      </c>
      <c r="C3029" t="str">
        <f>MID(analisis_productividad__4[[#This Row],[Periodo]],1,4)</f>
        <v>2024</v>
      </c>
      <c r="D3029" t="str">
        <f>MID(analisis_productividad__4[[#This Row],[Periodo]],5,2)</f>
        <v>04</v>
      </c>
      <c r="E3029" t="s">
        <v>104</v>
      </c>
      <c r="F3029" t="s">
        <v>104</v>
      </c>
      <c r="G3029">
        <v>53534</v>
      </c>
      <c r="H3029">
        <v>3131815</v>
      </c>
      <c r="I3029">
        <v>58.501090277777777</v>
      </c>
      <c r="J3029">
        <v>0</v>
      </c>
      <c r="K3029">
        <v>61.5</v>
      </c>
      <c r="L3029">
        <v>56</v>
      </c>
      <c r="N3029">
        <v>0</v>
      </c>
    </row>
    <row r="3030" spans="1:14" x14ac:dyDescent="0.35">
      <c r="A3030" t="s">
        <v>128</v>
      </c>
      <c r="B3030">
        <v>202601</v>
      </c>
      <c r="C3030" t="str">
        <f>MID(analisis_productividad__4[[#This Row],[Periodo]],1,4)</f>
        <v>2026</v>
      </c>
      <c r="D3030" t="str">
        <f>MID(analisis_productividad__4[[#This Row],[Periodo]],5,2)</f>
        <v>01</v>
      </c>
      <c r="E3030" t="s">
        <v>104</v>
      </c>
      <c r="F3030" t="s">
        <v>104</v>
      </c>
      <c r="G3030">
        <v>53519</v>
      </c>
      <c r="H3030">
        <v>2681978</v>
      </c>
      <c r="I3030">
        <v>50.112426075268793</v>
      </c>
      <c r="J3030">
        <v>51215.621253451733</v>
      </c>
      <c r="K3030">
        <v>57.5</v>
      </c>
      <c r="L3030">
        <v>57</v>
      </c>
      <c r="M3030">
        <v>50.0561866937662</v>
      </c>
      <c r="N3030">
        <v>2563659</v>
      </c>
    </row>
    <row r="3031" spans="1:14" x14ac:dyDescent="0.35">
      <c r="A3031" t="s">
        <v>105</v>
      </c>
      <c r="B3031">
        <v>202409</v>
      </c>
      <c r="C3031" t="str">
        <f>MID(analisis_productividad__4[[#This Row],[Periodo]],1,4)</f>
        <v>2024</v>
      </c>
      <c r="D3031" t="str">
        <f>MID(analisis_productividad__4[[#This Row],[Periodo]],5,2)</f>
        <v>09</v>
      </c>
      <c r="E3031" t="s">
        <v>34</v>
      </c>
      <c r="F3031" t="s">
        <v>35</v>
      </c>
      <c r="G3031">
        <v>53519</v>
      </c>
      <c r="H3031">
        <v>2328091</v>
      </c>
      <c r="I3031">
        <v>43.500381944444456</v>
      </c>
      <c r="J3031">
        <v>0</v>
      </c>
      <c r="K3031">
        <v>33</v>
      </c>
      <c r="L3031">
        <v>31.5</v>
      </c>
      <c r="N3031">
        <v>0</v>
      </c>
    </row>
    <row r="3032" spans="1:14" x14ac:dyDescent="0.35">
      <c r="A3032" t="s">
        <v>123</v>
      </c>
      <c r="B3032">
        <v>202409</v>
      </c>
      <c r="C3032" t="str">
        <f>MID(analisis_productividad__4[[#This Row],[Periodo]],1,4)</f>
        <v>2024</v>
      </c>
      <c r="D3032" t="str">
        <f>MID(analisis_productividad__4[[#This Row],[Periodo]],5,2)</f>
        <v>09</v>
      </c>
      <c r="E3032" t="s">
        <v>9</v>
      </c>
      <c r="F3032" t="s">
        <v>9</v>
      </c>
      <c r="G3032">
        <v>53489</v>
      </c>
      <c r="H3032">
        <v>529924</v>
      </c>
      <c r="I3032">
        <v>9.9070902777777778</v>
      </c>
      <c r="J3032">
        <v>0</v>
      </c>
      <c r="K3032">
        <v>11</v>
      </c>
      <c r="L3032">
        <v>10</v>
      </c>
      <c r="N3032">
        <v>0</v>
      </c>
    </row>
    <row r="3033" spans="1:14" x14ac:dyDescent="0.35">
      <c r="A3033" t="s">
        <v>116</v>
      </c>
      <c r="B3033">
        <v>202408</v>
      </c>
      <c r="C3033" t="str">
        <f>MID(analisis_productividad__4[[#This Row],[Periodo]],1,4)</f>
        <v>2024</v>
      </c>
      <c r="D3033" t="str">
        <f>MID(analisis_productividad__4[[#This Row],[Periodo]],5,2)</f>
        <v>08</v>
      </c>
      <c r="E3033" t="s">
        <v>9</v>
      </c>
      <c r="F3033" t="s">
        <v>9</v>
      </c>
      <c r="G3033">
        <v>53448</v>
      </c>
      <c r="H3033">
        <v>633471</v>
      </c>
      <c r="I3033">
        <v>11.852016129032259</v>
      </c>
      <c r="J3033">
        <v>0</v>
      </c>
      <c r="K3033">
        <v>11.5</v>
      </c>
      <c r="L3033">
        <v>10</v>
      </c>
      <c r="N3033">
        <v>0</v>
      </c>
    </row>
    <row r="3034" spans="1:14" x14ac:dyDescent="0.35">
      <c r="A3034" t="s">
        <v>116</v>
      </c>
      <c r="B3034">
        <v>202410</v>
      </c>
      <c r="C3034" t="str">
        <f>MID(analisis_productividad__4[[#This Row],[Periodo]],1,4)</f>
        <v>2024</v>
      </c>
      <c r="D3034" t="str">
        <f>MID(analisis_productividad__4[[#This Row],[Periodo]],5,2)</f>
        <v>10</v>
      </c>
      <c r="E3034" t="s">
        <v>9</v>
      </c>
      <c r="F3034" t="s">
        <v>9</v>
      </c>
      <c r="G3034">
        <v>53431</v>
      </c>
      <c r="H3034">
        <v>598666</v>
      </c>
      <c r="I3034">
        <v>11.204469086021508</v>
      </c>
      <c r="J3034">
        <v>0</v>
      </c>
      <c r="K3034">
        <v>11.5</v>
      </c>
      <c r="L3034">
        <v>10</v>
      </c>
      <c r="N3034">
        <v>0</v>
      </c>
    </row>
    <row r="3035" spans="1:14" x14ac:dyDescent="0.35">
      <c r="A3035" t="s">
        <v>127</v>
      </c>
      <c r="B3035">
        <v>202605</v>
      </c>
      <c r="C3035" t="str">
        <f>MID(analisis_productividad__4[[#This Row],[Periodo]],1,4)</f>
        <v>2026</v>
      </c>
      <c r="D3035" t="str">
        <f>MID(analisis_productividad__4[[#This Row],[Periodo]],5,2)</f>
        <v>05</v>
      </c>
      <c r="E3035" t="s">
        <v>104</v>
      </c>
      <c r="F3035" t="s">
        <v>104</v>
      </c>
      <c r="G3035">
        <v>53403</v>
      </c>
      <c r="H3035">
        <v>2960325</v>
      </c>
      <c r="I3035">
        <v>55.434072580645747</v>
      </c>
      <c r="K3035">
        <v>61.5</v>
      </c>
      <c r="L3035">
        <v>56</v>
      </c>
      <c r="N3035">
        <v>3412716</v>
      </c>
    </row>
    <row r="3036" spans="1:14" x14ac:dyDescent="0.35">
      <c r="A3036" t="s">
        <v>123</v>
      </c>
      <c r="B3036">
        <v>202404</v>
      </c>
      <c r="C3036" t="str">
        <f>MID(analisis_productividad__4[[#This Row],[Periodo]],1,4)</f>
        <v>2024</v>
      </c>
      <c r="D3036" t="str">
        <f>MID(analisis_productividad__4[[#This Row],[Periodo]],5,2)</f>
        <v>04</v>
      </c>
      <c r="E3036" t="s">
        <v>9</v>
      </c>
      <c r="F3036" t="s">
        <v>9</v>
      </c>
      <c r="G3036">
        <v>53335</v>
      </c>
      <c r="H3036">
        <v>525366</v>
      </c>
      <c r="I3036">
        <v>9.8502638888888896</v>
      </c>
      <c r="J3036">
        <v>0</v>
      </c>
      <c r="K3036">
        <v>11</v>
      </c>
      <c r="L3036">
        <v>10</v>
      </c>
      <c r="N3036">
        <v>0</v>
      </c>
    </row>
    <row r="3037" spans="1:14" x14ac:dyDescent="0.35">
      <c r="A3037" t="s">
        <v>112</v>
      </c>
      <c r="B3037">
        <v>202502</v>
      </c>
      <c r="C3037" t="str">
        <f>MID(analisis_productividad__4[[#This Row],[Periodo]],1,4)</f>
        <v>2025</v>
      </c>
      <c r="D3037" t="str">
        <f>MID(analisis_productividad__4[[#This Row],[Periodo]],5,2)</f>
        <v>02</v>
      </c>
      <c r="E3037" t="s">
        <v>34</v>
      </c>
      <c r="F3037" t="s">
        <v>35</v>
      </c>
      <c r="G3037">
        <v>53309</v>
      </c>
      <c r="H3037">
        <v>1474871</v>
      </c>
      <c r="I3037">
        <v>27.666249999999998</v>
      </c>
      <c r="J3037">
        <v>59365.626336662026</v>
      </c>
      <c r="K3037">
        <v>31</v>
      </c>
      <c r="L3037">
        <v>27</v>
      </c>
      <c r="M3037">
        <v>24.843858660498526</v>
      </c>
      <c r="N3037">
        <v>1345655</v>
      </c>
    </row>
    <row r="3038" spans="1:14" x14ac:dyDescent="0.35">
      <c r="A3038" t="s">
        <v>101</v>
      </c>
      <c r="B3038">
        <v>202411</v>
      </c>
      <c r="C3038" t="str">
        <f>MID(analisis_productividad__4[[#This Row],[Periodo]],1,4)</f>
        <v>2024</v>
      </c>
      <c r="D3038" t="str">
        <f>MID(analisis_productividad__4[[#This Row],[Periodo]],5,2)</f>
        <v>11</v>
      </c>
      <c r="E3038" t="s">
        <v>9</v>
      </c>
      <c r="F3038" t="s">
        <v>9</v>
      </c>
      <c r="G3038">
        <v>53237</v>
      </c>
      <c r="H3038">
        <v>359070</v>
      </c>
      <c r="I3038">
        <v>6.7447430555555572</v>
      </c>
      <c r="J3038">
        <v>0</v>
      </c>
      <c r="K3038">
        <v>8.5</v>
      </c>
      <c r="L3038">
        <v>6.5</v>
      </c>
      <c r="N3038">
        <v>0</v>
      </c>
    </row>
    <row r="3039" spans="1:14" x14ac:dyDescent="0.35">
      <c r="A3039" t="s">
        <v>125</v>
      </c>
      <c r="B3039">
        <v>202511</v>
      </c>
      <c r="C3039" t="str">
        <f>MID(analisis_productividad__4[[#This Row],[Periodo]],1,4)</f>
        <v>2025</v>
      </c>
      <c r="D3039" t="str">
        <f>MID(analisis_productividad__4[[#This Row],[Periodo]],5,2)</f>
        <v>11</v>
      </c>
      <c r="E3039" t="s">
        <v>104</v>
      </c>
      <c r="F3039" t="s">
        <v>104</v>
      </c>
      <c r="G3039">
        <v>53230</v>
      </c>
      <c r="H3039">
        <v>2621750</v>
      </c>
      <c r="I3039">
        <v>49.253604166666669</v>
      </c>
      <c r="J3039">
        <v>50430.615561054263</v>
      </c>
      <c r="K3039">
        <v>59</v>
      </c>
      <c r="L3039">
        <v>50</v>
      </c>
      <c r="M3039">
        <v>51.987275206386393</v>
      </c>
      <c r="N3039">
        <v>2853496</v>
      </c>
    </row>
    <row r="3040" spans="1:14" x14ac:dyDescent="0.35">
      <c r="A3040" t="s">
        <v>101</v>
      </c>
      <c r="B3040">
        <v>202412</v>
      </c>
      <c r="C3040" t="str">
        <f>MID(analisis_productividad__4[[#This Row],[Periodo]],1,4)</f>
        <v>2024</v>
      </c>
      <c r="D3040" t="str">
        <f>MID(analisis_productividad__4[[#This Row],[Periodo]],5,2)</f>
        <v>12</v>
      </c>
      <c r="E3040" t="s">
        <v>9</v>
      </c>
      <c r="F3040" t="s">
        <v>9</v>
      </c>
      <c r="G3040">
        <v>53140</v>
      </c>
      <c r="H3040">
        <v>399382</v>
      </c>
      <c r="I3040">
        <v>7.5156854838709695</v>
      </c>
      <c r="J3040">
        <v>0</v>
      </c>
      <c r="K3040">
        <v>8.5</v>
      </c>
      <c r="L3040">
        <v>6.5</v>
      </c>
      <c r="N3040">
        <v>0</v>
      </c>
    </row>
    <row r="3041" spans="1:14" x14ac:dyDescent="0.35">
      <c r="A3041" t="s">
        <v>121</v>
      </c>
      <c r="B3041">
        <v>202402</v>
      </c>
      <c r="C3041" t="str">
        <f>MID(analisis_productividad__4[[#This Row],[Periodo]],1,4)</f>
        <v>2024</v>
      </c>
      <c r="D3041" t="str">
        <f>MID(analisis_productividad__4[[#This Row],[Periodo]],5,2)</f>
        <v>02</v>
      </c>
      <c r="E3041" t="s">
        <v>11</v>
      </c>
      <c r="F3041" t="s">
        <v>14</v>
      </c>
      <c r="G3041">
        <v>53122</v>
      </c>
      <c r="H3041">
        <v>1960581</v>
      </c>
      <c r="I3041">
        <v>36.907399425287373</v>
      </c>
      <c r="J3041">
        <v>0</v>
      </c>
      <c r="K3041">
        <v>36</v>
      </c>
      <c r="L3041">
        <v>35</v>
      </c>
      <c r="N3041">
        <v>0</v>
      </c>
    </row>
    <row r="3042" spans="1:14" x14ac:dyDescent="0.35">
      <c r="A3042" t="s">
        <v>122</v>
      </c>
      <c r="B3042">
        <v>202601</v>
      </c>
      <c r="C3042" t="str">
        <f>MID(analisis_productividad__4[[#This Row],[Periodo]],1,4)</f>
        <v>2026</v>
      </c>
      <c r="D3042" t="str">
        <f>MID(analisis_productividad__4[[#This Row],[Periodo]],5,2)</f>
        <v>01</v>
      </c>
      <c r="E3042" t="s">
        <v>104</v>
      </c>
      <c r="F3042" t="s">
        <v>104</v>
      </c>
      <c r="G3042">
        <v>53103</v>
      </c>
      <c r="H3042">
        <v>5276274</v>
      </c>
      <c r="I3042">
        <v>99.358319892473077</v>
      </c>
      <c r="J3042">
        <v>51233.575784599387</v>
      </c>
      <c r="K3042">
        <v>22</v>
      </c>
      <c r="L3042">
        <v>20</v>
      </c>
      <c r="M3042">
        <v>96.1</v>
      </c>
      <c r="N3042">
        <v>4923547</v>
      </c>
    </row>
    <row r="3043" spans="1:14" x14ac:dyDescent="0.35">
      <c r="A3043" t="s">
        <v>99</v>
      </c>
      <c r="B3043">
        <v>202406</v>
      </c>
      <c r="C3043" t="str">
        <f>MID(analisis_productividad__4[[#This Row],[Periodo]],1,4)</f>
        <v>2024</v>
      </c>
      <c r="D3043" t="str">
        <f>MID(analisis_productividad__4[[#This Row],[Periodo]],5,2)</f>
        <v>06</v>
      </c>
      <c r="E3043" t="s">
        <v>11</v>
      </c>
      <c r="F3043" t="s">
        <v>12</v>
      </c>
      <c r="G3043">
        <v>53053</v>
      </c>
      <c r="H3043">
        <v>1402574</v>
      </c>
      <c r="I3043">
        <v>26.437250000000006</v>
      </c>
      <c r="J3043">
        <v>0</v>
      </c>
      <c r="K3043">
        <v>27</v>
      </c>
      <c r="L3043">
        <v>27</v>
      </c>
      <c r="N3043">
        <v>0</v>
      </c>
    </row>
    <row r="3044" spans="1:14" x14ac:dyDescent="0.35">
      <c r="A3044" t="s">
        <v>105</v>
      </c>
      <c r="B3044">
        <v>202402</v>
      </c>
      <c r="C3044" t="str">
        <f>MID(analisis_productividad__4[[#This Row],[Periodo]],1,4)</f>
        <v>2024</v>
      </c>
      <c r="D3044" t="str">
        <f>MID(analisis_productividad__4[[#This Row],[Periodo]],5,2)</f>
        <v>02</v>
      </c>
      <c r="E3044" t="s">
        <v>34</v>
      </c>
      <c r="F3044" t="s">
        <v>35</v>
      </c>
      <c r="G3044">
        <v>53038</v>
      </c>
      <c r="H3044">
        <v>2344665</v>
      </c>
      <c r="I3044">
        <v>44.207212643678176</v>
      </c>
      <c r="J3044">
        <v>0</v>
      </c>
      <c r="K3044">
        <v>33</v>
      </c>
      <c r="L3044">
        <v>31.5</v>
      </c>
      <c r="N3044">
        <v>0</v>
      </c>
    </row>
    <row r="3045" spans="1:14" x14ac:dyDescent="0.35">
      <c r="A3045" t="s">
        <v>115</v>
      </c>
      <c r="B3045">
        <v>202602</v>
      </c>
      <c r="C3045" t="str">
        <f>MID(analisis_productividad__4[[#This Row],[Periodo]],1,4)</f>
        <v>2026</v>
      </c>
      <c r="D3045" t="str">
        <f>MID(analisis_productividad__4[[#This Row],[Periodo]],5,2)</f>
        <v>02</v>
      </c>
      <c r="E3045" t="s">
        <v>34</v>
      </c>
      <c r="F3045" t="s">
        <v>35</v>
      </c>
      <c r="G3045">
        <v>52977</v>
      </c>
      <c r="H3045">
        <v>2741153</v>
      </c>
      <c r="I3045">
        <v>51.742447916666656</v>
      </c>
      <c r="J3045">
        <v>63745.587844146408</v>
      </c>
      <c r="K3045">
        <v>53.5</v>
      </c>
      <c r="L3045">
        <v>51</v>
      </c>
      <c r="M3045">
        <v>45.515809558361951</v>
      </c>
      <c r="N3045">
        <v>2901432</v>
      </c>
    </row>
    <row r="3046" spans="1:14" x14ac:dyDescent="0.35">
      <c r="A3046" t="s">
        <v>102</v>
      </c>
      <c r="B3046">
        <v>202502</v>
      </c>
      <c r="C3046" t="str">
        <f>MID(analisis_productividad__4[[#This Row],[Periodo]],1,4)</f>
        <v>2025</v>
      </c>
      <c r="D3046" t="str">
        <f>MID(analisis_productividad__4[[#This Row],[Periodo]],5,2)</f>
        <v>02</v>
      </c>
      <c r="E3046" t="s">
        <v>11</v>
      </c>
      <c r="F3046" t="s">
        <v>12</v>
      </c>
      <c r="G3046">
        <v>52929</v>
      </c>
      <c r="H3046">
        <v>1785735</v>
      </c>
      <c r="I3046">
        <v>33.738593749999993</v>
      </c>
      <c r="J3046">
        <v>56401.699261114212</v>
      </c>
      <c r="K3046">
        <v>34</v>
      </c>
      <c r="L3046">
        <v>34</v>
      </c>
      <c r="M3046">
        <v>31.661009036852963</v>
      </c>
      <c r="N3046">
        <v>1691534</v>
      </c>
    </row>
    <row r="3047" spans="1:14" x14ac:dyDescent="0.35">
      <c r="A3047" t="s">
        <v>125</v>
      </c>
      <c r="B3047">
        <v>202509</v>
      </c>
      <c r="C3047" t="str">
        <f>MID(analisis_productividad__4[[#This Row],[Periodo]],1,4)</f>
        <v>2025</v>
      </c>
      <c r="D3047" t="str">
        <f>MID(analisis_productividad__4[[#This Row],[Periodo]],5,2)</f>
        <v>09</v>
      </c>
      <c r="E3047" t="s">
        <v>104</v>
      </c>
      <c r="F3047" t="s">
        <v>104</v>
      </c>
      <c r="G3047">
        <v>52904</v>
      </c>
      <c r="H3047">
        <v>2612982</v>
      </c>
      <c r="I3047">
        <v>49.390736111111117</v>
      </c>
      <c r="J3047">
        <v>52429.70740386242</v>
      </c>
      <c r="K3047">
        <v>59</v>
      </c>
      <c r="L3047">
        <v>50</v>
      </c>
      <c r="M3047">
        <v>49.837808551407377</v>
      </c>
      <c r="N3047">
        <v>2630808</v>
      </c>
    </row>
    <row r="3048" spans="1:14" x14ac:dyDescent="0.35">
      <c r="A3048" t="s">
        <v>123</v>
      </c>
      <c r="B3048">
        <v>202605</v>
      </c>
      <c r="C3048" t="str">
        <f>MID(analisis_productividad__4[[#This Row],[Periodo]],1,4)</f>
        <v>2026</v>
      </c>
      <c r="D3048" t="str">
        <f>MID(analisis_productividad__4[[#This Row],[Periodo]],5,2)</f>
        <v>05</v>
      </c>
      <c r="E3048" t="s">
        <v>9</v>
      </c>
      <c r="F3048" t="s">
        <v>9</v>
      </c>
      <c r="G3048">
        <v>52881</v>
      </c>
      <c r="H3048">
        <v>539280</v>
      </c>
      <c r="I3048">
        <v>10.197936827956996</v>
      </c>
      <c r="J3048">
        <v>52188.079587348715</v>
      </c>
      <c r="K3048">
        <v>11</v>
      </c>
      <c r="L3048">
        <v>10</v>
      </c>
      <c r="M3048">
        <v>10.023956063077975</v>
      </c>
      <c r="N3048">
        <v>523131</v>
      </c>
    </row>
    <row r="3049" spans="1:14" x14ac:dyDescent="0.35">
      <c r="A3049" t="s">
        <v>108</v>
      </c>
      <c r="B3049">
        <v>202405</v>
      </c>
      <c r="C3049" t="str">
        <f>MID(analisis_productividad__4[[#This Row],[Periodo]],1,4)</f>
        <v>2024</v>
      </c>
      <c r="D3049" t="str">
        <f>MID(analisis_productividad__4[[#This Row],[Periodo]],5,2)</f>
        <v>05</v>
      </c>
      <c r="E3049" t="s">
        <v>11</v>
      </c>
      <c r="F3049" t="s">
        <v>14</v>
      </c>
      <c r="G3049">
        <v>52881</v>
      </c>
      <c r="H3049">
        <v>2649087</v>
      </c>
      <c r="I3049">
        <v>50.095490591397841</v>
      </c>
      <c r="J3049">
        <v>0</v>
      </c>
      <c r="K3049">
        <v>47.5</v>
      </c>
      <c r="L3049">
        <v>43</v>
      </c>
      <c r="N3049">
        <v>0</v>
      </c>
    </row>
    <row r="3050" spans="1:14" x14ac:dyDescent="0.35">
      <c r="A3050" t="s">
        <v>126</v>
      </c>
      <c r="B3050">
        <v>202407</v>
      </c>
      <c r="C3050" t="str">
        <f>MID(analisis_productividad__4[[#This Row],[Periodo]],1,4)</f>
        <v>2024</v>
      </c>
      <c r="D3050" t="str">
        <f>MID(analisis_productividad__4[[#This Row],[Periodo]],5,2)</f>
        <v>07</v>
      </c>
      <c r="E3050" t="s">
        <v>104</v>
      </c>
      <c r="F3050" t="s">
        <v>104</v>
      </c>
      <c r="G3050">
        <v>52847</v>
      </c>
      <c r="H3050">
        <v>3087122</v>
      </c>
      <c r="I3050">
        <v>58.415799731182794</v>
      </c>
      <c r="J3050">
        <v>0</v>
      </c>
      <c r="K3050">
        <v>64.5</v>
      </c>
      <c r="L3050">
        <v>61</v>
      </c>
      <c r="N3050">
        <v>0</v>
      </c>
    </row>
    <row r="3051" spans="1:14" x14ac:dyDescent="0.35">
      <c r="A3051" t="s">
        <v>110</v>
      </c>
      <c r="B3051">
        <v>202502</v>
      </c>
      <c r="C3051" t="str">
        <f>MID(analisis_productividad__4[[#This Row],[Periodo]],1,4)</f>
        <v>2025</v>
      </c>
      <c r="D3051" t="str">
        <f>MID(analisis_productividad__4[[#This Row],[Periodo]],5,2)</f>
        <v>02</v>
      </c>
      <c r="E3051" t="s">
        <v>34</v>
      </c>
      <c r="F3051" t="s">
        <v>35</v>
      </c>
      <c r="G3051">
        <v>52766</v>
      </c>
      <c r="H3051">
        <v>1998079</v>
      </c>
      <c r="I3051">
        <v>37.866927083333337</v>
      </c>
      <c r="J3051">
        <v>61455.796357597523</v>
      </c>
      <c r="K3051">
        <v>41.5</v>
      </c>
      <c r="L3051">
        <v>43</v>
      </c>
      <c r="M3051">
        <v>32.512464216940963</v>
      </c>
      <c r="N3051">
        <v>2186118</v>
      </c>
    </row>
    <row r="3052" spans="1:14" x14ac:dyDescent="0.35">
      <c r="A3052" t="s">
        <v>127</v>
      </c>
      <c r="B3052">
        <v>202409</v>
      </c>
      <c r="C3052" t="str">
        <f>MID(analisis_productividad__4[[#This Row],[Periodo]],1,4)</f>
        <v>2024</v>
      </c>
      <c r="D3052" t="str">
        <f>MID(analisis_productividad__4[[#This Row],[Periodo]],5,2)</f>
        <v>09</v>
      </c>
      <c r="E3052" t="s">
        <v>104</v>
      </c>
      <c r="F3052" t="s">
        <v>104</v>
      </c>
      <c r="G3052">
        <v>52747</v>
      </c>
      <c r="H3052">
        <v>3137886</v>
      </c>
      <c r="I3052">
        <v>59.4895</v>
      </c>
      <c r="J3052">
        <v>0</v>
      </c>
      <c r="K3052">
        <v>61.5</v>
      </c>
      <c r="L3052">
        <v>56</v>
      </c>
      <c r="N3052">
        <v>0</v>
      </c>
    </row>
    <row r="3053" spans="1:14" x14ac:dyDescent="0.35">
      <c r="A3053" t="s">
        <v>123</v>
      </c>
      <c r="B3053">
        <v>202501</v>
      </c>
      <c r="C3053" t="str">
        <f>MID(analisis_productividad__4[[#This Row],[Periodo]],1,4)</f>
        <v>2025</v>
      </c>
      <c r="D3053" t="str">
        <f>MID(analisis_productividad__4[[#This Row],[Periodo]],5,2)</f>
        <v>01</v>
      </c>
      <c r="E3053" t="s">
        <v>9</v>
      </c>
      <c r="F3053" t="s">
        <v>9</v>
      </c>
      <c r="G3053">
        <v>52727</v>
      </c>
      <c r="H3053">
        <v>508066</v>
      </c>
      <c r="I3053">
        <v>9.6358198924731191</v>
      </c>
      <c r="J3053">
        <v>57356.487713959672</v>
      </c>
      <c r="K3053">
        <v>11</v>
      </c>
      <c r="L3053">
        <v>10</v>
      </c>
      <c r="M3053">
        <v>8.8580315889242431</v>
      </c>
      <c r="N3053">
        <v>499820</v>
      </c>
    </row>
    <row r="3054" spans="1:14" x14ac:dyDescent="0.35">
      <c r="A3054" t="s">
        <v>99</v>
      </c>
      <c r="B3054">
        <v>202401</v>
      </c>
      <c r="C3054" t="str">
        <f>MID(analisis_productividad__4[[#This Row],[Periodo]],1,4)</f>
        <v>2024</v>
      </c>
      <c r="D3054" t="str">
        <f>MID(analisis_productividad__4[[#This Row],[Periodo]],5,2)</f>
        <v>01</v>
      </c>
      <c r="E3054" t="s">
        <v>11</v>
      </c>
      <c r="F3054" t="s">
        <v>12</v>
      </c>
      <c r="G3054">
        <v>52682</v>
      </c>
      <c r="H3054">
        <v>1441504</v>
      </c>
      <c r="I3054">
        <v>27.362237903225807</v>
      </c>
      <c r="J3054">
        <v>0</v>
      </c>
      <c r="K3054">
        <v>27</v>
      </c>
      <c r="L3054">
        <v>27</v>
      </c>
      <c r="N3054">
        <v>0</v>
      </c>
    </row>
    <row r="3055" spans="1:14" x14ac:dyDescent="0.35">
      <c r="A3055" t="s">
        <v>125</v>
      </c>
      <c r="B3055">
        <v>202506</v>
      </c>
      <c r="C3055" t="str">
        <f>MID(analisis_productividad__4[[#This Row],[Periodo]],1,4)</f>
        <v>2025</v>
      </c>
      <c r="D3055" t="str">
        <f>MID(analisis_productividad__4[[#This Row],[Periodo]],5,2)</f>
        <v>06</v>
      </c>
      <c r="E3055" t="s">
        <v>104</v>
      </c>
      <c r="F3055" t="s">
        <v>104</v>
      </c>
      <c r="G3055">
        <v>52605</v>
      </c>
      <c r="H3055">
        <v>2630192</v>
      </c>
      <c r="I3055">
        <v>49.998763888888881</v>
      </c>
      <c r="J3055">
        <v>56470.440791873014</v>
      </c>
      <c r="K3055">
        <v>59</v>
      </c>
      <c r="L3055">
        <v>50</v>
      </c>
      <c r="M3055">
        <v>46.576442526698443</v>
      </c>
      <c r="N3055">
        <v>2664799</v>
      </c>
    </row>
    <row r="3056" spans="1:14" x14ac:dyDescent="0.35">
      <c r="A3056" t="s">
        <v>116</v>
      </c>
      <c r="B3056">
        <v>202502</v>
      </c>
      <c r="C3056" t="str">
        <f>MID(analisis_productividad__4[[#This Row],[Periodo]],1,4)</f>
        <v>2025</v>
      </c>
      <c r="D3056" t="str">
        <f>MID(analisis_productividad__4[[#This Row],[Periodo]],5,2)</f>
        <v>02</v>
      </c>
      <c r="E3056" t="s">
        <v>9</v>
      </c>
      <c r="F3056" t="s">
        <v>9</v>
      </c>
      <c r="G3056">
        <v>52597</v>
      </c>
      <c r="H3056">
        <v>612858</v>
      </c>
      <c r="I3056">
        <v>11.65203125</v>
      </c>
      <c r="J3056">
        <v>61682.201320515516</v>
      </c>
      <c r="K3056">
        <v>11.5</v>
      </c>
      <c r="L3056">
        <v>10</v>
      </c>
      <c r="M3056">
        <v>9.9357274364357568</v>
      </c>
      <c r="N3056">
        <v>656556</v>
      </c>
    </row>
    <row r="3057" spans="1:14" x14ac:dyDescent="0.35">
      <c r="A3057" t="s">
        <v>123</v>
      </c>
      <c r="B3057">
        <v>202510</v>
      </c>
      <c r="C3057" t="str">
        <f>MID(analisis_productividad__4[[#This Row],[Periodo]],1,4)</f>
        <v>2025</v>
      </c>
      <c r="D3057" t="str">
        <f>MID(analisis_productividad__4[[#This Row],[Periodo]],5,2)</f>
        <v>10</v>
      </c>
      <c r="E3057" t="s">
        <v>9</v>
      </c>
      <c r="F3057" t="s">
        <v>9</v>
      </c>
      <c r="G3057">
        <v>52574</v>
      </c>
      <c r="H3057">
        <v>515069</v>
      </c>
      <c r="I3057">
        <v>9.7971303763440876</v>
      </c>
      <c r="J3057">
        <v>59891.098225540569</v>
      </c>
      <c r="K3057">
        <v>11</v>
      </c>
      <c r="L3057">
        <v>10</v>
      </c>
      <c r="M3057">
        <v>8.6001007705740911</v>
      </c>
      <c r="N3057">
        <v>570134</v>
      </c>
    </row>
    <row r="3058" spans="1:14" x14ac:dyDescent="0.35">
      <c r="A3058" t="s">
        <v>99</v>
      </c>
      <c r="B3058">
        <v>202410</v>
      </c>
      <c r="C3058" t="str">
        <f>MID(analisis_productividad__4[[#This Row],[Periodo]],1,4)</f>
        <v>2024</v>
      </c>
      <c r="D3058" t="str">
        <f>MID(analisis_productividad__4[[#This Row],[Periodo]],5,2)</f>
        <v>10</v>
      </c>
      <c r="E3058" t="s">
        <v>11</v>
      </c>
      <c r="F3058" t="s">
        <v>12</v>
      </c>
      <c r="G3058">
        <v>52566</v>
      </c>
      <c r="H3058">
        <v>1389080</v>
      </c>
      <c r="I3058">
        <v>26.425329301075269</v>
      </c>
      <c r="J3058">
        <v>0</v>
      </c>
      <c r="K3058">
        <v>27</v>
      </c>
      <c r="L3058">
        <v>27</v>
      </c>
      <c r="N3058">
        <v>0</v>
      </c>
    </row>
    <row r="3059" spans="1:14" x14ac:dyDescent="0.35">
      <c r="A3059" t="s">
        <v>125</v>
      </c>
      <c r="B3059">
        <v>202405</v>
      </c>
      <c r="C3059" t="str">
        <f>MID(analisis_productividad__4[[#This Row],[Periodo]],1,4)</f>
        <v>2024</v>
      </c>
      <c r="D3059" t="str">
        <f>MID(analisis_productividad__4[[#This Row],[Periodo]],5,2)</f>
        <v>05</v>
      </c>
      <c r="E3059" t="s">
        <v>104</v>
      </c>
      <c r="F3059" t="s">
        <v>104</v>
      </c>
      <c r="G3059">
        <v>52505</v>
      </c>
      <c r="H3059">
        <v>2592295</v>
      </c>
      <c r="I3059">
        <v>49.372345430107522</v>
      </c>
      <c r="J3059">
        <v>0</v>
      </c>
      <c r="K3059">
        <v>59</v>
      </c>
      <c r="L3059">
        <v>50</v>
      </c>
      <c r="N3059">
        <v>0</v>
      </c>
    </row>
    <row r="3060" spans="1:14" x14ac:dyDescent="0.35">
      <c r="A3060" t="s">
        <v>124</v>
      </c>
      <c r="B3060">
        <v>202501</v>
      </c>
      <c r="C3060" t="str">
        <f>MID(analisis_productividad__4[[#This Row],[Periodo]],1,4)</f>
        <v>2025</v>
      </c>
      <c r="D3060" t="str">
        <f>MID(analisis_productividad__4[[#This Row],[Periodo]],5,2)</f>
        <v>01</v>
      </c>
      <c r="E3060" t="s">
        <v>9</v>
      </c>
      <c r="F3060" t="s">
        <v>9</v>
      </c>
      <c r="G3060">
        <v>52483</v>
      </c>
      <c r="H3060">
        <v>548450</v>
      </c>
      <c r="I3060">
        <v>10.449946236559143</v>
      </c>
      <c r="J3060">
        <v>74799.0883853165</v>
      </c>
      <c r="K3060">
        <v>11</v>
      </c>
      <c r="L3060">
        <v>12</v>
      </c>
      <c r="M3060">
        <v>7.3323029977951437</v>
      </c>
      <c r="N3060">
        <v>734740</v>
      </c>
    </row>
    <row r="3061" spans="1:14" x14ac:dyDescent="0.35">
      <c r="A3061" t="s">
        <v>125</v>
      </c>
      <c r="B3061">
        <v>202404</v>
      </c>
      <c r="C3061" t="str">
        <f>MID(analisis_productividad__4[[#This Row],[Periodo]],1,4)</f>
        <v>2024</v>
      </c>
      <c r="D3061" t="str">
        <f>MID(analisis_productividad__4[[#This Row],[Periodo]],5,2)</f>
        <v>04</v>
      </c>
      <c r="E3061" t="s">
        <v>104</v>
      </c>
      <c r="F3061" t="s">
        <v>104</v>
      </c>
      <c r="G3061">
        <v>52435</v>
      </c>
      <c r="H3061">
        <v>2473562</v>
      </c>
      <c r="I3061">
        <v>47.17421527777779</v>
      </c>
      <c r="J3061">
        <v>0</v>
      </c>
      <c r="K3061">
        <v>59</v>
      </c>
      <c r="L3061">
        <v>50</v>
      </c>
      <c r="N3061">
        <v>0</v>
      </c>
    </row>
    <row r="3062" spans="1:14" x14ac:dyDescent="0.35">
      <c r="A3062" t="s">
        <v>126</v>
      </c>
      <c r="B3062">
        <v>202511</v>
      </c>
      <c r="C3062" t="str">
        <f>MID(analisis_productividad__4[[#This Row],[Periodo]],1,4)</f>
        <v>2025</v>
      </c>
      <c r="D3062" t="str">
        <f>MID(analisis_productividad__4[[#This Row],[Periodo]],5,2)</f>
        <v>11</v>
      </c>
      <c r="E3062" t="s">
        <v>104</v>
      </c>
      <c r="F3062" t="s">
        <v>104</v>
      </c>
      <c r="G3062">
        <v>52428</v>
      </c>
      <c r="H3062">
        <v>3117185</v>
      </c>
      <c r="I3062">
        <v>59.456104166666677</v>
      </c>
      <c r="J3062">
        <v>58424.288965121152</v>
      </c>
      <c r="K3062">
        <v>64.5</v>
      </c>
      <c r="L3062">
        <v>61</v>
      </c>
      <c r="M3062">
        <v>53.354272259281331</v>
      </c>
      <c r="N3062">
        <v>2911116</v>
      </c>
    </row>
    <row r="3063" spans="1:14" x14ac:dyDescent="0.35">
      <c r="A3063" t="s">
        <v>121</v>
      </c>
      <c r="B3063">
        <v>202405</v>
      </c>
      <c r="C3063" t="str">
        <f>MID(analisis_productividad__4[[#This Row],[Periodo]],1,4)</f>
        <v>2024</v>
      </c>
      <c r="D3063" t="str">
        <f>MID(analisis_productividad__4[[#This Row],[Periodo]],5,2)</f>
        <v>05</v>
      </c>
      <c r="E3063" t="s">
        <v>11</v>
      </c>
      <c r="F3063" t="s">
        <v>14</v>
      </c>
      <c r="G3063">
        <v>52428</v>
      </c>
      <c r="H3063">
        <v>1946892</v>
      </c>
      <c r="I3063">
        <v>37.134670698924729</v>
      </c>
      <c r="J3063">
        <v>0</v>
      </c>
      <c r="K3063">
        <v>36</v>
      </c>
      <c r="L3063">
        <v>35</v>
      </c>
      <c r="N3063">
        <v>0</v>
      </c>
    </row>
    <row r="3064" spans="1:14" x14ac:dyDescent="0.35">
      <c r="A3064" t="s">
        <v>99</v>
      </c>
      <c r="B3064">
        <v>202506</v>
      </c>
      <c r="C3064" t="str">
        <f>MID(analisis_productividad__4[[#This Row],[Periodo]],1,4)</f>
        <v>2025</v>
      </c>
      <c r="D3064" t="str">
        <f>MID(analisis_productividad__4[[#This Row],[Periodo]],5,2)</f>
        <v>06</v>
      </c>
      <c r="E3064" t="s">
        <v>11</v>
      </c>
      <c r="F3064" t="s">
        <v>12</v>
      </c>
      <c r="G3064">
        <v>52369</v>
      </c>
      <c r="H3064">
        <v>1342678</v>
      </c>
      <c r="I3064">
        <v>25.6388125</v>
      </c>
      <c r="J3064">
        <v>55705.595022175126</v>
      </c>
      <c r="K3064">
        <v>27</v>
      </c>
      <c r="L3064">
        <v>27</v>
      </c>
      <c r="M3064">
        <v>24.103102739778841</v>
      </c>
      <c r="N3064">
        <v>1455251</v>
      </c>
    </row>
    <row r="3065" spans="1:14" x14ac:dyDescent="0.35">
      <c r="A3065" t="s">
        <v>102</v>
      </c>
      <c r="B3065">
        <v>202501</v>
      </c>
      <c r="C3065" t="str">
        <f>MID(analisis_productividad__4[[#This Row],[Periodo]],1,4)</f>
        <v>2025</v>
      </c>
      <c r="D3065" t="str">
        <f>MID(analisis_productividad__4[[#This Row],[Periodo]],5,2)</f>
        <v>01</v>
      </c>
      <c r="E3065" t="s">
        <v>11</v>
      </c>
      <c r="F3065" t="s">
        <v>12</v>
      </c>
      <c r="G3065">
        <v>52324</v>
      </c>
      <c r="H3065">
        <v>1721569</v>
      </c>
      <c r="I3065">
        <v>32.902305107526885</v>
      </c>
      <c r="J3065">
        <v>56332.356932189366</v>
      </c>
      <c r="K3065">
        <v>34</v>
      </c>
      <c r="L3065">
        <v>34</v>
      </c>
      <c r="M3065">
        <v>30.560925083826262</v>
      </c>
      <c r="N3065">
        <v>1757393</v>
      </c>
    </row>
    <row r="3066" spans="1:14" x14ac:dyDescent="0.35">
      <c r="A3066" t="s">
        <v>123</v>
      </c>
      <c r="B3066">
        <v>202504</v>
      </c>
      <c r="C3066" t="str">
        <f>MID(analisis_productividad__4[[#This Row],[Periodo]],1,4)</f>
        <v>2025</v>
      </c>
      <c r="D3066" t="str">
        <f>MID(analisis_productividad__4[[#This Row],[Periodo]],5,2)</f>
        <v>04</v>
      </c>
      <c r="E3066" t="s">
        <v>9</v>
      </c>
      <c r="F3066" t="s">
        <v>9</v>
      </c>
      <c r="G3066">
        <v>52319</v>
      </c>
      <c r="H3066">
        <v>505348</v>
      </c>
      <c r="I3066">
        <v>9.6589305555555569</v>
      </c>
      <c r="J3066">
        <v>56001.942457830388</v>
      </c>
      <c r="K3066">
        <v>11</v>
      </c>
      <c r="L3066">
        <v>10</v>
      </c>
      <c r="M3066">
        <v>9.0237628878771226</v>
      </c>
      <c r="N3066">
        <v>557384</v>
      </c>
    </row>
    <row r="3067" spans="1:14" x14ac:dyDescent="0.35">
      <c r="A3067" t="s">
        <v>121</v>
      </c>
      <c r="B3067">
        <v>202502</v>
      </c>
      <c r="C3067" t="str">
        <f>MID(analisis_productividad__4[[#This Row],[Periodo]],1,4)</f>
        <v>2025</v>
      </c>
      <c r="D3067" t="str">
        <f>MID(analisis_productividad__4[[#This Row],[Periodo]],5,2)</f>
        <v>02</v>
      </c>
      <c r="E3067" t="s">
        <v>11</v>
      </c>
      <c r="F3067" t="s">
        <v>14</v>
      </c>
      <c r="G3067">
        <v>52294</v>
      </c>
      <c r="H3067">
        <v>1822181</v>
      </c>
      <c r="I3067">
        <v>34.844947916666669</v>
      </c>
      <c r="J3067">
        <v>55777.710460670605</v>
      </c>
      <c r="K3067">
        <v>36</v>
      </c>
      <c r="L3067">
        <v>35</v>
      </c>
      <c r="M3067">
        <v>32.66861663826873</v>
      </c>
      <c r="N3067">
        <v>1889604</v>
      </c>
    </row>
    <row r="3068" spans="1:14" x14ac:dyDescent="0.35">
      <c r="A3068" t="s">
        <v>125</v>
      </c>
      <c r="B3068">
        <v>202510</v>
      </c>
      <c r="C3068" t="str">
        <f>MID(analisis_productividad__4[[#This Row],[Periodo]],1,4)</f>
        <v>2025</v>
      </c>
      <c r="D3068" t="str">
        <f>MID(analisis_productividad__4[[#This Row],[Periodo]],5,2)</f>
        <v>10</v>
      </c>
      <c r="E3068" t="s">
        <v>104</v>
      </c>
      <c r="F3068" t="s">
        <v>104</v>
      </c>
      <c r="G3068">
        <v>52289</v>
      </c>
      <c r="H3068">
        <v>2690444</v>
      </c>
      <c r="I3068">
        <v>51.453010752688165</v>
      </c>
      <c r="J3068">
        <v>53969.594142716662</v>
      </c>
      <c r="K3068">
        <v>59</v>
      </c>
      <c r="L3068">
        <v>50</v>
      </c>
      <c r="M3068">
        <v>49.851113441494775</v>
      </c>
      <c r="N3068">
        <v>2591051</v>
      </c>
    </row>
    <row r="3069" spans="1:14" x14ac:dyDescent="0.35">
      <c r="A3069" t="s">
        <v>101</v>
      </c>
      <c r="B3069">
        <v>202501</v>
      </c>
      <c r="C3069" t="str">
        <f>MID(analisis_productividad__4[[#This Row],[Periodo]],1,4)</f>
        <v>2025</v>
      </c>
      <c r="D3069" t="str">
        <f>MID(analisis_productividad__4[[#This Row],[Periodo]],5,2)</f>
        <v>01</v>
      </c>
      <c r="E3069" t="s">
        <v>9</v>
      </c>
      <c r="F3069" t="s">
        <v>9</v>
      </c>
      <c r="G3069">
        <v>52250</v>
      </c>
      <c r="H3069">
        <v>334725</v>
      </c>
      <c r="I3069">
        <v>6.4062231182795717</v>
      </c>
      <c r="J3069">
        <v>45144.947732618435</v>
      </c>
      <c r="K3069">
        <v>8.5</v>
      </c>
      <c r="L3069">
        <v>6.5</v>
      </c>
      <c r="M3069">
        <v>7.414459796974179</v>
      </c>
      <c r="N3069">
        <v>330888</v>
      </c>
    </row>
    <row r="3070" spans="1:14" x14ac:dyDescent="0.35">
      <c r="A3070" t="s">
        <v>109</v>
      </c>
      <c r="B3070">
        <v>202505</v>
      </c>
      <c r="C3070" t="str">
        <f>MID(analisis_productividad__4[[#This Row],[Periodo]],1,4)</f>
        <v>2025</v>
      </c>
      <c r="D3070" t="str">
        <f>MID(analisis_productividad__4[[#This Row],[Periodo]],5,2)</f>
        <v>05</v>
      </c>
      <c r="E3070" t="s">
        <v>9</v>
      </c>
      <c r="F3070" t="s">
        <v>9</v>
      </c>
      <c r="G3070">
        <v>52242</v>
      </c>
      <c r="H3070">
        <v>451697</v>
      </c>
      <c r="I3070">
        <v>8.6461760752688193</v>
      </c>
      <c r="J3070">
        <v>61383.33250430593</v>
      </c>
      <c r="K3070">
        <v>10</v>
      </c>
      <c r="L3070">
        <v>9</v>
      </c>
      <c r="M3070">
        <v>7.3586223095384105</v>
      </c>
      <c r="N3070">
        <v>576186</v>
      </c>
    </row>
    <row r="3071" spans="1:14" x14ac:dyDescent="0.35">
      <c r="A3071" t="s">
        <v>99</v>
      </c>
      <c r="B3071">
        <v>202501</v>
      </c>
      <c r="C3071" t="str">
        <f>MID(analisis_productividad__4[[#This Row],[Periodo]],1,4)</f>
        <v>2025</v>
      </c>
      <c r="D3071" t="str">
        <f>MID(analisis_productividad__4[[#This Row],[Periodo]],5,2)</f>
        <v>01</v>
      </c>
      <c r="E3071" t="s">
        <v>11</v>
      </c>
      <c r="F3071" t="s">
        <v>12</v>
      </c>
      <c r="G3071">
        <v>52238</v>
      </c>
      <c r="H3071">
        <v>1401792</v>
      </c>
      <c r="I3071">
        <v>26.83488575268818</v>
      </c>
      <c r="J3071">
        <v>55316.356061707957</v>
      </c>
      <c r="K3071">
        <v>27</v>
      </c>
      <c r="L3071">
        <v>27</v>
      </c>
      <c r="M3071">
        <v>25.341357236840341</v>
      </c>
      <c r="N3071">
        <v>1489176</v>
      </c>
    </row>
    <row r="3072" spans="1:14" x14ac:dyDescent="0.35">
      <c r="A3072" t="s">
        <v>126</v>
      </c>
      <c r="B3072">
        <v>202403</v>
      </c>
      <c r="C3072" t="str">
        <f>MID(analisis_productividad__4[[#This Row],[Periodo]],1,4)</f>
        <v>2024</v>
      </c>
      <c r="D3072" t="str">
        <f>MID(analisis_productividad__4[[#This Row],[Periodo]],5,2)</f>
        <v>03</v>
      </c>
      <c r="E3072" t="s">
        <v>104</v>
      </c>
      <c r="F3072" t="s">
        <v>104</v>
      </c>
      <c r="G3072">
        <v>52083</v>
      </c>
      <c r="H3072">
        <v>3110147</v>
      </c>
      <c r="I3072">
        <v>59.714892473118269</v>
      </c>
      <c r="J3072">
        <v>0</v>
      </c>
      <c r="K3072">
        <v>64.5</v>
      </c>
      <c r="L3072">
        <v>61</v>
      </c>
      <c r="N3072">
        <v>0</v>
      </c>
    </row>
    <row r="3073" spans="1:14" x14ac:dyDescent="0.35">
      <c r="A3073" t="s">
        <v>122</v>
      </c>
      <c r="B3073">
        <v>202402</v>
      </c>
      <c r="C3073" t="str">
        <f>MID(analisis_productividad__4[[#This Row],[Periodo]],1,4)</f>
        <v>2024</v>
      </c>
      <c r="D3073" t="str">
        <f>MID(analisis_productividad__4[[#This Row],[Periodo]],5,2)</f>
        <v>02</v>
      </c>
      <c r="E3073" t="s">
        <v>104</v>
      </c>
      <c r="F3073" t="s">
        <v>104</v>
      </c>
      <c r="G3073">
        <v>52000</v>
      </c>
      <c r="H3073">
        <v>4655588</v>
      </c>
      <c r="I3073">
        <v>89.530000000000072</v>
      </c>
      <c r="J3073">
        <v>0</v>
      </c>
      <c r="K3073">
        <v>22</v>
      </c>
      <c r="L3073">
        <v>20</v>
      </c>
      <c r="N3073">
        <v>0</v>
      </c>
    </row>
    <row r="3074" spans="1:14" x14ac:dyDescent="0.35">
      <c r="A3074" t="s">
        <v>125</v>
      </c>
      <c r="B3074">
        <v>202407</v>
      </c>
      <c r="C3074" t="str">
        <f>MID(analisis_productividad__4[[#This Row],[Periodo]],1,4)</f>
        <v>2024</v>
      </c>
      <c r="D3074" t="str">
        <f>MID(analisis_productividad__4[[#This Row],[Periodo]],5,2)</f>
        <v>07</v>
      </c>
      <c r="E3074" t="s">
        <v>104</v>
      </c>
      <c r="F3074" t="s">
        <v>104</v>
      </c>
      <c r="G3074">
        <v>51986</v>
      </c>
      <c r="H3074">
        <v>2520235</v>
      </c>
      <c r="I3074">
        <v>48.479186827956987</v>
      </c>
      <c r="J3074">
        <v>0</v>
      </c>
      <c r="K3074">
        <v>59</v>
      </c>
      <c r="L3074">
        <v>50</v>
      </c>
      <c r="N3074">
        <v>0</v>
      </c>
    </row>
    <row r="3075" spans="1:14" x14ac:dyDescent="0.35">
      <c r="A3075" t="s">
        <v>125</v>
      </c>
      <c r="B3075">
        <v>202504</v>
      </c>
      <c r="C3075" t="str">
        <f>MID(analisis_productividad__4[[#This Row],[Periodo]],1,4)</f>
        <v>2025</v>
      </c>
      <c r="D3075" t="str">
        <f>MID(analisis_productividad__4[[#This Row],[Periodo]],5,2)</f>
        <v>04</v>
      </c>
      <c r="E3075" t="s">
        <v>104</v>
      </c>
      <c r="F3075" t="s">
        <v>104</v>
      </c>
      <c r="G3075">
        <v>51892</v>
      </c>
      <c r="H3075">
        <v>2724024</v>
      </c>
      <c r="I3075">
        <v>52.493874999999996</v>
      </c>
      <c r="J3075">
        <v>55056.33982900557</v>
      </c>
      <c r="K3075">
        <v>59</v>
      </c>
      <c r="L3075">
        <v>50</v>
      </c>
      <c r="M3075">
        <v>49.477025506241361</v>
      </c>
      <c r="N3075">
        <v>2640198</v>
      </c>
    </row>
    <row r="3076" spans="1:14" x14ac:dyDescent="0.35">
      <c r="A3076" t="s">
        <v>105</v>
      </c>
      <c r="B3076">
        <v>202502</v>
      </c>
      <c r="C3076" t="str">
        <f>MID(analisis_productividad__4[[#This Row],[Periodo]],1,4)</f>
        <v>2025</v>
      </c>
      <c r="D3076" t="str">
        <f>MID(analisis_productividad__4[[#This Row],[Periodo]],5,2)</f>
        <v>02</v>
      </c>
      <c r="E3076" t="s">
        <v>34</v>
      </c>
      <c r="F3076" t="s">
        <v>35</v>
      </c>
      <c r="G3076">
        <v>51814</v>
      </c>
      <c r="H3076">
        <v>2187190</v>
      </c>
      <c r="I3076">
        <v>42.212187499999999</v>
      </c>
      <c r="J3076">
        <v>55689.97495597729</v>
      </c>
      <c r="K3076">
        <v>33</v>
      </c>
      <c r="L3076">
        <v>31.5</v>
      </c>
      <c r="M3076">
        <v>39.274389541905258</v>
      </c>
      <c r="N3076">
        <v>2295554</v>
      </c>
    </row>
    <row r="3077" spans="1:14" x14ac:dyDescent="0.35">
      <c r="A3077" t="s">
        <v>125</v>
      </c>
      <c r="B3077">
        <v>202505</v>
      </c>
      <c r="C3077" t="str">
        <f>MID(analisis_productividad__4[[#This Row],[Periodo]],1,4)</f>
        <v>2025</v>
      </c>
      <c r="D3077" t="str">
        <f>MID(analisis_productividad__4[[#This Row],[Periodo]],5,2)</f>
        <v>05</v>
      </c>
      <c r="E3077" t="s">
        <v>104</v>
      </c>
      <c r="F3077" t="s">
        <v>104</v>
      </c>
      <c r="G3077">
        <v>51812</v>
      </c>
      <c r="H3077">
        <v>2785143</v>
      </c>
      <c r="I3077">
        <v>53.754778225806469</v>
      </c>
      <c r="J3077">
        <v>55130.252407254789</v>
      </c>
      <c r="K3077">
        <v>59</v>
      </c>
      <c r="L3077">
        <v>50</v>
      </c>
      <c r="M3077">
        <v>50.519327018961611</v>
      </c>
      <c r="N3077">
        <v>2743378</v>
      </c>
    </row>
    <row r="3078" spans="1:14" x14ac:dyDescent="0.35">
      <c r="A3078" t="s">
        <v>125</v>
      </c>
      <c r="B3078">
        <v>202402</v>
      </c>
      <c r="C3078" t="str">
        <f>MID(analisis_productividad__4[[#This Row],[Periodo]],1,4)</f>
        <v>2024</v>
      </c>
      <c r="D3078" t="str">
        <f>MID(analisis_productividad__4[[#This Row],[Periodo]],5,2)</f>
        <v>02</v>
      </c>
      <c r="E3078" t="s">
        <v>104</v>
      </c>
      <c r="F3078" t="s">
        <v>104</v>
      </c>
      <c r="G3078">
        <v>51722</v>
      </c>
      <c r="H3078">
        <v>2385344</v>
      </c>
      <c r="I3078">
        <v>46.11873563218392</v>
      </c>
      <c r="J3078">
        <v>0</v>
      </c>
      <c r="K3078">
        <v>59</v>
      </c>
      <c r="L3078">
        <v>50</v>
      </c>
      <c r="N3078">
        <v>0</v>
      </c>
    </row>
    <row r="3079" spans="1:14" x14ac:dyDescent="0.35">
      <c r="A3079" t="s">
        <v>125</v>
      </c>
      <c r="B3079">
        <v>202602</v>
      </c>
      <c r="C3079" t="str">
        <f>MID(analisis_productividad__4[[#This Row],[Periodo]],1,4)</f>
        <v>2026</v>
      </c>
      <c r="D3079" t="str">
        <f>MID(analisis_productividad__4[[#This Row],[Periodo]],5,2)</f>
        <v>02</v>
      </c>
      <c r="E3079" t="s">
        <v>104</v>
      </c>
      <c r="F3079" t="s">
        <v>104</v>
      </c>
      <c r="G3079">
        <v>51681</v>
      </c>
      <c r="H3079">
        <v>2534449</v>
      </c>
      <c r="I3079">
        <v>49.039791666666666</v>
      </c>
      <c r="J3079">
        <v>48630.034641068596</v>
      </c>
      <c r="K3079">
        <v>59</v>
      </c>
      <c r="L3079">
        <v>50</v>
      </c>
      <c r="M3079">
        <v>50.48039166574727</v>
      </c>
      <c r="N3079">
        <v>2454863</v>
      </c>
    </row>
    <row r="3080" spans="1:14" x14ac:dyDescent="0.35">
      <c r="A3080" t="s">
        <v>126</v>
      </c>
      <c r="B3080">
        <v>202406</v>
      </c>
      <c r="C3080" t="str">
        <f>MID(analisis_productividad__4[[#This Row],[Periodo]],1,4)</f>
        <v>2024</v>
      </c>
      <c r="D3080" t="str">
        <f>MID(analisis_productividad__4[[#This Row],[Periodo]],5,2)</f>
        <v>06</v>
      </c>
      <c r="E3080" t="s">
        <v>104</v>
      </c>
      <c r="F3080" t="s">
        <v>104</v>
      </c>
      <c r="G3080">
        <v>51679</v>
      </c>
      <c r="H3080">
        <v>2960686</v>
      </c>
      <c r="I3080">
        <v>57.290138888888897</v>
      </c>
      <c r="J3080">
        <v>0</v>
      </c>
      <c r="K3080">
        <v>64.5</v>
      </c>
      <c r="L3080">
        <v>61</v>
      </c>
      <c r="N3080">
        <v>0</v>
      </c>
    </row>
    <row r="3081" spans="1:14" x14ac:dyDescent="0.35">
      <c r="A3081" t="s">
        <v>126</v>
      </c>
      <c r="B3081">
        <v>202510</v>
      </c>
      <c r="C3081" t="str">
        <f>MID(analisis_productividad__4[[#This Row],[Periodo]],1,4)</f>
        <v>2025</v>
      </c>
      <c r="D3081" t="str">
        <f>MID(analisis_productividad__4[[#This Row],[Periodo]],5,2)</f>
        <v>10</v>
      </c>
      <c r="E3081" t="s">
        <v>104</v>
      </c>
      <c r="F3081" t="s">
        <v>104</v>
      </c>
      <c r="G3081">
        <v>51664</v>
      </c>
      <c r="H3081">
        <v>3131366</v>
      </c>
      <c r="I3081">
        <v>60.609932795698924</v>
      </c>
      <c r="J3081">
        <v>57778.033649377001</v>
      </c>
      <c r="K3081">
        <v>64.5</v>
      </c>
      <c r="L3081">
        <v>61</v>
      </c>
      <c r="M3081">
        <v>54.196476969128639</v>
      </c>
      <c r="N3081">
        <v>3087451</v>
      </c>
    </row>
    <row r="3082" spans="1:14" x14ac:dyDescent="0.35">
      <c r="A3082" t="s">
        <v>102</v>
      </c>
      <c r="B3082">
        <v>202405</v>
      </c>
      <c r="C3082" t="str">
        <f>MID(analisis_productividad__4[[#This Row],[Periodo]],1,4)</f>
        <v>2024</v>
      </c>
      <c r="D3082" t="str">
        <f>MID(analisis_productividad__4[[#This Row],[Periodo]],5,2)</f>
        <v>05</v>
      </c>
      <c r="E3082" t="s">
        <v>11</v>
      </c>
      <c r="F3082" t="s">
        <v>12</v>
      </c>
      <c r="G3082">
        <v>51664</v>
      </c>
      <c r="H3082">
        <v>1686671</v>
      </c>
      <c r="I3082">
        <v>32.646814516129034</v>
      </c>
      <c r="J3082">
        <v>0</v>
      </c>
      <c r="K3082">
        <v>34</v>
      </c>
      <c r="L3082">
        <v>34</v>
      </c>
      <c r="N3082">
        <v>0</v>
      </c>
    </row>
    <row r="3083" spans="1:14" x14ac:dyDescent="0.35">
      <c r="A3083" t="s">
        <v>99</v>
      </c>
      <c r="B3083">
        <v>202411</v>
      </c>
      <c r="C3083" t="str">
        <f>MID(analisis_productividad__4[[#This Row],[Periodo]],1,4)</f>
        <v>2024</v>
      </c>
      <c r="D3083" t="str">
        <f>MID(analisis_productividad__4[[#This Row],[Periodo]],5,2)</f>
        <v>11</v>
      </c>
      <c r="E3083" t="s">
        <v>11</v>
      </c>
      <c r="F3083" t="s">
        <v>12</v>
      </c>
      <c r="G3083">
        <v>51596</v>
      </c>
      <c r="H3083">
        <v>1493207</v>
      </c>
      <c r="I3083">
        <v>28.940576388888896</v>
      </c>
      <c r="J3083">
        <v>0</v>
      </c>
      <c r="K3083">
        <v>27</v>
      </c>
      <c r="L3083">
        <v>27</v>
      </c>
      <c r="N3083">
        <v>0</v>
      </c>
    </row>
    <row r="3084" spans="1:14" x14ac:dyDescent="0.35">
      <c r="A3084" t="s">
        <v>99</v>
      </c>
      <c r="B3084">
        <v>202404</v>
      </c>
      <c r="C3084" t="str">
        <f>MID(analisis_productividad__4[[#This Row],[Periodo]],1,4)</f>
        <v>2024</v>
      </c>
      <c r="D3084" t="str">
        <f>MID(analisis_productividad__4[[#This Row],[Periodo]],5,2)</f>
        <v>04</v>
      </c>
      <c r="E3084" t="s">
        <v>11</v>
      </c>
      <c r="F3084" t="s">
        <v>12</v>
      </c>
      <c r="G3084">
        <v>51501</v>
      </c>
      <c r="H3084">
        <v>1352943</v>
      </c>
      <c r="I3084">
        <v>26.270173611111115</v>
      </c>
      <c r="J3084">
        <v>0</v>
      </c>
      <c r="K3084">
        <v>27</v>
      </c>
      <c r="L3084">
        <v>27</v>
      </c>
      <c r="N3084">
        <v>0</v>
      </c>
    </row>
    <row r="3085" spans="1:14" x14ac:dyDescent="0.35">
      <c r="A3085" t="s">
        <v>125</v>
      </c>
      <c r="B3085">
        <v>202507</v>
      </c>
      <c r="C3085" t="str">
        <f>MID(analisis_productividad__4[[#This Row],[Periodo]],1,4)</f>
        <v>2025</v>
      </c>
      <c r="D3085" t="str">
        <f>MID(analisis_productividad__4[[#This Row],[Periodo]],5,2)</f>
        <v>07</v>
      </c>
      <c r="E3085" t="s">
        <v>104</v>
      </c>
      <c r="F3085" t="s">
        <v>104</v>
      </c>
      <c r="G3085">
        <v>51476</v>
      </c>
      <c r="H3085">
        <v>2602056</v>
      </c>
      <c r="I3085">
        <v>50.549126344086012</v>
      </c>
      <c r="J3085">
        <v>54585.21864013531</v>
      </c>
      <c r="K3085">
        <v>59</v>
      </c>
      <c r="L3085">
        <v>50</v>
      </c>
      <c r="M3085">
        <v>47.669610653290754</v>
      </c>
      <c r="N3085">
        <v>3096765</v>
      </c>
    </row>
    <row r="3086" spans="1:14" x14ac:dyDescent="0.35">
      <c r="A3086" t="s">
        <v>128</v>
      </c>
      <c r="B3086">
        <v>202511</v>
      </c>
      <c r="C3086" t="str">
        <f>MID(analisis_productividad__4[[#This Row],[Periodo]],1,4)</f>
        <v>2025</v>
      </c>
      <c r="D3086" t="str">
        <f>MID(analisis_productividad__4[[#This Row],[Periodo]],5,2)</f>
        <v>11</v>
      </c>
      <c r="E3086" t="s">
        <v>104</v>
      </c>
      <c r="F3086" t="s">
        <v>104</v>
      </c>
      <c r="G3086">
        <v>51460</v>
      </c>
      <c r="H3086">
        <v>2609914</v>
      </c>
      <c r="I3086">
        <v>50.716944444444444</v>
      </c>
      <c r="J3086">
        <v>49860.834530312073</v>
      </c>
      <c r="K3086">
        <v>57.5</v>
      </c>
      <c r="L3086">
        <v>57</v>
      </c>
      <c r="M3086">
        <v>52.343971066375659</v>
      </c>
      <c r="N3086">
        <v>2458458</v>
      </c>
    </row>
    <row r="3087" spans="1:14" x14ac:dyDescent="0.35">
      <c r="A3087" t="s">
        <v>128</v>
      </c>
      <c r="B3087">
        <v>202506</v>
      </c>
      <c r="C3087" t="str">
        <f>MID(analisis_productividad__4[[#This Row],[Periodo]],1,4)</f>
        <v>2025</v>
      </c>
      <c r="D3087" t="str">
        <f>MID(analisis_productividad__4[[#This Row],[Periodo]],5,2)</f>
        <v>06</v>
      </c>
      <c r="E3087" t="s">
        <v>104</v>
      </c>
      <c r="F3087" t="s">
        <v>104</v>
      </c>
      <c r="G3087">
        <v>51448</v>
      </c>
      <c r="H3087">
        <v>2482002</v>
      </c>
      <c r="I3087">
        <v>48.242590277777779</v>
      </c>
      <c r="J3087">
        <v>53028.421315840475</v>
      </c>
      <c r="K3087">
        <v>57.5</v>
      </c>
      <c r="L3087">
        <v>57</v>
      </c>
      <c r="M3087">
        <v>46.805120318725841</v>
      </c>
      <c r="N3087">
        <v>2615883</v>
      </c>
    </row>
    <row r="3088" spans="1:14" x14ac:dyDescent="0.35">
      <c r="A3088" t="s">
        <v>121</v>
      </c>
      <c r="B3088">
        <v>202409</v>
      </c>
      <c r="C3088" t="str">
        <f>MID(analisis_productividad__4[[#This Row],[Periodo]],1,4)</f>
        <v>2024</v>
      </c>
      <c r="D3088" t="str">
        <f>MID(analisis_productividad__4[[#This Row],[Periodo]],5,2)</f>
        <v>09</v>
      </c>
      <c r="E3088" t="s">
        <v>11</v>
      </c>
      <c r="F3088" t="s">
        <v>14</v>
      </c>
      <c r="G3088">
        <v>51409</v>
      </c>
      <c r="H3088">
        <v>1889631</v>
      </c>
      <c r="I3088">
        <v>36.756465277777771</v>
      </c>
      <c r="J3088">
        <v>0</v>
      </c>
      <c r="K3088">
        <v>36</v>
      </c>
      <c r="L3088">
        <v>35</v>
      </c>
      <c r="N3088">
        <v>0</v>
      </c>
    </row>
    <row r="3089" spans="1:14" x14ac:dyDescent="0.35">
      <c r="A3089" t="s">
        <v>125</v>
      </c>
      <c r="B3089">
        <v>202410</v>
      </c>
      <c r="C3089" t="str">
        <f>MID(analisis_productividad__4[[#This Row],[Periodo]],1,4)</f>
        <v>2024</v>
      </c>
      <c r="D3089" t="str">
        <f>MID(analisis_productividad__4[[#This Row],[Periodo]],5,2)</f>
        <v>10</v>
      </c>
      <c r="E3089" t="s">
        <v>104</v>
      </c>
      <c r="F3089" t="s">
        <v>104</v>
      </c>
      <c r="G3089">
        <v>51400</v>
      </c>
      <c r="H3089">
        <v>2699500</v>
      </c>
      <c r="I3089">
        <v>52.519852150537631</v>
      </c>
      <c r="J3089">
        <v>0</v>
      </c>
      <c r="K3089">
        <v>59</v>
      </c>
      <c r="L3089">
        <v>50</v>
      </c>
      <c r="N3089">
        <v>0</v>
      </c>
    </row>
    <row r="3090" spans="1:14" x14ac:dyDescent="0.35">
      <c r="A3090" t="s">
        <v>123</v>
      </c>
      <c r="B3090">
        <v>202602</v>
      </c>
      <c r="C3090" t="str">
        <f>MID(analisis_productividad__4[[#This Row],[Periodo]],1,4)</f>
        <v>2026</v>
      </c>
      <c r="D3090" t="str">
        <f>MID(analisis_productividad__4[[#This Row],[Periodo]],5,2)</f>
        <v>02</v>
      </c>
      <c r="E3090" t="s">
        <v>9</v>
      </c>
      <c r="F3090" t="s">
        <v>9</v>
      </c>
      <c r="G3090">
        <v>51398</v>
      </c>
      <c r="H3090">
        <v>486083</v>
      </c>
      <c r="I3090">
        <v>9.4572395833333331</v>
      </c>
      <c r="J3090">
        <v>50066.15874430495</v>
      </c>
      <c r="K3090">
        <v>11</v>
      </c>
      <c r="L3090">
        <v>10</v>
      </c>
      <c r="M3090">
        <v>10.023956063077975</v>
      </c>
      <c r="N3090">
        <v>501861</v>
      </c>
    </row>
    <row r="3091" spans="1:14" x14ac:dyDescent="0.35">
      <c r="A3091" t="s">
        <v>123</v>
      </c>
      <c r="B3091">
        <v>202606</v>
      </c>
      <c r="C3091" t="str">
        <f>MID(analisis_productividad__4[[#This Row],[Periodo]],1,4)</f>
        <v>2026</v>
      </c>
      <c r="D3091" t="str">
        <f>MID(analisis_productividad__4[[#This Row],[Periodo]],5,2)</f>
        <v>06</v>
      </c>
      <c r="E3091" t="s">
        <v>9</v>
      </c>
      <c r="F3091" t="s">
        <v>9</v>
      </c>
      <c r="G3091">
        <v>51190</v>
      </c>
      <c r="H3091">
        <v>496952</v>
      </c>
      <c r="I3091">
        <v>9.7079305555555635</v>
      </c>
      <c r="J3091">
        <v>51008.839871450517</v>
      </c>
      <c r="K3091">
        <v>11</v>
      </c>
      <c r="L3091">
        <v>10</v>
      </c>
      <c r="M3091">
        <v>10.023956063077975</v>
      </c>
      <c r="N3091">
        <v>511310</v>
      </c>
    </row>
    <row r="3092" spans="1:14" x14ac:dyDescent="0.35">
      <c r="A3092" t="s">
        <v>128</v>
      </c>
      <c r="B3092">
        <v>202408</v>
      </c>
      <c r="C3092" t="str">
        <f>MID(analisis_productividad__4[[#This Row],[Periodo]],1,4)</f>
        <v>2024</v>
      </c>
      <c r="D3092" t="str">
        <f>MID(analisis_productividad__4[[#This Row],[Periodo]],5,2)</f>
        <v>08</v>
      </c>
      <c r="E3092" t="s">
        <v>104</v>
      </c>
      <c r="F3092" t="s">
        <v>104</v>
      </c>
      <c r="G3092">
        <v>51122</v>
      </c>
      <c r="H3092">
        <v>2482164</v>
      </c>
      <c r="I3092">
        <v>48.55365591397851</v>
      </c>
      <c r="J3092">
        <v>0</v>
      </c>
      <c r="K3092">
        <v>57.5</v>
      </c>
      <c r="L3092">
        <v>57</v>
      </c>
      <c r="N3092">
        <v>0</v>
      </c>
    </row>
    <row r="3093" spans="1:14" x14ac:dyDescent="0.35">
      <c r="A3093" t="s">
        <v>121</v>
      </c>
      <c r="B3093">
        <v>202404</v>
      </c>
      <c r="C3093" t="str">
        <f>MID(analisis_productividad__4[[#This Row],[Periodo]],1,4)</f>
        <v>2024</v>
      </c>
      <c r="D3093" t="str">
        <f>MID(analisis_productividad__4[[#This Row],[Periodo]],5,2)</f>
        <v>04</v>
      </c>
      <c r="E3093" t="s">
        <v>11</v>
      </c>
      <c r="F3093" t="s">
        <v>14</v>
      </c>
      <c r="G3093">
        <v>51077</v>
      </c>
      <c r="H3093">
        <v>1954585</v>
      </c>
      <c r="I3093">
        <v>38.267347222222227</v>
      </c>
      <c r="J3093">
        <v>0</v>
      </c>
      <c r="K3093">
        <v>36</v>
      </c>
      <c r="L3093">
        <v>35</v>
      </c>
      <c r="N3093">
        <v>0</v>
      </c>
    </row>
    <row r="3094" spans="1:14" x14ac:dyDescent="0.35">
      <c r="A3094" t="s">
        <v>101</v>
      </c>
      <c r="B3094">
        <v>202503</v>
      </c>
      <c r="C3094" t="str">
        <f>MID(analisis_productividad__4[[#This Row],[Periodo]],1,4)</f>
        <v>2025</v>
      </c>
      <c r="D3094" t="str">
        <f>MID(analisis_productividad__4[[#This Row],[Periodo]],5,2)</f>
        <v>03</v>
      </c>
      <c r="E3094" t="s">
        <v>9</v>
      </c>
      <c r="F3094" t="s">
        <v>9</v>
      </c>
      <c r="G3094">
        <v>51045</v>
      </c>
      <c r="H3094">
        <v>357973</v>
      </c>
      <c r="I3094">
        <v>7.0129368279569899</v>
      </c>
      <c r="J3094">
        <v>50850.588520463476</v>
      </c>
      <c r="K3094">
        <v>8.5</v>
      </c>
      <c r="L3094">
        <v>6.5</v>
      </c>
      <c r="M3094">
        <v>7.0396923696555325</v>
      </c>
      <c r="N3094">
        <v>344829</v>
      </c>
    </row>
    <row r="3095" spans="1:14" x14ac:dyDescent="0.35">
      <c r="A3095" t="s">
        <v>128</v>
      </c>
      <c r="B3095">
        <v>202407</v>
      </c>
      <c r="C3095" t="str">
        <f>MID(analisis_productividad__4[[#This Row],[Periodo]],1,4)</f>
        <v>2024</v>
      </c>
      <c r="D3095" t="str">
        <f>MID(analisis_productividad__4[[#This Row],[Periodo]],5,2)</f>
        <v>07</v>
      </c>
      <c r="E3095" t="s">
        <v>104</v>
      </c>
      <c r="F3095" t="s">
        <v>104</v>
      </c>
      <c r="G3095">
        <v>51044</v>
      </c>
      <c r="H3095">
        <v>2428296</v>
      </c>
      <c r="I3095">
        <v>47.572479838709675</v>
      </c>
      <c r="J3095">
        <v>0</v>
      </c>
      <c r="K3095">
        <v>57.5</v>
      </c>
      <c r="L3095">
        <v>57</v>
      </c>
      <c r="N3095">
        <v>0</v>
      </c>
    </row>
    <row r="3096" spans="1:14" x14ac:dyDescent="0.35">
      <c r="A3096" t="s">
        <v>45</v>
      </c>
      <c r="B3096">
        <v>202510</v>
      </c>
      <c r="C3096" t="str">
        <f>MID(analisis_productividad__4[[#This Row],[Periodo]],1,4)</f>
        <v>2025</v>
      </c>
      <c r="D3096" t="str">
        <f>MID(analisis_productividad__4[[#This Row],[Periodo]],5,2)</f>
        <v>10</v>
      </c>
      <c r="E3096" t="s">
        <v>34</v>
      </c>
      <c r="F3096" t="s">
        <v>35</v>
      </c>
      <c r="G3096">
        <v>51017</v>
      </c>
      <c r="H3096">
        <v>757672</v>
      </c>
      <c r="I3096">
        <v>14.851337365591393</v>
      </c>
      <c r="J3096">
        <v>48929.796208572559</v>
      </c>
      <c r="K3096">
        <v>22.5</v>
      </c>
      <c r="L3096">
        <v>21</v>
      </c>
      <c r="M3096">
        <v>15.484880557652003</v>
      </c>
      <c r="N3096">
        <v>646148</v>
      </c>
    </row>
    <row r="3097" spans="1:14" x14ac:dyDescent="0.35">
      <c r="A3097" t="s">
        <v>126</v>
      </c>
      <c r="B3097">
        <v>202401</v>
      </c>
      <c r="C3097" t="str">
        <f>MID(analisis_productividad__4[[#This Row],[Periodo]],1,4)</f>
        <v>2024</v>
      </c>
      <c r="D3097" t="str">
        <f>MID(analisis_productividad__4[[#This Row],[Periodo]],5,2)</f>
        <v>01</v>
      </c>
      <c r="E3097" t="s">
        <v>104</v>
      </c>
      <c r="F3097" t="s">
        <v>104</v>
      </c>
      <c r="G3097">
        <v>50946</v>
      </c>
      <c r="H3097">
        <v>2884543</v>
      </c>
      <c r="I3097">
        <v>56.619885752688184</v>
      </c>
      <c r="J3097">
        <v>0</v>
      </c>
      <c r="K3097">
        <v>64.5</v>
      </c>
      <c r="L3097">
        <v>61</v>
      </c>
      <c r="N3097">
        <v>0</v>
      </c>
    </row>
    <row r="3098" spans="1:14" x14ac:dyDescent="0.35">
      <c r="A3098" t="s">
        <v>118</v>
      </c>
      <c r="B3098">
        <v>202404</v>
      </c>
      <c r="C3098" t="str">
        <f>MID(analisis_productividad__4[[#This Row],[Periodo]],1,4)</f>
        <v>2024</v>
      </c>
      <c r="D3098" t="str">
        <f>MID(analisis_productividad__4[[#This Row],[Periodo]],5,2)</f>
        <v>04</v>
      </c>
      <c r="E3098" t="s">
        <v>34</v>
      </c>
      <c r="F3098" t="s">
        <v>35</v>
      </c>
      <c r="G3098">
        <v>50940</v>
      </c>
      <c r="H3098">
        <v>1034075</v>
      </c>
      <c r="I3098">
        <v>20.300048611111112</v>
      </c>
      <c r="J3098">
        <v>0</v>
      </c>
      <c r="K3098">
        <v>19</v>
      </c>
      <c r="L3098">
        <v>21.5</v>
      </c>
      <c r="N3098">
        <v>0</v>
      </c>
    </row>
    <row r="3099" spans="1:14" x14ac:dyDescent="0.35">
      <c r="A3099" t="s">
        <v>126</v>
      </c>
      <c r="B3099">
        <v>202603</v>
      </c>
      <c r="C3099" t="str">
        <f>MID(analisis_productividad__4[[#This Row],[Periodo]],1,4)</f>
        <v>2026</v>
      </c>
      <c r="D3099" t="str">
        <f>MID(analisis_productividad__4[[#This Row],[Periodo]],5,2)</f>
        <v>03</v>
      </c>
      <c r="E3099" t="s">
        <v>104</v>
      </c>
      <c r="F3099" t="s">
        <v>104</v>
      </c>
      <c r="G3099">
        <v>50926</v>
      </c>
      <c r="H3099">
        <v>3225829</v>
      </c>
      <c r="I3099">
        <v>63.343319892473112</v>
      </c>
      <c r="J3099">
        <v>60844.93826179429</v>
      </c>
      <c r="K3099">
        <v>64.5</v>
      </c>
      <c r="L3099">
        <v>61</v>
      </c>
      <c r="M3099">
        <v>55.57085132952011</v>
      </c>
      <c r="N3099">
        <v>3381205</v>
      </c>
    </row>
    <row r="3100" spans="1:14" x14ac:dyDescent="0.35">
      <c r="A3100" t="s">
        <v>8</v>
      </c>
      <c r="B3100">
        <v>202510</v>
      </c>
      <c r="C3100" t="str">
        <f>MID(analisis_productividad__4[[#This Row],[Periodo]],1,4)</f>
        <v>2025</v>
      </c>
      <c r="D3100" t="str">
        <f>MID(analisis_productividad__4[[#This Row],[Periodo]],5,2)</f>
        <v>10</v>
      </c>
      <c r="E3100" t="s">
        <v>9</v>
      </c>
      <c r="F3100" t="s">
        <v>9</v>
      </c>
      <c r="G3100">
        <v>50913</v>
      </c>
      <c r="H3100">
        <v>898074</v>
      </c>
      <c r="I3100">
        <v>17.639529569892471</v>
      </c>
      <c r="J3100">
        <v>64949.849021566639</v>
      </c>
      <c r="K3100">
        <v>13.5</v>
      </c>
      <c r="L3100">
        <v>12.5</v>
      </c>
      <c r="M3100">
        <v>13.827184258762392</v>
      </c>
      <c r="N3100">
        <v>981742</v>
      </c>
    </row>
    <row r="3101" spans="1:14" x14ac:dyDescent="0.35">
      <c r="A3101" t="s">
        <v>114</v>
      </c>
      <c r="B3101">
        <v>202502</v>
      </c>
      <c r="C3101" t="str">
        <f>MID(analisis_productividad__4[[#This Row],[Periodo]],1,4)</f>
        <v>2025</v>
      </c>
      <c r="D3101" t="str">
        <f>MID(analisis_productividad__4[[#This Row],[Periodo]],5,2)</f>
        <v>02</v>
      </c>
      <c r="E3101" t="s">
        <v>9</v>
      </c>
      <c r="F3101" t="s">
        <v>9</v>
      </c>
      <c r="G3101">
        <v>50909</v>
      </c>
      <c r="H3101">
        <v>638112</v>
      </c>
      <c r="I3101">
        <v>12.534322916666667</v>
      </c>
      <c r="J3101">
        <v>63990.907193673724</v>
      </c>
      <c r="K3101">
        <v>13.5</v>
      </c>
      <c r="L3101">
        <v>14.5</v>
      </c>
      <c r="M3101">
        <v>9.9719201990479842</v>
      </c>
      <c r="N3101">
        <v>863362</v>
      </c>
    </row>
    <row r="3102" spans="1:14" x14ac:dyDescent="0.35">
      <c r="A3102" t="s">
        <v>101</v>
      </c>
      <c r="B3102">
        <v>202408</v>
      </c>
      <c r="C3102" t="str">
        <f>MID(analisis_productividad__4[[#This Row],[Periodo]],1,4)</f>
        <v>2024</v>
      </c>
      <c r="D3102" t="str">
        <f>MID(analisis_productividad__4[[#This Row],[Periodo]],5,2)</f>
        <v>08</v>
      </c>
      <c r="E3102" t="s">
        <v>9</v>
      </c>
      <c r="F3102" t="s">
        <v>9</v>
      </c>
      <c r="G3102">
        <v>50870</v>
      </c>
      <c r="H3102">
        <v>363185</v>
      </c>
      <c r="I3102">
        <v>7.1395295698924741</v>
      </c>
      <c r="J3102">
        <v>0</v>
      </c>
      <c r="K3102">
        <v>8.5</v>
      </c>
      <c r="L3102">
        <v>6.5</v>
      </c>
      <c r="N3102">
        <v>0</v>
      </c>
    </row>
    <row r="3103" spans="1:14" x14ac:dyDescent="0.35">
      <c r="A3103" t="s">
        <v>126</v>
      </c>
      <c r="B3103">
        <v>202409</v>
      </c>
      <c r="C3103" t="str">
        <f>MID(analisis_productividad__4[[#This Row],[Periodo]],1,4)</f>
        <v>2024</v>
      </c>
      <c r="D3103" t="str">
        <f>MID(analisis_productividad__4[[#This Row],[Periodo]],5,2)</f>
        <v>09</v>
      </c>
      <c r="E3103" t="s">
        <v>104</v>
      </c>
      <c r="F3103" t="s">
        <v>104</v>
      </c>
      <c r="G3103">
        <v>50861</v>
      </c>
      <c r="H3103">
        <v>2992147</v>
      </c>
      <c r="I3103">
        <v>58.830041666666645</v>
      </c>
      <c r="J3103">
        <v>0</v>
      </c>
      <c r="K3103">
        <v>64.5</v>
      </c>
      <c r="L3103">
        <v>61</v>
      </c>
      <c r="N3103">
        <v>0</v>
      </c>
    </row>
    <row r="3104" spans="1:14" x14ac:dyDescent="0.35">
      <c r="A3104" t="s">
        <v>126</v>
      </c>
      <c r="B3104">
        <v>202405</v>
      </c>
      <c r="C3104" t="str">
        <f>MID(analisis_productividad__4[[#This Row],[Periodo]],1,4)</f>
        <v>2024</v>
      </c>
      <c r="D3104" t="str">
        <f>MID(analisis_productividad__4[[#This Row],[Periodo]],5,2)</f>
        <v>05</v>
      </c>
      <c r="E3104" t="s">
        <v>104</v>
      </c>
      <c r="F3104" t="s">
        <v>104</v>
      </c>
      <c r="G3104">
        <v>50748</v>
      </c>
      <c r="H3104">
        <v>3046493</v>
      </c>
      <c r="I3104">
        <v>60.031444892473104</v>
      </c>
      <c r="J3104">
        <v>0</v>
      </c>
      <c r="K3104">
        <v>64.5</v>
      </c>
      <c r="L3104">
        <v>61</v>
      </c>
      <c r="N3104">
        <v>0</v>
      </c>
    </row>
    <row r="3105" spans="1:14" x14ac:dyDescent="0.35">
      <c r="A3105" t="s">
        <v>124</v>
      </c>
      <c r="B3105">
        <v>202502</v>
      </c>
      <c r="C3105" t="str">
        <f>MID(analisis_productividad__4[[#This Row],[Periodo]],1,4)</f>
        <v>2025</v>
      </c>
      <c r="D3105" t="str">
        <f>MID(analisis_productividad__4[[#This Row],[Periodo]],5,2)</f>
        <v>02</v>
      </c>
      <c r="E3105" t="s">
        <v>9</v>
      </c>
      <c r="F3105" t="s">
        <v>9</v>
      </c>
      <c r="G3105">
        <v>50739</v>
      </c>
      <c r="H3105">
        <v>550399</v>
      </c>
      <c r="I3105">
        <v>10.847604166666667</v>
      </c>
      <c r="J3105">
        <v>68326.082308152225</v>
      </c>
      <c r="K3105">
        <v>11</v>
      </c>
      <c r="L3105">
        <v>12</v>
      </c>
      <c r="M3105">
        <v>8.0554731283682841</v>
      </c>
      <c r="N3105">
        <v>614462</v>
      </c>
    </row>
    <row r="3106" spans="1:14" x14ac:dyDescent="0.35">
      <c r="A3106" t="s">
        <v>125</v>
      </c>
      <c r="B3106">
        <v>202503</v>
      </c>
      <c r="C3106" t="str">
        <f>MID(analisis_productividad__4[[#This Row],[Periodo]],1,4)</f>
        <v>2025</v>
      </c>
      <c r="D3106" t="str">
        <f>MID(analisis_productividad__4[[#This Row],[Periodo]],5,2)</f>
        <v>03</v>
      </c>
      <c r="E3106" t="s">
        <v>104</v>
      </c>
      <c r="F3106" t="s">
        <v>104</v>
      </c>
      <c r="G3106">
        <v>50692</v>
      </c>
      <c r="H3106">
        <v>2657199</v>
      </c>
      <c r="I3106">
        <v>52.41847446236558</v>
      </c>
      <c r="J3106">
        <v>57408.432808381622</v>
      </c>
      <c r="K3106">
        <v>59</v>
      </c>
      <c r="L3106">
        <v>50</v>
      </c>
      <c r="M3106">
        <v>46.285867424202713</v>
      </c>
      <c r="N3106">
        <v>2553906</v>
      </c>
    </row>
    <row r="3107" spans="1:14" x14ac:dyDescent="0.35">
      <c r="A3107" t="s">
        <v>102</v>
      </c>
      <c r="B3107">
        <v>202508</v>
      </c>
      <c r="C3107" t="str">
        <f>MID(analisis_productividad__4[[#This Row],[Periodo]],1,4)</f>
        <v>2025</v>
      </c>
      <c r="D3107" t="str">
        <f>MID(analisis_productividad__4[[#This Row],[Periodo]],5,2)</f>
        <v>08</v>
      </c>
      <c r="E3107" t="s">
        <v>11</v>
      </c>
      <c r="F3107" t="s">
        <v>12</v>
      </c>
      <c r="G3107">
        <v>50640</v>
      </c>
      <c r="H3107">
        <v>1586805</v>
      </c>
      <c r="I3107">
        <v>31.334831989247316</v>
      </c>
      <c r="J3107">
        <v>66864.875351462237</v>
      </c>
      <c r="K3107">
        <v>34</v>
      </c>
      <c r="L3107">
        <v>34</v>
      </c>
      <c r="M3107">
        <v>23.731512272463977</v>
      </c>
      <c r="N3107">
        <v>1777950</v>
      </c>
    </row>
    <row r="3108" spans="1:14" x14ac:dyDescent="0.35">
      <c r="A3108" t="s">
        <v>123</v>
      </c>
      <c r="B3108">
        <v>202604</v>
      </c>
      <c r="C3108" t="str">
        <f>MID(analisis_productividad__4[[#This Row],[Periodo]],1,4)</f>
        <v>2026</v>
      </c>
      <c r="D3108" t="str">
        <f>MID(analisis_productividad__4[[#This Row],[Periodo]],5,2)</f>
        <v>04</v>
      </c>
      <c r="E3108" t="s">
        <v>9</v>
      </c>
      <c r="F3108" t="s">
        <v>9</v>
      </c>
      <c r="G3108">
        <v>50603</v>
      </c>
      <c r="H3108">
        <v>502669</v>
      </c>
      <c r="I3108">
        <v>9.9336319444444428</v>
      </c>
      <c r="J3108">
        <v>50615.535424065565</v>
      </c>
      <c r="K3108">
        <v>11</v>
      </c>
      <c r="L3108">
        <v>10</v>
      </c>
      <c r="M3108">
        <v>10.023956063077975</v>
      </c>
      <c r="N3108">
        <v>507368</v>
      </c>
    </row>
    <row r="3109" spans="1:14" x14ac:dyDescent="0.35">
      <c r="A3109" t="s">
        <v>128</v>
      </c>
      <c r="B3109">
        <v>202403</v>
      </c>
      <c r="C3109" t="str">
        <f>MID(analisis_productividad__4[[#This Row],[Periodo]],1,4)</f>
        <v>2024</v>
      </c>
      <c r="D3109" t="str">
        <f>MID(analisis_productividad__4[[#This Row],[Periodo]],5,2)</f>
        <v>03</v>
      </c>
      <c r="E3109" t="s">
        <v>104</v>
      </c>
      <c r="F3109" t="s">
        <v>104</v>
      </c>
      <c r="G3109">
        <v>50556</v>
      </c>
      <c r="H3109">
        <v>2704508</v>
      </c>
      <c r="I3109">
        <v>53.494818548387101</v>
      </c>
      <c r="J3109">
        <v>0</v>
      </c>
      <c r="K3109">
        <v>57.5</v>
      </c>
      <c r="L3109">
        <v>57</v>
      </c>
      <c r="N3109">
        <v>0</v>
      </c>
    </row>
    <row r="3110" spans="1:14" x14ac:dyDescent="0.35">
      <c r="A3110" t="s">
        <v>128</v>
      </c>
      <c r="B3110">
        <v>202406</v>
      </c>
      <c r="C3110" t="str">
        <f>MID(analisis_productividad__4[[#This Row],[Periodo]],1,4)</f>
        <v>2024</v>
      </c>
      <c r="D3110" t="str">
        <f>MID(analisis_productividad__4[[#This Row],[Periodo]],5,2)</f>
        <v>06</v>
      </c>
      <c r="E3110" t="s">
        <v>104</v>
      </c>
      <c r="F3110" t="s">
        <v>104</v>
      </c>
      <c r="G3110">
        <v>50503</v>
      </c>
      <c r="H3110">
        <v>2482035</v>
      </c>
      <c r="I3110">
        <v>49.146027777777789</v>
      </c>
      <c r="J3110">
        <v>0</v>
      </c>
      <c r="K3110">
        <v>57.5</v>
      </c>
      <c r="L3110">
        <v>57</v>
      </c>
      <c r="N3110">
        <v>0</v>
      </c>
    </row>
    <row r="3111" spans="1:14" x14ac:dyDescent="0.35">
      <c r="A3111" t="s">
        <v>128</v>
      </c>
      <c r="B3111">
        <v>202409</v>
      </c>
      <c r="C3111" t="str">
        <f>MID(analisis_productividad__4[[#This Row],[Periodo]],1,4)</f>
        <v>2024</v>
      </c>
      <c r="D3111" t="str">
        <f>MID(analisis_productividad__4[[#This Row],[Periodo]],5,2)</f>
        <v>09</v>
      </c>
      <c r="E3111" t="s">
        <v>104</v>
      </c>
      <c r="F3111" t="s">
        <v>104</v>
      </c>
      <c r="G3111">
        <v>50357</v>
      </c>
      <c r="H3111">
        <v>2404663</v>
      </c>
      <c r="I3111">
        <v>47.751958333333334</v>
      </c>
      <c r="J3111">
        <v>0</v>
      </c>
      <c r="K3111">
        <v>57.5</v>
      </c>
      <c r="L3111">
        <v>57</v>
      </c>
      <c r="N3111">
        <v>0</v>
      </c>
    </row>
    <row r="3112" spans="1:14" x14ac:dyDescent="0.35">
      <c r="A3112" t="s">
        <v>122</v>
      </c>
      <c r="B3112">
        <v>202501</v>
      </c>
      <c r="C3112" t="str">
        <f>MID(analisis_productividad__4[[#This Row],[Periodo]],1,4)</f>
        <v>2025</v>
      </c>
      <c r="D3112" t="str">
        <f>MID(analisis_productividad__4[[#This Row],[Periodo]],5,2)</f>
        <v>01</v>
      </c>
      <c r="E3112" t="s">
        <v>104</v>
      </c>
      <c r="F3112" t="s">
        <v>104</v>
      </c>
      <c r="G3112">
        <v>50043</v>
      </c>
      <c r="H3112">
        <v>4807860</v>
      </c>
      <c r="I3112">
        <v>96.074999999999989</v>
      </c>
      <c r="J3112">
        <v>46865.842178484279</v>
      </c>
      <c r="K3112">
        <v>22</v>
      </c>
      <c r="L3112">
        <v>20</v>
      </c>
      <c r="M3112">
        <v>102.58772202769141</v>
      </c>
      <c r="N3112">
        <v>4227083</v>
      </c>
    </row>
    <row r="3113" spans="1:14" x14ac:dyDescent="0.35">
      <c r="A3113" t="s">
        <v>122</v>
      </c>
      <c r="B3113">
        <v>202403</v>
      </c>
      <c r="C3113" t="str">
        <f>MID(analisis_productividad__4[[#This Row],[Periodo]],1,4)</f>
        <v>2024</v>
      </c>
      <c r="D3113" t="str">
        <f>MID(analisis_productividad__4[[#This Row],[Periodo]],5,2)</f>
        <v>03</v>
      </c>
      <c r="E3113" t="s">
        <v>104</v>
      </c>
      <c r="F3113" t="s">
        <v>104</v>
      </c>
      <c r="G3113">
        <v>50026</v>
      </c>
      <c r="H3113">
        <v>3933950</v>
      </c>
      <c r="I3113">
        <v>78.637708333333393</v>
      </c>
      <c r="J3113">
        <v>0</v>
      </c>
      <c r="K3113">
        <v>22</v>
      </c>
      <c r="L3113">
        <v>20</v>
      </c>
      <c r="N3113">
        <v>0</v>
      </c>
    </row>
    <row r="3114" spans="1:14" x14ac:dyDescent="0.35">
      <c r="A3114" t="s">
        <v>125</v>
      </c>
      <c r="B3114">
        <v>202409</v>
      </c>
      <c r="C3114" t="str">
        <f>MID(analisis_productividad__4[[#This Row],[Periodo]],1,4)</f>
        <v>2024</v>
      </c>
      <c r="D3114" t="str">
        <f>MID(analisis_productividad__4[[#This Row],[Periodo]],5,2)</f>
        <v>09</v>
      </c>
      <c r="E3114" t="s">
        <v>104</v>
      </c>
      <c r="F3114" t="s">
        <v>104</v>
      </c>
      <c r="G3114">
        <v>49933</v>
      </c>
      <c r="H3114">
        <v>2586678</v>
      </c>
      <c r="I3114">
        <v>51.802916666666647</v>
      </c>
      <c r="J3114">
        <v>0</v>
      </c>
      <c r="K3114">
        <v>59</v>
      </c>
      <c r="L3114">
        <v>50</v>
      </c>
      <c r="N3114">
        <v>0</v>
      </c>
    </row>
    <row r="3115" spans="1:14" x14ac:dyDescent="0.35">
      <c r="A3115" t="s">
        <v>123</v>
      </c>
      <c r="B3115">
        <v>202506</v>
      </c>
      <c r="C3115" t="str">
        <f>MID(analisis_productividad__4[[#This Row],[Periodo]],1,4)</f>
        <v>2025</v>
      </c>
      <c r="D3115" t="str">
        <f>MID(analisis_productividad__4[[#This Row],[Periodo]],5,2)</f>
        <v>06</v>
      </c>
      <c r="E3115" t="s">
        <v>9</v>
      </c>
      <c r="F3115" t="s">
        <v>9</v>
      </c>
      <c r="G3115">
        <v>49866</v>
      </c>
      <c r="H3115">
        <v>506384</v>
      </c>
      <c r="I3115">
        <v>10.154958333333333</v>
      </c>
      <c r="J3115">
        <v>69954.876140666616</v>
      </c>
      <c r="K3115">
        <v>11</v>
      </c>
      <c r="L3115">
        <v>10</v>
      </c>
      <c r="M3115">
        <v>7.2387297060143796</v>
      </c>
      <c r="N3115">
        <v>560326</v>
      </c>
    </row>
    <row r="3116" spans="1:14" x14ac:dyDescent="0.35">
      <c r="A3116" t="s">
        <v>114</v>
      </c>
      <c r="B3116">
        <v>202511</v>
      </c>
      <c r="C3116" t="str">
        <f>MID(analisis_productividad__4[[#This Row],[Periodo]],1,4)</f>
        <v>2025</v>
      </c>
      <c r="D3116" t="str">
        <f>MID(analisis_productividad__4[[#This Row],[Periodo]],5,2)</f>
        <v>11</v>
      </c>
      <c r="E3116" t="s">
        <v>9</v>
      </c>
      <c r="F3116" t="s">
        <v>9</v>
      </c>
      <c r="G3116">
        <v>49805</v>
      </c>
      <c r="H3116">
        <v>876116</v>
      </c>
      <c r="I3116">
        <v>17.590951388888886</v>
      </c>
      <c r="J3116">
        <v>56948.355597948881</v>
      </c>
      <c r="K3116">
        <v>13.5</v>
      </c>
      <c r="L3116">
        <v>14.5</v>
      </c>
      <c r="M3116">
        <v>15.384400494112864</v>
      </c>
      <c r="N3116">
        <v>933780</v>
      </c>
    </row>
    <row r="3117" spans="1:14" x14ac:dyDescent="0.35">
      <c r="A3117" t="s">
        <v>129</v>
      </c>
      <c r="B3117">
        <v>202512</v>
      </c>
      <c r="C3117" t="str">
        <f>MID(analisis_productividad__4[[#This Row],[Periodo]],1,4)</f>
        <v>2025</v>
      </c>
      <c r="D3117" t="str">
        <f>MID(analisis_productividad__4[[#This Row],[Periodo]],5,2)</f>
        <v>12</v>
      </c>
      <c r="E3117" t="s">
        <v>9</v>
      </c>
      <c r="F3117" t="s">
        <v>9</v>
      </c>
      <c r="G3117">
        <v>49700</v>
      </c>
      <c r="H3117">
        <v>376988</v>
      </c>
      <c r="I3117">
        <v>7.5853091397849379</v>
      </c>
      <c r="J3117">
        <v>49447.197025072172</v>
      </c>
      <c r="K3117">
        <v>9</v>
      </c>
      <c r="L3117">
        <v>9</v>
      </c>
      <c r="M3117">
        <v>7.624061477313834</v>
      </c>
      <c r="N3117">
        <v>390708</v>
      </c>
    </row>
    <row r="3118" spans="1:14" x14ac:dyDescent="0.35">
      <c r="A3118" t="s">
        <v>105</v>
      </c>
      <c r="B3118">
        <v>202411</v>
      </c>
      <c r="C3118" t="str">
        <f>MID(analisis_productividad__4[[#This Row],[Periodo]],1,4)</f>
        <v>2024</v>
      </c>
      <c r="D3118" t="str">
        <f>MID(analisis_productividad__4[[#This Row],[Periodo]],5,2)</f>
        <v>11</v>
      </c>
      <c r="E3118" t="s">
        <v>34</v>
      </c>
      <c r="F3118" t="s">
        <v>35</v>
      </c>
      <c r="G3118">
        <v>49617</v>
      </c>
      <c r="H3118">
        <v>2306991</v>
      </c>
      <c r="I3118">
        <v>46.496138888888879</v>
      </c>
      <c r="J3118">
        <v>0</v>
      </c>
      <c r="K3118">
        <v>33</v>
      </c>
      <c r="L3118">
        <v>31.5</v>
      </c>
      <c r="N3118">
        <v>0</v>
      </c>
    </row>
    <row r="3119" spans="1:14" x14ac:dyDescent="0.35">
      <c r="A3119" t="s">
        <v>128</v>
      </c>
      <c r="B3119">
        <v>202505</v>
      </c>
      <c r="C3119" t="str">
        <f>MID(analisis_productividad__4[[#This Row],[Periodo]],1,4)</f>
        <v>2025</v>
      </c>
      <c r="D3119" t="str">
        <f>MID(analisis_productividad__4[[#This Row],[Periodo]],5,2)</f>
        <v>05</v>
      </c>
      <c r="E3119" t="s">
        <v>104</v>
      </c>
      <c r="F3119" t="s">
        <v>104</v>
      </c>
      <c r="G3119">
        <v>49601</v>
      </c>
      <c r="H3119">
        <v>2640971</v>
      </c>
      <c r="I3119">
        <v>53.244220430107532</v>
      </c>
      <c r="J3119">
        <v>50319.094849754481</v>
      </c>
      <c r="K3119">
        <v>57.5</v>
      </c>
      <c r="L3119">
        <v>57</v>
      </c>
      <c r="M3119">
        <v>52.484476477280793</v>
      </c>
      <c r="N3119">
        <v>2604645</v>
      </c>
    </row>
    <row r="3120" spans="1:14" x14ac:dyDescent="0.35">
      <c r="A3120" t="s">
        <v>117</v>
      </c>
      <c r="B3120">
        <v>202402</v>
      </c>
      <c r="C3120" t="str">
        <f>MID(analisis_productividad__4[[#This Row],[Periodo]],1,4)</f>
        <v>2024</v>
      </c>
      <c r="D3120" t="str">
        <f>MID(analisis_productividad__4[[#This Row],[Periodo]],5,2)</f>
        <v>02</v>
      </c>
      <c r="E3120" t="s">
        <v>104</v>
      </c>
      <c r="F3120" t="s">
        <v>104</v>
      </c>
      <c r="G3120">
        <v>49582</v>
      </c>
      <c r="H3120">
        <v>3240097</v>
      </c>
      <c r="I3120">
        <v>65.348670977011508</v>
      </c>
      <c r="J3120">
        <v>0</v>
      </c>
      <c r="K3120">
        <v>66</v>
      </c>
      <c r="L3120">
        <v>65.5</v>
      </c>
      <c r="N3120">
        <v>0</v>
      </c>
    </row>
    <row r="3121" spans="1:14" x14ac:dyDescent="0.35">
      <c r="A3121" t="s">
        <v>110</v>
      </c>
      <c r="B3121">
        <v>202602</v>
      </c>
      <c r="C3121" t="str">
        <f>MID(analisis_productividad__4[[#This Row],[Periodo]],1,4)</f>
        <v>2026</v>
      </c>
      <c r="D3121" t="str">
        <f>MID(analisis_productividad__4[[#This Row],[Periodo]],5,2)</f>
        <v>02</v>
      </c>
      <c r="E3121" t="s">
        <v>34</v>
      </c>
      <c r="F3121" t="s">
        <v>35</v>
      </c>
      <c r="G3121">
        <v>49538</v>
      </c>
      <c r="H3121">
        <v>1917534</v>
      </c>
      <c r="I3121">
        <v>38.708593749999984</v>
      </c>
      <c r="J3121">
        <v>65509.233362321895</v>
      </c>
      <c r="K3121">
        <v>41.5</v>
      </c>
      <c r="L3121">
        <v>43</v>
      </c>
      <c r="M3121">
        <v>33.730466012000377</v>
      </c>
      <c r="N3121">
        <v>2209657</v>
      </c>
    </row>
    <row r="3122" spans="1:14" x14ac:dyDescent="0.35">
      <c r="A3122" t="s">
        <v>101</v>
      </c>
      <c r="B3122">
        <v>202410</v>
      </c>
      <c r="C3122" t="str">
        <f>MID(analisis_productividad__4[[#This Row],[Periodo]],1,4)</f>
        <v>2024</v>
      </c>
      <c r="D3122" t="str">
        <f>MID(analisis_productividad__4[[#This Row],[Periodo]],5,2)</f>
        <v>10</v>
      </c>
      <c r="E3122" t="s">
        <v>9</v>
      </c>
      <c r="F3122" t="s">
        <v>9</v>
      </c>
      <c r="G3122">
        <v>49395</v>
      </c>
      <c r="H3122">
        <v>370302</v>
      </c>
      <c r="I3122">
        <v>7.4967271505376356</v>
      </c>
      <c r="J3122">
        <v>0</v>
      </c>
      <c r="K3122">
        <v>8.5</v>
      </c>
      <c r="L3122">
        <v>6.5</v>
      </c>
      <c r="N3122">
        <v>0</v>
      </c>
    </row>
    <row r="3123" spans="1:14" x14ac:dyDescent="0.35">
      <c r="A3123" t="s">
        <v>109</v>
      </c>
      <c r="B3123">
        <v>202506</v>
      </c>
      <c r="C3123" t="str">
        <f>MID(analisis_productividad__4[[#This Row],[Periodo]],1,4)</f>
        <v>2025</v>
      </c>
      <c r="D3123" t="str">
        <f>MID(analisis_productividad__4[[#This Row],[Periodo]],5,2)</f>
        <v>06</v>
      </c>
      <c r="E3123" t="s">
        <v>9</v>
      </c>
      <c r="F3123" t="s">
        <v>9</v>
      </c>
      <c r="G3123">
        <v>49390</v>
      </c>
      <c r="H3123">
        <v>433722</v>
      </c>
      <c r="I3123">
        <v>8.7815972222222243</v>
      </c>
      <c r="J3123">
        <v>59979.989760227647</v>
      </c>
      <c r="K3123">
        <v>10</v>
      </c>
      <c r="L3123">
        <v>9</v>
      </c>
      <c r="M3123">
        <v>7.2311161061184182</v>
      </c>
      <c r="N3123">
        <v>538378</v>
      </c>
    </row>
    <row r="3124" spans="1:14" x14ac:dyDescent="0.35">
      <c r="A3124" t="s">
        <v>125</v>
      </c>
      <c r="B3124">
        <v>202501</v>
      </c>
      <c r="C3124" t="str">
        <f>MID(analisis_productividad__4[[#This Row],[Periodo]],1,4)</f>
        <v>2025</v>
      </c>
      <c r="D3124" t="str">
        <f>MID(analisis_productividad__4[[#This Row],[Periodo]],5,2)</f>
        <v>01</v>
      </c>
      <c r="E3124" t="s">
        <v>104</v>
      </c>
      <c r="F3124" t="s">
        <v>104</v>
      </c>
      <c r="G3124">
        <v>49367</v>
      </c>
      <c r="H3124">
        <v>2647542</v>
      </c>
      <c r="I3124">
        <v>53.629596774193558</v>
      </c>
      <c r="J3124">
        <v>57261.45340682011</v>
      </c>
      <c r="K3124">
        <v>59</v>
      </c>
      <c r="L3124">
        <v>50</v>
      </c>
      <c r="M3124">
        <v>46.236027597662492</v>
      </c>
      <c r="N3124">
        <v>2464383</v>
      </c>
    </row>
    <row r="3125" spans="1:14" x14ac:dyDescent="0.35">
      <c r="A3125" t="s">
        <v>128</v>
      </c>
      <c r="B3125">
        <v>202410</v>
      </c>
      <c r="C3125" t="str">
        <f>MID(analisis_productividad__4[[#This Row],[Periodo]],1,4)</f>
        <v>2024</v>
      </c>
      <c r="D3125" t="str">
        <f>MID(analisis_productividad__4[[#This Row],[Periodo]],5,2)</f>
        <v>10</v>
      </c>
      <c r="E3125" t="s">
        <v>104</v>
      </c>
      <c r="F3125" t="s">
        <v>104</v>
      </c>
      <c r="G3125">
        <v>49344</v>
      </c>
      <c r="H3125">
        <v>2394503</v>
      </c>
      <c r="I3125">
        <v>48.526982526881717</v>
      </c>
      <c r="J3125">
        <v>0</v>
      </c>
      <c r="K3125">
        <v>57.5</v>
      </c>
      <c r="L3125">
        <v>57</v>
      </c>
      <c r="N3125">
        <v>0</v>
      </c>
    </row>
    <row r="3126" spans="1:14" x14ac:dyDescent="0.35">
      <c r="A3126" t="s">
        <v>102</v>
      </c>
      <c r="B3126">
        <v>202506</v>
      </c>
      <c r="C3126" t="str">
        <f>MID(analisis_productividad__4[[#This Row],[Periodo]],1,4)</f>
        <v>2025</v>
      </c>
      <c r="D3126" t="str">
        <f>MID(analisis_productividad__4[[#This Row],[Periodo]],5,2)</f>
        <v>06</v>
      </c>
      <c r="E3126" t="s">
        <v>11</v>
      </c>
      <c r="F3126" t="s">
        <v>12</v>
      </c>
      <c r="G3126">
        <v>49319</v>
      </c>
      <c r="H3126">
        <v>1554170</v>
      </c>
      <c r="I3126">
        <v>31.51254166666666</v>
      </c>
      <c r="J3126">
        <v>62140.637504356928</v>
      </c>
      <c r="K3126">
        <v>34</v>
      </c>
      <c r="L3126">
        <v>34</v>
      </c>
      <c r="M3126">
        <v>25.010518759017089</v>
      </c>
      <c r="N3126">
        <v>1737210</v>
      </c>
    </row>
    <row r="3127" spans="1:14" x14ac:dyDescent="0.35">
      <c r="A3127" t="s">
        <v>126</v>
      </c>
      <c r="B3127">
        <v>202604</v>
      </c>
      <c r="C3127" t="str">
        <f>MID(analisis_productividad__4[[#This Row],[Periodo]],1,4)</f>
        <v>2026</v>
      </c>
      <c r="D3127" t="str">
        <f>MID(analisis_productividad__4[[#This Row],[Periodo]],5,2)</f>
        <v>04</v>
      </c>
      <c r="E3127" t="s">
        <v>104</v>
      </c>
      <c r="F3127" t="s">
        <v>104</v>
      </c>
      <c r="G3127">
        <v>49295</v>
      </c>
      <c r="H3127">
        <v>3209610</v>
      </c>
      <c r="I3127">
        <v>65.110743055556625</v>
      </c>
      <c r="J3127">
        <v>59054.118124634799</v>
      </c>
      <c r="K3127">
        <v>64.5</v>
      </c>
      <c r="L3127">
        <v>61</v>
      </c>
      <c r="M3127">
        <v>55.57085132952011</v>
      </c>
      <c r="N3127">
        <v>3281688</v>
      </c>
    </row>
    <row r="3128" spans="1:14" x14ac:dyDescent="0.35">
      <c r="A3128" t="s">
        <v>122</v>
      </c>
      <c r="B3128">
        <v>202502</v>
      </c>
      <c r="C3128" t="str">
        <f>MID(analisis_productividad__4[[#This Row],[Periodo]],1,4)</f>
        <v>2025</v>
      </c>
      <c r="D3128" t="str">
        <f>MID(analisis_productividad__4[[#This Row],[Periodo]],5,2)</f>
        <v>02</v>
      </c>
      <c r="E3128" t="s">
        <v>104</v>
      </c>
      <c r="F3128" t="s">
        <v>104</v>
      </c>
      <c r="G3128">
        <v>49267</v>
      </c>
      <c r="H3128">
        <v>4390530</v>
      </c>
      <c r="I3128">
        <v>89.116979166666667</v>
      </c>
      <c r="J3128">
        <v>54600.323221266583</v>
      </c>
      <c r="K3128">
        <v>22</v>
      </c>
      <c r="L3128">
        <v>20</v>
      </c>
      <c r="M3128">
        <v>80.412165550879152</v>
      </c>
      <c r="N3128">
        <v>4671490</v>
      </c>
    </row>
    <row r="3129" spans="1:14" x14ac:dyDescent="0.35">
      <c r="A3129" t="s">
        <v>123</v>
      </c>
      <c r="B3129">
        <v>202505</v>
      </c>
      <c r="C3129" t="str">
        <f>MID(analisis_productividad__4[[#This Row],[Periodo]],1,4)</f>
        <v>2025</v>
      </c>
      <c r="D3129" t="str">
        <f>MID(analisis_productividad__4[[#This Row],[Periodo]],5,2)</f>
        <v>05</v>
      </c>
      <c r="E3129" t="s">
        <v>9</v>
      </c>
      <c r="F3129" t="s">
        <v>9</v>
      </c>
      <c r="G3129">
        <v>49199</v>
      </c>
      <c r="H3129">
        <v>529454</v>
      </c>
      <c r="I3129">
        <v>10.761512096774196</v>
      </c>
      <c r="J3129">
        <v>59830.736351828898</v>
      </c>
      <c r="K3129">
        <v>11</v>
      </c>
      <c r="L3129">
        <v>10</v>
      </c>
      <c r="M3129">
        <v>8.8491941146536739</v>
      </c>
      <c r="N3129">
        <v>562658</v>
      </c>
    </row>
    <row r="3130" spans="1:14" x14ac:dyDescent="0.35">
      <c r="A3130" t="s">
        <v>109</v>
      </c>
      <c r="B3130">
        <v>202501</v>
      </c>
      <c r="C3130" t="str">
        <f>MID(analisis_productividad__4[[#This Row],[Periodo]],1,4)</f>
        <v>2025</v>
      </c>
      <c r="D3130" t="str">
        <f>MID(analisis_productividad__4[[#This Row],[Periodo]],5,2)</f>
        <v>01</v>
      </c>
      <c r="E3130" t="s">
        <v>9</v>
      </c>
      <c r="F3130" t="s">
        <v>9</v>
      </c>
      <c r="G3130">
        <v>49112</v>
      </c>
      <c r="H3130">
        <v>430620</v>
      </c>
      <c r="I3130">
        <v>8.768111559139788</v>
      </c>
      <c r="J3130">
        <v>63955.308752467783</v>
      </c>
      <c r="K3130">
        <v>10</v>
      </c>
      <c r="L3130">
        <v>9</v>
      </c>
      <c r="M3130">
        <v>6.7331428524044776</v>
      </c>
      <c r="N3130">
        <v>563061</v>
      </c>
    </row>
    <row r="3131" spans="1:14" x14ac:dyDescent="0.35">
      <c r="A3131" t="s">
        <v>51</v>
      </c>
      <c r="B3131">
        <v>202602</v>
      </c>
      <c r="C3131" t="str">
        <f>MID(analisis_productividad__4[[#This Row],[Periodo]],1,4)</f>
        <v>2026</v>
      </c>
      <c r="D3131" t="str">
        <f>MID(analisis_productividad__4[[#This Row],[Periodo]],5,2)</f>
        <v>02</v>
      </c>
      <c r="E3131" t="s">
        <v>11</v>
      </c>
      <c r="F3131" t="s">
        <v>52</v>
      </c>
      <c r="G3131">
        <v>49085</v>
      </c>
      <c r="H3131">
        <v>4191044</v>
      </c>
      <c r="I3131">
        <v>85.384010416666669</v>
      </c>
      <c r="J3131">
        <v>93405.144642720858</v>
      </c>
      <c r="K3131">
        <v>117.5</v>
      </c>
      <c r="L3131">
        <v>99</v>
      </c>
      <c r="M3131">
        <v>98.005014700369543</v>
      </c>
      <c r="N3131">
        <v>9154173</v>
      </c>
    </row>
    <row r="3132" spans="1:14" x14ac:dyDescent="0.35">
      <c r="A3132" t="s">
        <v>128</v>
      </c>
      <c r="B3132">
        <v>202602</v>
      </c>
      <c r="C3132" t="str">
        <f>MID(analisis_productividad__4[[#This Row],[Periodo]],1,4)</f>
        <v>2026</v>
      </c>
      <c r="D3132" t="str">
        <f>MID(analisis_productividad__4[[#This Row],[Periodo]],5,2)</f>
        <v>02</v>
      </c>
      <c r="E3132" t="s">
        <v>104</v>
      </c>
      <c r="F3132" t="s">
        <v>104</v>
      </c>
      <c r="G3132">
        <v>49026</v>
      </c>
      <c r="H3132">
        <v>2571073</v>
      </c>
      <c r="I3132">
        <v>52.442708333333329</v>
      </c>
      <c r="J3132">
        <v>51684.680707453736</v>
      </c>
      <c r="K3132">
        <v>57.5</v>
      </c>
      <c r="L3132">
        <v>57</v>
      </c>
      <c r="M3132">
        <v>50.0561866937662</v>
      </c>
      <c r="N3132">
        <v>2587138</v>
      </c>
    </row>
    <row r="3133" spans="1:14" x14ac:dyDescent="0.35">
      <c r="A3133" t="s">
        <v>123</v>
      </c>
      <c r="B3133">
        <v>202402</v>
      </c>
      <c r="C3133" t="str">
        <f>MID(analisis_productividad__4[[#This Row],[Periodo]],1,4)</f>
        <v>2024</v>
      </c>
      <c r="D3133" t="str">
        <f>MID(analisis_productividad__4[[#This Row],[Periodo]],5,2)</f>
        <v>02</v>
      </c>
      <c r="E3133" t="s">
        <v>9</v>
      </c>
      <c r="F3133" t="s">
        <v>9</v>
      </c>
      <c r="G3133">
        <v>48988</v>
      </c>
      <c r="H3133">
        <v>491226</v>
      </c>
      <c r="I3133">
        <v>10.0275</v>
      </c>
      <c r="J3133">
        <v>0</v>
      </c>
      <c r="K3133">
        <v>11</v>
      </c>
      <c r="L3133">
        <v>10</v>
      </c>
      <c r="N3133">
        <v>0</v>
      </c>
    </row>
    <row r="3134" spans="1:14" x14ac:dyDescent="0.35">
      <c r="A3134" t="s">
        <v>102</v>
      </c>
      <c r="B3134">
        <v>202509</v>
      </c>
      <c r="C3134" t="str">
        <f>MID(analisis_productividad__4[[#This Row],[Periodo]],1,4)</f>
        <v>2025</v>
      </c>
      <c r="D3134" t="str">
        <f>MID(analisis_productividad__4[[#This Row],[Periodo]],5,2)</f>
        <v>09</v>
      </c>
      <c r="E3134" t="s">
        <v>11</v>
      </c>
      <c r="F3134" t="s">
        <v>12</v>
      </c>
      <c r="G3134">
        <v>48976</v>
      </c>
      <c r="H3134">
        <v>1465999</v>
      </c>
      <c r="I3134">
        <v>29.933166666666665</v>
      </c>
      <c r="J3134">
        <v>59261.166796523801</v>
      </c>
      <c r="K3134">
        <v>34</v>
      </c>
      <c r="L3134">
        <v>34</v>
      </c>
      <c r="M3134">
        <v>24.737932431090677</v>
      </c>
      <c r="N3134">
        <v>1824893</v>
      </c>
    </row>
    <row r="3135" spans="1:14" x14ac:dyDescent="0.35">
      <c r="A3135" t="s">
        <v>111</v>
      </c>
      <c r="B3135">
        <v>202405</v>
      </c>
      <c r="C3135" t="str">
        <f>MID(analisis_productividad__4[[#This Row],[Periodo]],1,4)</f>
        <v>2024</v>
      </c>
      <c r="D3135" t="str">
        <f>MID(analisis_productividad__4[[#This Row],[Periodo]],5,2)</f>
        <v>05</v>
      </c>
      <c r="E3135" t="s">
        <v>34</v>
      </c>
      <c r="F3135" t="s">
        <v>35</v>
      </c>
      <c r="G3135">
        <v>48865</v>
      </c>
      <c r="H3135">
        <v>2005911</v>
      </c>
      <c r="I3135">
        <v>41.050201612903216</v>
      </c>
      <c r="J3135">
        <v>0</v>
      </c>
      <c r="K3135">
        <v>45.5</v>
      </c>
      <c r="L3135">
        <v>42.5</v>
      </c>
      <c r="N3135">
        <v>0</v>
      </c>
    </row>
    <row r="3136" spans="1:14" x14ac:dyDescent="0.35">
      <c r="A3136" t="s">
        <v>114</v>
      </c>
      <c r="B3136">
        <v>202601</v>
      </c>
      <c r="C3136" t="str">
        <f>MID(analisis_productividad__4[[#This Row],[Periodo]],1,4)</f>
        <v>2026</v>
      </c>
      <c r="D3136" t="str">
        <f>MID(analisis_productividad__4[[#This Row],[Periodo]],5,2)</f>
        <v>01</v>
      </c>
      <c r="E3136" t="s">
        <v>9</v>
      </c>
      <c r="F3136" t="s">
        <v>9</v>
      </c>
      <c r="G3136">
        <v>48849</v>
      </c>
      <c r="H3136">
        <v>871338</v>
      </c>
      <c r="I3136">
        <v>17.837439516129031</v>
      </c>
      <c r="J3136">
        <v>72636.043724580741</v>
      </c>
      <c r="K3136">
        <v>13.5</v>
      </c>
      <c r="L3136">
        <v>14.5</v>
      </c>
      <c r="M3136">
        <v>13.189776457714554</v>
      </c>
      <c r="N3136">
        <v>958053</v>
      </c>
    </row>
    <row r="3137" spans="1:14" x14ac:dyDescent="0.35">
      <c r="A3137" t="s">
        <v>126</v>
      </c>
      <c r="B3137">
        <v>202402</v>
      </c>
      <c r="C3137" t="str">
        <f>MID(analisis_productividad__4[[#This Row],[Periodo]],1,4)</f>
        <v>2024</v>
      </c>
      <c r="D3137" t="str">
        <f>MID(analisis_productividad__4[[#This Row],[Periodo]],5,2)</f>
        <v>02</v>
      </c>
      <c r="E3137" t="s">
        <v>104</v>
      </c>
      <c r="F3137" t="s">
        <v>104</v>
      </c>
      <c r="G3137">
        <v>48783</v>
      </c>
      <c r="H3137">
        <v>2908726</v>
      </c>
      <c r="I3137">
        <v>59.625869252873578</v>
      </c>
      <c r="J3137">
        <v>0</v>
      </c>
      <c r="K3137">
        <v>64.5</v>
      </c>
      <c r="L3137">
        <v>61</v>
      </c>
      <c r="N3137">
        <v>0</v>
      </c>
    </row>
    <row r="3138" spans="1:14" x14ac:dyDescent="0.35">
      <c r="A3138" t="s">
        <v>99</v>
      </c>
      <c r="B3138">
        <v>202504</v>
      </c>
      <c r="C3138" t="str">
        <f>MID(analisis_productividad__4[[#This Row],[Periodo]],1,4)</f>
        <v>2025</v>
      </c>
      <c r="D3138" t="str">
        <f>MID(analisis_productividad__4[[#This Row],[Periodo]],5,2)</f>
        <v>04</v>
      </c>
      <c r="E3138" t="s">
        <v>11</v>
      </c>
      <c r="F3138" t="s">
        <v>12</v>
      </c>
      <c r="G3138">
        <v>48687</v>
      </c>
      <c r="H3138">
        <v>1305270</v>
      </c>
      <c r="I3138">
        <v>26.809416666666671</v>
      </c>
      <c r="J3138">
        <v>54076.147878944874</v>
      </c>
      <c r="K3138">
        <v>27</v>
      </c>
      <c r="L3138">
        <v>27</v>
      </c>
      <c r="M3138">
        <v>24.13763759434168</v>
      </c>
      <c r="N3138">
        <v>1510779</v>
      </c>
    </row>
    <row r="3139" spans="1:14" x14ac:dyDescent="0.35">
      <c r="A3139" t="s">
        <v>8</v>
      </c>
      <c r="B3139">
        <v>202509</v>
      </c>
      <c r="C3139" t="str">
        <f>MID(analisis_productividad__4[[#This Row],[Periodo]],1,4)</f>
        <v>2025</v>
      </c>
      <c r="D3139" t="str">
        <f>MID(analisis_productividad__4[[#This Row],[Periodo]],5,2)</f>
        <v>09</v>
      </c>
      <c r="E3139" t="s">
        <v>9</v>
      </c>
      <c r="F3139" t="s">
        <v>9</v>
      </c>
      <c r="G3139">
        <v>48535</v>
      </c>
      <c r="H3139">
        <v>921722</v>
      </c>
      <c r="I3139">
        <v>18.991048611111108</v>
      </c>
      <c r="J3139">
        <v>66641.3364940967</v>
      </c>
      <c r="K3139">
        <v>13.5</v>
      </c>
      <c r="L3139">
        <v>12.5</v>
      </c>
      <c r="M3139">
        <v>13.831088607919034</v>
      </c>
      <c r="N3139">
        <v>963011</v>
      </c>
    </row>
    <row r="3140" spans="1:14" x14ac:dyDescent="0.35">
      <c r="A3140" t="s">
        <v>101</v>
      </c>
      <c r="B3140">
        <v>202403</v>
      </c>
      <c r="C3140" t="str">
        <f>MID(analisis_productividad__4[[#This Row],[Periodo]],1,4)</f>
        <v>2024</v>
      </c>
      <c r="D3140" t="str">
        <f>MID(analisis_productividad__4[[#This Row],[Periodo]],5,2)</f>
        <v>03</v>
      </c>
      <c r="E3140" t="s">
        <v>9</v>
      </c>
      <c r="F3140" t="s">
        <v>9</v>
      </c>
      <c r="G3140">
        <v>48429</v>
      </c>
      <c r="H3140">
        <v>346634</v>
      </c>
      <c r="I3140">
        <v>7.1575470430107542</v>
      </c>
      <c r="J3140">
        <v>0</v>
      </c>
      <c r="K3140">
        <v>8.5</v>
      </c>
      <c r="L3140">
        <v>6.5</v>
      </c>
      <c r="N3140">
        <v>0</v>
      </c>
    </row>
    <row r="3141" spans="1:14" x14ac:dyDescent="0.35">
      <c r="A3141" t="s">
        <v>101</v>
      </c>
      <c r="B3141">
        <v>202602</v>
      </c>
      <c r="C3141" t="str">
        <f>MID(analisis_productividad__4[[#This Row],[Periodo]],1,4)</f>
        <v>2026</v>
      </c>
      <c r="D3141" t="str">
        <f>MID(analisis_productividad__4[[#This Row],[Periodo]],5,2)</f>
        <v>02</v>
      </c>
      <c r="E3141" t="s">
        <v>9</v>
      </c>
      <c r="F3141" t="s">
        <v>9</v>
      </c>
      <c r="G3141">
        <v>48295</v>
      </c>
      <c r="H3141">
        <v>312656</v>
      </c>
      <c r="I3141">
        <v>6.4739062500000006</v>
      </c>
      <c r="J3141">
        <v>42558.287094907202</v>
      </c>
      <c r="K3141">
        <v>8.5</v>
      </c>
      <c r="L3141">
        <v>6.5</v>
      </c>
      <c r="M3141">
        <v>7.4225653700663532</v>
      </c>
      <c r="N3141">
        <v>315892</v>
      </c>
    </row>
    <row r="3142" spans="1:14" x14ac:dyDescent="0.35">
      <c r="A3142" t="s">
        <v>125</v>
      </c>
      <c r="B3142">
        <v>202411</v>
      </c>
      <c r="C3142" t="str">
        <f>MID(analisis_productividad__4[[#This Row],[Periodo]],1,4)</f>
        <v>2024</v>
      </c>
      <c r="D3142" t="str">
        <f>MID(analisis_productividad__4[[#This Row],[Periodo]],5,2)</f>
        <v>11</v>
      </c>
      <c r="E3142" t="s">
        <v>104</v>
      </c>
      <c r="F3142" t="s">
        <v>104</v>
      </c>
      <c r="G3142">
        <v>48029</v>
      </c>
      <c r="H3142">
        <v>2648562</v>
      </c>
      <c r="I3142">
        <v>55.144881944444442</v>
      </c>
      <c r="J3142">
        <v>0</v>
      </c>
      <c r="K3142">
        <v>59</v>
      </c>
      <c r="L3142">
        <v>50</v>
      </c>
      <c r="N3142">
        <v>0</v>
      </c>
    </row>
    <row r="3143" spans="1:14" x14ac:dyDescent="0.35">
      <c r="A3143" t="s">
        <v>123</v>
      </c>
      <c r="B3143">
        <v>202502</v>
      </c>
      <c r="C3143" t="str">
        <f>MID(analisis_productividad__4[[#This Row],[Periodo]],1,4)</f>
        <v>2025</v>
      </c>
      <c r="D3143" t="str">
        <f>MID(analisis_productividad__4[[#This Row],[Periodo]],5,2)</f>
        <v>02</v>
      </c>
      <c r="E3143" t="s">
        <v>9</v>
      </c>
      <c r="F3143" t="s">
        <v>9</v>
      </c>
      <c r="G3143">
        <v>48026</v>
      </c>
      <c r="H3143">
        <v>482613</v>
      </c>
      <c r="I3143">
        <v>10.049010416666665</v>
      </c>
      <c r="J3143">
        <v>51437.277486911014</v>
      </c>
      <c r="K3143">
        <v>11</v>
      </c>
      <c r="L3143">
        <v>10</v>
      </c>
      <c r="M3143">
        <v>9.3825599561098123</v>
      </c>
      <c r="N3143">
        <v>476973</v>
      </c>
    </row>
    <row r="3144" spans="1:14" x14ac:dyDescent="0.35">
      <c r="A3144" t="s">
        <v>126</v>
      </c>
      <c r="B3144">
        <v>202404</v>
      </c>
      <c r="C3144" t="str">
        <f>MID(analisis_productividad__4[[#This Row],[Periodo]],1,4)</f>
        <v>2024</v>
      </c>
      <c r="D3144" t="str">
        <f>MID(analisis_productividad__4[[#This Row],[Periodo]],5,2)</f>
        <v>04</v>
      </c>
      <c r="E3144" t="s">
        <v>104</v>
      </c>
      <c r="F3144" t="s">
        <v>104</v>
      </c>
      <c r="G3144">
        <v>47942</v>
      </c>
      <c r="H3144">
        <v>3024235</v>
      </c>
      <c r="I3144">
        <v>63.080937499999976</v>
      </c>
      <c r="J3144">
        <v>0</v>
      </c>
      <c r="K3144">
        <v>64.5</v>
      </c>
      <c r="L3144">
        <v>61</v>
      </c>
      <c r="N3144">
        <v>0</v>
      </c>
    </row>
    <row r="3145" spans="1:14" x14ac:dyDescent="0.35">
      <c r="A3145" t="s">
        <v>128</v>
      </c>
      <c r="B3145">
        <v>202504</v>
      </c>
      <c r="C3145" t="str">
        <f>MID(analisis_productividad__4[[#This Row],[Periodo]],1,4)</f>
        <v>2025</v>
      </c>
      <c r="D3145" t="str">
        <f>MID(analisis_productividad__4[[#This Row],[Periodo]],5,2)</f>
        <v>04</v>
      </c>
      <c r="E3145" t="s">
        <v>104</v>
      </c>
      <c r="F3145" t="s">
        <v>104</v>
      </c>
      <c r="G3145">
        <v>47941</v>
      </c>
      <c r="H3145">
        <v>2565007</v>
      </c>
      <c r="I3145">
        <v>53.50299305555555</v>
      </c>
      <c r="J3145">
        <v>47409.495672419514</v>
      </c>
      <c r="K3145">
        <v>57.5</v>
      </c>
      <c r="L3145">
        <v>57</v>
      </c>
      <c r="M3145">
        <v>54.103238678663985</v>
      </c>
      <c r="N3145">
        <v>2566701</v>
      </c>
    </row>
    <row r="3146" spans="1:14" x14ac:dyDescent="0.35">
      <c r="A3146" t="s">
        <v>128</v>
      </c>
      <c r="B3146">
        <v>202405</v>
      </c>
      <c r="C3146" t="str">
        <f>MID(analisis_productividad__4[[#This Row],[Periodo]],1,4)</f>
        <v>2024</v>
      </c>
      <c r="D3146" t="str">
        <f>MID(analisis_productividad__4[[#This Row],[Periodo]],5,2)</f>
        <v>05</v>
      </c>
      <c r="E3146" t="s">
        <v>104</v>
      </c>
      <c r="F3146" t="s">
        <v>104</v>
      </c>
      <c r="G3146">
        <v>47923</v>
      </c>
      <c r="H3146">
        <v>2470354</v>
      </c>
      <c r="I3146">
        <v>51.548461021505361</v>
      </c>
      <c r="J3146">
        <v>0</v>
      </c>
      <c r="K3146">
        <v>57.5</v>
      </c>
      <c r="L3146">
        <v>57</v>
      </c>
      <c r="N3146">
        <v>0</v>
      </c>
    </row>
    <row r="3147" spans="1:14" x14ac:dyDescent="0.35">
      <c r="A3147" t="s">
        <v>123</v>
      </c>
      <c r="B3147">
        <v>202508</v>
      </c>
      <c r="C3147" t="str">
        <f>MID(analisis_productividad__4[[#This Row],[Periodo]],1,4)</f>
        <v>2025</v>
      </c>
      <c r="D3147" t="str">
        <f>MID(analisis_productividad__4[[#This Row],[Periodo]],5,2)</f>
        <v>08</v>
      </c>
      <c r="E3147" t="s">
        <v>9</v>
      </c>
      <c r="F3147" t="s">
        <v>9</v>
      </c>
      <c r="G3147">
        <v>47891</v>
      </c>
      <c r="H3147">
        <v>527407</v>
      </c>
      <c r="I3147">
        <v>11.012674731182795</v>
      </c>
      <c r="J3147">
        <v>61725.147096947199</v>
      </c>
      <c r="K3147">
        <v>11</v>
      </c>
      <c r="L3147">
        <v>10</v>
      </c>
      <c r="M3147">
        <v>8.5444413631228837</v>
      </c>
      <c r="N3147">
        <v>580064</v>
      </c>
    </row>
    <row r="3148" spans="1:14" x14ac:dyDescent="0.35">
      <c r="A3148" t="s">
        <v>122</v>
      </c>
      <c r="B3148">
        <v>202602</v>
      </c>
      <c r="C3148" t="str">
        <f>MID(analisis_productividad__4[[#This Row],[Periodo]],1,4)</f>
        <v>2026</v>
      </c>
      <c r="D3148" t="str">
        <f>MID(analisis_productividad__4[[#This Row],[Periodo]],5,2)</f>
        <v>02</v>
      </c>
      <c r="E3148" t="s">
        <v>104</v>
      </c>
      <c r="F3148" t="s">
        <v>104</v>
      </c>
      <c r="G3148">
        <v>47691</v>
      </c>
      <c r="H3148">
        <v>4562919</v>
      </c>
      <c r="I3148">
        <v>95.677552083333339</v>
      </c>
      <c r="J3148">
        <v>46169.14721436004</v>
      </c>
      <c r="K3148">
        <v>22</v>
      </c>
      <c r="L3148">
        <v>20</v>
      </c>
      <c r="M3148">
        <v>96.1</v>
      </c>
      <c r="N3148">
        <v>4436855</v>
      </c>
    </row>
    <row r="3149" spans="1:14" x14ac:dyDescent="0.35">
      <c r="A3149" t="s">
        <v>128</v>
      </c>
      <c r="B3149">
        <v>202411</v>
      </c>
      <c r="C3149" t="str">
        <f>MID(analisis_productividad__4[[#This Row],[Periodo]],1,4)</f>
        <v>2024</v>
      </c>
      <c r="D3149" t="str">
        <f>MID(analisis_productividad__4[[#This Row],[Periodo]],5,2)</f>
        <v>11</v>
      </c>
      <c r="E3149" t="s">
        <v>104</v>
      </c>
      <c r="F3149" t="s">
        <v>104</v>
      </c>
      <c r="G3149">
        <v>47487</v>
      </c>
      <c r="H3149">
        <v>2255058</v>
      </c>
      <c r="I3149">
        <v>47.488388888888906</v>
      </c>
      <c r="J3149">
        <v>0</v>
      </c>
      <c r="K3149">
        <v>57.5</v>
      </c>
      <c r="L3149">
        <v>57</v>
      </c>
      <c r="N3149">
        <v>0</v>
      </c>
    </row>
    <row r="3150" spans="1:14" x14ac:dyDescent="0.35">
      <c r="A3150" t="s">
        <v>123</v>
      </c>
      <c r="B3150">
        <v>202509</v>
      </c>
      <c r="C3150" t="str">
        <f>MID(analisis_productividad__4[[#This Row],[Periodo]],1,4)</f>
        <v>2025</v>
      </c>
      <c r="D3150" t="str">
        <f>MID(analisis_productividad__4[[#This Row],[Periodo]],5,2)</f>
        <v>09</v>
      </c>
      <c r="E3150" t="s">
        <v>9</v>
      </c>
      <c r="F3150" t="s">
        <v>9</v>
      </c>
      <c r="G3150">
        <v>47474</v>
      </c>
      <c r="H3150">
        <v>495011</v>
      </c>
      <c r="I3150">
        <v>10.427083333333334</v>
      </c>
      <c r="J3150">
        <v>56163.829227243965</v>
      </c>
      <c r="K3150">
        <v>11</v>
      </c>
      <c r="L3150">
        <v>10</v>
      </c>
      <c r="M3150">
        <v>8.8136953411267775</v>
      </c>
      <c r="N3150">
        <v>567335</v>
      </c>
    </row>
    <row r="3151" spans="1:14" x14ac:dyDescent="0.35">
      <c r="A3151" t="s">
        <v>8</v>
      </c>
      <c r="B3151">
        <v>202507</v>
      </c>
      <c r="C3151" t="str">
        <f>MID(analisis_productividad__4[[#This Row],[Periodo]],1,4)</f>
        <v>2025</v>
      </c>
      <c r="D3151" t="str">
        <f>MID(analisis_productividad__4[[#This Row],[Periodo]],5,2)</f>
        <v>07</v>
      </c>
      <c r="E3151" t="s">
        <v>9</v>
      </c>
      <c r="F3151" t="s">
        <v>9</v>
      </c>
      <c r="G3151">
        <v>47422</v>
      </c>
      <c r="H3151">
        <v>924674</v>
      </c>
      <c r="I3151">
        <v>19.498904569892474</v>
      </c>
      <c r="J3151">
        <v>68566.333629860601</v>
      </c>
      <c r="K3151">
        <v>13.5</v>
      </c>
      <c r="L3151">
        <v>12.5</v>
      </c>
      <c r="M3151">
        <v>13.485833368189676</v>
      </c>
      <c r="N3151">
        <v>830418</v>
      </c>
    </row>
    <row r="3152" spans="1:14" x14ac:dyDescent="0.35">
      <c r="A3152" t="s">
        <v>129</v>
      </c>
      <c r="B3152">
        <v>202412</v>
      </c>
      <c r="C3152" t="str">
        <f>MID(analisis_productividad__4[[#This Row],[Periodo]],1,4)</f>
        <v>2024</v>
      </c>
      <c r="D3152" t="str">
        <f>MID(analisis_productividad__4[[#This Row],[Periodo]],5,2)</f>
        <v>12</v>
      </c>
      <c r="E3152" t="s">
        <v>9</v>
      </c>
      <c r="F3152" t="s">
        <v>9</v>
      </c>
      <c r="G3152">
        <v>47093</v>
      </c>
      <c r="H3152">
        <v>346724</v>
      </c>
      <c r="I3152">
        <v>7.3626075268817228</v>
      </c>
      <c r="J3152">
        <v>0</v>
      </c>
      <c r="K3152">
        <v>9</v>
      </c>
      <c r="L3152">
        <v>9</v>
      </c>
      <c r="N3152">
        <v>0</v>
      </c>
    </row>
    <row r="3153" spans="1:14" x14ac:dyDescent="0.35">
      <c r="A3153" t="s">
        <v>128</v>
      </c>
      <c r="B3153">
        <v>202503</v>
      </c>
      <c r="C3153" t="str">
        <f>MID(analisis_productividad__4[[#This Row],[Periodo]],1,4)</f>
        <v>2025</v>
      </c>
      <c r="D3153" t="str">
        <f>MID(analisis_productividad__4[[#This Row],[Periodo]],5,2)</f>
        <v>03</v>
      </c>
      <c r="E3153" t="s">
        <v>104</v>
      </c>
      <c r="F3153" t="s">
        <v>104</v>
      </c>
      <c r="G3153">
        <v>47088</v>
      </c>
      <c r="H3153">
        <v>2762190</v>
      </c>
      <c r="I3153">
        <v>58.660141129032262</v>
      </c>
      <c r="J3153">
        <v>53084.268786357439</v>
      </c>
      <c r="K3153">
        <v>57.5</v>
      </c>
      <c r="L3153">
        <v>57</v>
      </c>
      <c r="M3153">
        <v>52.034063257359541</v>
      </c>
      <c r="N3153">
        <v>2797664</v>
      </c>
    </row>
    <row r="3154" spans="1:14" x14ac:dyDescent="0.35">
      <c r="A3154" t="s">
        <v>45</v>
      </c>
      <c r="B3154">
        <v>202410</v>
      </c>
      <c r="C3154" t="str">
        <f>MID(analisis_productividad__4[[#This Row],[Periodo]],1,4)</f>
        <v>2024</v>
      </c>
      <c r="D3154" t="str">
        <f>MID(analisis_productividad__4[[#This Row],[Periodo]],5,2)</f>
        <v>10</v>
      </c>
      <c r="E3154" t="s">
        <v>34</v>
      </c>
      <c r="F3154" t="s">
        <v>35</v>
      </c>
      <c r="G3154">
        <v>46600</v>
      </c>
      <c r="H3154">
        <v>845672</v>
      </c>
      <c r="I3154">
        <v>18.147547043010761</v>
      </c>
      <c r="J3154">
        <v>0</v>
      </c>
      <c r="K3154">
        <v>22.5</v>
      </c>
      <c r="L3154">
        <v>21</v>
      </c>
      <c r="N3154">
        <v>0</v>
      </c>
    </row>
    <row r="3155" spans="1:14" x14ac:dyDescent="0.35">
      <c r="A3155" t="s">
        <v>8</v>
      </c>
      <c r="B3155">
        <v>202508</v>
      </c>
      <c r="C3155" t="str">
        <f>MID(analisis_productividad__4[[#This Row],[Periodo]],1,4)</f>
        <v>2025</v>
      </c>
      <c r="D3155" t="str">
        <f>MID(analisis_productividad__4[[#This Row],[Periodo]],5,2)</f>
        <v>08</v>
      </c>
      <c r="E3155" t="s">
        <v>9</v>
      </c>
      <c r="F3155" t="s">
        <v>9</v>
      </c>
      <c r="G3155">
        <v>46543</v>
      </c>
      <c r="H3155">
        <v>952675</v>
      </c>
      <c r="I3155">
        <v>20.468743279569889</v>
      </c>
      <c r="J3155">
        <v>69240.58275041201</v>
      </c>
      <c r="K3155">
        <v>13.5</v>
      </c>
      <c r="L3155">
        <v>12.5</v>
      </c>
      <c r="M3155">
        <v>13.75890932972154</v>
      </c>
      <c r="N3155">
        <v>837714</v>
      </c>
    </row>
    <row r="3156" spans="1:14" x14ac:dyDescent="0.35">
      <c r="A3156" t="s">
        <v>118</v>
      </c>
      <c r="B3156">
        <v>202506</v>
      </c>
      <c r="C3156" t="str">
        <f>MID(analisis_productividad__4[[#This Row],[Periodo]],1,4)</f>
        <v>2025</v>
      </c>
      <c r="D3156" t="str">
        <f>MID(analisis_productividad__4[[#This Row],[Periodo]],5,2)</f>
        <v>06</v>
      </c>
      <c r="E3156" t="s">
        <v>34</v>
      </c>
      <c r="F3156" t="s">
        <v>35</v>
      </c>
      <c r="G3156">
        <v>46408</v>
      </c>
      <c r="H3156">
        <v>943608</v>
      </c>
      <c r="I3156">
        <v>20.332666666666668</v>
      </c>
      <c r="J3156">
        <v>67333.875277470623</v>
      </c>
      <c r="K3156">
        <v>19</v>
      </c>
      <c r="L3156">
        <v>21.5</v>
      </c>
      <c r="M3156">
        <v>14.013867256437617</v>
      </c>
      <c r="N3156">
        <v>1178864</v>
      </c>
    </row>
    <row r="3157" spans="1:14" x14ac:dyDescent="0.35">
      <c r="A3157" t="s">
        <v>129</v>
      </c>
      <c r="B3157">
        <v>202601</v>
      </c>
      <c r="C3157" t="str">
        <f>MID(analisis_productividad__4[[#This Row],[Periodo]],1,4)</f>
        <v>2026</v>
      </c>
      <c r="D3157" t="str">
        <f>MID(analisis_productividad__4[[#This Row],[Periodo]],5,2)</f>
        <v>01</v>
      </c>
      <c r="E3157" t="s">
        <v>9</v>
      </c>
      <c r="F3157" t="s">
        <v>9</v>
      </c>
      <c r="G3157">
        <v>46198</v>
      </c>
      <c r="H3157">
        <v>281217</v>
      </c>
      <c r="I3157">
        <v>6.0871774193548385</v>
      </c>
      <c r="J3157">
        <v>37544.722076886937</v>
      </c>
      <c r="K3157">
        <v>9</v>
      </c>
      <c r="L3157">
        <v>9</v>
      </c>
      <c r="M3157">
        <v>7.859186862423198</v>
      </c>
      <c r="N3157">
        <v>295071</v>
      </c>
    </row>
    <row r="3158" spans="1:14" x14ac:dyDescent="0.35">
      <c r="A3158" t="s">
        <v>117</v>
      </c>
      <c r="B3158">
        <v>202502</v>
      </c>
      <c r="C3158" t="str">
        <f>MID(analisis_productividad__4[[#This Row],[Periodo]],1,4)</f>
        <v>2025</v>
      </c>
      <c r="D3158" t="str">
        <f>MID(analisis_productividad__4[[#This Row],[Periodo]],5,2)</f>
        <v>02</v>
      </c>
      <c r="E3158" t="s">
        <v>104</v>
      </c>
      <c r="F3158" t="s">
        <v>104</v>
      </c>
      <c r="G3158">
        <v>45953</v>
      </c>
      <c r="H3158">
        <v>2760968</v>
      </c>
      <c r="I3158">
        <v>60.082500000000003</v>
      </c>
      <c r="J3158">
        <v>52060.758009857585</v>
      </c>
      <c r="K3158">
        <v>66</v>
      </c>
      <c r="L3158">
        <v>65.5</v>
      </c>
      <c r="M3158">
        <v>53.033565117842052</v>
      </c>
      <c r="N3158">
        <v>3291848</v>
      </c>
    </row>
    <row r="3159" spans="1:14" x14ac:dyDescent="0.35">
      <c r="A3159" t="s">
        <v>109</v>
      </c>
      <c r="B3159">
        <v>202502</v>
      </c>
      <c r="C3159" t="str">
        <f>MID(analisis_productividad__4[[#This Row],[Periodo]],1,4)</f>
        <v>2025</v>
      </c>
      <c r="D3159" t="str">
        <f>MID(analisis_productividad__4[[#This Row],[Periodo]],5,2)</f>
        <v>02</v>
      </c>
      <c r="E3159" t="s">
        <v>9</v>
      </c>
      <c r="F3159" t="s">
        <v>9</v>
      </c>
      <c r="G3159">
        <v>45806</v>
      </c>
      <c r="H3159">
        <v>405482</v>
      </c>
      <c r="I3159">
        <v>8.8522395833333327</v>
      </c>
      <c r="J3159">
        <v>63489.565208838452</v>
      </c>
      <c r="K3159">
        <v>10</v>
      </c>
      <c r="L3159">
        <v>9</v>
      </c>
      <c r="M3159">
        <v>6.3865898067853273</v>
      </c>
      <c r="N3159">
        <v>517753</v>
      </c>
    </row>
    <row r="3160" spans="1:14" x14ac:dyDescent="0.35">
      <c r="A3160" t="s">
        <v>125</v>
      </c>
      <c r="B3160">
        <v>202502</v>
      </c>
      <c r="C3160" t="str">
        <f>MID(analisis_productividad__4[[#This Row],[Periodo]],1,4)</f>
        <v>2025</v>
      </c>
      <c r="D3160" t="str">
        <f>MID(analisis_productividad__4[[#This Row],[Periodo]],5,2)</f>
        <v>02</v>
      </c>
      <c r="E3160" t="s">
        <v>104</v>
      </c>
      <c r="F3160" t="s">
        <v>104</v>
      </c>
      <c r="G3160">
        <v>45780</v>
      </c>
      <c r="H3160">
        <v>2424543</v>
      </c>
      <c r="I3160">
        <v>52.960885416666656</v>
      </c>
      <c r="J3160">
        <v>54307.899092796462</v>
      </c>
      <c r="K3160">
        <v>59</v>
      </c>
      <c r="L3160">
        <v>50</v>
      </c>
      <c r="M3160">
        <v>44.644384712013249</v>
      </c>
      <c r="N3160">
        <v>2322722</v>
      </c>
    </row>
    <row r="3161" spans="1:14" x14ac:dyDescent="0.35">
      <c r="A3161" t="s">
        <v>128</v>
      </c>
      <c r="B3161">
        <v>202502</v>
      </c>
      <c r="C3161" t="str">
        <f>MID(analisis_productividad__4[[#This Row],[Periodo]],1,4)</f>
        <v>2025</v>
      </c>
      <c r="D3161" t="str">
        <f>MID(analisis_productividad__4[[#This Row],[Periodo]],5,2)</f>
        <v>02</v>
      </c>
      <c r="E3161" t="s">
        <v>104</v>
      </c>
      <c r="F3161" t="s">
        <v>104</v>
      </c>
      <c r="G3161">
        <v>45778</v>
      </c>
      <c r="H3161">
        <v>2559403</v>
      </c>
      <c r="I3161">
        <v>55.90911458333332</v>
      </c>
      <c r="J3161">
        <v>47314.350306399465</v>
      </c>
      <c r="K3161">
        <v>57.5</v>
      </c>
      <c r="L3161">
        <v>57</v>
      </c>
      <c r="M3161">
        <v>54.093584154189045</v>
      </c>
      <c r="N3161">
        <v>2344554</v>
      </c>
    </row>
    <row r="3162" spans="1:14" x14ac:dyDescent="0.35">
      <c r="A3162" t="s">
        <v>45</v>
      </c>
      <c r="B3162">
        <v>202408</v>
      </c>
      <c r="C3162" t="str">
        <f>MID(analisis_productividad__4[[#This Row],[Periodo]],1,4)</f>
        <v>2024</v>
      </c>
      <c r="D3162" t="str">
        <f>MID(analisis_productividad__4[[#This Row],[Periodo]],5,2)</f>
        <v>08</v>
      </c>
      <c r="E3162" t="s">
        <v>34</v>
      </c>
      <c r="F3162" t="s">
        <v>35</v>
      </c>
      <c r="G3162">
        <v>45771</v>
      </c>
      <c r="H3162">
        <v>753886</v>
      </c>
      <c r="I3162">
        <v>16.470651881720435</v>
      </c>
      <c r="J3162">
        <v>0</v>
      </c>
      <c r="K3162">
        <v>22.5</v>
      </c>
      <c r="L3162">
        <v>21</v>
      </c>
      <c r="N3162">
        <v>0</v>
      </c>
    </row>
    <row r="3163" spans="1:14" x14ac:dyDescent="0.35">
      <c r="A3163" t="s">
        <v>101</v>
      </c>
      <c r="B3163">
        <v>202510</v>
      </c>
      <c r="C3163" t="str">
        <f>MID(analisis_productividad__4[[#This Row],[Periodo]],1,4)</f>
        <v>2025</v>
      </c>
      <c r="D3163" t="str">
        <f>MID(analisis_productividad__4[[#This Row],[Periodo]],5,2)</f>
        <v>10</v>
      </c>
      <c r="E3163" t="s">
        <v>9</v>
      </c>
      <c r="F3163" t="s">
        <v>9</v>
      </c>
      <c r="G3163">
        <v>45769</v>
      </c>
      <c r="H3163">
        <v>321191</v>
      </c>
      <c r="I3163">
        <v>7.0175940860215054</v>
      </c>
      <c r="J3163">
        <v>51864.968831380706</v>
      </c>
      <c r="K3163">
        <v>8.5</v>
      </c>
      <c r="L3163">
        <v>6.5</v>
      </c>
      <c r="M3163">
        <v>6.1928285553247004</v>
      </c>
      <c r="N3163">
        <v>355347</v>
      </c>
    </row>
    <row r="3164" spans="1:14" x14ac:dyDescent="0.35">
      <c r="A3164" t="s">
        <v>45</v>
      </c>
      <c r="B3164">
        <v>202404</v>
      </c>
      <c r="C3164" t="str">
        <f>MID(analisis_productividad__4[[#This Row],[Periodo]],1,4)</f>
        <v>2024</v>
      </c>
      <c r="D3164" t="str">
        <f>MID(analisis_productividad__4[[#This Row],[Periodo]],5,2)</f>
        <v>04</v>
      </c>
      <c r="E3164" t="s">
        <v>34</v>
      </c>
      <c r="F3164" t="s">
        <v>35</v>
      </c>
      <c r="G3164">
        <v>45623</v>
      </c>
      <c r="H3164">
        <v>961204</v>
      </c>
      <c r="I3164">
        <v>21.068201388888891</v>
      </c>
      <c r="J3164">
        <v>0</v>
      </c>
      <c r="K3164">
        <v>22.5</v>
      </c>
      <c r="L3164">
        <v>21</v>
      </c>
      <c r="N3164">
        <v>0</v>
      </c>
    </row>
    <row r="3165" spans="1:14" x14ac:dyDescent="0.35">
      <c r="A3165" t="s">
        <v>122</v>
      </c>
      <c r="B3165">
        <v>202504</v>
      </c>
      <c r="C3165" t="str">
        <f>MID(analisis_productividad__4[[#This Row],[Periodo]],1,4)</f>
        <v>2025</v>
      </c>
      <c r="D3165" t="str">
        <f>MID(analisis_productividad__4[[#This Row],[Periodo]],5,2)</f>
        <v>04</v>
      </c>
      <c r="E3165" t="s">
        <v>104</v>
      </c>
      <c r="F3165" t="s">
        <v>104</v>
      </c>
      <c r="G3165">
        <v>45611</v>
      </c>
      <c r="H3165">
        <v>2351099</v>
      </c>
      <c r="I3165">
        <v>51.54731944444444</v>
      </c>
      <c r="J3165">
        <v>40155.143069123842</v>
      </c>
      <c r="K3165">
        <v>22</v>
      </c>
      <c r="L3165">
        <v>20</v>
      </c>
      <c r="M3165">
        <v>58.550392061927688</v>
      </c>
      <c r="N3165">
        <v>2285727</v>
      </c>
    </row>
    <row r="3166" spans="1:14" x14ac:dyDescent="0.35">
      <c r="A3166" t="s">
        <v>127</v>
      </c>
      <c r="B3166">
        <v>202604</v>
      </c>
      <c r="C3166" t="str">
        <f>MID(analisis_productividad__4[[#This Row],[Periodo]],1,4)</f>
        <v>2026</v>
      </c>
      <c r="D3166" t="str">
        <f>MID(analisis_productividad__4[[#This Row],[Periodo]],5,2)</f>
        <v>04</v>
      </c>
      <c r="E3166" t="s">
        <v>104</v>
      </c>
      <c r="F3166" t="s">
        <v>104</v>
      </c>
      <c r="G3166">
        <v>45473</v>
      </c>
      <c r="H3166">
        <v>2948369</v>
      </c>
      <c r="I3166">
        <v>64.8383749999999</v>
      </c>
      <c r="K3166">
        <v>61.5</v>
      </c>
      <c r="L3166">
        <v>56</v>
      </c>
      <c r="N3166">
        <v>3443208</v>
      </c>
    </row>
    <row r="3167" spans="1:14" x14ac:dyDescent="0.35">
      <c r="A3167" t="s">
        <v>124</v>
      </c>
      <c r="B3167">
        <v>202511</v>
      </c>
      <c r="C3167" t="str">
        <f>MID(analisis_productividad__4[[#This Row],[Periodo]],1,4)</f>
        <v>2025</v>
      </c>
      <c r="D3167" t="str">
        <f>MID(analisis_productividad__4[[#This Row],[Periodo]],5,2)</f>
        <v>11</v>
      </c>
      <c r="E3167" t="s">
        <v>9</v>
      </c>
      <c r="F3167" t="s">
        <v>9</v>
      </c>
      <c r="G3167">
        <v>45456</v>
      </c>
      <c r="H3167">
        <v>683558</v>
      </c>
      <c r="I3167">
        <v>15.037749999999997</v>
      </c>
      <c r="J3167">
        <v>60839.248689092186</v>
      </c>
      <c r="K3167">
        <v>11</v>
      </c>
      <c r="L3167">
        <v>12</v>
      </c>
      <c r="M3167">
        <v>11.235477668259806</v>
      </c>
      <c r="N3167">
        <v>692706</v>
      </c>
    </row>
    <row r="3168" spans="1:14" x14ac:dyDescent="0.35">
      <c r="A3168" t="s">
        <v>114</v>
      </c>
      <c r="B3168">
        <v>202602</v>
      </c>
      <c r="C3168" t="str">
        <f>MID(analisis_productividad__4[[#This Row],[Periodo]],1,4)</f>
        <v>2026</v>
      </c>
      <c r="D3168" t="str">
        <f>MID(analisis_productividad__4[[#This Row],[Periodo]],5,2)</f>
        <v>02</v>
      </c>
      <c r="E3168" t="s">
        <v>9</v>
      </c>
      <c r="F3168" t="s">
        <v>9</v>
      </c>
      <c r="G3168">
        <v>45356</v>
      </c>
      <c r="H3168">
        <v>833861</v>
      </c>
      <c r="I3168">
        <v>18.384635416666669</v>
      </c>
      <c r="J3168">
        <v>65440.151390523257</v>
      </c>
      <c r="K3168">
        <v>13.5</v>
      </c>
      <c r="L3168">
        <v>14.5</v>
      </c>
      <c r="M3168">
        <v>13.189776457714554</v>
      </c>
      <c r="N3168">
        <v>863141</v>
      </c>
    </row>
    <row r="3169" spans="1:14" x14ac:dyDescent="0.35">
      <c r="A3169" t="s">
        <v>128</v>
      </c>
      <c r="B3169">
        <v>202404</v>
      </c>
      <c r="C3169" t="str">
        <f>MID(analisis_productividad__4[[#This Row],[Periodo]],1,4)</f>
        <v>2024</v>
      </c>
      <c r="D3169" t="str">
        <f>MID(analisis_productividad__4[[#This Row],[Periodo]],5,2)</f>
        <v>04</v>
      </c>
      <c r="E3169" t="s">
        <v>104</v>
      </c>
      <c r="F3169" t="s">
        <v>104</v>
      </c>
      <c r="G3169">
        <v>45152</v>
      </c>
      <c r="H3169">
        <v>2375655</v>
      </c>
      <c r="I3169">
        <v>52.614722222222234</v>
      </c>
      <c r="J3169">
        <v>0</v>
      </c>
      <c r="K3169">
        <v>57.5</v>
      </c>
      <c r="L3169">
        <v>57</v>
      </c>
      <c r="N3169">
        <v>0</v>
      </c>
    </row>
    <row r="3170" spans="1:14" x14ac:dyDescent="0.35">
      <c r="A3170" t="s">
        <v>128</v>
      </c>
      <c r="B3170">
        <v>202402</v>
      </c>
      <c r="C3170" t="str">
        <f>MID(analisis_productividad__4[[#This Row],[Periodo]],1,4)</f>
        <v>2024</v>
      </c>
      <c r="D3170" t="str">
        <f>MID(analisis_productividad__4[[#This Row],[Periodo]],5,2)</f>
        <v>02</v>
      </c>
      <c r="E3170" t="s">
        <v>104</v>
      </c>
      <c r="F3170" t="s">
        <v>104</v>
      </c>
      <c r="G3170">
        <v>45061</v>
      </c>
      <c r="H3170">
        <v>2306323</v>
      </c>
      <c r="I3170">
        <v>51.181918103448268</v>
      </c>
      <c r="J3170">
        <v>0</v>
      </c>
      <c r="K3170">
        <v>57.5</v>
      </c>
      <c r="L3170">
        <v>57</v>
      </c>
      <c r="N3170">
        <v>0</v>
      </c>
    </row>
    <row r="3171" spans="1:14" x14ac:dyDescent="0.35">
      <c r="A3171" t="s">
        <v>122</v>
      </c>
      <c r="B3171">
        <v>202401</v>
      </c>
      <c r="C3171" t="str">
        <f>MID(analisis_productividad__4[[#This Row],[Periodo]],1,4)</f>
        <v>2024</v>
      </c>
      <c r="D3171" t="str">
        <f>MID(analisis_productividad__4[[#This Row],[Periodo]],5,2)</f>
        <v>01</v>
      </c>
      <c r="E3171" t="s">
        <v>104</v>
      </c>
      <c r="F3171" t="s">
        <v>104</v>
      </c>
      <c r="G3171">
        <v>44634</v>
      </c>
      <c r="H3171">
        <v>4061494</v>
      </c>
      <c r="I3171">
        <v>90.995248655914011</v>
      </c>
      <c r="J3171">
        <v>0</v>
      </c>
      <c r="K3171">
        <v>22</v>
      </c>
      <c r="L3171">
        <v>20</v>
      </c>
      <c r="N3171">
        <v>0</v>
      </c>
    </row>
    <row r="3172" spans="1:14" x14ac:dyDescent="0.35">
      <c r="A3172" t="s">
        <v>101</v>
      </c>
      <c r="B3172">
        <v>202502</v>
      </c>
      <c r="C3172" t="str">
        <f>MID(analisis_productividad__4[[#This Row],[Periodo]],1,4)</f>
        <v>2025</v>
      </c>
      <c r="D3172" t="str">
        <f>MID(analisis_productividad__4[[#This Row],[Periodo]],5,2)</f>
        <v>02</v>
      </c>
      <c r="E3172" t="s">
        <v>9</v>
      </c>
      <c r="F3172" t="s">
        <v>9</v>
      </c>
      <c r="G3172">
        <v>44608</v>
      </c>
      <c r="H3172">
        <v>317773</v>
      </c>
      <c r="I3172">
        <v>7.1236979166666661</v>
      </c>
      <c r="J3172">
        <v>43394.994511972043</v>
      </c>
      <c r="K3172">
        <v>8.5</v>
      </c>
      <c r="L3172">
        <v>6.5</v>
      </c>
      <c r="M3172">
        <v>7.3228000965026308</v>
      </c>
      <c r="N3172">
        <v>299565</v>
      </c>
    </row>
    <row r="3173" spans="1:14" x14ac:dyDescent="0.35">
      <c r="A3173" t="s">
        <v>45</v>
      </c>
      <c r="B3173">
        <v>202407</v>
      </c>
      <c r="C3173" t="str">
        <f>MID(analisis_productividad__4[[#This Row],[Periodo]],1,4)</f>
        <v>2024</v>
      </c>
      <c r="D3173" t="str">
        <f>MID(analisis_productividad__4[[#This Row],[Periodo]],5,2)</f>
        <v>07</v>
      </c>
      <c r="E3173" t="s">
        <v>34</v>
      </c>
      <c r="F3173" t="s">
        <v>35</v>
      </c>
      <c r="G3173">
        <v>44560</v>
      </c>
      <c r="H3173">
        <v>764834</v>
      </c>
      <c r="I3173">
        <v>17.164206989247319</v>
      </c>
      <c r="J3173">
        <v>0</v>
      </c>
      <c r="K3173">
        <v>22.5</v>
      </c>
      <c r="L3173">
        <v>21</v>
      </c>
      <c r="N3173">
        <v>0</v>
      </c>
    </row>
    <row r="3174" spans="1:14" x14ac:dyDescent="0.35">
      <c r="A3174" t="s">
        <v>45</v>
      </c>
      <c r="B3174">
        <v>202605</v>
      </c>
      <c r="C3174" t="str">
        <f>MID(analisis_productividad__4[[#This Row],[Periodo]],1,4)</f>
        <v>2026</v>
      </c>
      <c r="D3174" t="str">
        <f>MID(analisis_productividad__4[[#This Row],[Periodo]],5,2)</f>
        <v>05</v>
      </c>
      <c r="E3174" t="s">
        <v>34</v>
      </c>
      <c r="F3174" t="s">
        <v>35</v>
      </c>
      <c r="G3174">
        <v>44414</v>
      </c>
      <c r="H3174">
        <v>817446</v>
      </c>
      <c r="I3174">
        <v>18.405342741935453</v>
      </c>
      <c r="J3174">
        <v>36815.08808288975</v>
      </c>
      <c r="K3174">
        <v>22.5</v>
      </c>
      <c r="L3174">
        <v>21</v>
      </c>
      <c r="M3174">
        <v>19.647967156057994</v>
      </c>
      <c r="N3174">
        <v>723342</v>
      </c>
    </row>
    <row r="3175" spans="1:14" x14ac:dyDescent="0.35">
      <c r="A3175" t="s">
        <v>45</v>
      </c>
      <c r="B3175">
        <v>202411</v>
      </c>
      <c r="C3175" t="str">
        <f>MID(analisis_productividad__4[[#This Row],[Periodo]],1,4)</f>
        <v>2024</v>
      </c>
      <c r="D3175" t="str">
        <f>MID(analisis_productividad__4[[#This Row],[Periodo]],5,2)</f>
        <v>11</v>
      </c>
      <c r="E3175" t="s">
        <v>34</v>
      </c>
      <c r="F3175" t="s">
        <v>35</v>
      </c>
      <c r="G3175">
        <v>44280</v>
      </c>
      <c r="H3175">
        <v>1043830</v>
      </c>
      <c r="I3175">
        <v>23.573277777777768</v>
      </c>
      <c r="J3175">
        <v>0</v>
      </c>
      <c r="K3175">
        <v>22.5</v>
      </c>
      <c r="L3175">
        <v>21</v>
      </c>
      <c r="N3175">
        <v>0</v>
      </c>
    </row>
    <row r="3176" spans="1:14" x14ac:dyDescent="0.35">
      <c r="A3176" t="s">
        <v>128</v>
      </c>
      <c r="B3176">
        <v>202501</v>
      </c>
      <c r="C3176" t="str">
        <f>MID(analisis_productividad__4[[#This Row],[Periodo]],1,4)</f>
        <v>2025</v>
      </c>
      <c r="D3176" t="str">
        <f>MID(analisis_productividad__4[[#This Row],[Periodo]],5,2)</f>
        <v>01</v>
      </c>
      <c r="E3176" t="s">
        <v>104</v>
      </c>
      <c r="F3176" t="s">
        <v>104</v>
      </c>
      <c r="G3176">
        <v>44207</v>
      </c>
      <c r="H3176">
        <v>2511906</v>
      </c>
      <c r="I3176">
        <v>56.821041666666694</v>
      </c>
      <c r="J3176">
        <v>56965.321887073856</v>
      </c>
      <c r="K3176">
        <v>57.5</v>
      </c>
      <c r="L3176">
        <v>57</v>
      </c>
      <c r="M3176">
        <v>44.095345673276761</v>
      </c>
      <c r="N3176">
        <v>2478795</v>
      </c>
    </row>
    <row r="3177" spans="1:14" x14ac:dyDescent="0.35">
      <c r="A3177" t="s">
        <v>8</v>
      </c>
      <c r="B3177">
        <v>202505</v>
      </c>
      <c r="C3177" t="str">
        <f>MID(analisis_productividad__4[[#This Row],[Periodo]],1,4)</f>
        <v>2025</v>
      </c>
      <c r="D3177" t="str">
        <f>MID(analisis_productividad__4[[#This Row],[Periodo]],5,2)</f>
        <v>05</v>
      </c>
      <c r="E3177" t="s">
        <v>9</v>
      </c>
      <c r="F3177" t="s">
        <v>9</v>
      </c>
      <c r="G3177">
        <v>44103</v>
      </c>
      <c r="H3177">
        <v>1099360</v>
      </c>
      <c r="I3177">
        <v>24.927244623655916</v>
      </c>
      <c r="J3177">
        <v>70968.2857379044</v>
      </c>
      <c r="K3177">
        <v>13.5</v>
      </c>
      <c r="L3177">
        <v>12.5</v>
      </c>
      <c r="M3177">
        <v>15.490861566814321</v>
      </c>
      <c r="N3177">
        <v>853248</v>
      </c>
    </row>
    <row r="3178" spans="1:14" x14ac:dyDescent="0.35">
      <c r="A3178" t="s">
        <v>114</v>
      </c>
      <c r="B3178">
        <v>202507</v>
      </c>
      <c r="C3178" t="str">
        <f>MID(analisis_productividad__4[[#This Row],[Periodo]],1,4)</f>
        <v>2025</v>
      </c>
      <c r="D3178" t="str">
        <f>MID(analisis_productividad__4[[#This Row],[Periodo]],5,2)</f>
        <v>07</v>
      </c>
      <c r="E3178" t="s">
        <v>9</v>
      </c>
      <c r="F3178" t="s">
        <v>9</v>
      </c>
      <c r="G3178">
        <v>43978</v>
      </c>
      <c r="H3178">
        <v>851176</v>
      </c>
      <c r="I3178">
        <v>19.354623655913983</v>
      </c>
      <c r="J3178">
        <v>67190.096987823112</v>
      </c>
      <c r="K3178">
        <v>13.5</v>
      </c>
      <c r="L3178">
        <v>14.5</v>
      </c>
      <c r="M3178">
        <v>12.668176087828227</v>
      </c>
      <c r="N3178">
        <v>900543</v>
      </c>
    </row>
    <row r="3179" spans="1:14" x14ac:dyDescent="0.35">
      <c r="A3179" t="s">
        <v>124</v>
      </c>
      <c r="B3179">
        <v>202602</v>
      </c>
      <c r="C3179" t="str">
        <f>MID(analisis_productividad__4[[#This Row],[Periodo]],1,4)</f>
        <v>2026</v>
      </c>
      <c r="D3179" t="str">
        <f>MID(analisis_productividad__4[[#This Row],[Periodo]],5,2)</f>
        <v>02</v>
      </c>
      <c r="E3179" t="s">
        <v>9</v>
      </c>
      <c r="F3179" t="s">
        <v>9</v>
      </c>
      <c r="G3179">
        <v>43798</v>
      </c>
      <c r="H3179">
        <v>641092</v>
      </c>
      <c r="I3179">
        <v>14.637499999999999</v>
      </c>
      <c r="J3179">
        <v>61057.269027522707</v>
      </c>
      <c r="K3179">
        <v>11</v>
      </c>
      <c r="L3179">
        <v>12</v>
      </c>
      <c r="M3179">
        <v>10.653753026634384</v>
      </c>
      <c r="N3179">
        <v>650489</v>
      </c>
    </row>
    <row r="3180" spans="1:14" x14ac:dyDescent="0.35">
      <c r="A3180" t="s">
        <v>124</v>
      </c>
      <c r="B3180">
        <v>202601</v>
      </c>
      <c r="C3180" t="str">
        <f>MID(analisis_productividad__4[[#This Row],[Periodo]],1,4)</f>
        <v>2026</v>
      </c>
      <c r="D3180" t="str">
        <f>MID(analisis_productividad__4[[#This Row],[Periodo]],5,2)</f>
        <v>01</v>
      </c>
      <c r="E3180" t="s">
        <v>9</v>
      </c>
      <c r="F3180" t="s">
        <v>9</v>
      </c>
      <c r="G3180">
        <v>43713</v>
      </c>
      <c r="H3180">
        <v>663685</v>
      </c>
      <c r="I3180">
        <v>15.182802419354841</v>
      </c>
      <c r="J3180">
        <v>73720.966201909076</v>
      </c>
      <c r="K3180">
        <v>11</v>
      </c>
      <c r="L3180">
        <v>12</v>
      </c>
      <c r="M3180">
        <v>10.653753026634384</v>
      </c>
      <c r="N3180">
        <v>785405</v>
      </c>
    </row>
    <row r="3181" spans="1:14" x14ac:dyDescent="0.35">
      <c r="A3181" t="s">
        <v>101</v>
      </c>
      <c r="B3181">
        <v>202405</v>
      </c>
      <c r="C3181" t="str">
        <f>MID(analisis_productividad__4[[#This Row],[Periodo]],1,4)</f>
        <v>2024</v>
      </c>
      <c r="D3181" t="str">
        <f>MID(analisis_productividad__4[[#This Row],[Periodo]],5,2)</f>
        <v>05</v>
      </c>
      <c r="E3181" t="s">
        <v>9</v>
      </c>
      <c r="F3181" t="s">
        <v>9</v>
      </c>
      <c r="G3181">
        <v>43444</v>
      </c>
      <c r="H3181">
        <v>332069</v>
      </c>
      <c r="I3181">
        <v>7.6435954301075277</v>
      </c>
      <c r="J3181">
        <v>0</v>
      </c>
      <c r="K3181">
        <v>8.5</v>
      </c>
      <c r="L3181">
        <v>6.5</v>
      </c>
      <c r="N3181">
        <v>0</v>
      </c>
    </row>
    <row r="3182" spans="1:14" x14ac:dyDescent="0.35">
      <c r="A3182" t="s">
        <v>101</v>
      </c>
      <c r="B3182">
        <v>202401</v>
      </c>
      <c r="C3182" t="str">
        <f>MID(analisis_productividad__4[[#This Row],[Periodo]],1,4)</f>
        <v>2024</v>
      </c>
      <c r="D3182" t="str">
        <f>MID(analisis_productividad__4[[#This Row],[Periodo]],5,2)</f>
        <v>01</v>
      </c>
      <c r="E3182" t="s">
        <v>9</v>
      </c>
      <c r="F3182" t="s">
        <v>9</v>
      </c>
      <c r="G3182">
        <v>42995</v>
      </c>
      <c r="H3182">
        <v>319890</v>
      </c>
      <c r="I3182">
        <v>7.4401344086021508</v>
      </c>
      <c r="J3182">
        <v>0</v>
      </c>
      <c r="K3182">
        <v>8.5</v>
      </c>
      <c r="L3182">
        <v>6.5</v>
      </c>
      <c r="N3182">
        <v>0</v>
      </c>
    </row>
    <row r="3183" spans="1:14" x14ac:dyDescent="0.35">
      <c r="A3183" t="s">
        <v>129</v>
      </c>
      <c r="B3183">
        <v>202605</v>
      </c>
      <c r="C3183" t="str">
        <f>MID(analisis_productividad__4[[#This Row],[Periodo]],1,4)</f>
        <v>2026</v>
      </c>
      <c r="D3183" t="str">
        <f>MID(analisis_productividad__4[[#This Row],[Periodo]],5,2)</f>
        <v>05</v>
      </c>
      <c r="E3183" t="s">
        <v>9</v>
      </c>
      <c r="F3183" t="s">
        <v>9</v>
      </c>
      <c r="G3183">
        <v>42337</v>
      </c>
      <c r="H3183">
        <v>289312</v>
      </c>
      <c r="I3183">
        <v>6.833608870967752</v>
      </c>
      <c r="J3183">
        <v>34889.186349674928</v>
      </c>
      <c r="K3183">
        <v>9</v>
      </c>
      <c r="L3183">
        <v>9</v>
      </c>
      <c r="M3183">
        <v>7.859186862423198</v>
      </c>
      <c r="N3183">
        <v>274201</v>
      </c>
    </row>
    <row r="3184" spans="1:14" x14ac:dyDescent="0.35">
      <c r="A3184" t="s">
        <v>8</v>
      </c>
      <c r="B3184">
        <v>202506</v>
      </c>
      <c r="C3184" t="str">
        <f>MID(analisis_productividad__4[[#This Row],[Periodo]],1,4)</f>
        <v>2025</v>
      </c>
      <c r="D3184" t="str">
        <f>MID(analisis_productividad__4[[#This Row],[Periodo]],5,2)</f>
        <v>06</v>
      </c>
      <c r="E3184" t="s">
        <v>9</v>
      </c>
      <c r="F3184" t="s">
        <v>9</v>
      </c>
      <c r="G3184">
        <v>41985</v>
      </c>
      <c r="H3184">
        <v>965427</v>
      </c>
      <c r="I3184">
        <v>22.994368055555551</v>
      </c>
      <c r="J3184">
        <v>68171.324947721936</v>
      </c>
      <c r="K3184">
        <v>13.5</v>
      </c>
      <c r="L3184">
        <v>12.5</v>
      </c>
      <c r="M3184">
        <v>14.161779762097193</v>
      </c>
      <c r="N3184">
        <v>817009</v>
      </c>
    </row>
    <row r="3185" spans="1:14" x14ac:dyDescent="0.35">
      <c r="A3185" t="s">
        <v>45</v>
      </c>
      <c r="B3185">
        <v>202511</v>
      </c>
      <c r="C3185" t="str">
        <f>MID(analisis_productividad__4[[#This Row],[Periodo]],1,4)</f>
        <v>2025</v>
      </c>
      <c r="D3185" t="str">
        <f>MID(analisis_productividad__4[[#This Row],[Periodo]],5,2)</f>
        <v>11</v>
      </c>
      <c r="E3185" t="s">
        <v>34</v>
      </c>
      <c r="F3185" t="s">
        <v>35</v>
      </c>
      <c r="G3185">
        <v>41632</v>
      </c>
      <c r="H3185">
        <v>885652</v>
      </c>
      <c r="I3185">
        <v>21.273145833333338</v>
      </c>
      <c r="J3185">
        <v>46494.234736130151</v>
      </c>
      <c r="K3185">
        <v>22.5</v>
      </c>
      <c r="L3185">
        <v>21</v>
      </c>
      <c r="M3185">
        <v>19.048646461789584</v>
      </c>
      <c r="N3185">
        <v>677970</v>
      </c>
    </row>
    <row r="3186" spans="1:14" x14ac:dyDescent="0.35">
      <c r="A3186" t="s">
        <v>45</v>
      </c>
      <c r="B3186">
        <v>202508</v>
      </c>
      <c r="C3186" t="str">
        <f>MID(analisis_productividad__4[[#This Row],[Periodo]],1,4)</f>
        <v>2025</v>
      </c>
      <c r="D3186" t="str">
        <f>MID(analisis_productividad__4[[#This Row],[Periodo]],5,2)</f>
        <v>08</v>
      </c>
      <c r="E3186" t="s">
        <v>34</v>
      </c>
      <c r="F3186" t="s">
        <v>35</v>
      </c>
      <c r="G3186">
        <v>41598</v>
      </c>
      <c r="H3186">
        <v>598409</v>
      </c>
      <c r="I3186">
        <v>14.385470430107528</v>
      </c>
      <c r="J3186">
        <v>48060.041046615566</v>
      </c>
      <c r="K3186">
        <v>22.5</v>
      </c>
      <c r="L3186">
        <v>21</v>
      </c>
      <c r="M3186">
        <v>12.451279003685753</v>
      </c>
      <c r="N3186">
        <v>685848</v>
      </c>
    </row>
    <row r="3187" spans="1:14" x14ac:dyDescent="0.35">
      <c r="A3187" t="s">
        <v>101</v>
      </c>
      <c r="B3187">
        <v>202407</v>
      </c>
      <c r="C3187" t="str">
        <f>MID(analisis_productividad__4[[#This Row],[Periodo]],1,4)</f>
        <v>2024</v>
      </c>
      <c r="D3187" t="str">
        <f>MID(analisis_productividad__4[[#This Row],[Periodo]],5,2)</f>
        <v>07</v>
      </c>
      <c r="E3187" t="s">
        <v>9</v>
      </c>
      <c r="F3187" t="s">
        <v>9</v>
      </c>
      <c r="G3187">
        <v>41377</v>
      </c>
      <c r="H3187">
        <v>345582</v>
      </c>
      <c r="I3187">
        <v>8.3520631720430121</v>
      </c>
      <c r="J3187">
        <v>0</v>
      </c>
      <c r="K3187">
        <v>8.5</v>
      </c>
      <c r="L3187">
        <v>6.5</v>
      </c>
      <c r="N3187">
        <v>0</v>
      </c>
    </row>
    <row r="3188" spans="1:14" x14ac:dyDescent="0.35">
      <c r="A3188" t="s">
        <v>101</v>
      </c>
      <c r="B3188">
        <v>202402</v>
      </c>
      <c r="C3188" t="str">
        <f>MID(analisis_productividad__4[[#This Row],[Periodo]],1,4)</f>
        <v>2024</v>
      </c>
      <c r="D3188" t="str">
        <f>MID(analisis_productividad__4[[#This Row],[Periodo]],5,2)</f>
        <v>02</v>
      </c>
      <c r="E3188" t="s">
        <v>9</v>
      </c>
      <c r="F3188" t="s">
        <v>9</v>
      </c>
      <c r="G3188">
        <v>41329</v>
      </c>
      <c r="H3188">
        <v>306745</v>
      </c>
      <c r="I3188">
        <v>7.4221120689655153</v>
      </c>
      <c r="J3188">
        <v>0</v>
      </c>
      <c r="K3188">
        <v>8.5</v>
      </c>
      <c r="L3188">
        <v>6.5</v>
      </c>
      <c r="N3188">
        <v>0</v>
      </c>
    </row>
    <row r="3189" spans="1:14" x14ac:dyDescent="0.35">
      <c r="A3189" t="s">
        <v>45</v>
      </c>
      <c r="B3189">
        <v>202507</v>
      </c>
      <c r="C3189" t="str">
        <f>MID(analisis_productividad__4[[#This Row],[Periodo]],1,4)</f>
        <v>2025</v>
      </c>
      <c r="D3189" t="str">
        <f>MID(analisis_productividad__4[[#This Row],[Periodo]],5,2)</f>
        <v>07</v>
      </c>
      <c r="E3189" t="s">
        <v>34</v>
      </c>
      <c r="F3189" t="s">
        <v>35</v>
      </c>
      <c r="G3189">
        <v>41179</v>
      </c>
      <c r="H3189">
        <v>703969</v>
      </c>
      <c r="I3189">
        <v>17.095288978494626</v>
      </c>
      <c r="J3189">
        <v>46787.832173260002</v>
      </c>
      <c r="K3189">
        <v>22.5</v>
      </c>
      <c r="L3189">
        <v>21</v>
      </c>
      <c r="M3189">
        <v>15.045990106853671</v>
      </c>
      <c r="N3189">
        <v>694618</v>
      </c>
    </row>
    <row r="3190" spans="1:14" x14ac:dyDescent="0.35">
      <c r="A3190" t="s">
        <v>114</v>
      </c>
      <c r="B3190">
        <v>202510</v>
      </c>
      <c r="C3190" t="str">
        <f>MID(analisis_productividad__4[[#This Row],[Periodo]],1,4)</f>
        <v>2025</v>
      </c>
      <c r="D3190" t="str">
        <f>MID(analisis_productividad__4[[#This Row],[Periodo]],5,2)</f>
        <v>10</v>
      </c>
      <c r="E3190" t="s">
        <v>9</v>
      </c>
      <c r="F3190" t="s">
        <v>9</v>
      </c>
      <c r="G3190">
        <v>41178</v>
      </c>
      <c r="H3190">
        <v>808510</v>
      </c>
      <c r="I3190">
        <v>19.634341397849457</v>
      </c>
      <c r="J3190">
        <v>60518.752525175922</v>
      </c>
      <c r="K3190">
        <v>13.5</v>
      </c>
      <c r="L3190">
        <v>14.5</v>
      </c>
      <c r="M3190">
        <v>13.359656243139815</v>
      </c>
      <c r="N3190">
        <v>1015926</v>
      </c>
    </row>
    <row r="3191" spans="1:14" x14ac:dyDescent="0.35">
      <c r="A3191" t="s">
        <v>114</v>
      </c>
      <c r="B3191">
        <v>202509</v>
      </c>
      <c r="C3191" t="str">
        <f>MID(analisis_productividad__4[[#This Row],[Periodo]],1,4)</f>
        <v>2025</v>
      </c>
      <c r="D3191" t="str">
        <f>MID(analisis_productividad__4[[#This Row],[Periodo]],5,2)</f>
        <v>09</v>
      </c>
      <c r="E3191" t="s">
        <v>9</v>
      </c>
      <c r="F3191" t="s">
        <v>9</v>
      </c>
      <c r="G3191">
        <v>40963</v>
      </c>
      <c r="H3191">
        <v>825004</v>
      </c>
      <c r="I3191">
        <v>20.140263888888889</v>
      </c>
      <c r="J3191">
        <v>64615.778321986225</v>
      </c>
      <c r="K3191">
        <v>13.5</v>
      </c>
      <c r="L3191">
        <v>14.5</v>
      </c>
      <c r="M3191">
        <v>12.767841252161833</v>
      </c>
      <c r="N3191">
        <v>1059306</v>
      </c>
    </row>
    <row r="3192" spans="1:14" x14ac:dyDescent="0.35">
      <c r="A3192" t="s">
        <v>122</v>
      </c>
      <c r="B3192">
        <v>202512</v>
      </c>
      <c r="C3192" t="str">
        <f>MID(analisis_productividad__4[[#This Row],[Periodo]],1,4)</f>
        <v>2025</v>
      </c>
      <c r="D3192" t="str">
        <f>MID(analisis_productividad__4[[#This Row],[Periodo]],5,2)</f>
        <v>12</v>
      </c>
      <c r="E3192" t="s">
        <v>104</v>
      </c>
      <c r="F3192" t="s">
        <v>104</v>
      </c>
      <c r="G3192">
        <v>40683</v>
      </c>
      <c r="H3192">
        <v>3933314</v>
      </c>
      <c r="I3192">
        <v>96.68147849462359</v>
      </c>
      <c r="J3192">
        <v>38652.85501954444</v>
      </c>
      <c r="K3192">
        <v>22</v>
      </c>
      <c r="L3192">
        <v>20</v>
      </c>
      <c r="M3192">
        <v>101.75998869970041</v>
      </c>
      <c r="N3192">
        <v>3635486</v>
      </c>
    </row>
    <row r="3193" spans="1:14" x14ac:dyDescent="0.35">
      <c r="A3193" t="s">
        <v>124</v>
      </c>
      <c r="B3193">
        <v>202509</v>
      </c>
      <c r="C3193" t="str">
        <f>MID(analisis_productividad__4[[#This Row],[Periodo]],1,4)</f>
        <v>2025</v>
      </c>
      <c r="D3193" t="str">
        <f>MID(analisis_productividad__4[[#This Row],[Periodo]],5,2)</f>
        <v>09</v>
      </c>
      <c r="E3193" t="s">
        <v>9</v>
      </c>
      <c r="F3193" t="s">
        <v>9</v>
      </c>
      <c r="G3193">
        <v>40641</v>
      </c>
      <c r="H3193">
        <v>650869</v>
      </c>
      <c r="I3193">
        <v>16.014930555555555</v>
      </c>
      <c r="J3193">
        <v>62484.985629531977</v>
      </c>
      <c r="K3193">
        <v>11</v>
      </c>
      <c r="L3193">
        <v>12</v>
      </c>
      <c r="M3193">
        <v>10.416399610923222</v>
      </c>
      <c r="N3193">
        <v>716014</v>
      </c>
    </row>
    <row r="3194" spans="1:14" x14ac:dyDescent="0.35">
      <c r="A3194" t="s">
        <v>45</v>
      </c>
      <c r="B3194">
        <v>202405</v>
      </c>
      <c r="C3194" t="str">
        <f>MID(analisis_productividad__4[[#This Row],[Periodo]],1,4)</f>
        <v>2024</v>
      </c>
      <c r="D3194" t="str">
        <f>MID(analisis_productividad__4[[#This Row],[Periodo]],5,2)</f>
        <v>05</v>
      </c>
      <c r="E3194" t="s">
        <v>34</v>
      </c>
      <c r="F3194" t="s">
        <v>35</v>
      </c>
      <c r="G3194">
        <v>40507</v>
      </c>
      <c r="H3194">
        <v>725446</v>
      </c>
      <c r="I3194">
        <v>17.909038978494625</v>
      </c>
      <c r="J3194">
        <v>0</v>
      </c>
      <c r="K3194">
        <v>22.5</v>
      </c>
      <c r="L3194">
        <v>21</v>
      </c>
      <c r="N3194">
        <v>0</v>
      </c>
    </row>
    <row r="3195" spans="1:14" x14ac:dyDescent="0.35">
      <c r="A3195" t="s">
        <v>129</v>
      </c>
      <c r="B3195">
        <v>202511</v>
      </c>
      <c r="C3195" t="str">
        <f>MID(analisis_productividad__4[[#This Row],[Periodo]],1,4)</f>
        <v>2025</v>
      </c>
      <c r="D3195" t="str">
        <f>MID(analisis_productividad__4[[#This Row],[Periodo]],5,2)</f>
        <v>11</v>
      </c>
      <c r="E3195" t="s">
        <v>9</v>
      </c>
      <c r="F3195" t="s">
        <v>9</v>
      </c>
      <c r="G3195">
        <v>40370</v>
      </c>
      <c r="H3195">
        <v>287909</v>
      </c>
      <c r="I3195">
        <v>7.1317847222222213</v>
      </c>
      <c r="J3195">
        <v>35047.837816936415</v>
      </c>
      <c r="K3195">
        <v>9</v>
      </c>
      <c r="L3195">
        <v>9</v>
      </c>
      <c r="M3195">
        <v>8.2147429893912509</v>
      </c>
      <c r="N3195">
        <v>313237</v>
      </c>
    </row>
    <row r="3196" spans="1:14" x14ac:dyDescent="0.35">
      <c r="A3196" t="s">
        <v>45</v>
      </c>
      <c r="B3196">
        <v>202509</v>
      </c>
      <c r="C3196" t="str">
        <f>MID(analisis_productividad__4[[#This Row],[Periodo]],1,4)</f>
        <v>2025</v>
      </c>
      <c r="D3196" t="str">
        <f>MID(analisis_productividad__4[[#This Row],[Periodo]],5,2)</f>
        <v>09</v>
      </c>
      <c r="E3196" t="s">
        <v>34</v>
      </c>
      <c r="F3196" t="s">
        <v>35</v>
      </c>
      <c r="G3196">
        <v>39996</v>
      </c>
      <c r="H3196">
        <v>528307</v>
      </c>
      <c r="I3196">
        <v>13.209097222222219</v>
      </c>
      <c r="J3196">
        <v>33843.672314217547</v>
      </c>
      <c r="K3196">
        <v>22.5</v>
      </c>
      <c r="L3196">
        <v>21</v>
      </c>
      <c r="M3196">
        <v>15.610219100781832</v>
      </c>
      <c r="N3196">
        <v>582289</v>
      </c>
    </row>
    <row r="3197" spans="1:14" x14ac:dyDescent="0.35">
      <c r="A3197" t="s">
        <v>129</v>
      </c>
      <c r="B3197">
        <v>202604</v>
      </c>
      <c r="C3197" t="str">
        <f>MID(analisis_productividad__4[[#This Row],[Periodo]],1,4)</f>
        <v>2026</v>
      </c>
      <c r="D3197" t="str">
        <f>MID(analisis_productividad__4[[#This Row],[Periodo]],5,2)</f>
        <v>04</v>
      </c>
      <c r="E3197" t="s">
        <v>9</v>
      </c>
      <c r="F3197" t="s">
        <v>9</v>
      </c>
      <c r="G3197">
        <v>39798</v>
      </c>
      <c r="H3197">
        <v>292776</v>
      </c>
      <c r="I3197">
        <v>7.3565138888888866</v>
      </c>
      <c r="J3197">
        <v>33837.896738595184</v>
      </c>
      <c r="K3197">
        <v>9</v>
      </c>
      <c r="L3197">
        <v>9</v>
      </c>
      <c r="M3197">
        <v>7.859186862423198</v>
      </c>
      <c r="N3197">
        <v>265938</v>
      </c>
    </row>
    <row r="3198" spans="1:14" x14ac:dyDescent="0.35">
      <c r="A3198" t="s">
        <v>129</v>
      </c>
      <c r="B3198">
        <v>202509</v>
      </c>
      <c r="C3198" t="str">
        <f>MID(analisis_productividad__4[[#This Row],[Periodo]],1,4)</f>
        <v>2025</v>
      </c>
      <c r="D3198" t="str">
        <f>MID(analisis_productividad__4[[#This Row],[Periodo]],5,2)</f>
        <v>09</v>
      </c>
      <c r="E3198" t="s">
        <v>9</v>
      </c>
      <c r="F3198" t="s">
        <v>9</v>
      </c>
      <c r="G3198">
        <v>39661</v>
      </c>
      <c r="H3198">
        <v>268516</v>
      </c>
      <c r="I3198">
        <v>6.7703124999999993</v>
      </c>
      <c r="J3198">
        <v>35255.761681337455</v>
      </c>
      <c r="K3198">
        <v>9</v>
      </c>
      <c r="L3198">
        <v>9</v>
      </c>
      <c r="M3198">
        <v>7.6162266022503253</v>
      </c>
      <c r="N3198">
        <v>303310</v>
      </c>
    </row>
    <row r="3199" spans="1:14" x14ac:dyDescent="0.35">
      <c r="A3199" t="s">
        <v>124</v>
      </c>
      <c r="B3199">
        <v>202506</v>
      </c>
      <c r="C3199" t="str">
        <f>MID(analisis_productividad__4[[#This Row],[Periodo]],1,4)</f>
        <v>2025</v>
      </c>
      <c r="D3199" t="str">
        <f>MID(analisis_productividad__4[[#This Row],[Periodo]],5,2)</f>
        <v>06</v>
      </c>
      <c r="E3199" t="s">
        <v>9</v>
      </c>
      <c r="F3199" t="s">
        <v>9</v>
      </c>
      <c r="G3199">
        <v>39633</v>
      </c>
      <c r="H3199">
        <v>679674</v>
      </c>
      <c r="I3199">
        <v>17.149270833333336</v>
      </c>
      <c r="J3199">
        <v>67682.544751052337</v>
      </c>
      <c r="K3199">
        <v>11</v>
      </c>
      <c r="L3199">
        <v>12</v>
      </c>
      <c r="M3199">
        <v>10.042093607738238</v>
      </c>
      <c r="N3199">
        <v>604946</v>
      </c>
    </row>
    <row r="3200" spans="1:14" x14ac:dyDescent="0.35">
      <c r="A3200" t="s">
        <v>114</v>
      </c>
      <c r="B3200">
        <v>202508</v>
      </c>
      <c r="C3200" t="str">
        <f>MID(analisis_productividad__4[[#This Row],[Periodo]],1,4)</f>
        <v>2025</v>
      </c>
      <c r="D3200" t="str">
        <f>MID(analisis_productividad__4[[#This Row],[Periodo]],5,2)</f>
        <v>08</v>
      </c>
      <c r="E3200" t="s">
        <v>9</v>
      </c>
      <c r="F3200" t="s">
        <v>9</v>
      </c>
      <c r="G3200">
        <v>39198</v>
      </c>
      <c r="H3200">
        <v>820811</v>
      </c>
      <c r="I3200">
        <v>20.939879032258062</v>
      </c>
      <c r="J3200">
        <v>65266.95842396107</v>
      </c>
      <c r="K3200">
        <v>13.5</v>
      </c>
      <c r="L3200">
        <v>14.5</v>
      </c>
      <c r="M3200">
        <v>12.576206549540398</v>
      </c>
      <c r="N3200">
        <v>797909</v>
      </c>
    </row>
    <row r="3201" spans="1:14" x14ac:dyDescent="0.35">
      <c r="A3201" t="s">
        <v>124</v>
      </c>
      <c r="B3201">
        <v>202503</v>
      </c>
      <c r="C3201" t="str">
        <f>MID(analisis_productividad__4[[#This Row],[Periodo]],1,4)</f>
        <v>2025</v>
      </c>
      <c r="D3201" t="str">
        <f>MID(analisis_productividad__4[[#This Row],[Periodo]],5,2)</f>
        <v>03</v>
      </c>
      <c r="E3201" t="s">
        <v>9</v>
      </c>
      <c r="F3201" t="s">
        <v>9</v>
      </c>
      <c r="G3201">
        <v>39166</v>
      </c>
      <c r="H3201">
        <v>770043</v>
      </c>
      <c r="I3201">
        <v>19.660826612903225</v>
      </c>
      <c r="J3201">
        <v>68386.784874178149</v>
      </c>
      <c r="K3201">
        <v>11</v>
      </c>
      <c r="L3201">
        <v>12</v>
      </c>
      <c r="M3201">
        <v>11.260117307996989</v>
      </c>
      <c r="N3201">
        <v>661780</v>
      </c>
    </row>
    <row r="3202" spans="1:14" x14ac:dyDescent="0.35">
      <c r="A3202" t="s">
        <v>101</v>
      </c>
      <c r="B3202">
        <v>202406</v>
      </c>
      <c r="C3202" t="str">
        <f>MID(analisis_productividad__4[[#This Row],[Periodo]],1,4)</f>
        <v>2024</v>
      </c>
      <c r="D3202" t="str">
        <f>MID(analisis_productividad__4[[#This Row],[Periodo]],5,2)</f>
        <v>06</v>
      </c>
      <c r="E3202" t="s">
        <v>9</v>
      </c>
      <c r="F3202" t="s">
        <v>9</v>
      </c>
      <c r="G3202">
        <v>38920</v>
      </c>
      <c r="H3202">
        <v>335724</v>
      </c>
      <c r="I3202">
        <v>8.6259444444444462</v>
      </c>
      <c r="J3202">
        <v>0</v>
      </c>
      <c r="K3202">
        <v>8.5</v>
      </c>
      <c r="L3202">
        <v>6.5</v>
      </c>
      <c r="N3202">
        <v>0</v>
      </c>
    </row>
    <row r="3203" spans="1:14" x14ac:dyDescent="0.35">
      <c r="A3203" t="s">
        <v>129</v>
      </c>
      <c r="B3203">
        <v>202603</v>
      </c>
      <c r="C3203" t="str">
        <f>MID(analisis_productividad__4[[#This Row],[Periodo]],1,4)</f>
        <v>2026</v>
      </c>
      <c r="D3203" t="str">
        <f>MID(analisis_productividad__4[[#This Row],[Periodo]],5,2)</f>
        <v>03</v>
      </c>
      <c r="E3203" t="s">
        <v>9</v>
      </c>
      <c r="F3203" t="s">
        <v>9</v>
      </c>
      <c r="G3203">
        <v>38864</v>
      </c>
      <c r="H3203">
        <v>311549</v>
      </c>
      <c r="I3203">
        <v>8.0164583333333344</v>
      </c>
      <c r="J3203">
        <v>37009.736820320119</v>
      </c>
      <c r="K3203">
        <v>9</v>
      </c>
      <c r="L3203">
        <v>9</v>
      </c>
      <c r="M3203">
        <v>7.859186862423198</v>
      </c>
      <c r="N3203">
        <v>290866</v>
      </c>
    </row>
    <row r="3204" spans="1:14" x14ac:dyDescent="0.35">
      <c r="A3204" t="s">
        <v>129</v>
      </c>
      <c r="B3204">
        <v>202602</v>
      </c>
      <c r="C3204" t="str">
        <f>MID(analisis_productividad__4[[#This Row],[Periodo]],1,4)</f>
        <v>2026</v>
      </c>
      <c r="D3204" t="str">
        <f>MID(analisis_productividad__4[[#This Row],[Periodo]],5,2)</f>
        <v>02</v>
      </c>
      <c r="E3204" t="s">
        <v>9</v>
      </c>
      <c r="F3204" t="s">
        <v>9</v>
      </c>
      <c r="G3204">
        <v>38726</v>
      </c>
      <c r="H3204">
        <v>277172</v>
      </c>
      <c r="I3204">
        <v>7.1571875000000009</v>
      </c>
      <c r="J3204">
        <v>34306.549827582101</v>
      </c>
      <c r="K3204">
        <v>9</v>
      </c>
      <c r="L3204">
        <v>9</v>
      </c>
      <c r="M3204">
        <v>7.859186862423198</v>
      </c>
      <c r="N3204">
        <v>269622</v>
      </c>
    </row>
    <row r="3205" spans="1:14" x14ac:dyDescent="0.35">
      <c r="A3205" t="s">
        <v>129</v>
      </c>
      <c r="B3205">
        <v>202507</v>
      </c>
      <c r="C3205" t="str">
        <f>MID(analisis_productividad__4[[#This Row],[Periodo]],1,4)</f>
        <v>2025</v>
      </c>
      <c r="D3205" t="str">
        <f>MID(analisis_productividad__4[[#This Row],[Periodo]],5,2)</f>
        <v>07</v>
      </c>
      <c r="E3205" t="s">
        <v>9</v>
      </c>
      <c r="F3205" t="s">
        <v>9</v>
      </c>
      <c r="G3205">
        <v>38578</v>
      </c>
      <c r="H3205">
        <v>294790</v>
      </c>
      <c r="I3205">
        <v>7.6414784946236551</v>
      </c>
      <c r="J3205">
        <v>37929.609203395026</v>
      </c>
      <c r="K3205">
        <v>9</v>
      </c>
      <c r="L3205">
        <v>9</v>
      </c>
      <c r="M3205">
        <v>7.7720204924656535</v>
      </c>
      <c r="N3205">
        <v>314067</v>
      </c>
    </row>
    <row r="3206" spans="1:14" x14ac:dyDescent="0.35">
      <c r="A3206" t="s">
        <v>122</v>
      </c>
      <c r="B3206">
        <v>202404</v>
      </c>
      <c r="C3206" t="str">
        <f>MID(analisis_productividad__4[[#This Row],[Periodo]],1,4)</f>
        <v>2024</v>
      </c>
      <c r="D3206" t="str">
        <f>MID(analisis_productividad__4[[#This Row],[Periodo]],5,2)</f>
        <v>04</v>
      </c>
      <c r="E3206" t="s">
        <v>104</v>
      </c>
      <c r="F3206" t="s">
        <v>104</v>
      </c>
      <c r="G3206">
        <v>38243</v>
      </c>
      <c r="H3206">
        <v>839397</v>
      </c>
      <c r="I3206">
        <v>21.949034722222219</v>
      </c>
      <c r="J3206">
        <v>0</v>
      </c>
      <c r="K3206">
        <v>22</v>
      </c>
      <c r="L3206">
        <v>20</v>
      </c>
      <c r="N3206">
        <v>0</v>
      </c>
    </row>
    <row r="3207" spans="1:14" x14ac:dyDescent="0.35">
      <c r="A3207" t="s">
        <v>124</v>
      </c>
      <c r="B3207">
        <v>202508</v>
      </c>
      <c r="C3207" t="str">
        <f>MID(analisis_productividad__4[[#This Row],[Periodo]],1,4)</f>
        <v>2025</v>
      </c>
      <c r="D3207" t="str">
        <f>MID(analisis_productividad__4[[#This Row],[Periodo]],5,2)</f>
        <v>08</v>
      </c>
      <c r="E3207" t="s">
        <v>9</v>
      </c>
      <c r="F3207" t="s">
        <v>9</v>
      </c>
      <c r="G3207">
        <v>38041</v>
      </c>
      <c r="H3207">
        <v>642319</v>
      </c>
      <c r="I3207">
        <v>16.885053763440858</v>
      </c>
      <c r="J3207">
        <v>65965.254121996273</v>
      </c>
      <c r="K3207">
        <v>11</v>
      </c>
      <c r="L3207">
        <v>12</v>
      </c>
      <c r="M3207">
        <v>9.7372255826089109</v>
      </c>
      <c r="N3207">
        <v>626139</v>
      </c>
    </row>
    <row r="3208" spans="1:14" x14ac:dyDescent="0.35">
      <c r="A3208" t="s">
        <v>129</v>
      </c>
      <c r="B3208">
        <v>202508</v>
      </c>
      <c r="C3208" t="str">
        <f>MID(analisis_productividad__4[[#This Row],[Periodo]],1,4)</f>
        <v>2025</v>
      </c>
      <c r="D3208" t="str">
        <f>MID(analisis_productividad__4[[#This Row],[Periodo]],5,2)</f>
        <v>08</v>
      </c>
      <c r="E3208" t="s">
        <v>9</v>
      </c>
      <c r="F3208" t="s">
        <v>9</v>
      </c>
      <c r="G3208">
        <v>38011</v>
      </c>
      <c r="H3208">
        <v>277060</v>
      </c>
      <c r="I3208">
        <v>7.28889112903226</v>
      </c>
      <c r="J3208">
        <v>36712.959695945749</v>
      </c>
      <c r="K3208">
        <v>9</v>
      </c>
      <c r="L3208">
        <v>9</v>
      </c>
      <c r="M3208">
        <v>7.5466525252824015</v>
      </c>
      <c r="N3208">
        <v>306223</v>
      </c>
    </row>
    <row r="3209" spans="1:14" x14ac:dyDescent="0.35">
      <c r="A3209" t="s">
        <v>129</v>
      </c>
      <c r="B3209">
        <v>202510</v>
      </c>
      <c r="C3209" t="str">
        <f>MID(analisis_productividad__4[[#This Row],[Periodo]],1,4)</f>
        <v>2025</v>
      </c>
      <c r="D3209" t="str">
        <f>MID(analisis_productividad__4[[#This Row],[Periodo]],5,2)</f>
        <v>10</v>
      </c>
      <c r="E3209" t="s">
        <v>9</v>
      </c>
      <c r="F3209" t="s">
        <v>9</v>
      </c>
      <c r="G3209">
        <v>37930</v>
      </c>
      <c r="H3209">
        <v>278959</v>
      </c>
      <c r="I3209">
        <v>7.3546102150537633</v>
      </c>
      <c r="J3209">
        <v>33075.421205611012</v>
      </c>
      <c r="K3209">
        <v>9</v>
      </c>
      <c r="L3209">
        <v>9</v>
      </c>
      <c r="M3209">
        <v>8.4340153452883815</v>
      </c>
      <c r="N3209">
        <v>319154</v>
      </c>
    </row>
    <row r="3210" spans="1:14" x14ac:dyDescent="0.35">
      <c r="A3210" t="s">
        <v>124</v>
      </c>
      <c r="B3210">
        <v>202507</v>
      </c>
      <c r="C3210" t="str">
        <f>MID(analisis_productividad__4[[#This Row],[Periodo]],1,4)</f>
        <v>2025</v>
      </c>
      <c r="D3210" t="str">
        <f>MID(analisis_productividad__4[[#This Row],[Periodo]],5,2)</f>
        <v>07</v>
      </c>
      <c r="E3210" t="s">
        <v>9</v>
      </c>
      <c r="F3210" t="s">
        <v>9</v>
      </c>
      <c r="G3210">
        <v>37692</v>
      </c>
      <c r="H3210">
        <v>676740</v>
      </c>
      <c r="I3210">
        <v>17.954482526881723</v>
      </c>
      <c r="J3210">
        <v>61458.140211898935</v>
      </c>
      <c r="K3210">
        <v>11</v>
      </c>
      <c r="L3210">
        <v>12</v>
      </c>
      <c r="M3210">
        <v>11.011395686018107</v>
      </c>
      <c r="N3210">
        <v>629477</v>
      </c>
    </row>
    <row r="3211" spans="1:14" x14ac:dyDescent="0.35">
      <c r="A3211" t="s">
        <v>129</v>
      </c>
      <c r="B3211">
        <v>202401</v>
      </c>
      <c r="C3211" t="str">
        <f>MID(analisis_productividad__4[[#This Row],[Periodo]],1,4)</f>
        <v>2024</v>
      </c>
      <c r="D3211" t="str">
        <f>MID(analisis_productividad__4[[#This Row],[Periodo]],5,2)</f>
        <v>01</v>
      </c>
      <c r="E3211" t="s">
        <v>9</v>
      </c>
      <c r="F3211" t="s">
        <v>9</v>
      </c>
      <c r="G3211">
        <v>37558</v>
      </c>
      <c r="H3211">
        <v>272772</v>
      </c>
      <c r="I3211">
        <v>7.2625940860215064</v>
      </c>
      <c r="J3211">
        <v>0</v>
      </c>
      <c r="K3211">
        <v>9</v>
      </c>
      <c r="L3211">
        <v>9</v>
      </c>
      <c r="N3211">
        <v>0</v>
      </c>
    </row>
    <row r="3212" spans="1:14" x14ac:dyDescent="0.35">
      <c r="A3212" t="s">
        <v>130</v>
      </c>
      <c r="B3212">
        <v>202512</v>
      </c>
      <c r="C3212" t="str">
        <f>MID(analisis_productividad__4[[#This Row],[Periodo]],1,4)</f>
        <v>2025</v>
      </c>
      <c r="D3212" t="str">
        <f>MID(analisis_productividad__4[[#This Row],[Periodo]],5,2)</f>
        <v>12</v>
      </c>
      <c r="E3212" t="s">
        <v>9</v>
      </c>
      <c r="F3212" t="s">
        <v>9</v>
      </c>
      <c r="G3212">
        <v>37511</v>
      </c>
      <c r="H3212">
        <v>243011</v>
      </c>
      <c r="I3212">
        <v>6.4783870967741848</v>
      </c>
      <c r="J3212">
        <v>35203.869914417366</v>
      </c>
      <c r="K3212">
        <v>7</v>
      </c>
      <c r="L3212">
        <v>6.5</v>
      </c>
      <c r="M3212">
        <v>6.9029578449975331</v>
      </c>
      <c r="N3212">
        <v>268460</v>
      </c>
    </row>
    <row r="3213" spans="1:14" x14ac:dyDescent="0.35">
      <c r="A3213" t="s">
        <v>129</v>
      </c>
      <c r="B3213">
        <v>202403</v>
      </c>
      <c r="C3213" t="str">
        <f>MID(analisis_productividad__4[[#This Row],[Periodo]],1,4)</f>
        <v>2024</v>
      </c>
      <c r="D3213" t="str">
        <f>MID(analisis_productividad__4[[#This Row],[Periodo]],5,2)</f>
        <v>03</v>
      </c>
      <c r="E3213" t="s">
        <v>9</v>
      </c>
      <c r="F3213" t="s">
        <v>9</v>
      </c>
      <c r="G3213">
        <v>37386</v>
      </c>
      <c r="H3213">
        <v>296270</v>
      </c>
      <c r="I3213">
        <v>7.9246303763440871</v>
      </c>
      <c r="J3213">
        <v>0</v>
      </c>
      <c r="K3213">
        <v>9</v>
      </c>
      <c r="L3213">
        <v>9</v>
      </c>
      <c r="N3213">
        <v>0</v>
      </c>
    </row>
    <row r="3214" spans="1:14" x14ac:dyDescent="0.35">
      <c r="A3214" t="s">
        <v>124</v>
      </c>
      <c r="B3214">
        <v>202510</v>
      </c>
      <c r="C3214" t="str">
        <f>MID(analisis_productividad__4[[#This Row],[Periodo]],1,4)</f>
        <v>2025</v>
      </c>
      <c r="D3214" t="str">
        <f>MID(analisis_productividad__4[[#This Row],[Periodo]],5,2)</f>
        <v>10</v>
      </c>
      <c r="E3214" t="s">
        <v>9</v>
      </c>
      <c r="F3214" t="s">
        <v>9</v>
      </c>
      <c r="G3214">
        <v>37292</v>
      </c>
      <c r="H3214">
        <v>641585</v>
      </c>
      <c r="I3214">
        <v>17.20438172043011</v>
      </c>
      <c r="J3214">
        <v>65784.786933958821</v>
      </c>
      <c r="K3214">
        <v>11</v>
      </c>
      <c r="L3214">
        <v>12</v>
      </c>
      <c r="M3214">
        <v>9.7527937674113918</v>
      </c>
      <c r="N3214">
        <v>719118</v>
      </c>
    </row>
    <row r="3215" spans="1:14" x14ac:dyDescent="0.35">
      <c r="A3215" t="s">
        <v>114</v>
      </c>
      <c r="B3215">
        <v>202506</v>
      </c>
      <c r="C3215" t="str">
        <f>MID(analisis_productividad__4[[#This Row],[Periodo]],1,4)</f>
        <v>2025</v>
      </c>
      <c r="D3215" t="str">
        <f>MID(analisis_productividad__4[[#This Row],[Periodo]],5,2)</f>
        <v>06</v>
      </c>
      <c r="E3215" t="s">
        <v>9</v>
      </c>
      <c r="F3215" t="s">
        <v>9</v>
      </c>
      <c r="G3215">
        <v>37078</v>
      </c>
      <c r="H3215">
        <v>815028</v>
      </c>
      <c r="I3215">
        <v>21.98150694444444</v>
      </c>
      <c r="J3215">
        <v>65542.988269888243</v>
      </c>
      <c r="K3215">
        <v>13.5</v>
      </c>
      <c r="L3215">
        <v>14.5</v>
      </c>
      <c r="M3215">
        <v>12.435012676625854</v>
      </c>
      <c r="N3215">
        <v>875990</v>
      </c>
    </row>
    <row r="3216" spans="1:14" x14ac:dyDescent="0.35">
      <c r="A3216" t="s">
        <v>122</v>
      </c>
      <c r="B3216">
        <v>202412</v>
      </c>
      <c r="C3216" t="str">
        <f>MID(analisis_productividad__4[[#This Row],[Periodo]],1,4)</f>
        <v>2024</v>
      </c>
      <c r="D3216" t="str">
        <f>MID(analisis_productividad__4[[#This Row],[Periodo]],5,2)</f>
        <v>12</v>
      </c>
      <c r="E3216" t="s">
        <v>104</v>
      </c>
      <c r="F3216" t="s">
        <v>104</v>
      </c>
      <c r="G3216">
        <v>36812</v>
      </c>
      <c r="H3216">
        <v>3640387</v>
      </c>
      <c r="I3216">
        <v>98.890665322580617</v>
      </c>
      <c r="J3216">
        <v>0</v>
      </c>
      <c r="K3216">
        <v>22</v>
      </c>
      <c r="L3216">
        <v>20</v>
      </c>
      <c r="N3216">
        <v>0</v>
      </c>
    </row>
    <row r="3217" spans="1:14" x14ac:dyDescent="0.35">
      <c r="A3217" t="s">
        <v>129</v>
      </c>
      <c r="B3217">
        <v>202501</v>
      </c>
      <c r="C3217" t="str">
        <f>MID(analisis_productividad__4[[#This Row],[Periodo]],1,4)</f>
        <v>2025</v>
      </c>
      <c r="D3217" t="str">
        <f>MID(analisis_productividad__4[[#This Row],[Periodo]],5,2)</f>
        <v>01</v>
      </c>
      <c r="E3217" t="s">
        <v>9</v>
      </c>
      <c r="F3217" t="s">
        <v>9</v>
      </c>
      <c r="G3217">
        <v>36709</v>
      </c>
      <c r="H3217">
        <v>249564</v>
      </c>
      <c r="I3217">
        <v>6.7983736559139807</v>
      </c>
      <c r="J3217">
        <v>39436.339702815087</v>
      </c>
      <c r="K3217">
        <v>9</v>
      </c>
      <c r="L3217">
        <v>9</v>
      </c>
      <c r="M3217">
        <v>6.3282723975061357</v>
      </c>
      <c r="N3217">
        <v>280986</v>
      </c>
    </row>
    <row r="3218" spans="1:14" x14ac:dyDescent="0.35">
      <c r="A3218" t="s">
        <v>45</v>
      </c>
      <c r="B3218">
        <v>202406</v>
      </c>
      <c r="C3218" t="str">
        <f>MID(analisis_productividad__4[[#This Row],[Periodo]],1,4)</f>
        <v>2024</v>
      </c>
      <c r="D3218" t="str">
        <f>MID(analisis_productividad__4[[#This Row],[Periodo]],5,2)</f>
        <v>06</v>
      </c>
      <c r="E3218" t="s">
        <v>34</v>
      </c>
      <c r="F3218" t="s">
        <v>35</v>
      </c>
      <c r="G3218">
        <v>36688</v>
      </c>
      <c r="H3218">
        <v>652417</v>
      </c>
      <c r="I3218">
        <v>17.782722222222233</v>
      </c>
      <c r="J3218">
        <v>0</v>
      </c>
      <c r="K3218">
        <v>22.5</v>
      </c>
      <c r="L3218">
        <v>21</v>
      </c>
      <c r="N3218">
        <v>0</v>
      </c>
    </row>
    <row r="3219" spans="1:14" x14ac:dyDescent="0.35">
      <c r="A3219" t="s">
        <v>129</v>
      </c>
      <c r="B3219">
        <v>202407</v>
      </c>
      <c r="C3219" t="str">
        <f>MID(analisis_productividad__4[[#This Row],[Periodo]],1,4)</f>
        <v>2024</v>
      </c>
      <c r="D3219" t="str">
        <f>MID(analisis_productividad__4[[#This Row],[Periodo]],5,2)</f>
        <v>07</v>
      </c>
      <c r="E3219" t="s">
        <v>9</v>
      </c>
      <c r="F3219" t="s">
        <v>9</v>
      </c>
      <c r="G3219">
        <v>36123</v>
      </c>
      <c r="H3219">
        <v>299124</v>
      </c>
      <c r="I3219">
        <v>8.280604838709678</v>
      </c>
      <c r="J3219">
        <v>0</v>
      </c>
      <c r="K3219">
        <v>9</v>
      </c>
      <c r="L3219">
        <v>9</v>
      </c>
      <c r="N3219">
        <v>0</v>
      </c>
    </row>
    <row r="3220" spans="1:14" x14ac:dyDescent="0.35">
      <c r="A3220" t="s">
        <v>124</v>
      </c>
      <c r="B3220">
        <v>202505</v>
      </c>
      <c r="C3220" t="str">
        <f>MID(analisis_productividad__4[[#This Row],[Periodo]],1,4)</f>
        <v>2025</v>
      </c>
      <c r="D3220" t="str">
        <f>MID(analisis_productividad__4[[#This Row],[Periodo]],5,2)</f>
        <v>05</v>
      </c>
      <c r="E3220" t="s">
        <v>9</v>
      </c>
      <c r="F3220" t="s">
        <v>9</v>
      </c>
      <c r="G3220">
        <v>35993</v>
      </c>
      <c r="H3220">
        <v>728782</v>
      </c>
      <c r="I3220">
        <v>20.247735215053766</v>
      </c>
      <c r="J3220">
        <v>67186.560470096301</v>
      </c>
      <c r="K3220">
        <v>11</v>
      </c>
      <c r="L3220">
        <v>12</v>
      </c>
      <c r="M3220">
        <v>10.847133934239263</v>
      </c>
      <c r="N3220">
        <v>614259</v>
      </c>
    </row>
    <row r="3221" spans="1:14" x14ac:dyDescent="0.35">
      <c r="A3221" t="s">
        <v>129</v>
      </c>
      <c r="B3221">
        <v>202504</v>
      </c>
      <c r="C3221" t="str">
        <f>MID(analisis_productividad__4[[#This Row],[Periodo]],1,4)</f>
        <v>2025</v>
      </c>
      <c r="D3221" t="str">
        <f>MID(analisis_productividad__4[[#This Row],[Periodo]],5,2)</f>
        <v>04</v>
      </c>
      <c r="E3221" t="s">
        <v>9</v>
      </c>
      <c r="F3221" t="s">
        <v>9</v>
      </c>
      <c r="G3221">
        <v>35962</v>
      </c>
      <c r="H3221">
        <v>267989</v>
      </c>
      <c r="I3221">
        <v>7.4520833333333343</v>
      </c>
      <c r="J3221">
        <v>32939.056605696242</v>
      </c>
      <c r="K3221">
        <v>9</v>
      </c>
      <c r="L3221">
        <v>9</v>
      </c>
      <c r="M3221">
        <v>8.1358933016210315</v>
      </c>
      <c r="N3221">
        <v>287140</v>
      </c>
    </row>
    <row r="3222" spans="1:14" x14ac:dyDescent="0.35">
      <c r="A3222" t="s">
        <v>129</v>
      </c>
      <c r="B3222">
        <v>202606</v>
      </c>
      <c r="C3222" t="str">
        <f>MID(analisis_productividad__4[[#This Row],[Periodo]],1,4)</f>
        <v>2026</v>
      </c>
      <c r="D3222" t="str">
        <f>MID(analisis_productividad__4[[#This Row],[Periodo]],5,2)</f>
        <v>06</v>
      </c>
      <c r="E3222" t="s">
        <v>9</v>
      </c>
      <c r="F3222" t="s">
        <v>9</v>
      </c>
      <c r="G3222">
        <v>35678</v>
      </c>
      <c r="H3222">
        <v>260068</v>
      </c>
      <c r="I3222">
        <v>7.289381944444453</v>
      </c>
      <c r="J3222">
        <v>32432.333937586267</v>
      </c>
      <c r="K3222">
        <v>9</v>
      </c>
      <c r="L3222">
        <v>9</v>
      </c>
      <c r="M3222">
        <v>7.859186862423198</v>
      </c>
      <c r="N3222">
        <v>254892</v>
      </c>
    </row>
    <row r="3223" spans="1:14" x14ac:dyDescent="0.35">
      <c r="A3223" t="s">
        <v>124</v>
      </c>
      <c r="B3223">
        <v>202504</v>
      </c>
      <c r="C3223" t="str">
        <f>MID(analisis_productividad__4[[#This Row],[Periodo]],1,4)</f>
        <v>2025</v>
      </c>
      <c r="D3223" t="str">
        <f>MID(analisis_productividad__4[[#This Row],[Periodo]],5,2)</f>
        <v>04</v>
      </c>
      <c r="E3223" t="s">
        <v>9</v>
      </c>
      <c r="F3223" t="s">
        <v>9</v>
      </c>
      <c r="G3223">
        <v>35625</v>
      </c>
      <c r="H3223">
        <v>729144</v>
      </c>
      <c r="I3223">
        <v>20.467076388888888</v>
      </c>
      <c r="J3223">
        <v>64560.471198681778</v>
      </c>
      <c r="K3223">
        <v>11</v>
      </c>
      <c r="L3223">
        <v>12</v>
      </c>
      <c r="M3223">
        <v>11.293966671279312</v>
      </c>
      <c r="N3223">
        <v>620149</v>
      </c>
    </row>
    <row r="3224" spans="1:14" x14ac:dyDescent="0.35">
      <c r="A3224" t="s">
        <v>122</v>
      </c>
      <c r="B3224">
        <v>202510</v>
      </c>
      <c r="C3224" t="str">
        <f>MID(analisis_productividad__4[[#This Row],[Periodo]],1,4)</f>
        <v>2025</v>
      </c>
      <c r="D3224" t="str">
        <f>MID(analisis_productividad__4[[#This Row],[Periodo]],5,2)</f>
        <v>10</v>
      </c>
      <c r="E3224" t="s">
        <v>104</v>
      </c>
      <c r="F3224" t="s">
        <v>104</v>
      </c>
      <c r="G3224">
        <v>35612</v>
      </c>
      <c r="H3224">
        <v>635882</v>
      </c>
      <c r="I3224">
        <v>17.855927419354842</v>
      </c>
      <c r="J3224">
        <v>35933.954139991096</v>
      </c>
      <c r="K3224">
        <v>22</v>
      </c>
      <c r="L3224">
        <v>20</v>
      </c>
      <c r="M3224">
        <v>17.695846038060246</v>
      </c>
      <c r="N3224">
        <v>814711</v>
      </c>
    </row>
    <row r="3225" spans="1:14" x14ac:dyDescent="0.35">
      <c r="A3225" t="s">
        <v>45</v>
      </c>
      <c r="B3225">
        <v>202505</v>
      </c>
      <c r="C3225" t="str">
        <f>MID(analisis_productividad__4[[#This Row],[Periodo]],1,4)</f>
        <v>2025</v>
      </c>
      <c r="D3225" t="str">
        <f>MID(analisis_productividad__4[[#This Row],[Periodo]],5,2)</f>
        <v>05</v>
      </c>
      <c r="E3225" t="s">
        <v>34</v>
      </c>
      <c r="F3225" t="s">
        <v>35</v>
      </c>
      <c r="G3225">
        <v>35604</v>
      </c>
      <c r="H3225">
        <v>695614</v>
      </c>
      <c r="I3225">
        <v>19.537385752688177</v>
      </c>
      <c r="J3225">
        <v>42532.630724333125</v>
      </c>
      <c r="K3225">
        <v>22.5</v>
      </c>
      <c r="L3225">
        <v>21</v>
      </c>
      <c r="M3225">
        <v>16.354833645454146</v>
      </c>
      <c r="N3225">
        <v>659692</v>
      </c>
    </row>
    <row r="3226" spans="1:14" x14ac:dyDescent="0.35">
      <c r="A3226" t="s">
        <v>122</v>
      </c>
      <c r="B3226">
        <v>202503</v>
      </c>
      <c r="C3226" t="str">
        <f>MID(analisis_productividad__4[[#This Row],[Periodo]],1,4)</f>
        <v>2025</v>
      </c>
      <c r="D3226" t="str">
        <f>MID(analisis_productividad__4[[#This Row],[Periodo]],5,2)</f>
        <v>03</v>
      </c>
      <c r="E3226" t="s">
        <v>104</v>
      </c>
      <c r="F3226" t="s">
        <v>104</v>
      </c>
      <c r="G3226">
        <v>35477</v>
      </c>
      <c r="H3226">
        <v>2802145</v>
      </c>
      <c r="I3226">
        <v>78.984368279569907</v>
      </c>
      <c r="J3226">
        <v>52527.565083545036</v>
      </c>
      <c r="K3226">
        <v>22</v>
      </c>
      <c r="L3226">
        <v>20</v>
      </c>
      <c r="M3226">
        <v>53.346177108023028</v>
      </c>
      <c r="N3226">
        <v>2675277</v>
      </c>
    </row>
    <row r="3227" spans="1:14" x14ac:dyDescent="0.35">
      <c r="A3227" t="s">
        <v>122</v>
      </c>
      <c r="B3227">
        <v>202605</v>
      </c>
      <c r="C3227" t="str">
        <f>MID(analisis_productividad__4[[#This Row],[Periodo]],1,4)</f>
        <v>2026</v>
      </c>
      <c r="D3227" t="str">
        <f>MID(analisis_productividad__4[[#This Row],[Periodo]],5,2)</f>
        <v>05</v>
      </c>
      <c r="E3227" t="s">
        <v>104</v>
      </c>
      <c r="F3227" t="s">
        <v>104</v>
      </c>
      <c r="G3227">
        <v>34968</v>
      </c>
      <c r="H3227">
        <v>768135</v>
      </c>
      <c r="I3227">
        <v>21.966969086021496</v>
      </c>
      <c r="J3227">
        <v>6648.4577346514016</v>
      </c>
      <c r="K3227">
        <v>22</v>
      </c>
      <c r="L3227">
        <v>20</v>
      </c>
      <c r="M3227">
        <v>96.1</v>
      </c>
      <c r="N3227">
        <v>638917</v>
      </c>
    </row>
    <row r="3228" spans="1:14" x14ac:dyDescent="0.35">
      <c r="A3228" t="s">
        <v>129</v>
      </c>
      <c r="B3228">
        <v>202408</v>
      </c>
      <c r="C3228" t="str">
        <f>MID(analisis_productividad__4[[#This Row],[Periodo]],1,4)</f>
        <v>2024</v>
      </c>
      <c r="D3228" t="str">
        <f>MID(analisis_productividad__4[[#This Row],[Periodo]],5,2)</f>
        <v>08</v>
      </c>
      <c r="E3228" t="s">
        <v>9</v>
      </c>
      <c r="F3228" t="s">
        <v>9</v>
      </c>
      <c r="G3228">
        <v>34965</v>
      </c>
      <c r="H3228">
        <v>292557</v>
      </c>
      <c r="I3228">
        <v>8.3672110215053781</v>
      </c>
      <c r="J3228">
        <v>0</v>
      </c>
      <c r="K3228">
        <v>9</v>
      </c>
      <c r="L3228">
        <v>9</v>
      </c>
      <c r="N3228">
        <v>0</v>
      </c>
    </row>
    <row r="3229" spans="1:14" x14ac:dyDescent="0.35">
      <c r="A3229" t="s">
        <v>129</v>
      </c>
      <c r="B3229">
        <v>202505</v>
      </c>
      <c r="C3229" t="str">
        <f>MID(analisis_productividad__4[[#This Row],[Periodo]],1,4)</f>
        <v>2025</v>
      </c>
      <c r="D3229" t="str">
        <f>MID(analisis_productividad__4[[#This Row],[Periodo]],5,2)</f>
        <v>05</v>
      </c>
      <c r="E3229" t="s">
        <v>9</v>
      </c>
      <c r="F3229" t="s">
        <v>9</v>
      </c>
      <c r="G3229">
        <v>34728</v>
      </c>
      <c r="H3229">
        <v>282492</v>
      </c>
      <c r="I3229">
        <v>8.134348118279572</v>
      </c>
      <c r="J3229">
        <v>33100.682157747877</v>
      </c>
      <c r="K3229">
        <v>9</v>
      </c>
      <c r="L3229">
        <v>9</v>
      </c>
      <c r="M3229">
        <v>8.5343144486790337</v>
      </c>
      <c r="N3229">
        <v>291480</v>
      </c>
    </row>
    <row r="3230" spans="1:14" x14ac:dyDescent="0.35">
      <c r="A3230" t="s">
        <v>122</v>
      </c>
      <c r="B3230">
        <v>202407</v>
      </c>
      <c r="C3230" t="str">
        <f>MID(analisis_productividad__4[[#This Row],[Periodo]],1,4)</f>
        <v>2024</v>
      </c>
      <c r="D3230" t="str">
        <f>MID(analisis_productividad__4[[#This Row],[Periodo]],5,2)</f>
        <v>07</v>
      </c>
      <c r="E3230" t="s">
        <v>104</v>
      </c>
      <c r="F3230" t="s">
        <v>104</v>
      </c>
      <c r="G3230">
        <v>34679</v>
      </c>
      <c r="H3230">
        <v>703295</v>
      </c>
      <c r="I3230">
        <v>20.280006720430112</v>
      </c>
      <c r="J3230">
        <v>0</v>
      </c>
      <c r="K3230">
        <v>22</v>
      </c>
      <c r="L3230">
        <v>20</v>
      </c>
      <c r="N3230">
        <v>0</v>
      </c>
    </row>
    <row r="3231" spans="1:14" x14ac:dyDescent="0.35">
      <c r="A3231" t="s">
        <v>129</v>
      </c>
      <c r="B3231">
        <v>202503</v>
      </c>
      <c r="C3231" t="str">
        <f>MID(analisis_productividad__4[[#This Row],[Periodo]],1,4)</f>
        <v>2025</v>
      </c>
      <c r="D3231" t="str">
        <f>MID(analisis_productividad__4[[#This Row],[Periodo]],5,2)</f>
        <v>03</v>
      </c>
      <c r="E3231" t="s">
        <v>9</v>
      </c>
      <c r="F3231" t="s">
        <v>9</v>
      </c>
      <c r="G3231">
        <v>34374</v>
      </c>
      <c r="H3231">
        <v>275302</v>
      </c>
      <c r="I3231">
        <v>8.0089784946236584</v>
      </c>
      <c r="J3231">
        <v>39255.330308984587</v>
      </c>
      <c r="K3231">
        <v>9</v>
      </c>
      <c r="L3231">
        <v>9</v>
      </c>
      <c r="M3231">
        <v>7.0131176539097932</v>
      </c>
      <c r="N3231">
        <v>295107</v>
      </c>
    </row>
    <row r="3232" spans="1:14" x14ac:dyDescent="0.35">
      <c r="A3232" t="s">
        <v>122</v>
      </c>
      <c r="B3232">
        <v>202410</v>
      </c>
      <c r="C3232" t="str">
        <f>MID(analisis_productividad__4[[#This Row],[Periodo]],1,4)</f>
        <v>2024</v>
      </c>
      <c r="D3232" t="str">
        <f>MID(analisis_productividad__4[[#This Row],[Periodo]],5,2)</f>
        <v>10</v>
      </c>
      <c r="E3232" t="s">
        <v>104</v>
      </c>
      <c r="F3232" t="s">
        <v>104</v>
      </c>
      <c r="G3232">
        <v>34223</v>
      </c>
      <c r="H3232">
        <v>631943</v>
      </c>
      <c r="I3232">
        <v>18.465557795698924</v>
      </c>
      <c r="J3232">
        <v>0</v>
      </c>
      <c r="K3232">
        <v>22</v>
      </c>
      <c r="L3232">
        <v>20</v>
      </c>
      <c r="N3232">
        <v>0</v>
      </c>
    </row>
    <row r="3233" spans="1:14" x14ac:dyDescent="0.35">
      <c r="A3233" t="s">
        <v>129</v>
      </c>
      <c r="B3233">
        <v>202409</v>
      </c>
      <c r="C3233" t="str">
        <f>MID(analisis_productividad__4[[#This Row],[Periodo]],1,4)</f>
        <v>2024</v>
      </c>
      <c r="D3233" t="str">
        <f>MID(analisis_productividad__4[[#This Row],[Periodo]],5,2)</f>
        <v>09</v>
      </c>
      <c r="E3233" t="s">
        <v>9</v>
      </c>
      <c r="F3233" t="s">
        <v>9</v>
      </c>
      <c r="G3233">
        <v>33577</v>
      </c>
      <c r="H3233">
        <v>277954</v>
      </c>
      <c r="I3233">
        <v>8.2781319444444446</v>
      </c>
      <c r="J3233">
        <v>0</v>
      </c>
      <c r="K3233">
        <v>9</v>
      </c>
      <c r="L3233">
        <v>9</v>
      </c>
      <c r="N3233">
        <v>0</v>
      </c>
    </row>
    <row r="3234" spans="1:14" x14ac:dyDescent="0.35">
      <c r="A3234" t="s">
        <v>130</v>
      </c>
      <c r="B3234">
        <v>202412</v>
      </c>
      <c r="C3234" t="str">
        <f>MID(analisis_productividad__4[[#This Row],[Periodo]],1,4)</f>
        <v>2024</v>
      </c>
      <c r="D3234" t="str">
        <f>MID(analisis_productividad__4[[#This Row],[Periodo]],5,2)</f>
        <v>12</v>
      </c>
      <c r="E3234" t="s">
        <v>9</v>
      </c>
      <c r="F3234" t="s">
        <v>9</v>
      </c>
      <c r="G3234">
        <v>33527</v>
      </c>
      <c r="H3234">
        <v>222811</v>
      </c>
      <c r="I3234">
        <v>6.6456250000000017</v>
      </c>
      <c r="J3234">
        <v>0</v>
      </c>
      <c r="K3234">
        <v>7</v>
      </c>
      <c r="L3234">
        <v>6.5</v>
      </c>
      <c r="N3234">
        <v>0</v>
      </c>
    </row>
    <row r="3235" spans="1:14" x14ac:dyDescent="0.35">
      <c r="A3235" t="s">
        <v>129</v>
      </c>
      <c r="B3235">
        <v>202411</v>
      </c>
      <c r="C3235" t="str">
        <f>MID(analisis_productividad__4[[#This Row],[Periodo]],1,4)</f>
        <v>2024</v>
      </c>
      <c r="D3235" t="str">
        <f>MID(analisis_productividad__4[[#This Row],[Periodo]],5,2)</f>
        <v>11</v>
      </c>
      <c r="E3235" t="s">
        <v>9</v>
      </c>
      <c r="F3235" t="s">
        <v>9</v>
      </c>
      <c r="G3235">
        <v>33379</v>
      </c>
      <c r="H3235">
        <v>264363</v>
      </c>
      <c r="I3235">
        <v>7.9200625000000002</v>
      </c>
      <c r="J3235">
        <v>0</v>
      </c>
      <c r="K3235">
        <v>9</v>
      </c>
      <c r="L3235">
        <v>9</v>
      </c>
      <c r="N3235">
        <v>0</v>
      </c>
    </row>
    <row r="3236" spans="1:14" x14ac:dyDescent="0.35">
      <c r="A3236" t="s">
        <v>129</v>
      </c>
      <c r="B3236">
        <v>202506</v>
      </c>
      <c r="C3236" t="str">
        <f>MID(analisis_productividad__4[[#This Row],[Periodo]],1,4)</f>
        <v>2025</v>
      </c>
      <c r="D3236" t="str">
        <f>MID(analisis_productividad__4[[#This Row],[Periodo]],5,2)</f>
        <v>06</v>
      </c>
      <c r="E3236" t="s">
        <v>9</v>
      </c>
      <c r="F3236" t="s">
        <v>9</v>
      </c>
      <c r="G3236">
        <v>33333</v>
      </c>
      <c r="H3236">
        <v>266533</v>
      </c>
      <c r="I3236">
        <v>7.9959444444444454</v>
      </c>
      <c r="J3236">
        <v>33053.781368228432</v>
      </c>
      <c r="K3236">
        <v>9</v>
      </c>
      <c r="L3236">
        <v>9</v>
      </c>
      <c r="M3236">
        <v>8.0636057046167018</v>
      </c>
      <c r="N3236">
        <v>271816</v>
      </c>
    </row>
    <row r="3237" spans="1:14" x14ac:dyDescent="0.35">
      <c r="A3237" t="s">
        <v>122</v>
      </c>
      <c r="B3237">
        <v>202507</v>
      </c>
      <c r="C3237" t="str">
        <f>MID(analisis_productividad__4[[#This Row],[Periodo]],1,4)</f>
        <v>2025</v>
      </c>
      <c r="D3237" t="str">
        <f>MID(analisis_productividad__4[[#This Row],[Periodo]],5,2)</f>
        <v>07</v>
      </c>
      <c r="E3237" t="s">
        <v>104</v>
      </c>
      <c r="F3237" t="s">
        <v>104</v>
      </c>
      <c r="G3237">
        <v>33302</v>
      </c>
      <c r="H3237">
        <v>690848</v>
      </c>
      <c r="I3237">
        <v>20.745215053763442</v>
      </c>
      <c r="J3237">
        <v>36413.16470847492</v>
      </c>
      <c r="K3237">
        <v>22</v>
      </c>
      <c r="L3237">
        <v>20</v>
      </c>
      <c r="M3237">
        <v>18.972490458628265</v>
      </c>
      <c r="N3237">
        <v>747190</v>
      </c>
    </row>
    <row r="3238" spans="1:14" x14ac:dyDescent="0.35">
      <c r="A3238" t="s">
        <v>114</v>
      </c>
      <c r="B3238">
        <v>202505</v>
      </c>
      <c r="C3238" t="str">
        <f>MID(analisis_productividad__4[[#This Row],[Periodo]],1,4)</f>
        <v>2025</v>
      </c>
      <c r="D3238" t="str">
        <f>MID(analisis_productividad__4[[#This Row],[Periodo]],5,2)</f>
        <v>05</v>
      </c>
      <c r="E3238" t="s">
        <v>9</v>
      </c>
      <c r="F3238" t="s">
        <v>9</v>
      </c>
      <c r="G3238">
        <v>32884</v>
      </c>
      <c r="H3238">
        <v>824494</v>
      </c>
      <c r="I3238">
        <v>25.072842741935485</v>
      </c>
      <c r="J3238">
        <v>64581.675273977351</v>
      </c>
      <c r="K3238">
        <v>13.5</v>
      </c>
      <c r="L3238">
        <v>14.5</v>
      </c>
      <c r="M3238">
        <v>12.766682135485308</v>
      </c>
      <c r="N3238">
        <v>947438</v>
      </c>
    </row>
    <row r="3239" spans="1:14" x14ac:dyDescent="0.35">
      <c r="A3239" t="s">
        <v>114</v>
      </c>
      <c r="B3239">
        <v>202503</v>
      </c>
      <c r="C3239" t="str">
        <f>MID(analisis_productividad__4[[#This Row],[Periodo]],1,4)</f>
        <v>2025</v>
      </c>
      <c r="D3239" t="str">
        <f>MID(analisis_productividad__4[[#This Row],[Periodo]],5,2)</f>
        <v>03</v>
      </c>
      <c r="E3239" t="s">
        <v>9</v>
      </c>
      <c r="F3239" t="s">
        <v>9</v>
      </c>
      <c r="G3239">
        <v>32585</v>
      </c>
      <c r="H3239">
        <v>799458</v>
      </c>
      <c r="I3239">
        <v>24.534482526881721</v>
      </c>
      <c r="J3239">
        <v>71815.736946010657</v>
      </c>
      <c r="K3239">
        <v>13.5</v>
      </c>
      <c r="L3239">
        <v>14.5</v>
      </c>
      <c r="M3239">
        <v>11.13207653360173</v>
      </c>
      <c r="N3239">
        <v>1019891</v>
      </c>
    </row>
    <row r="3240" spans="1:14" x14ac:dyDescent="0.35">
      <c r="A3240" t="s">
        <v>45</v>
      </c>
      <c r="B3240">
        <v>202409</v>
      </c>
      <c r="C3240" t="str">
        <f>MID(analisis_productividad__4[[#This Row],[Periodo]],1,4)</f>
        <v>2024</v>
      </c>
      <c r="D3240" t="str">
        <f>MID(analisis_productividad__4[[#This Row],[Periodo]],5,2)</f>
        <v>09</v>
      </c>
      <c r="E3240" t="s">
        <v>34</v>
      </c>
      <c r="F3240" t="s">
        <v>35</v>
      </c>
      <c r="G3240">
        <v>32232</v>
      </c>
      <c r="H3240">
        <v>612857</v>
      </c>
      <c r="I3240">
        <v>19.013895833333343</v>
      </c>
      <c r="J3240">
        <v>0</v>
      </c>
      <c r="K3240">
        <v>22.5</v>
      </c>
      <c r="L3240">
        <v>21</v>
      </c>
      <c r="N3240">
        <v>0</v>
      </c>
    </row>
    <row r="3241" spans="1:14" x14ac:dyDescent="0.35">
      <c r="A3241" t="s">
        <v>45</v>
      </c>
      <c r="B3241">
        <v>202606</v>
      </c>
      <c r="C3241" t="str">
        <f>MID(analisis_productividad__4[[#This Row],[Periodo]],1,4)</f>
        <v>2026</v>
      </c>
      <c r="D3241" t="str">
        <f>MID(analisis_productividad__4[[#This Row],[Periodo]],5,2)</f>
        <v>06</v>
      </c>
      <c r="E3241" t="s">
        <v>34</v>
      </c>
      <c r="F3241" t="s">
        <v>35</v>
      </c>
      <c r="G3241">
        <v>32109</v>
      </c>
      <c r="H3241">
        <v>562501</v>
      </c>
      <c r="I3241">
        <v>17.518229166666668</v>
      </c>
      <c r="J3241">
        <v>26192.663251746377</v>
      </c>
      <c r="K3241">
        <v>22.5</v>
      </c>
      <c r="L3241">
        <v>21</v>
      </c>
      <c r="M3241">
        <v>19.647967156057994</v>
      </c>
      <c r="N3241">
        <v>514633</v>
      </c>
    </row>
    <row r="3242" spans="1:14" x14ac:dyDescent="0.35">
      <c r="A3242" t="s">
        <v>129</v>
      </c>
      <c r="B3242">
        <v>202405</v>
      </c>
      <c r="C3242" t="str">
        <f>MID(analisis_productividad__4[[#This Row],[Periodo]],1,4)</f>
        <v>2024</v>
      </c>
      <c r="D3242" t="str">
        <f>MID(analisis_productividad__4[[#This Row],[Periodo]],5,2)</f>
        <v>05</v>
      </c>
      <c r="E3242" t="s">
        <v>9</v>
      </c>
      <c r="F3242" t="s">
        <v>9</v>
      </c>
      <c r="G3242">
        <v>31524</v>
      </c>
      <c r="H3242">
        <v>275302</v>
      </c>
      <c r="I3242">
        <v>8.7329704301075264</v>
      </c>
      <c r="J3242">
        <v>0</v>
      </c>
      <c r="K3242">
        <v>9</v>
      </c>
      <c r="L3242">
        <v>9</v>
      </c>
      <c r="N3242">
        <v>0</v>
      </c>
    </row>
    <row r="3243" spans="1:14" x14ac:dyDescent="0.35">
      <c r="A3243" t="s">
        <v>129</v>
      </c>
      <c r="B3243">
        <v>202410</v>
      </c>
      <c r="C3243" t="str">
        <f>MID(analisis_productividad__4[[#This Row],[Periodo]],1,4)</f>
        <v>2024</v>
      </c>
      <c r="D3243" t="str">
        <f>MID(analisis_productividad__4[[#This Row],[Periodo]],5,2)</f>
        <v>10</v>
      </c>
      <c r="E3243" t="s">
        <v>9</v>
      </c>
      <c r="F3243" t="s">
        <v>9</v>
      </c>
      <c r="G3243">
        <v>31500</v>
      </c>
      <c r="H3243">
        <v>281426</v>
      </c>
      <c r="I3243">
        <v>8.9340322580645193</v>
      </c>
      <c r="J3243">
        <v>0</v>
      </c>
      <c r="K3243">
        <v>9</v>
      </c>
      <c r="L3243">
        <v>9</v>
      </c>
      <c r="N3243">
        <v>0</v>
      </c>
    </row>
    <row r="3244" spans="1:14" x14ac:dyDescent="0.35">
      <c r="A3244" t="s">
        <v>129</v>
      </c>
      <c r="B3244">
        <v>202406</v>
      </c>
      <c r="C3244" t="str">
        <f>MID(analisis_productividad__4[[#This Row],[Periodo]],1,4)</f>
        <v>2024</v>
      </c>
      <c r="D3244" t="str">
        <f>MID(analisis_productividad__4[[#This Row],[Periodo]],5,2)</f>
        <v>06</v>
      </c>
      <c r="E3244" t="s">
        <v>9</v>
      </c>
      <c r="F3244" t="s">
        <v>9</v>
      </c>
      <c r="G3244">
        <v>31480</v>
      </c>
      <c r="H3244">
        <v>260080</v>
      </c>
      <c r="I3244">
        <v>8.2617986111111126</v>
      </c>
      <c r="J3244">
        <v>0</v>
      </c>
      <c r="K3244">
        <v>9</v>
      </c>
      <c r="L3244">
        <v>9</v>
      </c>
      <c r="N3244">
        <v>0</v>
      </c>
    </row>
    <row r="3245" spans="1:14" x14ac:dyDescent="0.35">
      <c r="A3245" t="s">
        <v>129</v>
      </c>
      <c r="B3245">
        <v>202404</v>
      </c>
      <c r="C3245" t="str">
        <f>MID(analisis_productividad__4[[#This Row],[Periodo]],1,4)</f>
        <v>2024</v>
      </c>
      <c r="D3245" t="str">
        <f>MID(analisis_productividad__4[[#This Row],[Periodo]],5,2)</f>
        <v>04</v>
      </c>
      <c r="E3245" t="s">
        <v>9</v>
      </c>
      <c r="F3245" t="s">
        <v>9</v>
      </c>
      <c r="G3245">
        <v>31371</v>
      </c>
      <c r="H3245">
        <v>269373</v>
      </c>
      <c r="I3245">
        <v>8.5868125000000006</v>
      </c>
      <c r="J3245">
        <v>0</v>
      </c>
      <c r="K3245">
        <v>9</v>
      </c>
      <c r="L3245">
        <v>9</v>
      </c>
      <c r="N3245">
        <v>0</v>
      </c>
    </row>
    <row r="3246" spans="1:14" x14ac:dyDescent="0.35">
      <c r="A3246" t="s">
        <v>114</v>
      </c>
      <c r="B3246">
        <v>202504</v>
      </c>
      <c r="C3246" t="str">
        <f>MID(analisis_productividad__4[[#This Row],[Periodo]],1,4)</f>
        <v>2025</v>
      </c>
      <c r="D3246" t="str">
        <f>MID(analisis_productividad__4[[#This Row],[Periodo]],5,2)</f>
        <v>04</v>
      </c>
      <c r="E3246" t="s">
        <v>9</v>
      </c>
      <c r="F3246" t="s">
        <v>9</v>
      </c>
      <c r="G3246">
        <v>31366</v>
      </c>
      <c r="H3246">
        <v>804636</v>
      </c>
      <c r="I3246">
        <v>25.653395833333342</v>
      </c>
      <c r="J3246">
        <v>66808.852648065178</v>
      </c>
      <c r="K3246">
        <v>13.5</v>
      </c>
      <c r="L3246">
        <v>14.5</v>
      </c>
      <c r="M3246">
        <v>12.043854341260007</v>
      </c>
      <c r="N3246">
        <v>968583</v>
      </c>
    </row>
    <row r="3247" spans="1:14" x14ac:dyDescent="0.35">
      <c r="A3247" t="s">
        <v>129</v>
      </c>
      <c r="B3247">
        <v>202402</v>
      </c>
      <c r="C3247" t="str">
        <f>MID(analisis_productividad__4[[#This Row],[Periodo]],1,4)</f>
        <v>2024</v>
      </c>
      <c r="D3247" t="str">
        <f>MID(analisis_productividad__4[[#This Row],[Periodo]],5,2)</f>
        <v>02</v>
      </c>
      <c r="E3247" t="s">
        <v>9</v>
      </c>
      <c r="F3247" t="s">
        <v>9</v>
      </c>
      <c r="G3247">
        <v>31312</v>
      </c>
      <c r="H3247">
        <v>264406</v>
      </c>
      <c r="I3247">
        <v>8.4442528735632205</v>
      </c>
      <c r="J3247">
        <v>0</v>
      </c>
      <c r="K3247">
        <v>9</v>
      </c>
      <c r="L3247">
        <v>9</v>
      </c>
      <c r="N3247">
        <v>0</v>
      </c>
    </row>
    <row r="3248" spans="1:14" x14ac:dyDescent="0.35">
      <c r="A3248" t="s">
        <v>122</v>
      </c>
      <c r="B3248">
        <v>202603</v>
      </c>
      <c r="C3248" t="str">
        <f>MID(analisis_productividad__4[[#This Row],[Periodo]],1,4)</f>
        <v>2026</v>
      </c>
      <c r="D3248" t="str">
        <f>MID(analisis_productividad__4[[#This Row],[Periodo]],5,2)</f>
        <v>03</v>
      </c>
      <c r="E3248" t="s">
        <v>104</v>
      </c>
      <c r="F3248" t="s">
        <v>104</v>
      </c>
      <c r="G3248">
        <v>30476</v>
      </c>
      <c r="H3248">
        <v>2760774</v>
      </c>
      <c r="I3248">
        <v>90.588279569892464</v>
      </c>
      <c r="J3248">
        <v>29810.388814776277</v>
      </c>
      <c r="K3248">
        <v>22</v>
      </c>
      <c r="L3248">
        <v>20</v>
      </c>
      <c r="M3248">
        <v>96.1</v>
      </c>
      <c r="N3248">
        <v>2864778</v>
      </c>
    </row>
    <row r="3249" spans="1:14" x14ac:dyDescent="0.35">
      <c r="A3249" t="s">
        <v>130</v>
      </c>
      <c r="B3249">
        <v>202408</v>
      </c>
      <c r="C3249" t="str">
        <f>MID(analisis_productividad__4[[#This Row],[Periodo]],1,4)</f>
        <v>2024</v>
      </c>
      <c r="D3249" t="str">
        <f>MID(analisis_productividad__4[[#This Row],[Periodo]],5,2)</f>
        <v>08</v>
      </c>
      <c r="E3249" t="s">
        <v>9</v>
      </c>
      <c r="F3249" t="s">
        <v>9</v>
      </c>
      <c r="G3249">
        <v>30103</v>
      </c>
      <c r="H3249">
        <v>156628</v>
      </c>
      <c r="I3249">
        <v>5.2031451612903226</v>
      </c>
      <c r="J3249">
        <v>0</v>
      </c>
      <c r="K3249">
        <v>7</v>
      </c>
      <c r="L3249">
        <v>6.5</v>
      </c>
      <c r="N3249">
        <v>0</v>
      </c>
    </row>
    <row r="3250" spans="1:14" x14ac:dyDescent="0.35">
      <c r="A3250" t="s">
        <v>130</v>
      </c>
      <c r="B3250">
        <v>202407</v>
      </c>
      <c r="C3250" t="str">
        <f>MID(analisis_productividad__4[[#This Row],[Periodo]],1,4)</f>
        <v>2024</v>
      </c>
      <c r="D3250" t="str">
        <f>MID(analisis_productividad__4[[#This Row],[Periodo]],5,2)</f>
        <v>07</v>
      </c>
      <c r="E3250" t="s">
        <v>9</v>
      </c>
      <c r="F3250" t="s">
        <v>9</v>
      </c>
      <c r="G3250">
        <v>29420</v>
      </c>
      <c r="H3250">
        <v>166336</v>
      </c>
      <c r="I3250">
        <v>5.6539112903225819</v>
      </c>
      <c r="J3250">
        <v>0</v>
      </c>
      <c r="K3250">
        <v>7</v>
      </c>
      <c r="L3250">
        <v>6.5</v>
      </c>
      <c r="N3250">
        <v>0</v>
      </c>
    </row>
    <row r="3251" spans="1:14" x14ac:dyDescent="0.35">
      <c r="A3251" t="s">
        <v>122</v>
      </c>
      <c r="B3251">
        <v>202505</v>
      </c>
      <c r="C3251" t="str">
        <f>MID(analisis_productividad__4[[#This Row],[Periodo]],1,4)</f>
        <v>2025</v>
      </c>
      <c r="D3251" t="str">
        <f>MID(analisis_productividad__4[[#This Row],[Periodo]],5,2)</f>
        <v>05</v>
      </c>
      <c r="E3251" t="s">
        <v>104</v>
      </c>
      <c r="F3251" t="s">
        <v>104</v>
      </c>
      <c r="G3251">
        <v>29391</v>
      </c>
      <c r="H3251">
        <v>615986</v>
      </c>
      <c r="I3251">
        <v>20.958555107526884</v>
      </c>
      <c r="J3251">
        <v>29992.246632154558</v>
      </c>
      <c r="K3251">
        <v>22</v>
      </c>
      <c r="L3251">
        <v>20</v>
      </c>
      <c r="M3251">
        <v>20.538169999562626</v>
      </c>
      <c r="N3251">
        <v>574346</v>
      </c>
    </row>
    <row r="3252" spans="1:14" x14ac:dyDescent="0.35">
      <c r="A3252" t="s">
        <v>45</v>
      </c>
      <c r="B3252">
        <v>202506</v>
      </c>
      <c r="C3252" t="str">
        <f>MID(analisis_productividad__4[[#This Row],[Periodo]],1,4)</f>
        <v>2025</v>
      </c>
      <c r="D3252" t="str">
        <f>MID(analisis_productividad__4[[#This Row],[Periodo]],5,2)</f>
        <v>06</v>
      </c>
      <c r="E3252" t="s">
        <v>34</v>
      </c>
      <c r="F3252" t="s">
        <v>35</v>
      </c>
      <c r="G3252">
        <v>29267</v>
      </c>
      <c r="H3252">
        <v>494849</v>
      </c>
      <c r="I3252">
        <v>16.908111111111111</v>
      </c>
      <c r="J3252">
        <v>38522.678526909687</v>
      </c>
      <c r="K3252">
        <v>22.5</v>
      </c>
      <c r="L3252">
        <v>21</v>
      </c>
      <c r="M3252">
        <v>12.845666472914836</v>
      </c>
      <c r="N3252">
        <v>593289</v>
      </c>
    </row>
    <row r="3253" spans="1:14" x14ac:dyDescent="0.35">
      <c r="A3253" t="s">
        <v>122</v>
      </c>
      <c r="B3253">
        <v>202408</v>
      </c>
      <c r="C3253" t="str">
        <f>MID(analisis_productividad__4[[#This Row],[Periodo]],1,4)</f>
        <v>2024</v>
      </c>
      <c r="D3253" t="str">
        <f>MID(analisis_productividad__4[[#This Row],[Periodo]],5,2)</f>
        <v>08</v>
      </c>
      <c r="E3253" t="s">
        <v>104</v>
      </c>
      <c r="F3253" t="s">
        <v>104</v>
      </c>
      <c r="G3253">
        <v>29201</v>
      </c>
      <c r="H3253">
        <v>581869</v>
      </c>
      <c r="I3253">
        <v>19.926243279569889</v>
      </c>
      <c r="J3253">
        <v>0</v>
      </c>
      <c r="K3253">
        <v>22</v>
      </c>
      <c r="L3253">
        <v>20</v>
      </c>
      <c r="N3253">
        <v>0</v>
      </c>
    </row>
    <row r="3254" spans="1:14" x14ac:dyDescent="0.35">
      <c r="A3254" t="s">
        <v>129</v>
      </c>
      <c r="B3254">
        <v>202502</v>
      </c>
      <c r="C3254" t="str">
        <f>MID(analisis_productividad__4[[#This Row],[Periodo]],1,4)</f>
        <v>2025</v>
      </c>
      <c r="D3254" t="str">
        <f>MID(analisis_productividad__4[[#This Row],[Periodo]],5,2)</f>
        <v>02</v>
      </c>
      <c r="E3254" t="s">
        <v>9</v>
      </c>
      <c r="F3254" t="s">
        <v>9</v>
      </c>
      <c r="G3254">
        <v>28980</v>
      </c>
      <c r="H3254">
        <v>235334</v>
      </c>
      <c r="I3254">
        <v>8.1205208333333321</v>
      </c>
      <c r="J3254">
        <v>32877.535840876604</v>
      </c>
      <c r="K3254">
        <v>9</v>
      </c>
      <c r="L3254">
        <v>9</v>
      </c>
      <c r="M3254">
        <v>7.1578950180143854</v>
      </c>
      <c r="N3254">
        <v>257058</v>
      </c>
    </row>
    <row r="3255" spans="1:14" x14ac:dyDescent="0.35">
      <c r="A3255" t="s">
        <v>122</v>
      </c>
      <c r="B3255">
        <v>202405</v>
      </c>
      <c r="C3255" t="str">
        <f>MID(analisis_productividad__4[[#This Row],[Periodo]],1,4)</f>
        <v>2024</v>
      </c>
      <c r="D3255" t="str">
        <f>MID(analisis_productividad__4[[#This Row],[Periodo]],5,2)</f>
        <v>05</v>
      </c>
      <c r="E3255" t="s">
        <v>104</v>
      </c>
      <c r="F3255" t="s">
        <v>104</v>
      </c>
      <c r="G3255">
        <v>28564</v>
      </c>
      <c r="H3255">
        <v>553400</v>
      </c>
      <c r="I3255">
        <v>19.374005376344083</v>
      </c>
      <c r="J3255">
        <v>0</v>
      </c>
      <c r="K3255">
        <v>22</v>
      </c>
      <c r="L3255">
        <v>20</v>
      </c>
      <c r="N3255">
        <v>0</v>
      </c>
    </row>
    <row r="3256" spans="1:14" x14ac:dyDescent="0.35">
      <c r="A3256" t="s">
        <v>122</v>
      </c>
      <c r="B3256">
        <v>202508</v>
      </c>
      <c r="C3256" t="str">
        <f>MID(analisis_productividad__4[[#This Row],[Periodo]],1,4)</f>
        <v>2025</v>
      </c>
      <c r="D3256" t="str">
        <f>MID(analisis_productividad__4[[#This Row],[Periodo]],5,2)</f>
        <v>08</v>
      </c>
      <c r="E3256" t="s">
        <v>104</v>
      </c>
      <c r="F3256" t="s">
        <v>104</v>
      </c>
      <c r="G3256">
        <v>28531</v>
      </c>
      <c r="H3256">
        <v>472424</v>
      </c>
      <c r="I3256">
        <v>16.558010752688169</v>
      </c>
      <c r="J3256">
        <v>30661.214932892653</v>
      </c>
      <c r="K3256">
        <v>22</v>
      </c>
      <c r="L3256">
        <v>20</v>
      </c>
      <c r="M3256">
        <v>15.407861398642575</v>
      </c>
      <c r="N3256">
        <v>603680</v>
      </c>
    </row>
    <row r="3257" spans="1:14" x14ac:dyDescent="0.35">
      <c r="A3257" t="s">
        <v>130</v>
      </c>
      <c r="B3257">
        <v>202402</v>
      </c>
      <c r="C3257" t="str">
        <f>MID(analisis_productividad__4[[#This Row],[Periodo]],1,4)</f>
        <v>2024</v>
      </c>
      <c r="D3257" t="str">
        <f>MID(analisis_productividad__4[[#This Row],[Periodo]],5,2)</f>
        <v>02</v>
      </c>
      <c r="E3257" t="s">
        <v>9</v>
      </c>
      <c r="F3257" t="s">
        <v>9</v>
      </c>
      <c r="G3257">
        <v>28344</v>
      </c>
      <c r="H3257">
        <v>132840</v>
      </c>
      <c r="I3257">
        <v>4.6867816091954033</v>
      </c>
      <c r="J3257">
        <v>0</v>
      </c>
      <c r="K3257">
        <v>7</v>
      </c>
      <c r="L3257">
        <v>6.5</v>
      </c>
      <c r="N3257">
        <v>0</v>
      </c>
    </row>
    <row r="3258" spans="1:14" x14ac:dyDescent="0.35">
      <c r="A3258" t="s">
        <v>130</v>
      </c>
      <c r="B3258">
        <v>202401</v>
      </c>
      <c r="C3258" t="str">
        <f>MID(analisis_productividad__4[[#This Row],[Periodo]],1,4)</f>
        <v>2024</v>
      </c>
      <c r="D3258" t="str">
        <f>MID(analisis_productividad__4[[#This Row],[Periodo]],5,2)</f>
        <v>01</v>
      </c>
      <c r="E3258" t="s">
        <v>9</v>
      </c>
      <c r="F3258" t="s">
        <v>9</v>
      </c>
      <c r="G3258">
        <v>27989</v>
      </c>
      <c r="H3258">
        <v>151226</v>
      </c>
      <c r="I3258">
        <v>5.4030779569892466</v>
      </c>
      <c r="J3258">
        <v>0</v>
      </c>
      <c r="K3258">
        <v>7</v>
      </c>
      <c r="L3258">
        <v>6.5</v>
      </c>
      <c r="N3258">
        <v>0</v>
      </c>
    </row>
    <row r="3259" spans="1:14" x14ac:dyDescent="0.35">
      <c r="A3259" t="s">
        <v>126</v>
      </c>
      <c r="B3259">
        <v>202602</v>
      </c>
      <c r="C3259" t="str">
        <f>MID(analisis_productividad__4[[#This Row],[Periodo]],1,4)</f>
        <v>2026</v>
      </c>
      <c r="D3259" t="str">
        <f>MID(analisis_productividad__4[[#This Row],[Periodo]],5,2)</f>
        <v>02</v>
      </c>
      <c r="E3259" t="s">
        <v>104</v>
      </c>
      <c r="F3259" t="s">
        <v>104</v>
      </c>
      <c r="G3259">
        <v>27306</v>
      </c>
      <c r="H3259">
        <v>1387612</v>
      </c>
      <c r="I3259">
        <v>50.817395833333336</v>
      </c>
      <c r="J3259">
        <v>55556.282297945872</v>
      </c>
      <c r="K3259">
        <v>64.5</v>
      </c>
      <c r="L3259">
        <v>61</v>
      </c>
      <c r="M3259">
        <v>55.57085132952011</v>
      </c>
      <c r="N3259">
        <v>3087310</v>
      </c>
    </row>
    <row r="3260" spans="1:14" x14ac:dyDescent="0.35">
      <c r="A3260" t="s">
        <v>130</v>
      </c>
      <c r="B3260">
        <v>202603</v>
      </c>
      <c r="C3260" t="str">
        <f>MID(analisis_productividad__4[[#This Row],[Periodo]],1,4)</f>
        <v>2026</v>
      </c>
      <c r="D3260" t="str">
        <f>MID(analisis_productividad__4[[#This Row],[Periodo]],5,2)</f>
        <v>03</v>
      </c>
      <c r="E3260" t="s">
        <v>9</v>
      </c>
      <c r="F3260" t="s">
        <v>9</v>
      </c>
      <c r="G3260">
        <v>26983</v>
      </c>
      <c r="H3260">
        <v>154463</v>
      </c>
      <c r="I3260">
        <v>5.7243817204301077</v>
      </c>
      <c r="J3260">
        <v>22703.842946305413</v>
      </c>
      <c r="K3260">
        <v>7</v>
      </c>
      <c r="L3260">
        <v>6.5</v>
      </c>
      <c r="M3260">
        <v>6.4427386872759902</v>
      </c>
      <c r="N3260">
        <v>146275</v>
      </c>
    </row>
    <row r="3261" spans="1:14" x14ac:dyDescent="0.35">
      <c r="A3261" t="s">
        <v>122</v>
      </c>
      <c r="B3261">
        <v>202406</v>
      </c>
      <c r="C3261" t="str">
        <f>MID(analisis_productividad__4[[#This Row],[Periodo]],1,4)</f>
        <v>2024</v>
      </c>
      <c r="D3261" t="str">
        <f>MID(analisis_productividad__4[[#This Row],[Periodo]],5,2)</f>
        <v>06</v>
      </c>
      <c r="E3261" t="s">
        <v>104</v>
      </c>
      <c r="F3261" t="s">
        <v>104</v>
      </c>
      <c r="G3261">
        <v>26299</v>
      </c>
      <c r="H3261">
        <v>504101</v>
      </c>
      <c r="I3261">
        <v>19.167993055555556</v>
      </c>
      <c r="J3261">
        <v>0</v>
      </c>
      <c r="K3261">
        <v>22</v>
      </c>
      <c r="L3261">
        <v>20</v>
      </c>
      <c r="N3261">
        <v>0</v>
      </c>
    </row>
    <row r="3262" spans="1:14" x14ac:dyDescent="0.35">
      <c r="A3262" t="s">
        <v>130</v>
      </c>
      <c r="B3262">
        <v>202507</v>
      </c>
      <c r="C3262" t="str">
        <f>MID(analisis_productividad__4[[#This Row],[Periodo]],1,4)</f>
        <v>2025</v>
      </c>
      <c r="D3262" t="str">
        <f>MID(analisis_productividad__4[[#This Row],[Periodo]],5,2)</f>
        <v>07</v>
      </c>
      <c r="E3262" t="s">
        <v>9</v>
      </c>
      <c r="F3262" t="s">
        <v>9</v>
      </c>
      <c r="G3262">
        <v>26212</v>
      </c>
      <c r="H3262">
        <v>160065</v>
      </c>
      <c r="I3262">
        <v>6.1066061827956988</v>
      </c>
      <c r="J3262">
        <v>30890.535689680994</v>
      </c>
      <c r="K3262">
        <v>7</v>
      </c>
      <c r="L3262">
        <v>6.5</v>
      </c>
      <c r="M3262">
        <v>5.1816796447939177</v>
      </c>
      <c r="N3262">
        <v>174335</v>
      </c>
    </row>
    <row r="3263" spans="1:14" x14ac:dyDescent="0.35">
      <c r="A3263" t="s">
        <v>122</v>
      </c>
      <c r="B3263">
        <v>202411</v>
      </c>
      <c r="C3263" t="str">
        <f>MID(analisis_productividad__4[[#This Row],[Periodo]],1,4)</f>
        <v>2024</v>
      </c>
      <c r="D3263" t="str">
        <f>MID(analisis_productividad__4[[#This Row],[Periodo]],5,2)</f>
        <v>11</v>
      </c>
      <c r="E3263" t="s">
        <v>104</v>
      </c>
      <c r="F3263" t="s">
        <v>104</v>
      </c>
      <c r="G3263">
        <v>26172</v>
      </c>
      <c r="H3263">
        <v>917157</v>
      </c>
      <c r="I3263">
        <v>35.043895833333302</v>
      </c>
      <c r="J3263">
        <v>0</v>
      </c>
      <c r="K3263">
        <v>22</v>
      </c>
      <c r="L3263">
        <v>20</v>
      </c>
      <c r="N3263">
        <v>0</v>
      </c>
    </row>
    <row r="3264" spans="1:14" x14ac:dyDescent="0.35">
      <c r="A3264" t="s">
        <v>130</v>
      </c>
      <c r="B3264">
        <v>202510</v>
      </c>
      <c r="C3264" t="str">
        <f>MID(analisis_productividad__4[[#This Row],[Periodo]],1,4)</f>
        <v>2025</v>
      </c>
      <c r="D3264" t="str">
        <f>MID(analisis_productividad__4[[#This Row],[Periodo]],5,2)</f>
        <v>10</v>
      </c>
      <c r="E3264" t="s">
        <v>9</v>
      </c>
      <c r="F3264" t="s">
        <v>9</v>
      </c>
      <c r="G3264">
        <v>25231</v>
      </c>
      <c r="H3264">
        <v>137752</v>
      </c>
      <c r="I3264">
        <v>5.4595766129032262</v>
      </c>
      <c r="J3264">
        <v>24457.127410796402</v>
      </c>
      <c r="K3264">
        <v>7</v>
      </c>
      <c r="L3264">
        <v>6.5</v>
      </c>
      <c r="M3264">
        <v>5.6323732418056034</v>
      </c>
      <c r="N3264">
        <v>166838</v>
      </c>
    </row>
    <row r="3265" spans="1:14" x14ac:dyDescent="0.35">
      <c r="A3265" t="s">
        <v>130</v>
      </c>
      <c r="B3265">
        <v>202403</v>
      </c>
      <c r="C3265" t="str">
        <f>MID(analisis_productividad__4[[#This Row],[Periodo]],1,4)</f>
        <v>2024</v>
      </c>
      <c r="D3265" t="str">
        <f>MID(analisis_productividad__4[[#This Row],[Periodo]],5,2)</f>
        <v>03</v>
      </c>
      <c r="E3265" t="s">
        <v>9</v>
      </c>
      <c r="F3265" t="s">
        <v>9</v>
      </c>
      <c r="G3265">
        <v>25202</v>
      </c>
      <c r="H3265">
        <v>157353</v>
      </c>
      <c r="I3265">
        <v>6.24364247311828</v>
      </c>
      <c r="J3265">
        <v>0</v>
      </c>
      <c r="K3265">
        <v>7</v>
      </c>
      <c r="L3265">
        <v>6.5</v>
      </c>
      <c r="N3265">
        <v>0</v>
      </c>
    </row>
    <row r="3266" spans="1:14" x14ac:dyDescent="0.35">
      <c r="A3266" t="s">
        <v>130</v>
      </c>
      <c r="B3266">
        <v>202406</v>
      </c>
      <c r="C3266" t="str">
        <f>MID(analisis_productividad__4[[#This Row],[Periodo]],1,4)</f>
        <v>2024</v>
      </c>
      <c r="D3266" t="str">
        <f>MID(analisis_productividad__4[[#This Row],[Periodo]],5,2)</f>
        <v>06</v>
      </c>
      <c r="E3266" t="s">
        <v>9</v>
      </c>
      <c r="F3266" t="s">
        <v>9</v>
      </c>
      <c r="G3266">
        <v>25199</v>
      </c>
      <c r="H3266">
        <v>148245</v>
      </c>
      <c r="I3266">
        <v>5.8829166666666657</v>
      </c>
      <c r="J3266">
        <v>0</v>
      </c>
      <c r="K3266">
        <v>7</v>
      </c>
      <c r="L3266">
        <v>6.5</v>
      </c>
      <c r="N3266">
        <v>0</v>
      </c>
    </row>
    <row r="3267" spans="1:14" x14ac:dyDescent="0.35">
      <c r="A3267" t="s">
        <v>130</v>
      </c>
      <c r="B3267">
        <v>202504</v>
      </c>
      <c r="C3267" t="str">
        <f>MID(analisis_productividad__4[[#This Row],[Periodo]],1,4)</f>
        <v>2025</v>
      </c>
      <c r="D3267" t="str">
        <f>MID(analisis_productividad__4[[#This Row],[Periodo]],5,2)</f>
        <v>04</v>
      </c>
      <c r="E3267" t="s">
        <v>9</v>
      </c>
      <c r="F3267" t="s">
        <v>9</v>
      </c>
      <c r="G3267">
        <v>24854</v>
      </c>
      <c r="H3267">
        <v>138856</v>
      </c>
      <c r="I3267">
        <v>5.5867777777777796</v>
      </c>
      <c r="J3267">
        <v>21636.563398790418</v>
      </c>
      <c r="K3267">
        <v>7</v>
      </c>
      <c r="L3267">
        <v>6.5</v>
      </c>
      <c r="M3267">
        <v>6.4176476384305419</v>
      </c>
      <c r="N3267">
        <v>143253</v>
      </c>
    </row>
    <row r="3268" spans="1:14" x14ac:dyDescent="0.35">
      <c r="A3268" t="s">
        <v>130</v>
      </c>
      <c r="B3268">
        <v>202511</v>
      </c>
      <c r="C3268" t="str">
        <f>MID(analisis_productividad__4[[#This Row],[Periodo]],1,4)</f>
        <v>2025</v>
      </c>
      <c r="D3268" t="str">
        <f>MID(analisis_productividad__4[[#This Row],[Periodo]],5,2)</f>
        <v>11</v>
      </c>
      <c r="E3268" t="s">
        <v>9</v>
      </c>
      <c r="F3268" t="s">
        <v>9</v>
      </c>
      <c r="G3268">
        <v>24789</v>
      </c>
      <c r="H3268">
        <v>151921</v>
      </c>
      <c r="I3268">
        <v>6.1284513888888883</v>
      </c>
      <c r="J3268">
        <v>23297.806572574351</v>
      </c>
      <c r="K3268">
        <v>7</v>
      </c>
      <c r="L3268">
        <v>6.5</v>
      </c>
      <c r="M3268">
        <v>6.5208069921413729</v>
      </c>
      <c r="N3268">
        <v>160193</v>
      </c>
    </row>
    <row r="3269" spans="1:14" x14ac:dyDescent="0.35">
      <c r="A3269" t="s">
        <v>130</v>
      </c>
      <c r="B3269">
        <v>202606</v>
      </c>
      <c r="C3269" t="str">
        <f>MID(analisis_productividad__4[[#This Row],[Periodo]],1,4)</f>
        <v>2026</v>
      </c>
      <c r="D3269" t="str">
        <f>MID(analisis_productividad__4[[#This Row],[Periodo]],5,2)</f>
        <v>06</v>
      </c>
      <c r="E3269" t="s">
        <v>9</v>
      </c>
      <c r="F3269" t="s">
        <v>9</v>
      </c>
      <c r="G3269">
        <v>24533</v>
      </c>
      <c r="H3269">
        <v>131548</v>
      </c>
      <c r="I3269">
        <v>5.3620972222222179</v>
      </c>
      <c r="J3269">
        <v>20376.016050327267</v>
      </c>
      <c r="K3269">
        <v>7</v>
      </c>
      <c r="L3269">
        <v>6.5</v>
      </c>
      <c r="M3269">
        <v>6.4427386872759902</v>
      </c>
      <c r="N3269">
        <v>131277</v>
      </c>
    </row>
    <row r="3270" spans="1:14" x14ac:dyDescent="0.35">
      <c r="A3270" t="s">
        <v>130</v>
      </c>
      <c r="B3270">
        <v>202604</v>
      </c>
      <c r="C3270" t="str">
        <f>MID(analisis_productividad__4[[#This Row],[Periodo]],1,4)</f>
        <v>2026</v>
      </c>
      <c r="D3270" t="str">
        <f>MID(analisis_productividad__4[[#This Row],[Periodo]],5,2)</f>
        <v>04</v>
      </c>
      <c r="E3270" t="s">
        <v>9</v>
      </c>
      <c r="F3270" t="s">
        <v>9</v>
      </c>
      <c r="G3270">
        <v>24250</v>
      </c>
      <c r="H3270">
        <v>152157</v>
      </c>
      <c r="I3270">
        <v>6.27438194444444</v>
      </c>
      <c r="J3270">
        <v>21285.951729012795</v>
      </c>
      <c r="K3270">
        <v>7</v>
      </c>
      <c r="L3270">
        <v>6.5</v>
      </c>
      <c r="M3270">
        <v>6.4427386872759902</v>
      </c>
      <c r="N3270">
        <v>137140</v>
      </c>
    </row>
    <row r="3271" spans="1:14" x14ac:dyDescent="0.35">
      <c r="A3271" t="s">
        <v>122</v>
      </c>
      <c r="B3271">
        <v>202606</v>
      </c>
      <c r="C3271" t="str">
        <f>MID(analisis_productividad__4[[#This Row],[Periodo]],1,4)</f>
        <v>2026</v>
      </c>
      <c r="D3271" t="str">
        <f>MID(analisis_productividad__4[[#This Row],[Periodo]],5,2)</f>
        <v>06</v>
      </c>
      <c r="E3271" t="s">
        <v>104</v>
      </c>
      <c r="F3271" t="s">
        <v>104</v>
      </c>
      <c r="G3271">
        <v>24195</v>
      </c>
      <c r="H3271">
        <v>458564</v>
      </c>
      <c r="I3271">
        <v>18.952986111111098</v>
      </c>
      <c r="J3271">
        <v>4568.0532851196676</v>
      </c>
      <c r="K3271">
        <v>22</v>
      </c>
      <c r="L3271">
        <v>20</v>
      </c>
      <c r="M3271">
        <v>96.1</v>
      </c>
      <c r="N3271">
        <v>438990</v>
      </c>
    </row>
    <row r="3272" spans="1:14" x14ac:dyDescent="0.35">
      <c r="A3272" t="s">
        <v>127</v>
      </c>
      <c r="B3272">
        <v>202507</v>
      </c>
      <c r="C3272" t="str">
        <f>MID(analisis_productividad__4[[#This Row],[Periodo]],1,4)</f>
        <v>2025</v>
      </c>
      <c r="D3272" t="str">
        <f>MID(analisis_productividad__4[[#This Row],[Periodo]],5,2)</f>
        <v>07</v>
      </c>
      <c r="E3272" t="s">
        <v>104</v>
      </c>
      <c r="F3272" t="s">
        <v>104</v>
      </c>
      <c r="G3272">
        <v>24090</v>
      </c>
      <c r="H3272">
        <v>1048428</v>
      </c>
      <c r="I3272">
        <v>43.520571236559121</v>
      </c>
      <c r="J3272">
        <v>59276.347496433373</v>
      </c>
      <c r="K3272">
        <v>61.5</v>
      </c>
      <c r="L3272">
        <v>56</v>
      </c>
      <c r="M3272">
        <v>17.687120652349293</v>
      </c>
      <c r="N3272">
        <v>3463797</v>
      </c>
    </row>
    <row r="3273" spans="1:14" x14ac:dyDescent="0.35">
      <c r="A3273" t="s">
        <v>122</v>
      </c>
      <c r="B3273">
        <v>202509</v>
      </c>
      <c r="C3273" t="str">
        <f>MID(analisis_productividad__4[[#This Row],[Periodo]],1,4)</f>
        <v>2025</v>
      </c>
      <c r="D3273" t="str">
        <f>MID(analisis_productividad__4[[#This Row],[Periodo]],5,2)</f>
        <v>09</v>
      </c>
      <c r="E3273" t="s">
        <v>104</v>
      </c>
      <c r="F3273" t="s">
        <v>104</v>
      </c>
      <c r="G3273">
        <v>23888</v>
      </c>
      <c r="H3273">
        <v>419456</v>
      </c>
      <c r="I3273">
        <v>17.55896527777778</v>
      </c>
      <c r="J3273">
        <v>24587.693443984259</v>
      </c>
      <c r="K3273">
        <v>22</v>
      </c>
      <c r="L3273">
        <v>20</v>
      </c>
      <c r="M3273">
        <v>17.05960630083527</v>
      </c>
      <c r="N3273">
        <v>544475</v>
      </c>
    </row>
    <row r="3274" spans="1:14" x14ac:dyDescent="0.35">
      <c r="A3274" t="s">
        <v>130</v>
      </c>
      <c r="B3274">
        <v>202605</v>
      </c>
      <c r="C3274" t="str">
        <f>MID(analisis_productividad__4[[#This Row],[Periodo]],1,4)</f>
        <v>2026</v>
      </c>
      <c r="D3274" t="str">
        <f>MID(analisis_productividad__4[[#This Row],[Periodo]],5,2)</f>
        <v>05</v>
      </c>
      <c r="E3274" t="s">
        <v>9</v>
      </c>
      <c r="F3274" t="s">
        <v>9</v>
      </c>
      <c r="G3274">
        <v>23509</v>
      </c>
      <c r="H3274">
        <v>155417</v>
      </c>
      <c r="I3274">
        <v>6.6110954301075369</v>
      </c>
      <c r="J3274">
        <v>21966.780459295285</v>
      </c>
      <c r="K3274">
        <v>7</v>
      </c>
      <c r="L3274">
        <v>6.5</v>
      </c>
      <c r="M3274">
        <v>6.4427386872759902</v>
      </c>
      <c r="N3274">
        <v>141526</v>
      </c>
    </row>
    <row r="3275" spans="1:14" x14ac:dyDescent="0.35">
      <c r="A3275" t="s">
        <v>130</v>
      </c>
      <c r="B3275">
        <v>202509</v>
      </c>
      <c r="C3275" t="str">
        <f>MID(analisis_productividad__4[[#This Row],[Periodo]],1,4)</f>
        <v>2025</v>
      </c>
      <c r="D3275" t="str">
        <f>MID(analisis_productividad__4[[#This Row],[Periodo]],5,2)</f>
        <v>09</v>
      </c>
      <c r="E3275" t="s">
        <v>9</v>
      </c>
      <c r="F3275" t="s">
        <v>9</v>
      </c>
      <c r="G3275">
        <v>23451</v>
      </c>
      <c r="H3275">
        <v>133939</v>
      </c>
      <c r="I3275">
        <v>5.7114166666666666</v>
      </c>
      <c r="J3275">
        <v>23429.179367228855</v>
      </c>
      <c r="K3275">
        <v>7</v>
      </c>
      <c r="L3275">
        <v>6.5</v>
      </c>
      <c r="M3275">
        <v>5.716759767836546</v>
      </c>
      <c r="N3275">
        <v>159327</v>
      </c>
    </row>
    <row r="3276" spans="1:14" x14ac:dyDescent="0.35">
      <c r="A3276" t="s">
        <v>122</v>
      </c>
      <c r="B3276">
        <v>202409</v>
      </c>
      <c r="C3276" t="str">
        <f>MID(analisis_productividad__4[[#This Row],[Periodo]],1,4)</f>
        <v>2024</v>
      </c>
      <c r="D3276" t="str">
        <f>MID(analisis_productividad__4[[#This Row],[Periodo]],5,2)</f>
        <v>09</v>
      </c>
      <c r="E3276" t="s">
        <v>104</v>
      </c>
      <c r="F3276" t="s">
        <v>104</v>
      </c>
      <c r="G3276">
        <v>23417</v>
      </c>
      <c r="H3276">
        <v>441401</v>
      </c>
      <c r="I3276">
        <v>18.84973611111111</v>
      </c>
      <c r="J3276">
        <v>0</v>
      </c>
      <c r="K3276">
        <v>22</v>
      </c>
      <c r="L3276">
        <v>20</v>
      </c>
      <c r="N3276">
        <v>0</v>
      </c>
    </row>
    <row r="3277" spans="1:14" x14ac:dyDescent="0.35">
      <c r="A3277" t="s">
        <v>130</v>
      </c>
      <c r="B3277">
        <v>202410</v>
      </c>
      <c r="C3277" t="str">
        <f>MID(analisis_productividad__4[[#This Row],[Periodo]],1,4)</f>
        <v>2024</v>
      </c>
      <c r="D3277" t="str">
        <f>MID(analisis_productividad__4[[#This Row],[Periodo]],5,2)</f>
        <v>10</v>
      </c>
      <c r="E3277" t="s">
        <v>9</v>
      </c>
      <c r="F3277" t="s">
        <v>9</v>
      </c>
      <c r="G3277">
        <v>23293</v>
      </c>
      <c r="H3277">
        <v>139389</v>
      </c>
      <c r="I3277">
        <v>5.9842943548387115</v>
      </c>
      <c r="J3277">
        <v>0</v>
      </c>
      <c r="K3277">
        <v>7</v>
      </c>
      <c r="L3277">
        <v>6.5</v>
      </c>
      <c r="N3277">
        <v>0</v>
      </c>
    </row>
    <row r="3278" spans="1:14" x14ac:dyDescent="0.35">
      <c r="A3278" t="s">
        <v>130</v>
      </c>
      <c r="B3278">
        <v>202503</v>
      </c>
      <c r="C3278" t="str">
        <f>MID(analisis_productividad__4[[#This Row],[Periodo]],1,4)</f>
        <v>2025</v>
      </c>
      <c r="D3278" t="str">
        <f>MID(analisis_productividad__4[[#This Row],[Periodo]],5,2)</f>
        <v>03</v>
      </c>
      <c r="E3278" t="s">
        <v>9</v>
      </c>
      <c r="F3278" t="s">
        <v>9</v>
      </c>
      <c r="G3278">
        <v>22963</v>
      </c>
      <c r="H3278">
        <v>142976</v>
      </c>
      <c r="I3278">
        <v>6.2264717741935494</v>
      </c>
      <c r="J3278">
        <v>26462.199623272707</v>
      </c>
      <c r="K3278">
        <v>7</v>
      </c>
      <c r="L3278">
        <v>6.5</v>
      </c>
      <c r="M3278">
        <v>5.4030130539207812</v>
      </c>
      <c r="N3278">
        <v>155591</v>
      </c>
    </row>
    <row r="3279" spans="1:14" x14ac:dyDescent="0.35">
      <c r="A3279" t="s">
        <v>130</v>
      </c>
      <c r="B3279">
        <v>202508</v>
      </c>
      <c r="C3279" t="str">
        <f>MID(analisis_productividad__4[[#This Row],[Periodo]],1,4)</f>
        <v>2025</v>
      </c>
      <c r="D3279" t="str">
        <f>MID(analisis_productividad__4[[#This Row],[Periodo]],5,2)</f>
        <v>08</v>
      </c>
      <c r="E3279" t="s">
        <v>9</v>
      </c>
      <c r="F3279" t="s">
        <v>9</v>
      </c>
      <c r="G3279">
        <v>22841</v>
      </c>
      <c r="H3279">
        <v>153313</v>
      </c>
      <c r="I3279">
        <v>6.7122849462365597</v>
      </c>
      <c r="J3279">
        <v>31607.770858196818</v>
      </c>
      <c r="K3279">
        <v>7</v>
      </c>
      <c r="L3279">
        <v>6.5</v>
      </c>
      <c r="M3279">
        <v>4.8504945409727123</v>
      </c>
      <c r="N3279">
        <v>164173</v>
      </c>
    </row>
    <row r="3280" spans="1:14" x14ac:dyDescent="0.35">
      <c r="A3280" t="s">
        <v>130</v>
      </c>
      <c r="B3280">
        <v>202602</v>
      </c>
      <c r="C3280" t="str">
        <f>MID(analisis_productividad__4[[#This Row],[Periodo]],1,4)</f>
        <v>2026</v>
      </c>
      <c r="D3280" t="str">
        <f>MID(analisis_productividad__4[[#This Row],[Periodo]],5,2)</f>
        <v>02</v>
      </c>
      <c r="E3280" t="s">
        <v>9</v>
      </c>
      <c r="F3280" t="s">
        <v>9</v>
      </c>
      <c r="G3280">
        <v>22783</v>
      </c>
      <c r="H3280">
        <v>146358</v>
      </c>
      <c r="I3280">
        <v>6.4238541666666666</v>
      </c>
      <c r="J3280">
        <v>20405.459848874405</v>
      </c>
      <c r="K3280">
        <v>7</v>
      </c>
      <c r="L3280">
        <v>6.5</v>
      </c>
      <c r="M3280">
        <v>6.4427386872759902</v>
      </c>
      <c r="N3280">
        <v>131467</v>
      </c>
    </row>
    <row r="3281" spans="1:14" x14ac:dyDescent="0.35">
      <c r="A3281" t="s">
        <v>130</v>
      </c>
      <c r="B3281">
        <v>202405</v>
      </c>
      <c r="C3281" t="str">
        <f>MID(analisis_productividad__4[[#This Row],[Periodo]],1,4)</f>
        <v>2024</v>
      </c>
      <c r="D3281" t="str">
        <f>MID(analisis_productividad__4[[#This Row],[Periodo]],5,2)</f>
        <v>05</v>
      </c>
      <c r="E3281" t="s">
        <v>9</v>
      </c>
      <c r="F3281" t="s">
        <v>9</v>
      </c>
      <c r="G3281">
        <v>22682</v>
      </c>
      <c r="H3281">
        <v>139881</v>
      </c>
      <c r="I3281">
        <v>6.1670094086021514</v>
      </c>
      <c r="J3281">
        <v>0</v>
      </c>
      <c r="K3281">
        <v>7</v>
      </c>
      <c r="L3281">
        <v>6.5</v>
      </c>
      <c r="N3281">
        <v>0</v>
      </c>
    </row>
    <row r="3282" spans="1:14" x14ac:dyDescent="0.35">
      <c r="A3282" t="s">
        <v>130</v>
      </c>
      <c r="B3282">
        <v>202601</v>
      </c>
      <c r="C3282" t="str">
        <f>MID(analisis_productividad__4[[#This Row],[Periodo]],1,4)</f>
        <v>2026</v>
      </c>
      <c r="D3282" t="str">
        <f>MID(analisis_productividad__4[[#This Row],[Periodo]],5,2)</f>
        <v>01</v>
      </c>
      <c r="E3282" t="s">
        <v>9</v>
      </c>
      <c r="F3282" t="s">
        <v>9</v>
      </c>
      <c r="G3282">
        <v>22571</v>
      </c>
      <c r="H3282">
        <v>151114</v>
      </c>
      <c r="I3282">
        <v>6.6951142473118281</v>
      </c>
      <c r="J3282">
        <v>24633.241964854733</v>
      </c>
      <c r="K3282">
        <v>7</v>
      </c>
      <c r="L3282">
        <v>6.5</v>
      </c>
      <c r="M3282">
        <v>6.4427386872759902</v>
      </c>
      <c r="N3282">
        <v>158706</v>
      </c>
    </row>
    <row r="3283" spans="1:14" x14ac:dyDescent="0.35">
      <c r="A3283" t="s">
        <v>130</v>
      </c>
      <c r="B3283">
        <v>202506</v>
      </c>
      <c r="C3283" t="str">
        <f>MID(analisis_productividad__4[[#This Row],[Periodo]],1,4)</f>
        <v>2025</v>
      </c>
      <c r="D3283" t="str">
        <f>MID(analisis_productividad__4[[#This Row],[Periodo]],5,2)</f>
        <v>06</v>
      </c>
      <c r="E3283" t="s">
        <v>9</v>
      </c>
      <c r="F3283" t="s">
        <v>9</v>
      </c>
      <c r="G3283">
        <v>22360</v>
      </c>
      <c r="H3283">
        <v>132268</v>
      </c>
      <c r="I3283">
        <v>5.9153888888888888</v>
      </c>
      <c r="J3283">
        <v>26459.230738720882</v>
      </c>
      <c r="K3283">
        <v>7</v>
      </c>
      <c r="L3283">
        <v>6.5</v>
      </c>
      <c r="M3283">
        <v>4.9989355815411818</v>
      </c>
      <c r="N3283">
        <v>154731</v>
      </c>
    </row>
    <row r="3284" spans="1:14" x14ac:dyDescent="0.35">
      <c r="A3284" t="s">
        <v>130</v>
      </c>
      <c r="B3284">
        <v>202409</v>
      </c>
      <c r="C3284" t="str">
        <f>MID(analisis_productividad__4[[#This Row],[Periodo]],1,4)</f>
        <v>2024</v>
      </c>
      <c r="D3284" t="str">
        <f>MID(analisis_productividad__4[[#This Row],[Periodo]],5,2)</f>
        <v>09</v>
      </c>
      <c r="E3284" t="s">
        <v>9</v>
      </c>
      <c r="F3284" t="s">
        <v>9</v>
      </c>
      <c r="G3284">
        <v>22314</v>
      </c>
      <c r="H3284">
        <v>140974</v>
      </c>
      <c r="I3284">
        <v>6.3178888888888904</v>
      </c>
      <c r="J3284">
        <v>0</v>
      </c>
      <c r="K3284">
        <v>7</v>
      </c>
      <c r="L3284">
        <v>6.5</v>
      </c>
      <c r="N3284">
        <v>0</v>
      </c>
    </row>
    <row r="3285" spans="1:14" x14ac:dyDescent="0.35">
      <c r="A3285" t="s">
        <v>122</v>
      </c>
      <c r="B3285">
        <v>202506</v>
      </c>
      <c r="C3285" t="str">
        <f>MID(analisis_productividad__4[[#This Row],[Periodo]],1,4)</f>
        <v>2025</v>
      </c>
      <c r="D3285" t="str">
        <f>MID(analisis_productividad__4[[#This Row],[Periodo]],5,2)</f>
        <v>06</v>
      </c>
      <c r="E3285" t="s">
        <v>104</v>
      </c>
      <c r="F3285" t="s">
        <v>104</v>
      </c>
      <c r="G3285">
        <v>22277</v>
      </c>
      <c r="H3285">
        <v>416162</v>
      </c>
      <c r="I3285">
        <v>18.68149305555556</v>
      </c>
      <c r="J3285">
        <v>27614.082599356341</v>
      </c>
      <c r="K3285">
        <v>22</v>
      </c>
      <c r="L3285">
        <v>20</v>
      </c>
      <c r="M3285">
        <v>15.070657462641918</v>
      </c>
      <c r="N3285">
        <v>523236</v>
      </c>
    </row>
    <row r="3286" spans="1:14" x14ac:dyDescent="0.35">
      <c r="A3286" t="s">
        <v>130</v>
      </c>
      <c r="B3286">
        <v>202411</v>
      </c>
      <c r="C3286" t="str">
        <f>MID(analisis_productividad__4[[#This Row],[Periodo]],1,4)</f>
        <v>2024</v>
      </c>
      <c r="D3286" t="str">
        <f>MID(analisis_productividad__4[[#This Row],[Periodo]],5,2)</f>
        <v>11</v>
      </c>
      <c r="E3286" t="s">
        <v>9</v>
      </c>
      <c r="F3286" t="s">
        <v>9</v>
      </c>
      <c r="G3286">
        <v>22188</v>
      </c>
      <c r="H3286">
        <v>144972</v>
      </c>
      <c r="I3286">
        <v>6.5336736111111104</v>
      </c>
      <c r="J3286">
        <v>0</v>
      </c>
      <c r="K3286">
        <v>7</v>
      </c>
      <c r="L3286">
        <v>6.5</v>
      </c>
      <c r="N3286">
        <v>0</v>
      </c>
    </row>
    <row r="3287" spans="1:14" x14ac:dyDescent="0.35">
      <c r="A3287" t="s">
        <v>130</v>
      </c>
      <c r="B3287">
        <v>202505</v>
      </c>
      <c r="C3287" t="str">
        <f>MID(analisis_productividad__4[[#This Row],[Periodo]],1,4)</f>
        <v>2025</v>
      </c>
      <c r="D3287" t="str">
        <f>MID(analisis_productividad__4[[#This Row],[Periodo]],5,2)</f>
        <v>05</v>
      </c>
      <c r="E3287" t="s">
        <v>9</v>
      </c>
      <c r="F3287" t="s">
        <v>9</v>
      </c>
      <c r="G3287">
        <v>21976</v>
      </c>
      <c r="H3287">
        <v>140259</v>
      </c>
      <c r="I3287">
        <v>6.3822311827957003</v>
      </c>
      <c r="J3287">
        <v>23816.314970288258</v>
      </c>
      <c r="K3287">
        <v>7</v>
      </c>
      <c r="L3287">
        <v>6.5</v>
      </c>
      <c r="M3287">
        <v>5.8891965518166129</v>
      </c>
      <c r="N3287">
        <v>147720</v>
      </c>
    </row>
    <row r="3288" spans="1:14" x14ac:dyDescent="0.35">
      <c r="A3288" t="s">
        <v>130</v>
      </c>
      <c r="B3288">
        <v>202501</v>
      </c>
      <c r="C3288" t="str">
        <f>MID(analisis_productividad__4[[#This Row],[Periodo]],1,4)</f>
        <v>2025</v>
      </c>
      <c r="D3288" t="str">
        <f>MID(analisis_productividad__4[[#This Row],[Periodo]],5,2)</f>
        <v>01</v>
      </c>
      <c r="E3288" t="s">
        <v>9</v>
      </c>
      <c r="F3288" t="s">
        <v>9</v>
      </c>
      <c r="G3288">
        <v>21588</v>
      </c>
      <c r="H3288">
        <v>140000</v>
      </c>
      <c r="I3288">
        <v>6.4851142473118299</v>
      </c>
      <c r="J3288">
        <v>29388.351096174276</v>
      </c>
      <c r="K3288">
        <v>7</v>
      </c>
      <c r="L3288">
        <v>6.5</v>
      </c>
      <c r="M3288">
        <v>4.7637881942354001</v>
      </c>
      <c r="N3288">
        <v>155540</v>
      </c>
    </row>
    <row r="3289" spans="1:14" x14ac:dyDescent="0.35">
      <c r="A3289" t="s">
        <v>122</v>
      </c>
      <c r="B3289">
        <v>202511</v>
      </c>
      <c r="C3289" t="str">
        <f>MID(analisis_productividad__4[[#This Row],[Periodo]],1,4)</f>
        <v>2025</v>
      </c>
      <c r="D3289" t="str">
        <f>MID(analisis_productividad__4[[#This Row],[Periodo]],5,2)</f>
        <v>11</v>
      </c>
      <c r="E3289" t="s">
        <v>104</v>
      </c>
      <c r="F3289" t="s">
        <v>104</v>
      </c>
      <c r="G3289">
        <v>20848</v>
      </c>
      <c r="H3289">
        <v>648074</v>
      </c>
      <c r="I3289">
        <v>31.085250000000006</v>
      </c>
      <c r="J3289">
        <v>27480.241896621344</v>
      </c>
      <c r="K3289">
        <v>22</v>
      </c>
      <c r="L3289">
        <v>20</v>
      </c>
      <c r="M3289">
        <v>23.583256378819563</v>
      </c>
      <c r="N3289">
        <v>912748</v>
      </c>
    </row>
    <row r="3290" spans="1:14" x14ac:dyDescent="0.35">
      <c r="A3290" t="s">
        <v>130</v>
      </c>
      <c r="B3290">
        <v>202404</v>
      </c>
      <c r="C3290" t="str">
        <f>MID(analisis_productividad__4[[#This Row],[Periodo]],1,4)</f>
        <v>2024</v>
      </c>
      <c r="D3290" t="str">
        <f>MID(analisis_productividad__4[[#This Row],[Periodo]],5,2)</f>
        <v>04</v>
      </c>
      <c r="E3290" t="s">
        <v>9</v>
      </c>
      <c r="F3290" t="s">
        <v>9</v>
      </c>
      <c r="G3290">
        <v>20606</v>
      </c>
      <c r="H3290">
        <v>134157</v>
      </c>
      <c r="I3290">
        <v>6.5104861111111108</v>
      </c>
      <c r="J3290">
        <v>0</v>
      </c>
      <c r="K3290">
        <v>7</v>
      </c>
      <c r="L3290">
        <v>6.5</v>
      </c>
      <c r="N3290">
        <v>0</v>
      </c>
    </row>
    <row r="3291" spans="1:14" x14ac:dyDescent="0.35">
      <c r="A3291" t="s">
        <v>130</v>
      </c>
      <c r="B3291">
        <v>202502</v>
      </c>
      <c r="C3291" t="str">
        <f>MID(analisis_productividad__4[[#This Row],[Periodo]],1,4)</f>
        <v>2025</v>
      </c>
      <c r="D3291" t="str">
        <f>MID(analisis_productividad__4[[#This Row],[Periodo]],5,2)</f>
        <v>02</v>
      </c>
      <c r="E3291" t="s">
        <v>9</v>
      </c>
      <c r="F3291" t="s">
        <v>9</v>
      </c>
      <c r="G3291">
        <v>20334</v>
      </c>
      <c r="H3291">
        <v>127168</v>
      </c>
      <c r="I3291">
        <v>6.2539583333333333</v>
      </c>
      <c r="J3291">
        <v>29760.817364806866</v>
      </c>
      <c r="K3291">
        <v>7</v>
      </c>
      <c r="L3291">
        <v>6.5</v>
      </c>
      <c r="M3291">
        <v>4.2729995766305882</v>
      </c>
      <c r="N3291">
        <v>128885</v>
      </c>
    </row>
    <row r="3292" spans="1:14" x14ac:dyDescent="0.35">
      <c r="A3292" t="s">
        <v>127</v>
      </c>
      <c r="B3292">
        <v>202603</v>
      </c>
      <c r="C3292" t="str">
        <f>MID(analisis_productividad__4[[#This Row],[Periodo]],1,4)</f>
        <v>2026</v>
      </c>
      <c r="D3292" t="str">
        <f>MID(analisis_productividad__4[[#This Row],[Periodo]],5,2)</f>
        <v>03</v>
      </c>
      <c r="E3292" t="s">
        <v>104</v>
      </c>
      <c r="F3292" t="s">
        <v>104</v>
      </c>
      <c r="G3292">
        <v>13301</v>
      </c>
      <c r="H3292">
        <v>772435</v>
      </c>
      <c r="I3292">
        <v>58.071915322580651</v>
      </c>
      <c r="K3292">
        <v>61.5</v>
      </c>
      <c r="L3292">
        <v>56</v>
      </c>
      <c r="N3292">
        <v>3260483</v>
      </c>
    </row>
    <row r="3293" spans="1:14" x14ac:dyDescent="0.35">
      <c r="A3293" t="s">
        <v>96</v>
      </c>
      <c r="B3293">
        <v>202510</v>
      </c>
      <c r="C3293" t="str">
        <f>MID(analisis_productividad__4[[#This Row],[Periodo]],1,4)</f>
        <v>2025</v>
      </c>
      <c r="D3293" t="str">
        <f>MID(analisis_productividad__4[[#This Row],[Periodo]],5,2)</f>
        <v>10</v>
      </c>
      <c r="E3293" t="s">
        <v>16</v>
      </c>
      <c r="F3293" t="s">
        <v>17</v>
      </c>
      <c r="H3293">
        <v>295</v>
      </c>
      <c r="J3293">
        <v>0</v>
      </c>
      <c r="K3293">
        <v>84</v>
      </c>
      <c r="L3293">
        <v>76.5</v>
      </c>
    </row>
    <row r="3294" spans="1:14" x14ac:dyDescent="0.35">
      <c r="A3294" t="s">
        <v>96</v>
      </c>
      <c r="B3294">
        <v>202511</v>
      </c>
      <c r="C3294" t="str">
        <f>MID(analisis_productividad__4[[#This Row],[Periodo]],1,4)</f>
        <v>2025</v>
      </c>
      <c r="D3294" t="str">
        <f>MID(analisis_productividad__4[[#This Row],[Periodo]],5,2)</f>
        <v>11</v>
      </c>
      <c r="E3294" t="s">
        <v>16</v>
      </c>
      <c r="F3294" t="s">
        <v>17</v>
      </c>
      <c r="H3294">
        <v>5285248</v>
      </c>
      <c r="J3294">
        <v>0</v>
      </c>
      <c r="K3294">
        <v>84</v>
      </c>
      <c r="L3294">
        <v>76.5</v>
      </c>
    </row>
    <row r="3295" spans="1:14" x14ac:dyDescent="0.35">
      <c r="A3295" t="s">
        <v>131</v>
      </c>
      <c r="B3295">
        <v>202506</v>
      </c>
      <c r="C3295" t="str">
        <f>MID(analisis_productividad__4[[#This Row],[Periodo]],1,4)</f>
        <v>2025</v>
      </c>
      <c r="D3295" t="str">
        <f>MID(analisis_productividad__4[[#This Row],[Periodo]],5,2)</f>
        <v>06</v>
      </c>
      <c r="E3295" t="s">
        <v>16</v>
      </c>
      <c r="F3295" t="s">
        <v>21</v>
      </c>
      <c r="H3295">
        <v>76</v>
      </c>
      <c r="J3295">
        <v>115748.48877235636</v>
      </c>
      <c r="K3295">
        <v>99</v>
      </c>
      <c r="L3295">
        <v>32.5</v>
      </c>
      <c r="M3295">
        <v>6.5823753560915674E-4</v>
      </c>
      <c r="N3295">
        <v>11493576</v>
      </c>
    </row>
    <row r="3296" spans="1:14" x14ac:dyDescent="0.35">
      <c r="A3296" t="s">
        <v>131</v>
      </c>
      <c r="B3296">
        <v>202510</v>
      </c>
      <c r="C3296" t="str">
        <f>MID(analisis_productividad__4[[#This Row],[Periodo]],1,4)</f>
        <v>2025</v>
      </c>
      <c r="D3296" t="str">
        <f>MID(analisis_productividad__4[[#This Row],[Periodo]],5,2)</f>
        <v>10</v>
      </c>
      <c r="E3296" t="s">
        <v>16</v>
      </c>
      <c r="F3296" t="s">
        <v>21</v>
      </c>
      <c r="H3296">
        <v>1368</v>
      </c>
      <c r="J3296">
        <v>95627.042118029654</v>
      </c>
      <c r="K3296">
        <v>99</v>
      </c>
      <c r="L3296">
        <v>32.5</v>
      </c>
      <c r="M3296">
        <v>1.4304321975280443E-2</v>
      </c>
      <c r="N3296">
        <v>12285584</v>
      </c>
    </row>
    <row r="3297" spans="1:14" x14ac:dyDescent="0.35">
      <c r="A3297" t="s">
        <v>131</v>
      </c>
      <c r="B3297">
        <v>202511</v>
      </c>
      <c r="C3297" t="str">
        <f>MID(analisis_productividad__4[[#This Row],[Periodo]],1,4)</f>
        <v>2025</v>
      </c>
      <c r="D3297" t="str">
        <f>MID(analisis_productividad__4[[#This Row],[Periodo]],5,2)</f>
        <v>11</v>
      </c>
      <c r="E3297" t="s">
        <v>16</v>
      </c>
      <c r="F3297" t="s">
        <v>21</v>
      </c>
      <c r="H3297">
        <v>1524</v>
      </c>
      <c r="J3297">
        <v>99836.397512044452</v>
      </c>
      <c r="K3297">
        <v>99</v>
      </c>
      <c r="L3297">
        <v>32.5</v>
      </c>
      <c r="M3297">
        <v>1.526226945254284E-2</v>
      </c>
      <c r="N3297">
        <v>11754443</v>
      </c>
    </row>
    <row r="3298" spans="1:14" x14ac:dyDescent="0.35">
      <c r="A3298" t="s">
        <v>131</v>
      </c>
      <c r="B3298">
        <v>202602</v>
      </c>
      <c r="C3298" t="str">
        <f>MID(analisis_productividad__4[[#This Row],[Periodo]],1,4)</f>
        <v>2026</v>
      </c>
      <c r="D3298" t="str">
        <f>MID(analisis_productividad__4[[#This Row],[Periodo]],5,2)</f>
        <v>02</v>
      </c>
      <c r="E3298" t="s">
        <v>16</v>
      </c>
      <c r="F3298" t="s">
        <v>21</v>
      </c>
      <c r="H3298">
        <v>482</v>
      </c>
      <c r="J3298">
        <v>0</v>
      </c>
      <c r="K3298">
        <v>99</v>
      </c>
      <c r="L3298">
        <v>32.5</v>
      </c>
      <c r="M3298">
        <v>87.909090308325176</v>
      </c>
      <c r="N3298">
        <v>0</v>
      </c>
    </row>
    <row r="3299" spans="1:14" x14ac:dyDescent="0.35">
      <c r="A3299" t="s">
        <v>131</v>
      </c>
      <c r="B3299">
        <v>202604</v>
      </c>
      <c r="C3299" t="str">
        <f>MID(analisis_productividad__4[[#This Row],[Periodo]],1,4)</f>
        <v>2026</v>
      </c>
      <c r="D3299" t="str">
        <f>MID(analisis_productividad__4[[#This Row],[Periodo]],5,2)</f>
        <v>04</v>
      </c>
      <c r="E3299" t="s">
        <v>16</v>
      </c>
      <c r="F3299" t="s">
        <v>21</v>
      </c>
      <c r="H3299">
        <v>109</v>
      </c>
      <c r="J3299">
        <v>0</v>
      </c>
      <c r="K3299">
        <v>99</v>
      </c>
      <c r="L3299">
        <v>32.5</v>
      </c>
      <c r="M3299">
        <v>87.909090308325176</v>
      </c>
    </row>
    <row r="3300" spans="1:14" x14ac:dyDescent="0.35">
      <c r="A3300" t="s">
        <v>131</v>
      </c>
      <c r="B3300">
        <v>202606</v>
      </c>
      <c r="C3300" t="str">
        <f>MID(analisis_productividad__4[[#This Row],[Periodo]],1,4)</f>
        <v>2026</v>
      </c>
      <c r="D3300" t="str">
        <f>MID(analisis_productividad__4[[#This Row],[Periodo]],5,2)</f>
        <v>06</v>
      </c>
      <c r="E3300" t="s">
        <v>16</v>
      </c>
      <c r="F3300" t="s">
        <v>21</v>
      </c>
      <c r="H3300">
        <v>631</v>
      </c>
      <c r="J3300">
        <v>0</v>
      </c>
      <c r="K3300">
        <v>99</v>
      </c>
      <c r="L3300">
        <v>32.5</v>
      </c>
      <c r="M3300">
        <v>87.909090308325176</v>
      </c>
    </row>
    <row r="3301" spans="1:14" x14ac:dyDescent="0.35">
      <c r="A3301" t="s">
        <v>93</v>
      </c>
      <c r="B3301">
        <v>202510</v>
      </c>
      <c r="C3301" t="str">
        <f>MID(analisis_productividad__4[[#This Row],[Periodo]],1,4)</f>
        <v>2025</v>
      </c>
      <c r="D3301" t="str">
        <f>MID(analisis_productividad__4[[#This Row],[Periodo]],5,2)</f>
        <v>10</v>
      </c>
      <c r="E3301" t="s">
        <v>16</v>
      </c>
      <c r="F3301" t="s">
        <v>17</v>
      </c>
      <c r="H3301">
        <v>238502</v>
      </c>
      <c r="J3301">
        <v>0</v>
      </c>
      <c r="K3301">
        <v>84</v>
      </c>
      <c r="L3301">
        <v>76</v>
      </c>
    </row>
    <row r="3302" spans="1:14" x14ac:dyDescent="0.35">
      <c r="A3302" t="s">
        <v>93</v>
      </c>
      <c r="B3302">
        <v>202511</v>
      </c>
      <c r="C3302" t="str">
        <f>MID(analisis_productividad__4[[#This Row],[Periodo]],1,4)</f>
        <v>2025</v>
      </c>
      <c r="D3302" t="str">
        <f>MID(analisis_productividad__4[[#This Row],[Periodo]],5,2)</f>
        <v>11</v>
      </c>
      <c r="E3302" t="s">
        <v>16</v>
      </c>
      <c r="F3302" t="s">
        <v>17</v>
      </c>
      <c r="H3302">
        <v>7542015</v>
      </c>
      <c r="J3302">
        <v>0</v>
      </c>
      <c r="K3302">
        <v>84</v>
      </c>
      <c r="L3302">
        <v>76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E13" sqref="E13"/>
    </sheetView>
  </sheetViews>
  <sheetFormatPr baseColWidth="10" defaultRowHeight="14.5" x14ac:dyDescent="0.35"/>
  <cols>
    <col min="1" max="2" width="11.81640625" bestFit="1" customWidth="1"/>
    <col min="3" max="3" width="7.08984375" bestFit="1" customWidth="1"/>
    <col min="4" max="4" width="11.81640625" bestFit="1" customWidth="1"/>
    <col min="5" max="5" width="10" bestFit="1" customWidth="1"/>
    <col min="6" max="6" width="14.453125" bestFit="1" customWidth="1"/>
    <col min="7" max="7" width="17.08984375" bestFit="1" customWidth="1"/>
    <col min="8" max="8" width="11.81640625" bestFit="1" customWidth="1"/>
    <col min="9" max="9" width="9.453125" bestFit="1" customWidth="1"/>
    <col min="10" max="10" width="12.36328125" bestFit="1" customWidth="1"/>
  </cols>
  <sheetData>
    <row r="1" spans="1:10" x14ac:dyDescent="0.35">
      <c r="A1" t="s">
        <v>6</v>
      </c>
      <c r="B1" t="s">
        <v>146</v>
      </c>
      <c r="C1" t="s">
        <v>4</v>
      </c>
      <c r="D1" t="s">
        <v>7</v>
      </c>
      <c r="E1" t="s">
        <v>5</v>
      </c>
      <c r="F1" t="s">
        <v>145</v>
      </c>
      <c r="G1" t="s">
        <v>158</v>
      </c>
      <c r="H1" t="s">
        <v>149</v>
      </c>
      <c r="I1" t="s">
        <v>147</v>
      </c>
      <c r="J1" t="s">
        <v>148</v>
      </c>
    </row>
    <row r="2" spans="1:10" x14ac:dyDescent="0.35">
      <c r="A2">
        <v>5450.8198677195296</v>
      </c>
      <c r="B2">
        <v>5349.1833096073633</v>
      </c>
      <c r="C2">
        <v>100894</v>
      </c>
      <c r="D2">
        <v>101097.07580239847</v>
      </c>
      <c r="E2">
        <v>549955374</v>
      </c>
      <c r="F2">
        <v>540786791</v>
      </c>
      <c r="G2" t="s">
        <v>159</v>
      </c>
      <c r="H2">
        <v>5193.3547396953318</v>
      </c>
      <c r="I2">
        <v>92967</v>
      </c>
      <c r="J2">
        <v>482811337</v>
      </c>
    </row>
    <row r="3" spans="1:10" x14ac:dyDescent="0.35">
      <c r="A3">
        <v>1615.6433060035827</v>
      </c>
      <c r="B3">
        <v>1651.8700631748877</v>
      </c>
      <c r="C3">
        <v>92558</v>
      </c>
      <c r="D3">
        <v>87470.298362567031</v>
      </c>
      <c r="E3">
        <v>149540197</v>
      </c>
      <c r="F3">
        <v>144489567</v>
      </c>
      <c r="G3" t="s">
        <v>160</v>
      </c>
      <c r="H3">
        <v>1669.0197200940822</v>
      </c>
      <c r="I3">
        <v>78111</v>
      </c>
      <c r="J3">
        <v>130368763</v>
      </c>
    </row>
    <row r="4" spans="1:10" x14ac:dyDescent="0.35">
      <c r="A4">
        <v>5818.1903073476115</v>
      </c>
      <c r="B4">
        <v>6459.1281249987333</v>
      </c>
      <c r="C4">
        <v>92353</v>
      </c>
      <c r="D4">
        <v>84091.569053277824</v>
      </c>
      <c r="E4">
        <v>537325330</v>
      </c>
      <c r="F4">
        <v>543158219</v>
      </c>
      <c r="G4" t="s">
        <v>161</v>
      </c>
      <c r="H4">
        <v>6456.2685566756363</v>
      </c>
      <c r="I4">
        <v>82919</v>
      </c>
      <c r="J4">
        <v>535349133</v>
      </c>
    </row>
    <row r="5" spans="1:10" x14ac:dyDescent="0.35">
      <c r="A5">
        <v>5571.6567184138921</v>
      </c>
      <c r="B5">
        <v>5665.7565752644596</v>
      </c>
      <c r="C5">
        <v>93783</v>
      </c>
      <c r="D5">
        <v>89641.236310685155</v>
      </c>
      <c r="E5">
        <v>522526650</v>
      </c>
      <c r="F5">
        <v>507885424</v>
      </c>
      <c r="G5" t="s">
        <v>162</v>
      </c>
      <c r="H5">
        <v>5074.3191565860125</v>
      </c>
      <c r="I5">
        <v>89552</v>
      </c>
      <c r="J5">
        <v>454416209</v>
      </c>
    </row>
    <row r="6" spans="1:10" x14ac:dyDescent="0.35">
      <c r="A6">
        <v>3445.4188515905003</v>
      </c>
      <c r="B6">
        <v>3296.7288659558535</v>
      </c>
      <c r="C6">
        <v>65012</v>
      </c>
      <c r="D6">
        <v>73507.187861516213</v>
      </c>
      <c r="E6">
        <v>223992371</v>
      </c>
      <c r="F6">
        <v>242333268</v>
      </c>
      <c r="G6" t="s">
        <v>163</v>
      </c>
      <c r="H6">
        <v>3453.5685197132639</v>
      </c>
      <c r="I6">
        <v>65743</v>
      </c>
      <c r="J6">
        <v>227049127</v>
      </c>
    </row>
    <row r="7" spans="1:10" x14ac:dyDescent="0.35">
      <c r="A7">
        <v>4619.5781108870815</v>
      </c>
      <c r="B7">
        <v>4680.075768606097</v>
      </c>
      <c r="C7">
        <v>90081</v>
      </c>
      <c r="D7">
        <v>85190.680617601844</v>
      </c>
      <c r="E7">
        <v>416137460</v>
      </c>
      <c r="F7">
        <v>398698840</v>
      </c>
      <c r="G7" t="s">
        <v>164</v>
      </c>
      <c r="H7">
        <v>5008.0806171594777</v>
      </c>
      <c r="I7">
        <v>78563</v>
      </c>
      <c r="J7">
        <v>396375804</v>
      </c>
    </row>
    <row r="8" spans="1:10" x14ac:dyDescent="0.35">
      <c r="A8">
        <v>5041.3477309587379</v>
      </c>
      <c r="B8">
        <v>4986.9860015159638</v>
      </c>
      <c r="C8">
        <v>93706</v>
      </c>
      <c r="D8">
        <v>92064.649201147331</v>
      </c>
      <c r="E8">
        <v>472406968</v>
      </c>
      <c r="F8">
        <v>459125117</v>
      </c>
      <c r="G8" t="s">
        <v>165</v>
      </c>
      <c r="H8">
        <v>5160.9290704525174</v>
      </c>
      <c r="I8">
        <v>85514</v>
      </c>
      <c r="J8">
        <v>441332096</v>
      </c>
    </row>
    <row r="9" spans="1:10" x14ac:dyDescent="0.35">
      <c r="A9">
        <v>4889.3344288754361</v>
      </c>
      <c r="B9">
        <v>4828.8941909538835</v>
      </c>
      <c r="C9">
        <v>99164</v>
      </c>
      <c r="D9">
        <v>98692.604883574706</v>
      </c>
      <c r="E9">
        <v>484844153</v>
      </c>
      <c r="F9">
        <v>476576146</v>
      </c>
      <c r="G9" t="s">
        <v>166</v>
      </c>
      <c r="H9">
        <v>4999.3900425627189</v>
      </c>
      <c r="I9">
        <v>90401</v>
      </c>
      <c r="J9">
        <v>451950607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9"/>
  <sheetViews>
    <sheetView workbookViewId="0">
      <selection activeCell="F21" sqref="F21"/>
    </sheetView>
  </sheetViews>
  <sheetFormatPr baseColWidth="10" defaultRowHeight="14.5" x14ac:dyDescent="0.35"/>
  <cols>
    <col min="1" max="1" width="19.7265625" bestFit="1" customWidth="1"/>
    <col min="2" max="2" width="15" bestFit="1" customWidth="1"/>
    <col min="3" max="3" width="14.90625" bestFit="1" customWidth="1"/>
    <col min="4" max="4" width="18.36328125" bestFit="1" customWidth="1"/>
    <col min="6" max="6" width="20.36328125" customWidth="1"/>
    <col min="7" max="19" width="6.90625" customWidth="1"/>
  </cols>
  <sheetData>
    <row r="1" spans="1:19" x14ac:dyDescent="0.35">
      <c r="A1" s="34" t="s">
        <v>3</v>
      </c>
      <c r="B1" s="34" t="s">
        <v>324</v>
      </c>
      <c r="C1" s="34" t="s">
        <v>325</v>
      </c>
      <c r="D1" s="34" t="s">
        <v>326</v>
      </c>
    </row>
    <row r="2" spans="1:19" x14ac:dyDescent="0.35">
      <c r="A2" s="34" t="s">
        <v>163</v>
      </c>
      <c r="B2" s="34">
        <v>9.06</v>
      </c>
      <c r="C2" s="34" t="s">
        <v>327</v>
      </c>
      <c r="D2" s="34" t="s">
        <v>328</v>
      </c>
    </row>
    <row r="3" spans="1:19" x14ac:dyDescent="0.35">
      <c r="A3" s="34" t="s">
        <v>163</v>
      </c>
      <c r="B3" s="34">
        <v>9.06</v>
      </c>
      <c r="C3" s="34" t="s">
        <v>327</v>
      </c>
      <c r="D3" s="34" t="s">
        <v>329</v>
      </c>
    </row>
    <row r="4" spans="1:19" x14ac:dyDescent="0.35">
      <c r="A4" s="34" t="s">
        <v>163</v>
      </c>
      <c r="B4" s="34">
        <v>9.06</v>
      </c>
      <c r="C4" s="34" t="s">
        <v>327</v>
      </c>
      <c r="D4" s="34" t="s">
        <v>330</v>
      </c>
    </row>
    <row r="5" spans="1:19" x14ac:dyDescent="0.35">
      <c r="A5" s="34" t="s">
        <v>163</v>
      </c>
      <c r="B5" s="34">
        <v>9.06</v>
      </c>
      <c r="C5" s="34" t="s">
        <v>327</v>
      </c>
      <c r="D5" s="34" t="s">
        <v>331</v>
      </c>
    </row>
    <row r="6" spans="1:19" x14ac:dyDescent="0.35">
      <c r="A6" s="34" t="s">
        <v>163</v>
      </c>
      <c r="B6" s="34">
        <v>9.06</v>
      </c>
      <c r="C6" s="34" t="s">
        <v>327</v>
      </c>
      <c r="D6" s="34" t="s">
        <v>332</v>
      </c>
    </row>
    <row r="7" spans="1:19" x14ac:dyDescent="0.35">
      <c r="A7" s="34" t="s">
        <v>163</v>
      </c>
      <c r="B7" s="34">
        <v>9.06</v>
      </c>
      <c r="C7" s="34" t="s">
        <v>327</v>
      </c>
      <c r="D7" s="34" t="s">
        <v>333</v>
      </c>
      <c r="F7" s="2" t="s">
        <v>356</v>
      </c>
      <c r="G7" s="2" t="s">
        <v>138</v>
      </c>
    </row>
    <row r="8" spans="1:19" x14ac:dyDescent="0.35">
      <c r="A8" s="34" t="s">
        <v>163</v>
      </c>
      <c r="B8" s="34">
        <v>9.06</v>
      </c>
      <c r="C8" s="34" t="s">
        <v>327</v>
      </c>
      <c r="D8" s="34" t="s">
        <v>334</v>
      </c>
      <c r="F8" s="2" t="s">
        <v>134</v>
      </c>
      <c r="G8" s="35" t="s">
        <v>328</v>
      </c>
      <c r="H8" s="35" t="s">
        <v>329</v>
      </c>
      <c r="I8" s="35" t="s">
        <v>330</v>
      </c>
      <c r="J8" s="35" t="s">
        <v>331</v>
      </c>
      <c r="K8" s="35" t="s">
        <v>332</v>
      </c>
      <c r="L8" s="35" t="s">
        <v>333</v>
      </c>
      <c r="M8" s="35" t="s">
        <v>334</v>
      </c>
      <c r="N8" s="35" t="s">
        <v>335</v>
      </c>
      <c r="O8" s="35" t="s">
        <v>339</v>
      </c>
      <c r="P8" s="35" t="s">
        <v>336</v>
      </c>
      <c r="Q8" s="35" t="s">
        <v>337</v>
      </c>
      <c r="R8" s="35" t="s">
        <v>338</v>
      </c>
      <c r="S8" t="s">
        <v>135</v>
      </c>
    </row>
    <row r="9" spans="1:19" x14ac:dyDescent="0.35">
      <c r="A9" s="34" t="s">
        <v>163</v>
      </c>
      <c r="B9" s="34">
        <v>9.06</v>
      </c>
      <c r="C9" s="34" t="s">
        <v>327</v>
      </c>
      <c r="D9" s="34" t="s">
        <v>335</v>
      </c>
      <c r="F9" s="3" t="s">
        <v>344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4">
        <v>0</v>
      </c>
    </row>
    <row r="10" spans="1:19" x14ac:dyDescent="0.35">
      <c r="A10" s="34" t="s">
        <v>163</v>
      </c>
      <c r="B10" s="34">
        <v>9.06</v>
      </c>
      <c r="C10" s="34" t="s">
        <v>327</v>
      </c>
      <c r="D10" s="34" t="s">
        <v>336</v>
      </c>
      <c r="F10" s="3" t="s">
        <v>340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  <c r="N10" s="35">
        <v>0</v>
      </c>
      <c r="O10" s="35">
        <v>0</v>
      </c>
      <c r="P10" s="35">
        <v>0</v>
      </c>
      <c r="Q10" s="35">
        <v>0</v>
      </c>
      <c r="R10" s="35">
        <v>0</v>
      </c>
      <c r="S10" s="34">
        <v>0</v>
      </c>
    </row>
    <row r="11" spans="1:19" x14ac:dyDescent="0.35">
      <c r="A11" s="34" t="s">
        <v>163</v>
      </c>
      <c r="B11" s="34">
        <v>9.06</v>
      </c>
      <c r="C11" s="34" t="s">
        <v>327</v>
      </c>
      <c r="D11" s="34" t="s">
        <v>337</v>
      </c>
      <c r="F11" s="3" t="s">
        <v>346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4">
        <v>0</v>
      </c>
    </row>
    <row r="12" spans="1:19" x14ac:dyDescent="0.35">
      <c r="A12" s="34" t="s">
        <v>163</v>
      </c>
      <c r="B12" s="34">
        <v>9.06</v>
      </c>
      <c r="C12" s="34" t="s">
        <v>327</v>
      </c>
      <c r="D12" s="34" t="s">
        <v>338</v>
      </c>
      <c r="F12" s="3" t="s">
        <v>354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  <c r="N12" s="35">
        <v>0</v>
      </c>
      <c r="O12" s="35">
        <v>0</v>
      </c>
      <c r="P12" s="35">
        <v>0</v>
      </c>
      <c r="Q12" s="35">
        <v>0</v>
      </c>
      <c r="R12" s="35">
        <v>0</v>
      </c>
      <c r="S12" s="34">
        <v>0</v>
      </c>
    </row>
    <row r="13" spans="1:19" x14ac:dyDescent="0.35">
      <c r="A13" s="34" t="s">
        <v>163</v>
      </c>
      <c r="B13" s="34">
        <v>9.06</v>
      </c>
      <c r="C13" s="34" t="s">
        <v>327</v>
      </c>
      <c r="D13" s="34" t="s">
        <v>339</v>
      </c>
      <c r="F13" s="3" t="s">
        <v>163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4">
        <v>0</v>
      </c>
    </row>
    <row r="14" spans="1:19" x14ac:dyDescent="0.35">
      <c r="A14" s="34" t="s">
        <v>340</v>
      </c>
      <c r="B14" s="34">
        <v>13.07</v>
      </c>
      <c r="C14" s="34" t="s">
        <v>341</v>
      </c>
      <c r="D14" s="34" t="s">
        <v>328</v>
      </c>
      <c r="F14" s="3" t="s">
        <v>342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4">
        <v>0</v>
      </c>
    </row>
    <row r="15" spans="1:19" x14ac:dyDescent="0.35">
      <c r="A15" s="34" t="s">
        <v>340</v>
      </c>
      <c r="B15" s="34">
        <v>13.07</v>
      </c>
      <c r="C15" s="34" t="s">
        <v>341</v>
      </c>
      <c r="D15" s="34" t="s">
        <v>329</v>
      </c>
      <c r="F15" s="3" t="s">
        <v>348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34">
        <v>0</v>
      </c>
    </row>
    <row r="16" spans="1:19" x14ac:dyDescent="0.35">
      <c r="A16" s="34" t="s">
        <v>340</v>
      </c>
      <c r="B16" s="34">
        <v>13.07</v>
      </c>
      <c r="C16" s="34" t="s">
        <v>341</v>
      </c>
      <c r="D16" s="34" t="s">
        <v>330</v>
      </c>
      <c r="F16" s="3" t="s">
        <v>352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0</v>
      </c>
      <c r="P16" s="35">
        <v>0</v>
      </c>
      <c r="Q16" s="35">
        <v>0</v>
      </c>
      <c r="R16" s="35">
        <v>0</v>
      </c>
      <c r="S16" s="34">
        <v>0</v>
      </c>
    </row>
    <row r="17" spans="1:19" x14ac:dyDescent="0.35">
      <c r="A17" s="34" t="s">
        <v>340</v>
      </c>
      <c r="B17" s="34">
        <v>13.07</v>
      </c>
      <c r="C17" s="34" t="s">
        <v>341</v>
      </c>
      <c r="D17" s="34" t="s">
        <v>331</v>
      </c>
      <c r="F17" s="3" t="s">
        <v>350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4">
        <v>0</v>
      </c>
    </row>
    <row r="18" spans="1:19" x14ac:dyDescent="0.35">
      <c r="A18" s="34" t="s">
        <v>340</v>
      </c>
      <c r="B18" s="34">
        <v>13.07</v>
      </c>
      <c r="C18" s="34" t="s">
        <v>341</v>
      </c>
      <c r="D18" s="34" t="s">
        <v>332</v>
      </c>
      <c r="F18" s="3" t="s">
        <v>135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4">
        <v>0</v>
      </c>
    </row>
    <row r="19" spans="1:19" x14ac:dyDescent="0.35">
      <c r="A19" s="34" t="s">
        <v>340</v>
      </c>
      <c r="B19" s="34">
        <v>13.07</v>
      </c>
      <c r="C19" s="34" t="s">
        <v>341</v>
      </c>
      <c r="D19" s="34" t="s">
        <v>333</v>
      </c>
    </row>
    <row r="20" spans="1:19" x14ac:dyDescent="0.35">
      <c r="A20" s="34" t="s">
        <v>340</v>
      </c>
      <c r="B20" s="34">
        <v>13.07</v>
      </c>
      <c r="C20" s="34" t="s">
        <v>341</v>
      </c>
      <c r="D20" s="34" t="s">
        <v>334</v>
      </c>
    </row>
    <row r="21" spans="1:19" x14ac:dyDescent="0.35">
      <c r="A21" s="34" t="s">
        <v>340</v>
      </c>
      <c r="B21" s="34">
        <v>13.07</v>
      </c>
      <c r="C21" s="34" t="s">
        <v>341</v>
      </c>
      <c r="D21" s="34" t="s">
        <v>335</v>
      </c>
    </row>
    <row r="22" spans="1:19" x14ac:dyDescent="0.35">
      <c r="A22" s="34" t="s">
        <v>340</v>
      </c>
      <c r="B22" s="34">
        <v>13.07</v>
      </c>
      <c r="C22" s="34" t="s">
        <v>341</v>
      </c>
      <c r="D22" s="34" t="s">
        <v>336</v>
      </c>
    </row>
    <row r="23" spans="1:19" x14ac:dyDescent="0.35">
      <c r="A23" s="34" t="s">
        <v>340</v>
      </c>
      <c r="B23" s="34">
        <v>13.07</v>
      </c>
      <c r="C23" s="34" t="s">
        <v>341</v>
      </c>
      <c r="D23" s="34" t="s">
        <v>337</v>
      </c>
    </row>
    <row r="24" spans="1:19" x14ac:dyDescent="0.35">
      <c r="A24" s="34" t="s">
        <v>340</v>
      </c>
      <c r="B24" s="34">
        <v>13.07</v>
      </c>
      <c r="C24" s="34" t="s">
        <v>341</v>
      </c>
      <c r="D24" s="34" t="s">
        <v>338</v>
      </c>
    </row>
    <row r="25" spans="1:19" x14ac:dyDescent="0.35">
      <c r="A25" s="34" t="s">
        <v>340</v>
      </c>
      <c r="B25" s="34">
        <v>13.07</v>
      </c>
      <c r="C25" s="34" t="s">
        <v>341</v>
      </c>
      <c r="D25" s="34" t="s">
        <v>339</v>
      </c>
    </row>
    <row r="26" spans="1:19" x14ac:dyDescent="0.35">
      <c r="A26" s="34" t="s">
        <v>342</v>
      </c>
      <c r="B26" s="34">
        <v>14.19</v>
      </c>
      <c r="C26" s="34" t="s">
        <v>343</v>
      </c>
      <c r="D26" s="34" t="s">
        <v>328</v>
      </c>
    </row>
    <row r="27" spans="1:19" x14ac:dyDescent="0.35">
      <c r="A27" s="34" t="s">
        <v>342</v>
      </c>
      <c r="B27" s="34">
        <v>14.19</v>
      </c>
      <c r="C27" s="34" t="s">
        <v>343</v>
      </c>
      <c r="D27" s="34" t="s">
        <v>329</v>
      </c>
    </row>
    <row r="28" spans="1:19" x14ac:dyDescent="0.35">
      <c r="A28" s="34" t="s">
        <v>342</v>
      </c>
      <c r="B28" s="34">
        <v>14.19</v>
      </c>
      <c r="C28" s="34" t="s">
        <v>343</v>
      </c>
      <c r="D28" s="34" t="s">
        <v>330</v>
      </c>
    </row>
    <row r="29" spans="1:19" x14ac:dyDescent="0.35">
      <c r="A29" s="34" t="s">
        <v>342</v>
      </c>
      <c r="B29" s="34">
        <v>14.19</v>
      </c>
      <c r="C29" s="34" t="s">
        <v>343</v>
      </c>
      <c r="D29" s="34" t="s">
        <v>331</v>
      </c>
    </row>
    <row r="30" spans="1:19" x14ac:dyDescent="0.35">
      <c r="A30" s="34" t="s">
        <v>342</v>
      </c>
      <c r="B30" s="34">
        <v>14.19</v>
      </c>
      <c r="C30" s="34" t="s">
        <v>343</v>
      </c>
      <c r="D30" s="34" t="s">
        <v>332</v>
      </c>
    </row>
    <row r="31" spans="1:19" x14ac:dyDescent="0.35">
      <c r="A31" s="34" t="s">
        <v>342</v>
      </c>
      <c r="B31" s="34">
        <v>14.19</v>
      </c>
      <c r="C31" s="34" t="s">
        <v>343</v>
      </c>
      <c r="D31" s="34" t="s">
        <v>333</v>
      </c>
    </row>
    <row r="32" spans="1:19" x14ac:dyDescent="0.35">
      <c r="A32" s="34" t="s">
        <v>342</v>
      </c>
      <c r="B32" s="34">
        <v>14.19</v>
      </c>
      <c r="C32" s="34" t="s">
        <v>343</v>
      </c>
      <c r="D32" s="34" t="s">
        <v>334</v>
      </c>
    </row>
    <row r="33" spans="1:4" x14ac:dyDescent="0.35">
      <c r="A33" s="34" t="s">
        <v>342</v>
      </c>
      <c r="B33" s="34">
        <v>14.19</v>
      </c>
      <c r="C33" s="34" t="s">
        <v>343</v>
      </c>
      <c r="D33" s="34" t="s">
        <v>335</v>
      </c>
    </row>
    <row r="34" spans="1:4" x14ac:dyDescent="0.35">
      <c r="A34" s="34" t="s">
        <v>342</v>
      </c>
      <c r="B34" s="34">
        <v>14.19</v>
      </c>
      <c r="C34" s="34" t="s">
        <v>343</v>
      </c>
      <c r="D34" s="34" t="s">
        <v>336</v>
      </c>
    </row>
    <row r="35" spans="1:4" x14ac:dyDescent="0.35">
      <c r="A35" s="34" t="s">
        <v>342</v>
      </c>
      <c r="B35" s="34">
        <v>14.19</v>
      </c>
      <c r="C35" s="34" t="s">
        <v>343</v>
      </c>
      <c r="D35" s="34" t="s">
        <v>337</v>
      </c>
    </row>
    <row r="36" spans="1:4" x14ac:dyDescent="0.35">
      <c r="A36" s="34" t="s">
        <v>342</v>
      </c>
      <c r="B36" s="34">
        <v>14.19</v>
      </c>
      <c r="C36" s="34" t="s">
        <v>343</v>
      </c>
      <c r="D36" s="34" t="s">
        <v>338</v>
      </c>
    </row>
    <row r="37" spans="1:4" x14ac:dyDescent="0.35">
      <c r="A37" s="34" t="s">
        <v>342</v>
      </c>
      <c r="B37" s="34">
        <v>14.19</v>
      </c>
      <c r="C37" s="34" t="s">
        <v>343</v>
      </c>
      <c r="D37" s="34" t="s">
        <v>339</v>
      </c>
    </row>
    <row r="38" spans="1:4" x14ac:dyDescent="0.35">
      <c r="A38" s="34" t="s">
        <v>344</v>
      </c>
      <c r="B38" s="34">
        <v>12.26</v>
      </c>
      <c r="C38" s="34" t="s">
        <v>345</v>
      </c>
      <c r="D38" s="34" t="s">
        <v>328</v>
      </c>
    </row>
    <row r="39" spans="1:4" x14ac:dyDescent="0.35">
      <c r="A39" s="34" t="s">
        <v>344</v>
      </c>
      <c r="B39" s="34">
        <v>12.26</v>
      </c>
      <c r="C39" s="34" t="s">
        <v>345</v>
      </c>
      <c r="D39" s="34" t="s">
        <v>329</v>
      </c>
    </row>
    <row r="40" spans="1:4" x14ac:dyDescent="0.35">
      <c r="A40" s="34" t="s">
        <v>344</v>
      </c>
      <c r="B40" s="34">
        <v>12.26</v>
      </c>
      <c r="C40" s="34" t="s">
        <v>345</v>
      </c>
      <c r="D40" s="34" t="s">
        <v>330</v>
      </c>
    </row>
    <row r="41" spans="1:4" x14ac:dyDescent="0.35">
      <c r="A41" s="34" t="s">
        <v>344</v>
      </c>
      <c r="B41" s="34">
        <v>12.26</v>
      </c>
      <c r="C41" s="34" t="s">
        <v>345</v>
      </c>
      <c r="D41" s="34" t="s">
        <v>331</v>
      </c>
    </row>
    <row r="42" spans="1:4" x14ac:dyDescent="0.35">
      <c r="A42" s="34" t="s">
        <v>344</v>
      </c>
      <c r="B42" s="34">
        <v>12.26</v>
      </c>
      <c r="C42" s="34" t="s">
        <v>345</v>
      </c>
      <c r="D42" s="34" t="s">
        <v>332</v>
      </c>
    </row>
    <row r="43" spans="1:4" x14ac:dyDescent="0.35">
      <c r="A43" s="34" t="s">
        <v>344</v>
      </c>
      <c r="B43" s="34">
        <v>12.26</v>
      </c>
      <c r="C43" s="34" t="s">
        <v>345</v>
      </c>
      <c r="D43" s="34" t="s">
        <v>333</v>
      </c>
    </row>
    <row r="44" spans="1:4" x14ac:dyDescent="0.35">
      <c r="A44" s="34" t="s">
        <v>344</v>
      </c>
      <c r="B44" s="34">
        <v>12.26</v>
      </c>
      <c r="C44" s="34" t="s">
        <v>345</v>
      </c>
      <c r="D44" s="34" t="s">
        <v>334</v>
      </c>
    </row>
    <row r="45" spans="1:4" x14ac:dyDescent="0.35">
      <c r="A45" s="34" t="s">
        <v>344</v>
      </c>
      <c r="B45" s="34">
        <v>12.26</v>
      </c>
      <c r="C45" s="34" t="s">
        <v>345</v>
      </c>
      <c r="D45" s="34" t="s">
        <v>335</v>
      </c>
    </row>
    <row r="46" spans="1:4" x14ac:dyDescent="0.35">
      <c r="A46" s="34" t="s">
        <v>344</v>
      </c>
      <c r="B46" s="34">
        <v>12.26</v>
      </c>
      <c r="C46" s="34" t="s">
        <v>345</v>
      </c>
      <c r="D46" s="34" t="s">
        <v>336</v>
      </c>
    </row>
    <row r="47" spans="1:4" x14ac:dyDescent="0.35">
      <c r="A47" s="34" t="s">
        <v>344</v>
      </c>
      <c r="B47" s="34">
        <v>12.26</v>
      </c>
      <c r="C47" s="34" t="s">
        <v>345</v>
      </c>
      <c r="D47" s="34" t="s">
        <v>337</v>
      </c>
    </row>
    <row r="48" spans="1:4" x14ac:dyDescent="0.35">
      <c r="A48" s="34" t="s">
        <v>344</v>
      </c>
      <c r="B48" s="34">
        <v>12.26</v>
      </c>
      <c r="C48" s="34" t="s">
        <v>345</v>
      </c>
      <c r="D48" s="34" t="s">
        <v>338</v>
      </c>
    </row>
    <row r="49" spans="1:4" x14ac:dyDescent="0.35">
      <c r="A49" s="34" t="s">
        <v>344</v>
      </c>
      <c r="B49" s="34">
        <v>12.26</v>
      </c>
      <c r="C49" s="34" t="s">
        <v>345</v>
      </c>
      <c r="D49" s="34" t="s">
        <v>339</v>
      </c>
    </row>
    <row r="50" spans="1:4" x14ac:dyDescent="0.35">
      <c r="A50" s="34" t="s">
        <v>346</v>
      </c>
      <c r="B50" s="34">
        <v>13.62</v>
      </c>
      <c r="C50" s="34" t="s">
        <v>347</v>
      </c>
      <c r="D50" s="34" t="s">
        <v>328</v>
      </c>
    </row>
    <row r="51" spans="1:4" x14ac:dyDescent="0.35">
      <c r="A51" s="34" t="s">
        <v>346</v>
      </c>
      <c r="B51" s="34">
        <v>13.62</v>
      </c>
      <c r="C51" s="34" t="s">
        <v>347</v>
      </c>
      <c r="D51" s="34" t="s">
        <v>329</v>
      </c>
    </row>
    <row r="52" spans="1:4" x14ac:dyDescent="0.35">
      <c r="A52" s="34" t="s">
        <v>346</v>
      </c>
      <c r="B52" s="34">
        <v>13.62</v>
      </c>
      <c r="C52" s="34" t="s">
        <v>347</v>
      </c>
      <c r="D52" s="34" t="s">
        <v>330</v>
      </c>
    </row>
    <row r="53" spans="1:4" x14ac:dyDescent="0.35">
      <c r="A53" s="34" t="s">
        <v>346</v>
      </c>
      <c r="B53" s="34">
        <v>13.62</v>
      </c>
      <c r="C53" s="34" t="s">
        <v>347</v>
      </c>
      <c r="D53" s="34" t="s">
        <v>331</v>
      </c>
    </row>
    <row r="54" spans="1:4" x14ac:dyDescent="0.35">
      <c r="A54" s="34" t="s">
        <v>346</v>
      </c>
      <c r="B54" s="34">
        <v>13.62</v>
      </c>
      <c r="C54" s="34" t="s">
        <v>347</v>
      </c>
      <c r="D54" s="34" t="s">
        <v>332</v>
      </c>
    </row>
    <row r="55" spans="1:4" x14ac:dyDescent="0.35">
      <c r="A55" s="34" t="s">
        <v>346</v>
      </c>
      <c r="B55" s="34">
        <v>13.62</v>
      </c>
      <c r="C55" s="34" t="s">
        <v>347</v>
      </c>
      <c r="D55" s="34" t="s">
        <v>333</v>
      </c>
    </row>
    <row r="56" spans="1:4" x14ac:dyDescent="0.35">
      <c r="A56" s="34" t="s">
        <v>346</v>
      </c>
      <c r="B56" s="34">
        <v>13.62</v>
      </c>
      <c r="C56" s="34" t="s">
        <v>347</v>
      </c>
      <c r="D56" s="34" t="s">
        <v>334</v>
      </c>
    </row>
    <row r="57" spans="1:4" x14ac:dyDescent="0.35">
      <c r="A57" s="34" t="s">
        <v>346</v>
      </c>
      <c r="B57" s="34">
        <v>13.62</v>
      </c>
      <c r="C57" s="34" t="s">
        <v>347</v>
      </c>
      <c r="D57" s="34" t="s">
        <v>335</v>
      </c>
    </row>
    <row r="58" spans="1:4" x14ac:dyDescent="0.35">
      <c r="A58" s="34" t="s">
        <v>346</v>
      </c>
      <c r="B58" s="34">
        <v>13.62</v>
      </c>
      <c r="C58" s="34" t="s">
        <v>347</v>
      </c>
      <c r="D58" s="34" t="s">
        <v>336</v>
      </c>
    </row>
    <row r="59" spans="1:4" x14ac:dyDescent="0.35">
      <c r="A59" s="34" t="s">
        <v>346</v>
      </c>
      <c r="B59" s="34">
        <v>13.62</v>
      </c>
      <c r="C59" s="34" t="s">
        <v>347</v>
      </c>
      <c r="D59" s="34" t="s">
        <v>337</v>
      </c>
    </row>
    <row r="60" spans="1:4" x14ac:dyDescent="0.35">
      <c r="A60" s="34" t="s">
        <v>346</v>
      </c>
      <c r="B60" s="34">
        <v>13.62</v>
      </c>
      <c r="C60" s="34" t="s">
        <v>347</v>
      </c>
      <c r="D60" s="34" t="s">
        <v>338</v>
      </c>
    </row>
    <row r="61" spans="1:4" x14ac:dyDescent="0.35">
      <c r="A61" s="34" t="s">
        <v>346</v>
      </c>
      <c r="B61" s="34">
        <v>13.62</v>
      </c>
      <c r="C61" s="34" t="s">
        <v>347</v>
      </c>
      <c r="D61" s="34" t="s">
        <v>339</v>
      </c>
    </row>
    <row r="62" spans="1:4" x14ac:dyDescent="0.35">
      <c r="A62" s="34" t="s">
        <v>348</v>
      </c>
      <c r="B62" s="34">
        <v>13.71</v>
      </c>
      <c r="C62" s="34" t="s">
        <v>349</v>
      </c>
      <c r="D62" s="34" t="s">
        <v>328</v>
      </c>
    </row>
    <row r="63" spans="1:4" x14ac:dyDescent="0.35">
      <c r="A63" s="34" t="s">
        <v>348</v>
      </c>
      <c r="B63" s="34">
        <v>13.71</v>
      </c>
      <c r="C63" s="34" t="s">
        <v>349</v>
      </c>
      <c r="D63" s="34" t="s">
        <v>329</v>
      </c>
    </row>
    <row r="64" spans="1:4" x14ac:dyDescent="0.35">
      <c r="A64" s="34" t="s">
        <v>348</v>
      </c>
      <c r="B64" s="34">
        <v>13.71</v>
      </c>
      <c r="C64" s="34" t="s">
        <v>349</v>
      </c>
      <c r="D64" s="34" t="s">
        <v>330</v>
      </c>
    </row>
    <row r="65" spans="1:4" x14ac:dyDescent="0.35">
      <c r="A65" s="34" t="s">
        <v>348</v>
      </c>
      <c r="B65" s="34">
        <v>13.71</v>
      </c>
      <c r="C65" s="34" t="s">
        <v>349</v>
      </c>
      <c r="D65" s="34" t="s">
        <v>331</v>
      </c>
    </row>
    <row r="66" spans="1:4" x14ac:dyDescent="0.35">
      <c r="A66" s="34" t="s">
        <v>348</v>
      </c>
      <c r="B66" s="34">
        <v>13.71</v>
      </c>
      <c r="C66" s="34" t="s">
        <v>349</v>
      </c>
      <c r="D66" s="34" t="s">
        <v>332</v>
      </c>
    </row>
    <row r="67" spans="1:4" x14ac:dyDescent="0.35">
      <c r="A67" s="34" t="s">
        <v>348</v>
      </c>
      <c r="B67" s="34">
        <v>13.71</v>
      </c>
      <c r="C67" s="34" t="s">
        <v>349</v>
      </c>
      <c r="D67" s="34" t="s">
        <v>333</v>
      </c>
    </row>
    <row r="68" spans="1:4" x14ac:dyDescent="0.35">
      <c r="A68" s="34" t="s">
        <v>348</v>
      </c>
      <c r="B68" s="34">
        <v>13.71</v>
      </c>
      <c r="C68" s="34" t="s">
        <v>349</v>
      </c>
      <c r="D68" s="34" t="s">
        <v>334</v>
      </c>
    </row>
    <row r="69" spans="1:4" x14ac:dyDescent="0.35">
      <c r="A69" s="34" t="s">
        <v>348</v>
      </c>
      <c r="B69" s="34">
        <v>13.71</v>
      </c>
      <c r="C69" s="34" t="s">
        <v>349</v>
      </c>
      <c r="D69" s="34" t="s">
        <v>335</v>
      </c>
    </row>
    <row r="70" spans="1:4" x14ac:dyDescent="0.35">
      <c r="A70" s="34" t="s">
        <v>348</v>
      </c>
      <c r="B70" s="34">
        <v>13.71</v>
      </c>
      <c r="C70" s="34" t="s">
        <v>349</v>
      </c>
      <c r="D70" s="34" t="s">
        <v>336</v>
      </c>
    </row>
    <row r="71" spans="1:4" x14ac:dyDescent="0.35">
      <c r="A71" s="34" t="s">
        <v>348</v>
      </c>
      <c r="B71" s="34">
        <v>13.71</v>
      </c>
      <c r="C71" s="34" t="s">
        <v>349</v>
      </c>
      <c r="D71" s="34" t="s">
        <v>337</v>
      </c>
    </row>
    <row r="72" spans="1:4" x14ac:dyDescent="0.35">
      <c r="A72" s="34" t="s">
        <v>348</v>
      </c>
      <c r="B72" s="34">
        <v>13.71</v>
      </c>
      <c r="C72" s="34" t="s">
        <v>349</v>
      </c>
      <c r="D72" s="34" t="s">
        <v>338</v>
      </c>
    </row>
    <row r="73" spans="1:4" x14ac:dyDescent="0.35">
      <c r="A73" s="34" t="s">
        <v>348</v>
      </c>
      <c r="B73" s="34">
        <v>13.71</v>
      </c>
      <c r="C73" s="34" t="s">
        <v>349</v>
      </c>
      <c r="D73" s="34" t="s">
        <v>339</v>
      </c>
    </row>
    <row r="74" spans="1:4" x14ac:dyDescent="0.35">
      <c r="A74" s="34" t="s">
        <v>350</v>
      </c>
      <c r="B74" s="34">
        <v>13.02</v>
      </c>
      <c r="C74" s="34" t="s">
        <v>351</v>
      </c>
      <c r="D74" s="34" t="s">
        <v>328</v>
      </c>
    </row>
    <row r="75" spans="1:4" x14ac:dyDescent="0.35">
      <c r="A75" s="34" t="s">
        <v>350</v>
      </c>
      <c r="B75" s="34">
        <v>13.02</v>
      </c>
      <c r="C75" s="34" t="s">
        <v>351</v>
      </c>
      <c r="D75" s="34" t="s">
        <v>329</v>
      </c>
    </row>
    <row r="76" spans="1:4" x14ac:dyDescent="0.35">
      <c r="A76" s="34" t="s">
        <v>350</v>
      </c>
      <c r="B76" s="34">
        <v>13.02</v>
      </c>
      <c r="C76" s="34" t="s">
        <v>351</v>
      </c>
      <c r="D76" s="34" t="s">
        <v>330</v>
      </c>
    </row>
    <row r="77" spans="1:4" x14ac:dyDescent="0.35">
      <c r="A77" s="34" t="s">
        <v>350</v>
      </c>
      <c r="B77" s="34">
        <v>13.02</v>
      </c>
      <c r="C77" s="34" t="s">
        <v>351</v>
      </c>
      <c r="D77" s="34" t="s">
        <v>331</v>
      </c>
    </row>
    <row r="78" spans="1:4" x14ac:dyDescent="0.35">
      <c r="A78" s="34" t="s">
        <v>350</v>
      </c>
      <c r="B78" s="34">
        <v>13.02</v>
      </c>
      <c r="C78" s="34" t="s">
        <v>351</v>
      </c>
      <c r="D78" s="34" t="s">
        <v>332</v>
      </c>
    </row>
    <row r="79" spans="1:4" x14ac:dyDescent="0.35">
      <c r="A79" s="34" t="s">
        <v>350</v>
      </c>
      <c r="B79" s="34">
        <v>13.02</v>
      </c>
      <c r="C79" s="34" t="s">
        <v>351</v>
      </c>
      <c r="D79" s="34" t="s">
        <v>333</v>
      </c>
    </row>
    <row r="80" spans="1:4" x14ac:dyDescent="0.35">
      <c r="A80" s="34" t="s">
        <v>350</v>
      </c>
      <c r="B80" s="34">
        <v>13.02</v>
      </c>
      <c r="C80" s="34" t="s">
        <v>351</v>
      </c>
      <c r="D80" s="34" t="s">
        <v>334</v>
      </c>
    </row>
    <row r="81" spans="1:4" x14ac:dyDescent="0.35">
      <c r="A81" s="34" t="s">
        <v>350</v>
      </c>
      <c r="B81" s="34">
        <v>13.02</v>
      </c>
      <c r="C81" s="34" t="s">
        <v>351</v>
      </c>
      <c r="D81" s="34" t="s">
        <v>335</v>
      </c>
    </row>
    <row r="82" spans="1:4" x14ac:dyDescent="0.35">
      <c r="A82" s="34" t="s">
        <v>350</v>
      </c>
      <c r="B82" s="34">
        <v>13.02</v>
      </c>
      <c r="C82" s="34" t="s">
        <v>351</v>
      </c>
      <c r="D82" s="34" t="s">
        <v>336</v>
      </c>
    </row>
    <row r="83" spans="1:4" x14ac:dyDescent="0.35">
      <c r="A83" s="34" t="s">
        <v>350</v>
      </c>
      <c r="B83" s="34">
        <v>13.02</v>
      </c>
      <c r="C83" s="34" t="s">
        <v>351</v>
      </c>
      <c r="D83" s="34" t="s">
        <v>337</v>
      </c>
    </row>
    <row r="84" spans="1:4" x14ac:dyDescent="0.35">
      <c r="A84" s="34" t="s">
        <v>350</v>
      </c>
      <c r="B84" s="34">
        <v>13.02</v>
      </c>
      <c r="C84" s="34" t="s">
        <v>351</v>
      </c>
      <c r="D84" s="34" t="s">
        <v>338</v>
      </c>
    </row>
    <row r="85" spans="1:4" x14ac:dyDescent="0.35">
      <c r="A85" s="34" t="s">
        <v>350</v>
      </c>
      <c r="B85" s="34">
        <v>13.02</v>
      </c>
      <c r="C85" s="34" t="s">
        <v>351</v>
      </c>
      <c r="D85" s="34" t="s">
        <v>339</v>
      </c>
    </row>
    <row r="86" spans="1:4" x14ac:dyDescent="0.35">
      <c r="A86" s="34" t="s">
        <v>352</v>
      </c>
      <c r="B86" s="34">
        <v>12.63</v>
      </c>
      <c r="C86" s="34" t="s">
        <v>353</v>
      </c>
      <c r="D86" s="34" t="s">
        <v>328</v>
      </c>
    </row>
    <row r="87" spans="1:4" x14ac:dyDescent="0.35">
      <c r="A87" s="34" t="s">
        <v>352</v>
      </c>
      <c r="B87" s="34">
        <v>12.63</v>
      </c>
      <c r="C87" s="34" t="s">
        <v>353</v>
      </c>
      <c r="D87" s="34" t="s">
        <v>329</v>
      </c>
    </row>
    <row r="88" spans="1:4" x14ac:dyDescent="0.35">
      <c r="A88" s="34" t="s">
        <v>352</v>
      </c>
      <c r="B88" s="34">
        <v>12.63</v>
      </c>
      <c r="C88" s="34" t="s">
        <v>353</v>
      </c>
      <c r="D88" s="34" t="s">
        <v>330</v>
      </c>
    </row>
    <row r="89" spans="1:4" x14ac:dyDescent="0.35">
      <c r="A89" s="34" t="s">
        <v>352</v>
      </c>
      <c r="B89" s="34">
        <v>12.63</v>
      </c>
      <c r="C89" s="34" t="s">
        <v>353</v>
      </c>
      <c r="D89" s="34" t="s">
        <v>331</v>
      </c>
    </row>
    <row r="90" spans="1:4" x14ac:dyDescent="0.35">
      <c r="A90" s="34" t="s">
        <v>352</v>
      </c>
      <c r="B90" s="34">
        <v>12.63</v>
      </c>
      <c r="C90" s="34" t="s">
        <v>353</v>
      </c>
      <c r="D90" s="34" t="s">
        <v>332</v>
      </c>
    </row>
    <row r="91" spans="1:4" x14ac:dyDescent="0.35">
      <c r="A91" s="34" t="s">
        <v>352</v>
      </c>
      <c r="B91" s="34">
        <v>12.63</v>
      </c>
      <c r="C91" s="34" t="s">
        <v>353</v>
      </c>
      <c r="D91" s="34" t="s">
        <v>333</v>
      </c>
    </row>
    <row r="92" spans="1:4" x14ac:dyDescent="0.35">
      <c r="A92" s="34" t="s">
        <v>352</v>
      </c>
      <c r="B92" s="34">
        <v>12.63</v>
      </c>
      <c r="C92" s="34" t="s">
        <v>353</v>
      </c>
      <c r="D92" s="34" t="s">
        <v>334</v>
      </c>
    </row>
    <row r="93" spans="1:4" x14ac:dyDescent="0.35">
      <c r="A93" s="34" t="s">
        <v>352</v>
      </c>
      <c r="B93" s="34">
        <v>12.63</v>
      </c>
      <c r="C93" s="34" t="s">
        <v>353</v>
      </c>
      <c r="D93" s="34" t="s">
        <v>335</v>
      </c>
    </row>
    <row r="94" spans="1:4" x14ac:dyDescent="0.35">
      <c r="A94" s="34" t="s">
        <v>352</v>
      </c>
      <c r="B94" s="34">
        <v>12.63</v>
      </c>
      <c r="C94" s="34" t="s">
        <v>353</v>
      </c>
      <c r="D94" s="34" t="s">
        <v>336</v>
      </c>
    </row>
    <row r="95" spans="1:4" x14ac:dyDescent="0.35">
      <c r="A95" s="34" t="s">
        <v>352</v>
      </c>
      <c r="B95" s="34">
        <v>12.63</v>
      </c>
      <c r="C95" s="34" t="s">
        <v>353</v>
      </c>
      <c r="D95" s="34" t="s">
        <v>337</v>
      </c>
    </row>
    <row r="96" spans="1:4" x14ac:dyDescent="0.35">
      <c r="A96" s="34" t="s">
        <v>352</v>
      </c>
      <c r="B96" s="34">
        <v>12.63</v>
      </c>
      <c r="C96" s="34" t="s">
        <v>353</v>
      </c>
      <c r="D96" s="34" t="s">
        <v>338</v>
      </c>
    </row>
    <row r="97" spans="1:4" x14ac:dyDescent="0.35">
      <c r="A97" s="34" t="s">
        <v>352</v>
      </c>
      <c r="B97" s="34">
        <v>12.63</v>
      </c>
      <c r="C97" s="34" t="s">
        <v>353</v>
      </c>
      <c r="D97" s="34" t="s">
        <v>339</v>
      </c>
    </row>
    <row r="98" spans="1:4" x14ac:dyDescent="0.35">
      <c r="A98" s="34" t="s">
        <v>354</v>
      </c>
      <c r="B98" s="34">
        <v>11.26</v>
      </c>
      <c r="C98" s="34" t="s">
        <v>355</v>
      </c>
      <c r="D98" s="34" t="s">
        <v>328</v>
      </c>
    </row>
    <row r="99" spans="1:4" x14ac:dyDescent="0.35">
      <c r="A99" s="34" t="s">
        <v>354</v>
      </c>
      <c r="B99" s="34">
        <v>11.26</v>
      </c>
      <c r="C99" s="34" t="s">
        <v>355</v>
      </c>
      <c r="D99" s="34" t="s">
        <v>329</v>
      </c>
    </row>
    <row r="100" spans="1:4" x14ac:dyDescent="0.35">
      <c r="A100" s="34" t="s">
        <v>354</v>
      </c>
      <c r="B100" s="34">
        <v>11.26</v>
      </c>
      <c r="C100" s="34" t="s">
        <v>355</v>
      </c>
      <c r="D100" s="34" t="s">
        <v>330</v>
      </c>
    </row>
    <row r="101" spans="1:4" x14ac:dyDescent="0.35">
      <c r="A101" s="34" t="s">
        <v>354</v>
      </c>
      <c r="B101" s="34">
        <v>11.26</v>
      </c>
      <c r="C101" s="34" t="s">
        <v>355</v>
      </c>
      <c r="D101" s="34" t="s">
        <v>331</v>
      </c>
    </row>
    <row r="102" spans="1:4" x14ac:dyDescent="0.35">
      <c r="A102" s="34" t="s">
        <v>354</v>
      </c>
      <c r="B102" s="34">
        <v>11.26</v>
      </c>
      <c r="C102" s="34" t="s">
        <v>355</v>
      </c>
      <c r="D102" s="34" t="s">
        <v>332</v>
      </c>
    </row>
    <row r="103" spans="1:4" x14ac:dyDescent="0.35">
      <c r="A103" s="34" t="s">
        <v>354</v>
      </c>
      <c r="B103" s="34">
        <v>11.26</v>
      </c>
      <c r="C103" s="34" t="s">
        <v>355</v>
      </c>
      <c r="D103" s="34" t="s">
        <v>333</v>
      </c>
    </row>
    <row r="104" spans="1:4" x14ac:dyDescent="0.35">
      <c r="A104" s="34" t="s">
        <v>354</v>
      </c>
      <c r="B104" s="34">
        <v>11.26</v>
      </c>
      <c r="C104" s="34" t="s">
        <v>355</v>
      </c>
      <c r="D104" s="34" t="s">
        <v>334</v>
      </c>
    </row>
    <row r="105" spans="1:4" x14ac:dyDescent="0.35">
      <c r="A105" s="34" t="s">
        <v>354</v>
      </c>
      <c r="B105" s="34">
        <v>11.26</v>
      </c>
      <c r="C105" s="34" t="s">
        <v>355</v>
      </c>
      <c r="D105" s="34" t="s">
        <v>335</v>
      </c>
    </row>
    <row r="106" spans="1:4" x14ac:dyDescent="0.35">
      <c r="A106" s="34" t="s">
        <v>354</v>
      </c>
      <c r="B106" s="34">
        <v>11.26</v>
      </c>
      <c r="C106" s="34" t="s">
        <v>355</v>
      </c>
      <c r="D106" s="34" t="s">
        <v>336</v>
      </c>
    </row>
    <row r="107" spans="1:4" x14ac:dyDescent="0.35">
      <c r="A107" s="34" t="s">
        <v>354</v>
      </c>
      <c r="B107" s="34">
        <v>11.26</v>
      </c>
      <c r="C107" s="34" t="s">
        <v>355</v>
      </c>
      <c r="D107" s="34" t="s">
        <v>337</v>
      </c>
    </row>
    <row r="108" spans="1:4" x14ac:dyDescent="0.35">
      <c r="A108" s="34" t="s">
        <v>354</v>
      </c>
      <c r="B108" s="34">
        <v>11.26</v>
      </c>
      <c r="C108" s="34" t="s">
        <v>355</v>
      </c>
      <c r="D108" s="34" t="s">
        <v>338</v>
      </c>
    </row>
    <row r="109" spans="1:4" x14ac:dyDescent="0.35">
      <c r="A109" s="34" t="s">
        <v>354</v>
      </c>
      <c r="B109" s="34">
        <v>11.26</v>
      </c>
      <c r="C109" s="34" t="s">
        <v>355</v>
      </c>
      <c r="D109" s="34" t="s">
        <v>339</v>
      </c>
    </row>
  </sheetData>
  <pageMargins left="0.7" right="0.7" top="0.75" bottom="0.75" header="0.3" footer="0.3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5"/>
  <sheetViews>
    <sheetView showGridLines="0" topLeftCell="K4" workbookViewId="0">
      <selection activeCell="Z12" sqref="Z12"/>
    </sheetView>
  </sheetViews>
  <sheetFormatPr baseColWidth="10" defaultRowHeight="14.5" x14ac:dyDescent="0.35"/>
  <cols>
    <col min="1" max="1" width="6.453125" bestFit="1" customWidth="1"/>
    <col min="2" max="2" width="7.08984375" bestFit="1" customWidth="1"/>
    <col min="3" max="3" width="16.1796875" bestFit="1" customWidth="1"/>
    <col min="4" max="4" width="15" bestFit="1" customWidth="1"/>
    <col min="5" max="5" width="17.81640625" bestFit="1" customWidth="1"/>
    <col min="6" max="6" width="10.81640625" bestFit="1" customWidth="1"/>
    <col min="8" max="8" width="20.453125" bestFit="1" customWidth="1"/>
    <col min="9" max="14" width="8.6328125" customWidth="1"/>
    <col min="15" max="15" width="11.7265625" bestFit="1" customWidth="1"/>
    <col min="16" max="16" width="15.1796875" customWidth="1"/>
  </cols>
  <sheetData>
    <row r="1" spans="1:24" x14ac:dyDescent="0.35">
      <c r="A1" s="34" t="s">
        <v>357</v>
      </c>
      <c r="B1" s="34" t="s">
        <v>182</v>
      </c>
      <c r="C1" s="34" t="s">
        <v>358</v>
      </c>
      <c r="D1" s="34" t="s">
        <v>324</v>
      </c>
      <c r="E1" s="34" t="s">
        <v>359</v>
      </c>
      <c r="F1" s="34" t="s">
        <v>360</v>
      </c>
    </row>
    <row r="2" spans="1:24" x14ac:dyDescent="0.35">
      <c r="A2" s="34">
        <v>2026</v>
      </c>
      <c r="B2" s="34" t="s">
        <v>361</v>
      </c>
      <c r="C2" s="34">
        <v>13.13</v>
      </c>
      <c r="D2" s="34">
        <v>11.4</v>
      </c>
      <c r="E2" s="34">
        <v>11.14</v>
      </c>
      <c r="F2" s="34" t="s">
        <v>362</v>
      </c>
    </row>
    <row r="3" spans="1:24" x14ac:dyDescent="0.35">
      <c r="A3" s="34">
        <v>2026</v>
      </c>
      <c r="B3" s="34" t="s">
        <v>361</v>
      </c>
      <c r="C3" s="34">
        <v>13.86</v>
      </c>
      <c r="D3" s="34">
        <v>12.36</v>
      </c>
      <c r="E3" s="34">
        <v>12.11</v>
      </c>
      <c r="F3" s="34" t="s">
        <v>9</v>
      </c>
    </row>
    <row r="4" spans="1:24" x14ac:dyDescent="0.35">
      <c r="A4" s="34">
        <v>2026</v>
      </c>
      <c r="B4" s="34" t="s">
        <v>361</v>
      </c>
      <c r="C4" s="34">
        <v>14.73</v>
      </c>
      <c r="D4" s="34">
        <v>12.86</v>
      </c>
      <c r="E4" s="34">
        <v>12.82</v>
      </c>
      <c r="F4" s="34" t="s">
        <v>363</v>
      </c>
    </row>
    <row r="5" spans="1:24" ht="21.5" customHeight="1" x14ac:dyDescent="0.35">
      <c r="A5" s="34">
        <v>2026</v>
      </c>
      <c r="B5" s="34" t="s">
        <v>361</v>
      </c>
      <c r="C5" s="34">
        <v>13.13</v>
      </c>
      <c r="D5" s="34">
        <v>10.050000000000001</v>
      </c>
      <c r="E5" s="34">
        <v>10.63</v>
      </c>
      <c r="F5" s="34" t="s">
        <v>364</v>
      </c>
      <c r="H5" s="2" t="s">
        <v>375</v>
      </c>
      <c r="I5" s="2" t="s">
        <v>138</v>
      </c>
    </row>
    <row r="6" spans="1:24" ht="21.5" customHeight="1" x14ac:dyDescent="0.35">
      <c r="A6" s="34">
        <v>2026</v>
      </c>
      <c r="B6" s="34" t="s">
        <v>361</v>
      </c>
      <c r="C6" s="34">
        <v>9.14</v>
      </c>
      <c r="D6" s="34">
        <v>8.93</v>
      </c>
      <c r="E6" s="34">
        <v>8.83</v>
      </c>
      <c r="F6" s="34" t="s">
        <v>104</v>
      </c>
      <c r="H6" s="2" t="s">
        <v>134</v>
      </c>
      <c r="I6" s="23" t="s">
        <v>361</v>
      </c>
      <c r="J6" s="23" t="s">
        <v>369</v>
      </c>
      <c r="K6" s="23" t="s">
        <v>370</v>
      </c>
      <c r="L6" s="23" t="s">
        <v>371</v>
      </c>
      <c r="M6" s="23" t="s">
        <v>372</v>
      </c>
      <c r="N6" s="23" t="s">
        <v>373</v>
      </c>
      <c r="P6" s="38" t="s">
        <v>3</v>
      </c>
      <c r="Q6" s="39" t="s">
        <v>376</v>
      </c>
      <c r="R6" s="39" t="s">
        <v>157</v>
      </c>
      <c r="S6" s="40" t="s">
        <v>183</v>
      </c>
      <c r="T6" s="40" t="s">
        <v>184</v>
      </c>
      <c r="U6" s="40" t="s">
        <v>185</v>
      </c>
      <c r="V6" s="40" t="s">
        <v>186</v>
      </c>
      <c r="W6" s="40" t="s">
        <v>187</v>
      </c>
      <c r="X6" s="40" t="s">
        <v>188</v>
      </c>
    </row>
    <row r="7" spans="1:24" ht="21.5" customHeight="1" x14ac:dyDescent="0.4">
      <c r="A7" s="34">
        <v>2026</v>
      </c>
      <c r="B7" s="34" t="s">
        <v>361</v>
      </c>
      <c r="C7" s="34">
        <v>15.08</v>
      </c>
      <c r="D7" s="34">
        <v>13.51</v>
      </c>
      <c r="E7" s="34">
        <v>14.09</v>
      </c>
      <c r="F7" s="34" t="s">
        <v>365</v>
      </c>
      <c r="H7" s="3" t="s">
        <v>362</v>
      </c>
      <c r="I7" s="22">
        <v>-0.13175932977913174</v>
      </c>
      <c r="J7" s="22">
        <v>-8.5300837776085325E-2</v>
      </c>
      <c r="K7" s="22">
        <v>-3.8842345773038911E-2</v>
      </c>
      <c r="L7" s="22">
        <v>-4.417364813404423E-2</v>
      </c>
      <c r="M7" s="22">
        <v>-3.960396039603975E-2</v>
      </c>
      <c r="N7" s="22">
        <v>-4.7220106626047254E-2</v>
      </c>
      <c r="P7" s="41" t="s">
        <v>366</v>
      </c>
      <c r="Q7" s="42">
        <v>14.52</v>
      </c>
      <c r="R7" s="42">
        <v>14.91</v>
      </c>
      <c r="S7" s="43">
        <v>-0.13346747149564053</v>
      </c>
      <c r="T7" s="43">
        <v>-0.1220657276995305</v>
      </c>
      <c r="U7" s="43">
        <v>-8.1824279007377654E-2</v>
      </c>
      <c r="V7" s="43">
        <v>-5.2984574111334726E-2</v>
      </c>
      <c r="W7" s="43">
        <v>-3.6887994634473564E-2</v>
      </c>
      <c r="X7" s="43">
        <v>-2.6156941649899457E-2</v>
      </c>
    </row>
    <row r="8" spans="1:24" ht="21.5" customHeight="1" x14ac:dyDescent="0.4">
      <c r="A8" s="34">
        <v>2026</v>
      </c>
      <c r="B8" s="34" t="s">
        <v>361</v>
      </c>
      <c r="C8" s="34">
        <v>14.91</v>
      </c>
      <c r="D8" s="34">
        <v>12.92</v>
      </c>
      <c r="E8" s="34">
        <v>14.31</v>
      </c>
      <c r="F8" s="34" t="s">
        <v>366</v>
      </c>
      <c r="H8" s="3" t="s">
        <v>9</v>
      </c>
      <c r="I8" s="22">
        <v>-0.10822510822510822</v>
      </c>
      <c r="J8" s="22">
        <v>-9.018759018759015E-2</v>
      </c>
      <c r="K8" s="22">
        <v>-4.2568542568542589E-2</v>
      </c>
      <c r="L8" s="22">
        <v>-3.6796536796536827E-2</v>
      </c>
      <c r="M8" s="22">
        <v>-2.2366522366522257E-2</v>
      </c>
      <c r="N8" s="22">
        <v>-3.6075036075036038E-2</v>
      </c>
      <c r="P8" s="41" t="s">
        <v>365</v>
      </c>
      <c r="Q8" s="42">
        <v>14.51</v>
      </c>
      <c r="R8" s="42">
        <v>15.08</v>
      </c>
      <c r="S8" s="43">
        <v>-0.10411140583554379</v>
      </c>
      <c r="T8" s="43">
        <v>-5.7029177718832869E-2</v>
      </c>
      <c r="U8" s="43">
        <v>-4.3766578249336829E-2</v>
      </c>
      <c r="V8" s="43">
        <v>-5.0397877984084904E-2</v>
      </c>
      <c r="W8" s="43">
        <v>-5.4376657824933727E-2</v>
      </c>
      <c r="X8" s="43">
        <v>-3.7798408488063706E-2</v>
      </c>
    </row>
    <row r="9" spans="1:24" ht="21.5" customHeight="1" x14ac:dyDescent="0.4">
      <c r="A9" s="34">
        <v>2026</v>
      </c>
      <c r="B9" s="34" t="s">
        <v>361</v>
      </c>
      <c r="C9" s="34">
        <v>14.07</v>
      </c>
      <c r="D9" s="34">
        <v>11.29</v>
      </c>
      <c r="E9" s="34">
        <v>11.92</v>
      </c>
      <c r="F9" s="34" t="s">
        <v>367</v>
      </c>
      <c r="H9" s="3" t="s">
        <v>363</v>
      </c>
      <c r="I9" s="22">
        <v>-0.12695179904955878</v>
      </c>
      <c r="J9" s="22">
        <v>-0.10522742701968779</v>
      </c>
      <c r="K9" s="22">
        <v>-5.7026476578411422E-2</v>
      </c>
      <c r="L9" s="22">
        <v>-4.8200950441276369E-2</v>
      </c>
      <c r="M9" s="22">
        <v>-5.4989816700610983E-2</v>
      </c>
      <c r="N9" s="22">
        <v>-4.6164290563475929E-2</v>
      </c>
      <c r="P9" s="41" t="s">
        <v>363</v>
      </c>
      <c r="Q9" s="42">
        <v>14.05</v>
      </c>
      <c r="R9" s="42">
        <v>14.73</v>
      </c>
      <c r="S9" s="43">
        <v>-0.12695179904955878</v>
      </c>
      <c r="T9" s="43">
        <v>-0.10522742701968779</v>
      </c>
      <c r="U9" s="43">
        <v>-5.7026476578411422E-2</v>
      </c>
      <c r="V9" s="43">
        <v>-4.8200950441276369E-2</v>
      </c>
      <c r="W9" s="43">
        <v>-5.4989816700610983E-2</v>
      </c>
      <c r="X9" s="43">
        <v>-4.6164290563475929E-2</v>
      </c>
    </row>
    <row r="10" spans="1:24" ht="21.5" customHeight="1" x14ac:dyDescent="0.4">
      <c r="A10" s="34">
        <v>2026</v>
      </c>
      <c r="B10" s="34" t="s">
        <v>361</v>
      </c>
      <c r="C10" s="34">
        <v>14.17</v>
      </c>
      <c r="D10" s="34">
        <v>11.93</v>
      </c>
      <c r="E10" s="34">
        <v>12.59</v>
      </c>
      <c r="F10" s="34" t="s">
        <v>368</v>
      </c>
      <c r="H10" s="3" t="s">
        <v>364</v>
      </c>
      <c r="I10" s="22">
        <v>-0.23457730388423459</v>
      </c>
      <c r="J10" s="22">
        <v>-0.18050266565118056</v>
      </c>
      <c r="K10" s="22">
        <v>-0.10281797410510296</v>
      </c>
      <c r="L10" s="22">
        <v>-8.7585681645087621E-2</v>
      </c>
      <c r="M10" s="22">
        <v>-0.10586443259710587</v>
      </c>
      <c r="N10" s="22">
        <v>-0.11500380807311517</v>
      </c>
      <c r="P10" s="41" t="s">
        <v>367</v>
      </c>
      <c r="Q10" s="42">
        <v>13.44</v>
      </c>
      <c r="R10" s="42">
        <v>14.07</v>
      </c>
      <c r="S10" s="43">
        <v>-0.19758351101634697</v>
      </c>
      <c r="T10" s="43">
        <v>-0.13859275053304909</v>
      </c>
      <c r="U10" s="43">
        <v>-8.8841506751954458E-2</v>
      </c>
      <c r="V10" s="43">
        <v>-6.2544420753376073E-2</v>
      </c>
      <c r="W10" s="43">
        <v>-4.9751243781094634E-2</v>
      </c>
      <c r="X10" s="43">
        <v>-4.4776119402985093E-2</v>
      </c>
    </row>
    <row r="11" spans="1:24" ht="21.5" customHeight="1" x14ac:dyDescent="0.4">
      <c r="A11" s="34">
        <v>2026</v>
      </c>
      <c r="B11" s="34" t="s">
        <v>369</v>
      </c>
      <c r="C11" s="34">
        <v>13.13</v>
      </c>
      <c r="D11" s="34">
        <v>12.01</v>
      </c>
      <c r="E11" s="34">
        <v>11.21</v>
      </c>
      <c r="F11" s="34" t="s">
        <v>362</v>
      </c>
      <c r="H11" s="3" t="s">
        <v>104</v>
      </c>
      <c r="I11" s="22">
        <v>-2.2975929978118259E-2</v>
      </c>
      <c r="J11" s="22">
        <v>-1.2035010940919189E-2</v>
      </c>
      <c r="K11" s="22">
        <v>-1.6411378555798772E-2</v>
      </c>
      <c r="L11" s="22">
        <v>-1.6411378555798772E-2</v>
      </c>
      <c r="M11" s="22">
        <v>5.4704595185994798E-3</v>
      </c>
      <c r="N11" s="22">
        <v>2.2975929978118037E-2</v>
      </c>
      <c r="P11" s="41" t="s">
        <v>368</v>
      </c>
      <c r="Q11" s="42">
        <v>13.43</v>
      </c>
      <c r="R11" s="42">
        <v>14.17</v>
      </c>
      <c r="S11" s="43">
        <v>-0.15808045165843332</v>
      </c>
      <c r="T11" s="43">
        <v>-0.10021171489061398</v>
      </c>
      <c r="U11" s="43">
        <v>-7.5511644318983828E-2</v>
      </c>
      <c r="V11" s="43">
        <v>-4.3048694424841161E-2</v>
      </c>
      <c r="W11" s="43">
        <v>-4.1637261820748006E-2</v>
      </c>
      <c r="X11" s="43">
        <v>-5.2223006351446721E-2</v>
      </c>
    </row>
    <row r="12" spans="1:24" ht="21.5" customHeight="1" x14ac:dyDescent="0.4">
      <c r="A12" s="34">
        <v>2026</v>
      </c>
      <c r="B12" s="34" t="s">
        <v>369</v>
      </c>
      <c r="C12" s="34">
        <v>13.86</v>
      </c>
      <c r="D12" s="34">
        <v>12.61</v>
      </c>
      <c r="E12" s="34">
        <v>12.14</v>
      </c>
      <c r="F12" s="34" t="s">
        <v>9</v>
      </c>
      <c r="H12" s="3" t="s">
        <v>365</v>
      </c>
      <c r="I12" s="22">
        <v>-0.10411140583554379</v>
      </c>
      <c r="J12" s="22">
        <v>-5.7029177718832869E-2</v>
      </c>
      <c r="K12" s="22">
        <v>-4.3766578249336829E-2</v>
      </c>
      <c r="L12" s="22">
        <v>-5.0397877984084904E-2</v>
      </c>
      <c r="M12" s="22">
        <v>-5.4376657824933727E-2</v>
      </c>
      <c r="N12" s="22">
        <v>-3.7798408488063706E-2</v>
      </c>
      <c r="P12" s="41" t="s">
        <v>377</v>
      </c>
      <c r="Q12" s="42">
        <v>13.36</v>
      </c>
      <c r="R12" s="42">
        <v>13.86</v>
      </c>
      <c r="S12" s="43">
        <v>-0.10822510822510822</v>
      </c>
      <c r="T12" s="43">
        <v>-9.018759018759015E-2</v>
      </c>
      <c r="U12" s="43">
        <v>-4.2568542568542589E-2</v>
      </c>
      <c r="V12" s="43">
        <v>-3.6796536796536827E-2</v>
      </c>
      <c r="W12" s="43">
        <v>-2.2366522366522257E-2</v>
      </c>
      <c r="X12" s="43">
        <v>-3.6075036075036038E-2</v>
      </c>
    </row>
    <row r="13" spans="1:24" ht="21.5" customHeight="1" x14ac:dyDescent="0.4">
      <c r="A13" s="34">
        <v>2026</v>
      </c>
      <c r="B13" s="34" t="s">
        <v>369</v>
      </c>
      <c r="C13" s="34">
        <v>14.73</v>
      </c>
      <c r="D13" s="34">
        <v>13.18</v>
      </c>
      <c r="E13" s="34">
        <v>13.04</v>
      </c>
      <c r="F13" s="34" t="s">
        <v>363</v>
      </c>
      <c r="H13" s="3" t="s">
        <v>366</v>
      </c>
      <c r="I13" s="22">
        <v>-0.13346747149564053</v>
      </c>
      <c r="J13" s="22">
        <v>-0.1220657276995305</v>
      </c>
      <c r="K13" s="22">
        <v>-8.1824279007377654E-2</v>
      </c>
      <c r="L13" s="22">
        <v>-5.2984574111334726E-2</v>
      </c>
      <c r="M13" s="22">
        <v>-3.6887994634473564E-2</v>
      </c>
      <c r="N13" s="22">
        <v>-2.6156941649899457E-2</v>
      </c>
      <c r="P13" s="41" t="s">
        <v>362</v>
      </c>
      <c r="Q13" s="42">
        <v>12.51</v>
      </c>
      <c r="R13" s="42">
        <v>13.13</v>
      </c>
      <c r="S13" s="43">
        <v>-0.13175932977913174</v>
      </c>
      <c r="T13" s="43">
        <v>-8.5300837776085325E-2</v>
      </c>
      <c r="U13" s="43">
        <v>-3.8842345773038911E-2</v>
      </c>
      <c r="V13" s="43">
        <v>-4.417364813404423E-2</v>
      </c>
      <c r="W13" s="43">
        <v>-3.960396039603975E-2</v>
      </c>
      <c r="X13" s="43">
        <v>-4.7220106626047254E-2</v>
      </c>
    </row>
    <row r="14" spans="1:24" ht="21.5" customHeight="1" x14ac:dyDescent="0.4">
      <c r="A14" s="34">
        <v>2026</v>
      </c>
      <c r="B14" s="34" t="s">
        <v>369</v>
      </c>
      <c r="C14" s="34">
        <v>13.13</v>
      </c>
      <c r="D14" s="34">
        <v>10.76</v>
      </c>
      <c r="E14" s="34">
        <v>10.78</v>
      </c>
      <c r="F14" s="34" t="s">
        <v>364</v>
      </c>
      <c r="H14" s="3" t="s">
        <v>367</v>
      </c>
      <c r="I14" s="22">
        <v>-0.19758351101634697</v>
      </c>
      <c r="J14" s="22">
        <v>-0.13859275053304909</v>
      </c>
      <c r="K14" s="22">
        <v>-8.8841506751954458E-2</v>
      </c>
      <c r="L14" s="22">
        <v>-6.2544420753376073E-2</v>
      </c>
      <c r="M14" s="22">
        <v>-4.9751243781094634E-2</v>
      </c>
      <c r="N14" s="22">
        <v>-4.4776119402985093E-2</v>
      </c>
      <c r="P14" s="41" t="s">
        <v>364</v>
      </c>
      <c r="Q14" s="42">
        <v>11.62</v>
      </c>
      <c r="R14" s="42">
        <v>13.13</v>
      </c>
      <c r="S14" s="43">
        <v>-0.23457730388423459</v>
      </c>
      <c r="T14" s="43">
        <v>-0.18050266565118056</v>
      </c>
      <c r="U14" s="43">
        <v>-0.10281797410510296</v>
      </c>
      <c r="V14" s="43">
        <v>-8.7585681645087621E-2</v>
      </c>
      <c r="W14" s="43">
        <v>-0.10586443259710587</v>
      </c>
      <c r="X14" s="43">
        <v>-0.11500380807311517</v>
      </c>
    </row>
    <row r="15" spans="1:24" ht="21.5" customHeight="1" x14ac:dyDescent="0.4">
      <c r="A15" s="34">
        <v>2026</v>
      </c>
      <c r="B15" s="34" t="s">
        <v>369</v>
      </c>
      <c r="C15" s="34">
        <v>9.14</v>
      </c>
      <c r="D15" s="34">
        <v>9.0299999999999994</v>
      </c>
      <c r="E15" s="34">
        <v>8.9</v>
      </c>
      <c r="F15" s="34" t="s">
        <v>104</v>
      </c>
      <c r="H15" s="3" t="s">
        <v>368</v>
      </c>
      <c r="I15" s="22">
        <v>-0.15808045165843332</v>
      </c>
      <c r="J15" s="22">
        <v>-0.10021171489061398</v>
      </c>
      <c r="K15" s="22">
        <v>-7.5511644318983828E-2</v>
      </c>
      <c r="L15" s="22">
        <v>-4.3048694424841161E-2</v>
      </c>
      <c r="M15" s="22">
        <v>-4.1637261820748006E-2</v>
      </c>
      <c r="N15" s="22">
        <v>-5.2223006351446721E-2</v>
      </c>
      <c r="P15" s="44" t="s">
        <v>378</v>
      </c>
      <c r="Q15" s="45">
        <v>9.35</v>
      </c>
      <c r="R15" s="42">
        <v>9.14</v>
      </c>
      <c r="S15" s="46">
        <v>-2.2975929978118259E-2</v>
      </c>
      <c r="T15" s="46">
        <v>-1.2035010940919189E-2</v>
      </c>
      <c r="U15" s="46">
        <v>-1.6411378555798772E-2</v>
      </c>
      <c r="V15" s="46">
        <v>-1.6411378555798772E-2</v>
      </c>
      <c r="W15" s="46">
        <v>5.4704595185994798E-3</v>
      </c>
      <c r="X15" s="46">
        <v>2.2975929978118037E-2</v>
      </c>
    </row>
    <row r="16" spans="1:24" ht="6" customHeight="1" x14ac:dyDescent="0.4">
      <c r="A16" s="34">
        <v>2026</v>
      </c>
      <c r="B16" s="34" t="s">
        <v>369</v>
      </c>
      <c r="C16" s="34">
        <v>15.08</v>
      </c>
      <c r="D16" s="34">
        <v>14.22</v>
      </c>
      <c r="E16" s="34">
        <v>14.31</v>
      </c>
      <c r="F16" s="34" t="s">
        <v>365</v>
      </c>
      <c r="H16" s="3" t="s">
        <v>135</v>
      </c>
      <c r="I16" s="22">
        <v>-0.13884797905416468</v>
      </c>
      <c r="J16" s="22">
        <v>-0.10186548846342658</v>
      </c>
      <c r="K16" s="22">
        <v>-6.2510227458681289E-2</v>
      </c>
      <c r="L16" s="22">
        <v>-5.0237277041400796E-2</v>
      </c>
      <c r="M16" s="22">
        <v>-4.614629356897415E-2</v>
      </c>
      <c r="N16" s="22">
        <v>-4.4428080510554913E-2</v>
      </c>
      <c r="P16" s="47"/>
      <c r="Q16" s="47"/>
      <c r="R16" s="47"/>
      <c r="S16" s="47"/>
      <c r="T16" s="47"/>
      <c r="U16" s="47"/>
      <c r="V16" s="47"/>
      <c r="W16" s="47"/>
      <c r="X16" s="47"/>
    </row>
    <row r="17" spans="1:24" ht="21.5" customHeight="1" x14ac:dyDescent="0.4">
      <c r="A17" s="34">
        <v>2026</v>
      </c>
      <c r="B17" s="34" t="s">
        <v>369</v>
      </c>
      <c r="C17" s="34">
        <v>14.91</v>
      </c>
      <c r="D17" s="34">
        <v>13.09</v>
      </c>
      <c r="E17" s="34">
        <v>13.8</v>
      </c>
      <c r="F17" s="34" t="s">
        <v>366</v>
      </c>
      <c r="P17" s="48" t="s">
        <v>379</v>
      </c>
      <c r="Q17" s="49">
        <v>13.16</v>
      </c>
      <c r="R17" s="49">
        <v>13.81</v>
      </c>
      <c r="S17" s="50">
        <v>-0.13884797905416468</v>
      </c>
      <c r="T17" s="50">
        <v>-0.10186548846342658</v>
      </c>
      <c r="U17" s="50">
        <v>-6.2510227458681289E-2</v>
      </c>
      <c r="V17" s="50">
        <v>-5.0237277041400796E-2</v>
      </c>
      <c r="W17" s="50">
        <v>-4.614629356897415E-2</v>
      </c>
      <c r="X17" s="50">
        <v>-4.4428080510554913E-2</v>
      </c>
    </row>
    <row r="18" spans="1:24" x14ac:dyDescent="0.35">
      <c r="A18" s="34">
        <v>2026</v>
      </c>
      <c r="B18" s="34" t="s">
        <v>369</v>
      </c>
      <c r="C18" s="34">
        <v>14.07</v>
      </c>
      <c r="D18" s="34">
        <v>12.12</v>
      </c>
      <c r="E18" s="34">
        <v>12.27</v>
      </c>
      <c r="F18" s="34" t="s">
        <v>367</v>
      </c>
      <c r="H18" s="2" t="s">
        <v>374</v>
      </c>
      <c r="I18" s="2" t="s">
        <v>138</v>
      </c>
    </row>
    <row r="19" spans="1:24" x14ac:dyDescent="0.35">
      <c r="A19" s="34">
        <v>2026</v>
      </c>
      <c r="B19" s="34" t="s">
        <v>369</v>
      </c>
      <c r="C19" s="34">
        <v>14.17</v>
      </c>
      <c r="D19" s="34">
        <v>12.75</v>
      </c>
      <c r="E19" s="34">
        <v>12.74</v>
      </c>
      <c r="F19" s="34" t="s">
        <v>368</v>
      </c>
      <c r="H19" s="2" t="s">
        <v>134</v>
      </c>
      <c r="I19" s="36" t="s">
        <v>361</v>
      </c>
      <c r="J19" s="36" t="s">
        <v>369</v>
      </c>
      <c r="K19" s="36" t="s">
        <v>370</v>
      </c>
      <c r="L19" s="36" t="s">
        <v>371</v>
      </c>
      <c r="M19" s="36" t="s">
        <v>372</v>
      </c>
      <c r="N19" s="36" t="s">
        <v>373</v>
      </c>
    </row>
    <row r="20" spans="1:24" x14ac:dyDescent="0.35">
      <c r="A20" s="34">
        <v>2026</v>
      </c>
      <c r="B20" s="34" t="s">
        <v>370</v>
      </c>
      <c r="C20" s="34">
        <v>13.13</v>
      </c>
      <c r="D20" s="34">
        <v>12.62</v>
      </c>
      <c r="E20" s="34">
        <v>11.47</v>
      </c>
      <c r="F20" s="34" t="s">
        <v>362</v>
      </c>
      <c r="H20" s="3" t="s">
        <v>362</v>
      </c>
      <c r="I20" s="37">
        <v>11.4</v>
      </c>
      <c r="J20" s="37">
        <v>12.01</v>
      </c>
      <c r="K20" s="37">
        <v>12.62</v>
      </c>
      <c r="L20" s="37">
        <v>12.55</v>
      </c>
      <c r="M20" s="37">
        <v>12.61</v>
      </c>
      <c r="N20" s="37">
        <v>12.51</v>
      </c>
    </row>
    <row r="21" spans="1:24" x14ac:dyDescent="0.35">
      <c r="A21" s="34">
        <v>2026</v>
      </c>
      <c r="B21" s="34" t="s">
        <v>370</v>
      </c>
      <c r="C21" s="34">
        <v>13.86</v>
      </c>
      <c r="D21" s="34">
        <v>13.27</v>
      </c>
      <c r="E21" s="34">
        <v>11.94</v>
      </c>
      <c r="F21" s="34" t="s">
        <v>9</v>
      </c>
      <c r="H21" s="3" t="s">
        <v>9</v>
      </c>
      <c r="I21" s="37">
        <v>12.36</v>
      </c>
      <c r="J21" s="37">
        <v>12.61</v>
      </c>
      <c r="K21" s="37">
        <v>13.27</v>
      </c>
      <c r="L21" s="37">
        <v>13.35</v>
      </c>
      <c r="M21" s="37">
        <v>13.55</v>
      </c>
      <c r="N21" s="37">
        <v>13.36</v>
      </c>
    </row>
    <row r="22" spans="1:24" x14ac:dyDescent="0.35">
      <c r="A22" s="34">
        <v>2026</v>
      </c>
      <c r="B22" s="34" t="s">
        <v>370</v>
      </c>
      <c r="C22" s="34">
        <v>14.73</v>
      </c>
      <c r="D22" s="34">
        <v>13.89</v>
      </c>
      <c r="E22" s="34">
        <v>13.42</v>
      </c>
      <c r="F22" s="34" t="s">
        <v>363</v>
      </c>
      <c r="H22" s="3" t="s">
        <v>363</v>
      </c>
      <c r="I22" s="37">
        <v>12.86</v>
      </c>
      <c r="J22" s="37">
        <v>13.18</v>
      </c>
      <c r="K22" s="37">
        <v>13.89</v>
      </c>
      <c r="L22" s="37">
        <v>14.02</v>
      </c>
      <c r="M22" s="37">
        <v>13.92</v>
      </c>
      <c r="N22" s="37">
        <v>14.05</v>
      </c>
    </row>
    <row r="23" spans="1:24" x14ac:dyDescent="0.35">
      <c r="A23" s="34">
        <v>2026</v>
      </c>
      <c r="B23" s="34" t="s">
        <v>370</v>
      </c>
      <c r="C23" s="34">
        <v>13.13</v>
      </c>
      <c r="D23" s="34">
        <v>11.78</v>
      </c>
      <c r="E23" s="34">
        <v>11.3</v>
      </c>
      <c r="F23" s="34" t="s">
        <v>364</v>
      </c>
      <c r="H23" s="3" t="s">
        <v>364</v>
      </c>
      <c r="I23" s="37">
        <v>10.050000000000001</v>
      </c>
      <c r="J23" s="37">
        <v>10.76</v>
      </c>
      <c r="K23" s="37">
        <v>11.78</v>
      </c>
      <c r="L23" s="37">
        <v>11.98</v>
      </c>
      <c r="M23" s="37">
        <v>11.74</v>
      </c>
      <c r="N23" s="37">
        <v>11.62</v>
      </c>
    </row>
    <row r="24" spans="1:24" x14ac:dyDescent="0.35">
      <c r="A24" s="34">
        <v>2026</v>
      </c>
      <c r="B24" s="34" t="s">
        <v>370</v>
      </c>
      <c r="C24" s="34">
        <v>9.14</v>
      </c>
      <c r="D24" s="34">
        <v>8.99</v>
      </c>
      <c r="E24" s="34">
        <v>8.68</v>
      </c>
      <c r="F24" s="34" t="s">
        <v>104</v>
      </c>
      <c r="H24" s="3" t="s">
        <v>104</v>
      </c>
      <c r="I24" s="37">
        <v>8.93</v>
      </c>
      <c r="J24" s="37">
        <v>9.0299999999999994</v>
      </c>
      <c r="K24" s="37">
        <v>8.99</v>
      </c>
      <c r="L24" s="37">
        <v>8.99</v>
      </c>
      <c r="M24" s="37">
        <v>9.19</v>
      </c>
      <c r="N24" s="37">
        <v>9.35</v>
      </c>
    </row>
    <row r="25" spans="1:24" x14ac:dyDescent="0.35">
      <c r="A25" s="34">
        <v>2026</v>
      </c>
      <c r="B25" s="34" t="s">
        <v>370</v>
      </c>
      <c r="C25" s="34">
        <v>15.08</v>
      </c>
      <c r="D25" s="34">
        <v>14.42</v>
      </c>
      <c r="E25" s="34">
        <v>14.75</v>
      </c>
      <c r="F25" s="34" t="s">
        <v>365</v>
      </c>
      <c r="H25" s="3" t="s">
        <v>365</v>
      </c>
      <c r="I25" s="37">
        <v>13.51</v>
      </c>
      <c r="J25" s="37">
        <v>14.22</v>
      </c>
      <c r="K25" s="37">
        <v>14.42</v>
      </c>
      <c r="L25" s="37">
        <v>14.32</v>
      </c>
      <c r="M25" s="37">
        <v>14.26</v>
      </c>
      <c r="N25" s="37">
        <v>14.51</v>
      </c>
    </row>
    <row r="26" spans="1:24" x14ac:dyDescent="0.35">
      <c r="A26" s="34">
        <v>2026</v>
      </c>
      <c r="B26" s="34" t="s">
        <v>370</v>
      </c>
      <c r="C26" s="34">
        <v>14.91</v>
      </c>
      <c r="D26" s="34">
        <v>13.69</v>
      </c>
      <c r="E26" s="34">
        <v>14.04</v>
      </c>
      <c r="F26" s="34" t="s">
        <v>366</v>
      </c>
      <c r="H26" s="3" t="s">
        <v>366</v>
      </c>
      <c r="I26" s="37">
        <v>12.92</v>
      </c>
      <c r="J26" s="37">
        <v>13.09</v>
      </c>
      <c r="K26" s="37">
        <v>13.69</v>
      </c>
      <c r="L26" s="37">
        <v>14.12</v>
      </c>
      <c r="M26" s="37">
        <v>14.36</v>
      </c>
      <c r="N26" s="37">
        <v>14.52</v>
      </c>
    </row>
    <row r="27" spans="1:24" x14ac:dyDescent="0.35">
      <c r="A27" s="34">
        <v>2026</v>
      </c>
      <c r="B27" s="34" t="s">
        <v>370</v>
      </c>
      <c r="C27" s="34">
        <v>14.07</v>
      </c>
      <c r="D27" s="34">
        <v>12.82</v>
      </c>
      <c r="E27" s="34">
        <v>12.53</v>
      </c>
      <c r="F27" s="34" t="s">
        <v>367</v>
      </c>
      <c r="H27" s="3" t="s">
        <v>367</v>
      </c>
      <c r="I27" s="37">
        <v>11.29</v>
      </c>
      <c r="J27" s="37">
        <v>12.12</v>
      </c>
      <c r="K27" s="37">
        <v>12.82</v>
      </c>
      <c r="L27" s="37">
        <v>13.19</v>
      </c>
      <c r="M27" s="37">
        <v>13.37</v>
      </c>
      <c r="N27" s="37">
        <v>13.44</v>
      </c>
    </row>
    <row r="28" spans="1:24" x14ac:dyDescent="0.35">
      <c r="A28" s="34">
        <v>2026</v>
      </c>
      <c r="B28" s="34" t="s">
        <v>370</v>
      </c>
      <c r="C28" s="34">
        <v>14.17</v>
      </c>
      <c r="D28" s="34">
        <v>13.1</v>
      </c>
      <c r="E28" s="34">
        <v>12.93</v>
      </c>
      <c r="F28" s="34" t="s">
        <v>368</v>
      </c>
      <c r="H28" s="3" t="s">
        <v>368</v>
      </c>
      <c r="I28" s="37">
        <v>11.93</v>
      </c>
      <c r="J28" s="37">
        <v>12.75</v>
      </c>
      <c r="K28" s="37">
        <v>13.1</v>
      </c>
      <c r="L28" s="37">
        <v>13.56</v>
      </c>
      <c r="M28" s="37">
        <v>13.58</v>
      </c>
      <c r="N28" s="37">
        <v>13.43</v>
      </c>
    </row>
    <row r="29" spans="1:24" x14ac:dyDescent="0.35">
      <c r="A29" s="34">
        <v>2026</v>
      </c>
      <c r="B29" s="34" t="s">
        <v>371</v>
      </c>
      <c r="C29" s="34">
        <v>13.13</v>
      </c>
      <c r="D29" s="34">
        <v>12.55</v>
      </c>
      <c r="E29" s="34">
        <v>11.31</v>
      </c>
      <c r="F29" s="34" t="s">
        <v>362</v>
      </c>
      <c r="H29" s="3" t="s">
        <v>135</v>
      </c>
      <c r="I29" s="37">
        <v>105.25</v>
      </c>
      <c r="J29" s="37">
        <v>109.77000000000001</v>
      </c>
      <c r="K29" s="37">
        <v>114.57999999999998</v>
      </c>
      <c r="L29" s="37">
        <v>116.08000000000001</v>
      </c>
      <c r="M29" s="37">
        <v>116.58</v>
      </c>
      <c r="N29" s="37">
        <v>116.78999999999999</v>
      </c>
    </row>
    <row r="30" spans="1:24" x14ac:dyDescent="0.35">
      <c r="A30" s="34">
        <v>2026</v>
      </c>
      <c r="B30" s="34" t="s">
        <v>371</v>
      </c>
      <c r="C30" s="34">
        <v>13.86</v>
      </c>
      <c r="D30" s="34">
        <v>13.35</v>
      </c>
      <c r="E30" s="34">
        <v>11.76</v>
      </c>
      <c r="F30" s="34" t="s">
        <v>9</v>
      </c>
    </row>
    <row r="31" spans="1:24" x14ac:dyDescent="0.35">
      <c r="A31" s="34">
        <v>2026</v>
      </c>
      <c r="B31" s="34" t="s">
        <v>371</v>
      </c>
      <c r="C31" s="34">
        <v>14.73</v>
      </c>
      <c r="D31" s="34">
        <v>14.02</v>
      </c>
      <c r="E31" s="34">
        <v>13.04</v>
      </c>
      <c r="F31" s="34" t="s">
        <v>363</v>
      </c>
      <c r="H31" s="2" t="s">
        <v>380</v>
      </c>
      <c r="I31" s="2" t="s">
        <v>138</v>
      </c>
    </row>
    <row r="32" spans="1:24" x14ac:dyDescent="0.35">
      <c r="A32" s="34">
        <v>2026</v>
      </c>
      <c r="B32" s="34" t="s">
        <v>371</v>
      </c>
      <c r="C32" s="34">
        <v>13.13</v>
      </c>
      <c r="D32" s="34">
        <v>11.98</v>
      </c>
      <c r="E32" s="34">
        <v>11.33</v>
      </c>
      <c r="F32" s="34" t="s">
        <v>364</v>
      </c>
      <c r="H32" s="2" t="s">
        <v>134</v>
      </c>
      <c r="I32" s="36" t="s">
        <v>361</v>
      </c>
      <c r="J32" s="36" t="s">
        <v>369</v>
      </c>
      <c r="K32" s="36" t="s">
        <v>370</v>
      </c>
      <c r="L32" s="36" t="s">
        <v>371</v>
      </c>
      <c r="M32" s="36" t="s">
        <v>372</v>
      </c>
      <c r="N32" s="36" t="s">
        <v>373</v>
      </c>
    </row>
    <row r="33" spans="1:14" x14ac:dyDescent="0.35">
      <c r="A33" s="34">
        <v>2026</v>
      </c>
      <c r="B33" s="34" t="s">
        <v>371</v>
      </c>
      <c r="C33" s="34">
        <v>9.14</v>
      </c>
      <c r="D33" s="34">
        <v>8.99</v>
      </c>
      <c r="E33" s="34">
        <v>8.65</v>
      </c>
      <c r="F33" s="34" t="s">
        <v>104</v>
      </c>
      <c r="H33" s="3" t="s">
        <v>365</v>
      </c>
      <c r="I33" s="37">
        <v>15.08</v>
      </c>
      <c r="J33" s="37">
        <v>15.08</v>
      </c>
      <c r="K33" s="37">
        <v>15.08</v>
      </c>
      <c r="L33" s="37">
        <v>15.08</v>
      </c>
      <c r="M33" s="37">
        <v>15.08</v>
      </c>
      <c r="N33" s="37">
        <v>15.08</v>
      </c>
    </row>
    <row r="34" spans="1:14" x14ac:dyDescent="0.35">
      <c r="A34" s="34">
        <v>2026</v>
      </c>
      <c r="B34" s="34" t="s">
        <v>371</v>
      </c>
      <c r="C34" s="34">
        <v>15.08</v>
      </c>
      <c r="D34" s="34">
        <v>14.32</v>
      </c>
      <c r="E34" s="34">
        <v>14.48</v>
      </c>
      <c r="F34" s="34" t="s">
        <v>365</v>
      </c>
      <c r="H34" s="3" t="s">
        <v>366</v>
      </c>
      <c r="I34" s="37">
        <v>14.91</v>
      </c>
      <c r="J34" s="37">
        <v>14.91</v>
      </c>
      <c r="K34" s="37">
        <v>14.91</v>
      </c>
      <c r="L34" s="37">
        <v>14.91</v>
      </c>
      <c r="M34" s="37">
        <v>14.91</v>
      </c>
      <c r="N34" s="37">
        <v>14.91</v>
      </c>
    </row>
    <row r="35" spans="1:14" x14ac:dyDescent="0.35">
      <c r="A35" s="34">
        <v>2026</v>
      </c>
      <c r="B35" s="34" t="s">
        <v>371</v>
      </c>
      <c r="C35" s="34">
        <v>14.91</v>
      </c>
      <c r="D35" s="34">
        <v>14.12</v>
      </c>
      <c r="E35" s="34">
        <v>14.39</v>
      </c>
      <c r="F35" s="34" t="s">
        <v>366</v>
      </c>
      <c r="H35" s="3" t="s">
        <v>363</v>
      </c>
      <c r="I35" s="37">
        <v>14.73</v>
      </c>
      <c r="J35" s="37">
        <v>14.73</v>
      </c>
      <c r="K35" s="37">
        <v>14.73</v>
      </c>
      <c r="L35" s="37">
        <v>14.73</v>
      </c>
      <c r="M35" s="37">
        <v>14.73</v>
      </c>
      <c r="N35" s="37">
        <v>14.73</v>
      </c>
    </row>
    <row r="36" spans="1:14" x14ac:dyDescent="0.35">
      <c r="A36" s="34">
        <v>2026</v>
      </c>
      <c r="B36" s="34" t="s">
        <v>371</v>
      </c>
      <c r="C36" s="34">
        <v>14.07</v>
      </c>
      <c r="D36" s="34">
        <v>13.19</v>
      </c>
      <c r="E36" s="34">
        <v>12.43</v>
      </c>
      <c r="F36" s="34" t="s">
        <v>367</v>
      </c>
      <c r="H36" s="3" t="s">
        <v>368</v>
      </c>
      <c r="I36" s="37">
        <v>14.17</v>
      </c>
      <c r="J36" s="37">
        <v>14.17</v>
      </c>
      <c r="K36" s="37">
        <v>14.17</v>
      </c>
      <c r="L36" s="37">
        <v>14.17</v>
      </c>
      <c r="M36" s="37">
        <v>14.17</v>
      </c>
      <c r="N36" s="37">
        <v>14.17</v>
      </c>
    </row>
    <row r="37" spans="1:14" x14ac:dyDescent="0.35">
      <c r="A37" s="34">
        <v>2026</v>
      </c>
      <c r="B37" s="34" t="s">
        <v>371</v>
      </c>
      <c r="C37" s="34">
        <v>14.17</v>
      </c>
      <c r="D37" s="34">
        <v>13.56</v>
      </c>
      <c r="E37" s="34">
        <v>12.73</v>
      </c>
      <c r="F37" s="34" t="s">
        <v>368</v>
      </c>
      <c r="H37" s="3" t="s">
        <v>367</v>
      </c>
      <c r="I37" s="37">
        <v>14.07</v>
      </c>
      <c r="J37" s="37">
        <v>14.07</v>
      </c>
      <c r="K37" s="37">
        <v>14.07</v>
      </c>
      <c r="L37" s="37">
        <v>14.07</v>
      </c>
      <c r="M37" s="37">
        <v>14.07</v>
      </c>
      <c r="N37" s="37">
        <v>14.07</v>
      </c>
    </row>
    <row r="38" spans="1:14" x14ac:dyDescent="0.35">
      <c r="A38" s="34">
        <v>2026</v>
      </c>
      <c r="B38" s="34" t="s">
        <v>372</v>
      </c>
      <c r="C38" s="34">
        <v>13.13</v>
      </c>
      <c r="D38" s="34">
        <v>12.61</v>
      </c>
      <c r="E38" s="34">
        <v>11.19</v>
      </c>
      <c r="F38" s="34" t="s">
        <v>362</v>
      </c>
      <c r="H38" s="3" t="s">
        <v>9</v>
      </c>
      <c r="I38" s="37">
        <v>13.86</v>
      </c>
      <c r="J38" s="37">
        <v>13.86</v>
      </c>
      <c r="K38" s="37">
        <v>13.86</v>
      </c>
      <c r="L38" s="37">
        <v>13.86</v>
      </c>
      <c r="M38" s="37">
        <v>13.86</v>
      </c>
      <c r="N38" s="37">
        <v>13.86</v>
      </c>
    </row>
    <row r="39" spans="1:14" x14ac:dyDescent="0.35">
      <c r="A39" s="34">
        <v>2026</v>
      </c>
      <c r="B39" s="34" t="s">
        <v>372</v>
      </c>
      <c r="C39" s="34">
        <v>13.86</v>
      </c>
      <c r="D39" s="34">
        <v>13.55</v>
      </c>
      <c r="E39" s="34">
        <v>11.55</v>
      </c>
      <c r="F39" s="34" t="s">
        <v>9</v>
      </c>
      <c r="H39" s="3" t="s">
        <v>362</v>
      </c>
      <c r="I39" s="37">
        <v>13.13</v>
      </c>
      <c r="J39" s="37">
        <v>13.13</v>
      </c>
      <c r="K39" s="37">
        <v>13.13</v>
      </c>
      <c r="L39" s="37">
        <v>13.13</v>
      </c>
      <c r="M39" s="37">
        <v>13.13</v>
      </c>
      <c r="N39" s="37">
        <v>13.13</v>
      </c>
    </row>
    <row r="40" spans="1:14" x14ac:dyDescent="0.35">
      <c r="A40" s="34">
        <v>2026</v>
      </c>
      <c r="B40" s="34" t="s">
        <v>372</v>
      </c>
      <c r="C40" s="34">
        <v>14.73</v>
      </c>
      <c r="D40" s="34">
        <v>13.92</v>
      </c>
      <c r="E40" s="34">
        <v>13.37</v>
      </c>
      <c r="F40" s="34" t="s">
        <v>363</v>
      </c>
      <c r="H40" s="3" t="s">
        <v>364</v>
      </c>
      <c r="I40" s="37">
        <v>13.13</v>
      </c>
      <c r="J40" s="37">
        <v>13.13</v>
      </c>
      <c r="K40" s="37">
        <v>13.13</v>
      </c>
      <c r="L40" s="37">
        <v>13.13</v>
      </c>
      <c r="M40" s="37">
        <v>13.13</v>
      </c>
      <c r="N40" s="37">
        <v>13.13</v>
      </c>
    </row>
    <row r="41" spans="1:14" x14ac:dyDescent="0.35">
      <c r="A41" s="34">
        <v>2026</v>
      </c>
      <c r="B41" s="34" t="s">
        <v>372</v>
      </c>
      <c r="C41" s="34">
        <v>13.13</v>
      </c>
      <c r="D41" s="34">
        <v>11.74</v>
      </c>
      <c r="E41" s="34">
        <v>11.14</v>
      </c>
      <c r="F41" s="34" t="s">
        <v>364</v>
      </c>
      <c r="H41" s="3" t="s">
        <v>104</v>
      </c>
      <c r="I41" s="37">
        <v>9.14</v>
      </c>
      <c r="J41" s="37">
        <v>9.14</v>
      </c>
      <c r="K41" s="37">
        <v>9.14</v>
      </c>
      <c r="L41" s="37">
        <v>9.14</v>
      </c>
      <c r="M41" s="37">
        <v>9.14</v>
      </c>
      <c r="N41" s="37">
        <v>9.14</v>
      </c>
    </row>
    <row r="42" spans="1:14" x14ac:dyDescent="0.35">
      <c r="A42" s="34">
        <v>2026</v>
      </c>
      <c r="B42" s="34" t="s">
        <v>372</v>
      </c>
      <c r="C42" s="34">
        <v>9.14</v>
      </c>
      <c r="D42" s="34">
        <v>9.19</v>
      </c>
      <c r="E42" s="34">
        <v>8.69</v>
      </c>
      <c r="F42" s="34" t="s">
        <v>104</v>
      </c>
      <c r="H42" s="3" t="s">
        <v>135</v>
      </c>
      <c r="I42" s="37">
        <v>13.580000000000002</v>
      </c>
      <c r="J42" s="37">
        <v>13.580000000000002</v>
      </c>
      <c r="K42" s="37">
        <v>13.580000000000002</v>
      </c>
      <c r="L42" s="37">
        <v>13.580000000000002</v>
      </c>
      <c r="M42" s="37">
        <v>13.580000000000002</v>
      </c>
      <c r="N42" s="37">
        <v>13.580000000000002</v>
      </c>
    </row>
    <row r="43" spans="1:14" x14ac:dyDescent="0.35">
      <c r="A43" s="34">
        <v>2026</v>
      </c>
      <c r="B43" s="34" t="s">
        <v>372</v>
      </c>
      <c r="C43" s="34">
        <v>15.08</v>
      </c>
      <c r="D43" s="34">
        <v>14.26</v>
      </c>
      <c r="E43" s="34">
        <v>14.57</v>
      </c>
      <c r="F43" s="34" t="s">
        <v>365</v>
      </c>
    </row>
    <row r="44" spans="1:14" x14ac:dyDescent="0.35">
      <c r="A44" s="34">
        <v>2026</v>
      </c>
      <c r="B44" s="34" t="s">
        <v>372</v>
      </c>
      <c r="C44" s="34">
        <v>14.91</v>
      </c>
      <c r="D44" s="34">
        <v>14.36</v>
      </c>
      <c r="E44" s="34">
        <v>14.53</v>
      </c>
      <c r="F44" s="34" t="s">
        <v>366</v>
      </c>
    </row>
    <row r="45" spans="1:14" x14ac:dyDescent="0.35">
      <c r="A45" s="34">
        <v>2026</v>
      </c>
      <c r="B45" s="34" t="s">
        <v>372</v>
      </c>
      <c r="C45" s="34">
        <v>14.07</v>
      </c>
      <c r="D45" s="34">
        <v>13.37</v>
      </c>
      <c r="E45" s="34">
        <v>12.76</v>
      </c>
      <c r="F45" s="34" t="s">
        <v>367</v>
      </c>
    </row>
    <row r="46" spans="1:14" x14ac:dyDescent="0.35">
      <c r="A46" s="34">
        <v>2026</v>
      </c>
      <c r="B46" s="34" t="s">
        <v>372</v>
      </c>
      <c r="C46" s="34">
        <v>14.17</v>
      </c>
      <c r="D46" s="34">
        <v>13.58</v>
      </c>
      <c r="E46" s="34">
        <v>12.46</v>
      </c>
      <c r="F46" s="34" t="s">
        <v>368</v>
      </c>
    </row>
    <row r="47" spans="1:14" x14ac:dyDescent="0.35">
      <c r="A47" s="34">
        <v>2026</v>
      </c>
      <c r="B47" s="34" t="s">
        <v>373</v>
      </c>
      <c r="C47" s="34">
        <v>13.13</v>
      </c>
      <c r="D47" s="34">
        <v>12.51</v>
      </c>
      <c r="E47" s="34">
        <v>10.93</v>
      </c>
      <c r="F47" s="34" t="s">
        <v>362</v>
      </c>
    </row>
    <row r="48" spans="1:14" x14ac:dyDescent="0.35">
      <c r="A48" s="34">
        <v>2026</v>
      </c>
      <c r="B48" s="34" t="s">
        <v>373</v>
      </c>
      <c r="C48" s="34">
        <v>13.86</v>
      </c>
      <c r="D48" s="34">
        <v>13.36</v>
      </c>
      <c r="E48" s="34">
        <v>11.32</v>
      </c>
      <c r="F48" s="34" t="s">
        <v>9</v>
      </c>
    </row>
    <row r="49" spans="1:6" x14ac:dyDescent="0.35">
      <c r="A49" s="34">
        <v>2026</v>
      </c>
      <c r="B49" s="34" t="s">
        <v>373</v>
      </c>
      <c r="C49" s="34">
        <v>14.73</v>
      </c>
      <c r="D49" s="34">
        <v>14.05</v>
      </c>
      <c r="E49" s="34">
        <v>12.99</v>
      </c>
      <c r="F49" s="34" t="s">
        <v>363</v>
      </c>
    </row>
    <row r="50" spans="1:6" x14ac:dyDescent="0.35">
      <c r="A50" s="34">
        <v>2026</v>
      </c>
      <c r="B50" s="34" t="s">
        <v>373</v>
      </c>
      <c r="C50" s="34">
        <v>13.13</v>
      </c>
      <c r="D50" s="34">
        <v>11.62</v>
      </c>
      <c r="E50" s="34">
        <v>10.81</v>
      </c>
      <c r="F50" s="34" t="s">
        <v>364</v>
      </c>
    </row>
    <row r="51" spans="1:6" x14ac:dyDescent="0.35">
      <c r="A51" s="34">
        <v>2026</v>
      </c>
      <c r="B51" s="34" t="s">
        <v>373</v>
      </c>
      <c r="C51" s="34">
        <v>9.14</v>
      </c>
      <c r="D51" s="34">
        <v>9.35</v>
      </c>
      <c r="E51" s="34">
        <v>8.6199999999999992</v>
      </c>
      <c r="F51" s="34" t="s">
        <v>104</v>
      </c>
    </row>
    <row r="52" spans="1:6" x14ac:dyDescent="0.35">
      <c r="A52" s="34">
        <v>2026</v>
      </c>
      <c r="B52" s="34" t="s">
        <v>373</v>
      </c>
      <c r="C52" s="34">
        <v>15.08</v>
      </c>
      <c r="D52" s="34">
        <v>14.51</v>
      </c>
      <c r="E52" s="34">
        <v>13.97</v>
      </c>
      <c r="F52" s="34" t="s">
        <v>365</v>
      </c>
    </row>
    <row r="53" spans="1:6" x14ac:dyDescent="0.35">
      <c r="A53" s="34">
        <v>2026</v>
      </c>
      <c r="B53" s="34" t="s">
        <v>373</v>
      </c>
      <c r="C53" s="34">
        <v>14.91</v>
      </c>
      <c r="D53" s="34">
        <v>14.52</v>
      </c>
      <c r="E53" s="34">
        <v>14.5</v>
      </c>
      <c r="F53" s="34" t="s">
        <v>366</v>
      </c>
    </row>
    <row r="54" spans="1:6" x14ac:dyDescent="0.35">
      <c r="A54" s="34">
        <v>2026</v>
      </c>
      <c r="B54" s="34" t="s">
        <v>373</v>
      </c>
      <c r="C54" s="34">
        <v>14.07</v>
      </c>
      <c r="D54" s="34">
        <v>13.44</v>
      </c>
      <c r="E54" s="34">
        <v>12.26</v>
      </c>
      <c r="F54" s="34" t="s">
        <v>367</v>
      </c>
    </row>
    <row r="55" spans="1:6" x14ac:dyDescent="0.35">
      <c r="A55" s="34">
        <v>2026</v>
      </c>
      <c r="B55" s="34" t="s">
        <v>373</v>
      </c>
      <c r="C55" s="34">
        <v>14.17</v>
      </c>
      <c r="D55" s="34">
        <v>13.43</v>
      </c>
      <c r="E55" s="34">
        <v>12.37</v>
      </c>
      <c r="F55" s="34" t="s">
        <v>368</v>
      </c>
    </row>
  </sheetData>
  <conditionalFormatting pivot="1" sqref="I7:N16">
    <cfRule type="colorScale" priority="5">
      <colorScale>
        <cfvo type="min"/>
        <cfvo type="num" val="-0.02"/>
        <cfvo type="max"/>
        <color rgb="FFFF0000"/>
        <color rgb="FFFFEB84"/>
        <color rgb="FF00B050"/>
      </colorScale>
    </cfRule>
  </conditionalFormatting>
  <conditionalFormatting sqref="S17:X17 S7:X15">
    <cfRule type="colorScale" priority="14">
      <colorScale>
        <cfvo type="min"/>
        <cfvo type="num" val="-0.02"/>
        <cfvo type="max"/>
        <color rgb="FFFF0000"/>
        <color rgb="FFFFEB84"/>
        <color rgb="FF00B050"/>
      </colorScale>
    </cfRule>
  </conditionalFormatting>
  <conditionalFormatting sqref="Q17:R17 Q7:Q15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{10C97653-4A18-4E3F-9D51-6559AF4C188F}</x14:id>
        </ext>
      </extLst>
    </cfRule>
  </conditionalFormatting>
  <conditionalFormatting sqref="R7:R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{079CB443-2F94-494B-B57D-EC089AA7B9B3}</x14:id>
        </ext>
      </extLst>
    </cfRule>
  </conditionalFormatting>
  <pageMargins left="0.7" right="0.7" top="0.75" bottom="0.75" header="0.3" footer="0.3"/>
  <pageSetup orientation="portrait" r:id="rId4"/>
  <tableParts count="1"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C97653-4A18-4E3F-9D51-6559AF4C18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Q17:R17 Q7:Q15</xm:sqref>
        </x14:conditionalFormatting>
        <x14:conditionalFormatting xmlns:xm="http://schemas.microsoft.com/office/excel/2006/main">
          <x14:cfRule type="dataBar" id="{079CB443-2F94-494B-B57D-EC089AA7B9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R7:R17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8"/>
  <sheetViews>
    <sheetView showGridLines="0" tabSelected="1" topLeftCell="F60" zoomScale="120" zoomScaleNormal="120" workbookViewId="0">
      <selection activeCell="M64" sqref="M64"/>
    </sheetView>
  </sheetViews>
  <sheetFormatPr baseColWidth="10" defaultRowHeight="14.5" x14ac:dyDescent="0.35"/>
  <cols>
    <col min="1" max="1" width="23.36328125" bestFit="1" customWidth="1"/>
    <col min="2" max="2" width="14.90625" bestFit="1" customWidth="1"/>
    <col min="3" max="3" width="15" bestFit="1" customWidth="1"/>
    <col min="4" max="4" width="10.81640625" bestFit="1" customWidth="1"/>
    <col min="7" max="7" width="23.90625" customWidth="1"/>
    <col min="8" max="8" width="16.7265625" style="19" customWidth="1"/>
    <col min="9" max="9" width="1.54296875" customWidth="1"/>
    <col min="10" max="10" width="23.90625" customWidth="1"/>
    <col min="11" max="11" width="16.7265625" style="19" customWidth="1"/>
    <col min="12" max="12" width="2.08984375" customWidth="1"/>
    <col min="13" max="13" width="23.90625" customWidth="1"/>
    <col min="14" max="14" width="16.7265625" style="19" customWidth="1"/>
  </cols>
  <sheetData>
    <row r="1" spans="1:14" x14ac:dyDescent="0.35">
      <c r="A1" s="34" t="s">
        <v>196</v>
      </c>
      <c r="B1" s="34" t="s">
        <v>325</v>
      </c>
      <c r="C1" s="34" t="s">
        <v>324</v>
      </c>
      <c r="D1" s="34" t="s">
        <v>360</v>
      </c>
      <c r="E1" s="34" t="s">
        <v>383</v>
      </c>
    </row>
    <row r="2" spans="1:14" x14ac:dyDescent="0.35">
      <c r="A2" s="34" t="s">
        <v>304</v>
      </c>
      <c r="B2" s="51">
        <v>1.2376</v>
      </c>
      <c r="C2" s="34">
        <v>17.329999999999998</v>
      </c>
      <c r="D2" s="34" t="s">
        <v>9</v>
      </c>
      <c r="E2" t="str">
        <f>UPPER(analisis_velocidad2[[#This Row],[GOR PPT]])</f>
        <v>FÁTIMA L</v>
      </c>
    </row>
    <row r="3" spans="1:14" x14ac:dyDescent="0.35">
      <c r="A3" s="34" t="s">
        <v>305</v>
      </c>
      <c r="B3" s="51">
        <v>1.1736</v>
      </c>
      <c r="C3" s="34">
        <v>15.26</v>
      </c>
      <c r="D3" s="34" t="s">
        <v>9</v>
      </c>
      <c r="E3" t="str">
        <f>UPPER(analisis_velocidad2[[#This Row],[GOR PPT]])</f>
        <v>FÁTIMA L</v>
      </c>
    </row>
    <row r="4" spans="1:14" x14ac:dyDescent="0.35">
      <c r="A4" s="34" t="s">
        <v>263</v>
      </c>
      <c r="B4" s="51">
        <v>1.1558999999999999</v>
      </c>
      <c r="C4" s="34">
        <v>16.18</v>
      </c>
      <c r="D4" s="34" t="s">
        <v>365</v>
      </c>
      <c r="E4" t="str">
        <f>UPPER(analisis_velocidad2[[#This Row],[GOR PPT]])</f>
        <v>MELANY A</v>
      </c>
      <c r="G4" s="53" t="s">
        <v>388</v>
      </c>
      <c r="H4" s="54" t="s">
        <v>362</v>
      </c>
      <c r="J4" s="53" t="s">
        <v>388</v>
      </c>
      <c r="K4" s="54" t="s">
        <v>384</v>
      </c>
      <c r="M4" s="53" t="s">
        <v>388</v>
      </c>
      <c r="N4" s="54" t="s">
        <v>363</v>
      </c>
    </row>
    <row r="5" spans="1:14" ht="3.5" customHeight="1" x14ac:dyDescent="0.35">
      <c r="A5" s="34" t="s">
        <v>276</v>
      </c>
      <c r="B5" s="51">
        <v>1.1165</v>
      </c>
      <c r="C5" s="34">
        <v>14.51</v>
      </c>
      <c r="D5" s="34" t="s">
        <v>362</v>
      </c>
      <c r="E5" t="str">
        <f>UPPER(analisis_velocidad2[[#This Row],[GOR PPT]])</f>
        <v>DANIEL R</v>
      </c>
    </row>
    <row r="6" spans="1:14" x14ac:dyDescent="0.35">
      <c r="A6" s="34" t="s">
        <v>285</v>
      </c>
      <c r="B6" s="51">
        <v>1.101</v>
      </c>
      <c r="C6" s="34">
        <v>16.510000000000002</v>
      </c>
      <c r="D6" s="34" t="s">
        <v>367</v>
      </c>
      <c r="E6" t="str">
        <f>UPPER(analisis_velocidad2[[#This Row],[GOR PPT]])</f>
        <v>RODOLFO O</v>
      </c>
      <c r="G6" s="52" t="s">
        <v>387</v>
      </c>
      <c r="H6" s="55" t="s">
        <v>386</v>
      </c>
      <c r="J6" s="52" t="s">
        <v>387</v>
      </c>
      <c r="K6" s="55" t="s">
        <v>386</v>
      </c>
      <c r="M6" s="52" t="s">
        <v>387</v>
      </c>
      <c r="N6" s="55" t="s">
        <v>386</v>
      </c>
    </row>
    <row r="7" spans="1:14" x14ac:dyDescent="0.35">
      <c r="A7" s="34" t="s">
        <v>269</v>
      </c>
      <c r="B7" s="51">
        <v>1.0768</v>
      </c>
      <c r="C7" s="34">
        <v>10.77</v>
      </c>
      <c r="D7" s="34" t="s">
        <v>104</v>
      </c>
      <c r="E7" t="str">
        <f>UPPER(analisis_velocidad2[[#This Row],[GOR PPT]])</f>
        <v>MARÍA R</v>
      </c>
      <c r="G7" s="3" t="s">
        <v>281</v>
      </c>
      <c r="H7" s="56">
        <v>0.81479999999999997</v>
      </c>
      <c r="J7" s="3" t="s">
        <v>290</v>
      </c>
      <c r="K7" s="56">
        <v>0.81399999999999995</v>
      </c>
      <c r="M7" s="3" t="s">
        <v>235</v>
      </c>
      <c r="N7" s="56">
        <v>0.85</v>
      </c>
    </row>
    <row r="8" spans="1:14" x14ac:dyDescent="0.35">
      <c r="A8" s="34" t="s">
        <v>287</v>
      </c>
      <c r="B8" s="51">
        <v>1.0750999999999999</v>
      </c>
      <c r="C8" s="34">
        <v>15.05</v>
      </c>
      <c r="D8" s="34" t="s">
        <v>362</v>
      </c>
      <c r="E8" t="str">
        <f>UPPER(analisis_velocidad2[[#This Row],[GOR PPT]])</f>
        <v>DANIEL R</v>
      </c>
      <c r="G8" s="3" t="s">
        <v>296</v>
      </c>
      <c r="H8" s="56">
        <v>0.8871</v>
      </c>
      <c r="J8" s="3" t="s">
        <v>300</v>
      </c>
      <c r="K8" s="56">
        <v>0.86770000000000003</v>
      </c>
      <c r="M8" s="3" t="s">
        <v>241</v>
      </c>
      <c r="N8" s="56">
        <v>0.86539999999999995</v>
      </c>
    </row>
    <row r="9" spans="1:14" x14ac:dyDescent="0.35">
      <c r="A9" s="34" t="s">
        <v>308</v>
      </c>
      <c r="B9" s="51">
        <v>1.0626</v>
      </c>
      <c r="C9" s="34">
        <v>12.75</v>
      </c>
      <c r="D9" s="34" t="s">
        <v>9</v>
      </c>
      <c r="E9" t="str">
        <f>UPPER(analisis_velocidad2[[#This Row],[GOR PPT]])</f>
        <v>FÁTIMA L</v>
      </c>
      <c r="G9" s="3" t="s">
        <v>207</v>
      </c>
      <c r="H9" s="56">
        <v>0.89539999999999997</v>
      </c>
      <c r="J9" s="3" t="s">
        <v>307</v>
      </c>
      <c r="K9" s="56">
        <v>0.86780000000000002</v>
      </c>
      <c r="M9" s="3" t="s">
        <v>230</v>
      </c>
      <c r="N9" s="56">
        <v>0.89359999999999995</v>
      </c>
    </row>
    <row r="10" spans="1:14" x14ac:dyDescent="0.35">
      <c r="A10" s="34" t="s">
        <v>382</v>
      </c>
      <c r="B10" s="51">
        <v>1.0622</v>
      </c>
      <c r="C10" s="34">
        <v>14.87</v>
      </c>
      <c r="D10" s="34" t="s">
        <v>367</v>
      </c>
      <c r="E10" t="str">
        <f>UPPER(analisis_velocidad2[[#This Row],[GOR PPT]])</f>
        <v>RODOLFO O</v>
      </c>
      <c r="G10" s="3" t="s">
        <v>222</v>
      </c>
      <c r="H10" s="56">
        <v>0.92720000000000002</v>
      </c>
      <c r="J10" s="3" t="s">
        <v>294</v>
      </c>
      <c r="K10" s="56">
        <v>0.87360000000000004</v>
      </c>
      <c r="M10" s="3" t="s">
        <v>216</v>
      </c>
      <c r="N10" s="56">
        <v>0.89539999999999997</v>
      </c>
    </row>
    <row r="11" spans="1:14" x14ac:dyDescent="0.35">
      <c r="A11" s="34" t="s">
        <v>303</v>
      </c>
      <c r="B11" s="51">
        <v>1.0593999999999999</v>
      </c>
      <c r="C11" s="34">
        <v>14.83</v>
      </c>
      <c r="D11" s="34" t="s">
        <v>9</v>
      </c>
      <c r="E11" t="str">
        <f>UPPER(analisis_velocidad2[[#This Row],[GOR PPT]])</f>
        <v>FÁTIMA L</v>
      </c>
      <c r="G11" s="3" t="s">
        <v>198</v>
      </c>
      <c r="H11" s="56">
        <v>0.94450000000000001</v>
      </c>
      <c r="J11" s="3" t="s">
        <v>299</v>
      </c>
      <c r="K11" s="56">
        <v>0.88590000000000002</v>
      </c>
      <c r="M11" s="3" t="s">
        <v>217</v>
      </c>
      <c r="N11" s="56">
        <v>0.9204</v>
      </c>
    </row>
    <row r="12" spans="1:14" x14ac:dyDescent="0.35">
      <c r="A12" s="34" t="s">
        <v>282</v>
      </c>
      <c r="B12" s="51">
        <v>1.0499000000000001</v>
      </c>
      <c r="C12" s="34">
        <v>12.6</v>
      </c>
      <c r="D12" s="34" t="s">
        <v>362</v>
      </c>
      <c r="E12" t="str">
        <f>UPPER(analisis_velocidad2[[#This Row],[GOR PPT]])</f>
        <v>DANIEL R</v>
      </c>
      <c r="G12" s="3" t="s">
        <v>289</v>
      </c>
      <c r="H12" s="56">
        <v>0.94940000000000002</v>
      </c>
      <c r="J12" s="3" t="s">
        <v>306</v>
      </c>
      <c r="K12" s="56">
        <v>0.88800000000000001</v>
      </c>
      <c r="M12" s="3" t="s">
        <v>247</v>
      </c>
      <c r="N12" s="56">
        <v>0.93469999999999998</v>
      </c>
    </row>
    <row r="13" spans="1:14" x14ac:dyDescent="0.35">
      <c r="A13" s="34" t="s">
        <v>267</v>
      </c>
      <c r="B13" s="51">
        <v>1.0485</v>
      </c>
      <c r="C13" s="34">
        <v>14.68</v>
      </c>
      <c r="D13" s="34" t="s">
        <v>366</v>
      </c>
      <c r="E13" t="str">
        <f>UPPER(analisis_velocidad2[[#This Row],[GOR PPT]])</f>
        <v>PEPE A</v>
      </c>
      <c r="G13" s="3" t="s">
        <v>278</v>
      </c>
      <c r="H13" s="56">
        <v>0.95020000000000004</v>
      </c>
      <c r="J13" s="3" t="s">
        <v>298</v>
      </c>
      <c r="K13" s="56">
        <v>0.90449999999999997</v>
      </c>
      <c r="M13" s="3" t="s">
        <v>265</v>
      </c>
      <c r="N13" s="56">
        <v>0.95620000000000005</v>
      </c>
    </row>
    <row r="14" spans="1:14" x14ac:dyDescent="0.35">
      <c r="A14" s="34" t="s">
        <v>197</v>
      </c>
      <c r="B14" s="51">
        <v>1.0467</v>
      </c>
      <c r="C14" s="34">
        <v>14.65</v>
      </c>
      <c r="D14" s="34" t="s">
        <v>365</v>
      </c>
      <c r="E14" t="str">
        <f>UPPER(analisis_velocidad2[[#This Row],[GOR PPT]])</f>
        <v>MELANY A</v>
      </c>
      <c r="G14" s="3" t="s">
        <v>295</v>
      </c>
      <c r="H14" s="56">
        <v>0.95279999999999998</v>
      </c>
      <c r="J14" s="3" t="s">
        <v>302</v>
      </c>
      <c r="K14" s="56">
        <v>0.90680000000000005</v>
      </c>
      <c r="M14" s="3" t="s">
        <v>381</v>
      </c>
      <c r="N14" s="56">
        <v>0.9617</v>
      </c>
    </row>
    <row r="15" spans="1:14" x14ac:dyDescent="0.35">
      <c r="A15" s="34" t="s">
        <v>258</v>
      </c>
      <c r="B15" s="51">
        <v>1.0438000000000001</v>
      </c>
      <c r="C15" s="34">
        <v>9.39</v>
      </c>
      <c r="D15" s="34" t="s">
        <v>104</v>
      </c>
      <c r="E15" t="str">
        <f>UPPER(analisis_velocidad2[[#This Row],[GOR PPT]])</f>
        <v>MARÍA R</v>
      </c>
      <c r="G15" s="3" t="s">
        <v>297</v>
      </c>
      <c r="H15" s="56">
        <v>0.96150000000000002</v>
      </c>
      <c r="J15" s="3" t="s">
        <v>291</v>
      </c>
      <c r="K15" s="56">
        <v>0.94530000000000003</v>
      </c>
      <c r="M15" s="3" t="s">
        <v>211</v>
      </c>
      <c r="N15" s="56">
        <v>0.97670000000000001</v>
      </c>
    </row>
    <row r="16" spans="1:14" x14ac:dyDescent="0.35">
      <c r="A16" s="34" t="s">
        <v>301</v>
      </c>
      <c r="B16" s="51">
        <v>1.0261</v>
      </c>
      <c r="C16" s="34">
        <v>12.31</v>
      </c>
      <c r="D16" s="34" t="s">
        <v>9</v>
      </c>
      <c r="E16" t="str">
        <f>UPPER(analisis_velocidad2[[#This Row],[GOR PPT]])</f>
        <v>FÁTIMA L</v>
      </c>
      <c r="G16" s="3" t="s">
        <v>270</v>
      </c>
      <c r="H16" s="56">
        <v>0.96279999999999999</v>
      </c>
      <c r="J16" s="3" t="s">
        <v>301</v>
      </c>
      <c r="K16" s="56">
        <v>1.0261</v>
      </c>
      <c r="M16" s="3" t="s">
        <v>239</v>
      </c>
      <c r="N16" s="56">
        <v>1.0018</v>
      </c>
    </row>
    <row r="17" spans="1:14" x14ac:dyDescent="0.35">
      <c r="A17" s="34" t="s">
        <v>256</v>
      </c>
      <c r="B17" s="51">
        <v>1.0219</v>
      </c>
      <c r="C17" s="34">
        <v>16.86</v>
      </c>
      <c r="D17" s="34" t="s">
        <v>366</v>
      </c>
      <c r="E17" t="str">
        <f>UPPER(analisis_velocidad2[[#This Row],[GOR PPT]])</f>
        <v>PEPE A</v>
      </c>
      <c r="G17" s="3" t="s">
        <v>243</v>
      </c>
      <c r="H17" s="56">
        <v>0.96740000000000004</v>
      </c>
      <c r="J17" s="3" t="s">
        <v>303</v>
      </c>
      <c r="K17" s="56">
        <v>1.0593999999999999</v>
      </c>
      <c r="M17" s="3" t="s">
        <v>275</v>
      </c>
      <c r="N17" s="56">
        <v>1.0161</v>
      </c>
    </row>
    <row r="18" spans="1:14" x14ac:dyDescent="0.35">
      <c r="A18" s="34" t="s">
        <v>253</v>
      </c>
      <c r="B18" s="51">
        <v>1.0204</v>
      </c>
      <c r="C18" s="34">
        <v>14.29</v>
      </c>
      <c r="D18" s="34" t="s">
        <v>365</v>
      </c>
      <c r="E18" t="str">
        <f>UPPER(analisis_velocidad2[[#This Row],[GOR PPT]])</f>
        <v>MELANY A</v>
      </c>
      <c r="G18" s="3" t="s">
        <v>277</v>
      </c>
      <c r="H18" s="56">
        <v>0.98609999999999998</v>
      </c>
      <c r="J18" s="3" t="s">
        <v>308</v>
      </c>
      <c r="K18" s="56">
        <v>1.0626</v>
      </c>
      <c r="N18" s="20"/>
    </row>
    <row r="19" spans="1:14" x14ac:dyDescent="0.35">
      <c r="A19" s="34" t="s">
        <v>275</v>
      </c>
      <c r="B19" s="51">
        <v>1.0161</v>
      </c>
      <c r="C19" s="34">
        <v>16.260000000000002</v>
      </c>
      <c r="D19" s="34" t="s">
        <v>363</v>
      </c>
      <c r="E19" t="str">
        <f>UPPER(analisis_velocidad2[[#This Row],[GOR PPT]])</f>
        <v>JOE H</v>
      </c>
      <c r="G19" s="3" t="s">
        <v>280</v>
      </c>
      <c r="H19" s="56">
        <v>1.0032000000000001</v>
      </c>
      <c r="J19" s="3" t="s">
        <v>305</v>
      </c>
      <c r="K19" s="56">
        <v>1.1736</v>
      </c>
      <c r="N19" s="20"/>
    </row>
    <row r="20" spans="1:14" x14ac:dyDescent="0.35">
      <c r="A20" s="34" t="s">
        <v>231</v>
      </c>
      <c r="B20" s="51">
        <v>1.0127999999999999</v>
      </c>
      <c r="C20" s="34">
        <v>15.19</v>
      </c>
      <c r="D20" s="34" t="s">
        <v>368</v>
      </c>
      <c r="E20" t="str">
        <f>UPPER(analisis_velocidad2[[#This Row],[GOR PPT]])</f>
        <v>VIK E</v>
      </c>
      <c r="G20" s="3" t="s">
        <v>282</v>
      </c>
      <c r="H20" s="56">
        <v>1.0499000000000001</v>
      </c>
      <c r="J20" s="3" t="s">
        <v>304</v>
      </c>
      <c r="K20" s="56">
        <v>1.2376</v>
      </c>
      <c r="N20" s="20"/>
    </row>
    <row r="21" spans="1:14" x14ac:dyDescent="0.35">
      <c r="A21" s="34" t="s">
        <v>234</v>
      </c>
      <c r="B21" s="51">
        <v>1.0125999999999999</v>
      </c>
      <c r="C21" s="34">
        <v>14.18</v>
      </c>
      <c r="D21" s="34" t="s">
        <v>368</v>
      </c>
      <c r="E21" t="str">
        <f>UPPER(analisis_velocidad2[[#This Row],[GOR PPT]])</f>
        <v>VIK E</v>
      </c>
      <c r="G21" s="3" t="s">
        <v>287</v>
      </c>
      <c r="H21" s="56">
        <v>1.0750999999999999</v>
      </c>
      <c r="K21" s="20"/>
      <c r="N21" s="20"/>
    </row>
    <row r="22" spans="1:14" x14ac:dyDescent="0.35">
      <c r="A22" s="34" t="s">
        <v>280</v>
      </c>
      <c r="B22" s="51">
        <v>1.0032000000000001</v>
      </c>
      <c r="C22" s="34">
        <v>15.05</v>
      </c>
      <c r="D22" s="34" t="s">
        <v>362</v>
      </c>
      <c r="E22" t="str">
        <f>UPPER(analisis_velocidad2[[#This Row],[GOR PPT]])</f>
        <v>DANIEL R</v>
      </c>
      <c r="G22" s="3" t="s">
        <v>276</v>
      </c>
      <c r="H22" s="56">
        <v>1.1165</v>
      </c>
      <c r="K22" s="20"/>
      <c r="N22" s="20"/>
    </row>
    <row r="23" spans="1:14" x14ac:dyDescent="0.35">
      <c r="A23" s="34" t="s">
        <v>239</v>
      </c>
      <c r="B23" s="51">
        <v>1.0018</v>
      </c>
      <c r="C23" s="34">
        <v>14.03</v>
      </c>
      <c r="D23" s="34" t="s">
        <v>363</v>
      </c>
      <c r="E23" t="str">
        <f>UPPER(analisis_velocidad2[[#This Row],[GOR PPT]])</f>
        <v>JOE H</v>
      </c>
      <c r="H23" s="20"/>
      <c r="K23" s="20"/>
      <c r="N23" s="20"/>
    </row>
    <row r="24" spans="1:14" x14ac:dyDescent="0.35">
      <c r="A24" s="34" t="s">
        <v>208</v>
      </c>
      <c r="B24" s="51">
        <v>0.99519999999999997</v>
      </c>
      <c r="C24" s="34">
        <v>8.9600000000000009</v>
      </c>
      <c r="D24" s="34" t="s">
        <v>104</v>
      </c>
      <c r="E24" t="str">
        <f>UPPER(analisis_velocidad2[[#This Row],[GOR PPT]])</f>
        <v>MARÍA R</v>
      </c>
      <c r="G24" s="53" t="s">
        <v>388</v>
      </c>
      <c r="H24" s="54" t="s">
        <v>364</v>
      </c>
      <c r="J24" s="53" t="s">
        <v>388</v>
      </c>
      <c r="K24" s="54" t="s">
        <v>385</v>
      </c>
      <c r="M24" s="53" t="s">
        <v>388</v>
      </c>
      <c r="N24" s="54" t="s">
        <v>365</v>
      </c>
    </row>
    <row r="25" spans="1:14" ht="4" customHeight="1" x14ac:dyDescent="0.35">
      <c r="A25" s="34" t="s">
        <v>220</v>
      </c>
      <c r="B25" s="51">
        <v>0.99439999999999995</v>
      </c>
      <c r="C25" s="34">
        <v>15.91</v>
      </c>
      <c r="D25" s="34" t="s">
        <v>368</v>
      </c>
      <c r="E25" t="str">
        <f>UPPER(analisis_velocidad2[[#This Row],[GOR PPT]])</f>
        <v>VIK E</v>
      </c>
    </row>
    <row r="26" spans="1:14" x14ac:dyDescent="0.35">
      <c r="A26" s="34" t="s">
        <v>246</v>
      </c>
      <c r="B26" s="51">
        <v>0.99319999999999997</v>
      </c>
      <c r="C26" s="34">
        <v>8.94</v>
      </c>
      <c r="D26" s="34" t="s">
        <v>104</v>
      </c>
      <c r="E26" t="str">
        <f>UPPER(analisis_velocidad2[[#This Row],[GOR PPT]])</f>
        <v>MARÍA R</v>
      </c>
      <c r="G26" s="52" t="s">
        <v>387</v>
      </c>
      <c r="H26" s="55" t="s">
        <v>386</v>
      </c>
      <c r="J26" s="52" t="s">
        <v>387</v>
      </c>
      <c r="K26" s="55" t="s">
        <v>386</v>
      </c>
      <c r="M26" s="52" t="s">
        <v>387</v>
      </c>
      <c r="N26" s="55" t="s">
        <v>386</v>
      </c>
    </row>
    <row r="27" spans="1:14" x14ac:dyDescent="0.35">
      <c r="A27" s="34" t="s">
        <v>221</v>
      </c>
      <c r="B27" s="51">
        <v>0.99129999999999996</v>
      </c>
      <c r="C27" s="34">
        <v>8.92</v>
      </c>
      <c r="D27" s="34" t="s">
        <v>104</v>
      </c>
      <c r="E27" t="str">
        <f>UPPER(analisis_velocidad2[[#This Row],[GOR PPT]])</f>
        <v>MARÍA R</v>
      </c>
      <c r="G27" s="3" t="s">
        <v>209</v>
      </c>
      <c r="H27" s="56">
        <v>0.82599999999999996</v>
      </c>
      <c r="J27" s="3" t="s">
        <v>271</v>
      </c>
      <c r="K27" s="56">
        <v>0.88290000000000002</v>
      </c>
      <c r="M27" s="3" t="s">
        <v>279</v>
      </c>
      <c r="N27" s="56">
        <v>0.81140000000000001</v>
      </c>
    </row>
    <row r="28" spans="1:14" x14ac:dyDescent="0.35">
      <c r="A28" s="34" t="s">
        <v>284</v>
      </c>
      <c r="B28" s="51">
        <v>0.99039999999999995</v>
      </c>
      <c r="C28" s="34">
        <v>14.86</v>
      </c>
      <c r="D28" s="34" t="s">
        <v>368</v>
      </c>
      <c r="E28" t="str">
        <f>UPPER(analisis_velocidad2[[#This Row],[GOR PPT]])</f>
        <v>VIK E</v>
      </c>
      <c r="G28" s="3" t="s">
        <v>203</v>
      </c>
      <c r="H28" s="56">
        <v>0.8377</v>
      </c>
      <c r="J28" s="3" t="s">
        <v>254</v>
      </c>
      <c r="K28" s="56">
        <v>0.96179999999999999</v>
      </c>
      <c r="M28" s="3" t="s">
        <v>273</v>
      </c>
      <c r="N28" s="56">
        <v>0.89359999999999995</v>
      </c>
    </row>
    <row r="29" spans="1:14" x14ac:dyDescent="0.35">
      <c r="A29" s="34" t="s">
        <v>277</v>
      </c>
      <c r="B29" s="51">
        <v>0.98609999999999998</v>
      </c>
      <c r="C29" s="34">
        <v>12.82</v>
      </c>
      <c r="D29" s="34" t="s">
        <v>362</v>
      </c>
      <c r="E29" t="str">
        <f>UPPER(analisis_velocidad2[[#This Row],[GOR PPT]])</f>
        <v>DANIEL R</v>
      </c>
      <c r="G29" s="3" t="s">
        <v>240</v>
      </c>
      <c r="H29" s="56">
        <v>0.8407</v>
      </c>
      <c r="J29" s="3" t="s">
        <v>221</v>
      </c>
      <c r="K29" s="56">
        <v>0.99129999999999996</v>
      </c>
      <c r="M29" s="3" t="s">
        <v>206</v>
      </c>
      <c r="N29" s="56">
        <v>0.89839999999999998</v>
      </c>
    </row>
    <row r="30" spans="1:14" x14ac:dyDescent="0.35">
      <c r="A30" s="34" t="s">
        <v>210</v>
      </c>
      <c r="B30" s="51">
        <v>0.98309999999999997</v>
      </c>
      <c r="C30" s="34">
        <v>15.73</v>
      </c>
      <c r="D30" s="34" t="s">
        <v>368</v>
      </c>
      <c r="E30" t="str">
        <f>UPPER(analisis_velocidad2[[#This Row],[GOR PPT]])</f>
        <v>VIK E</v>
      </c>
      <c r="G30" s="3" t="s">
        <v>236</v>
      </c>
      <c r="H30" s="56">
        <v>0.84089999999999998</v>
      </c>
      <c r="J30" s="3" t="s">
        <v>246</v>
      </c>
      <c r="K30" s="56">
        <v>0.99319999999999997</v>
      </c>
      <c r="M30" s="3" t="s">
        <v>272</v>
      </c>
      <c r="N30" s="56">
        <v>0.91100000000000003</v>
      </c>
    </row>
    <row r="31" spans="1:14" x14ac:dyDescent="0.35">
      <c r="A31" s="34" t="s">
        <v>266</v>
      </c>
      <c r="B31" s="51">
        <v>0.97729999999999995</v>
      </c>
      <c r="C31" s="34">
        <v>13.68</v>
      </c>
      <c r="D31" s="34" t="s">
        <v>366</v>
      </c>
      <c r="E31" t="str">
        <f>UPPER(analisis_velocidad2[[#This Row],[GOR PPT]])</f>
        <v>PEPE A</v>
      </c>
      <c r="G31" s="3" t="s">
        <v>202</v>
      </c>
      <c r="H31" s="56">
        <v>0.85640000000000005</v>
      </c>
      <c r="J31" s="3" t="s">
        <v>208</v>
      </c>
      <c r="K31" s="56">
        <v>0.99519999999999997</v>
      </c>
      <c r="M31" s="3" t="s">
        <v>255</v>
      </c>
      <c r="N31" s="56">
        <v>0.94010000000000005</v>
      </c>
    </row>
    <row r="32" spans="1:14" x14ac:dyDescent="0.35">
      <c r="A32" s="34" t="s">
        <v>211</v>
      </c>
      <c r="B32" s="51">
        <v>0.97670000000000001</v>
      </c>
      <c r="C32" s="34">
        <v>12.7</v>
      </c>
      <c r="D32" s="34" t="s">
        <v>363</v>
      </c>
      <c r="E32" t="str">
        <f>UPPER(analisis_velocidad2[[#This Row],[GOR PPT]])</f>
        <v>JOE H</v>
      </c>
      <c r="G32" s="3" t="s">
        <v>204</v>
      </c>
      <c r="H32" s="56">
        <v>0.86070000000000002</v>
      </c>
      <c r="J32" s="3" t="s">
        <v>258</v>
      </c>
      <c r="K32" s="56">
        <v>1.0438000000000001</v>
      </c>
      <c r="M32" s="3" t="s">
        <v>238</v>
      </c>
      <c r="N32" s="56">
        <v>0.95930000000000004</v>
      </c>
    </row>
    <row r="33" spans="1:14" x14ac:dyDescent="0.35">
      <c r="A33" s="34" t="s">
        <v>199</v>
      </c>
      <c r="B33" s="51">
        <v>0.97370000000000001</v>
      </c>
      <c r="C33" s="34">
        <v>13.63</v>
      </c>
      <c r="D33" s="34" t="s">
        <v>365</v>
      </c>
      <c r="E33" t="str">
        <f>UPPER(analisis_velocidad2[[#This Row],[GOR PPT]])</f>
        <v>MELANY A</v>
      </c>
      <c r="G33" s="3" t="s">
        <v>213</v>
      </c>
      <c r="H33" s="56">
        <v>0.87680000000000002</v>
      </c>
      <c r="J33" s="3" t="s">
        <v>269</v>
      </c>
      <c r="K33" s="56">
        <v>1.0768</v>
      </c>
      <c r="M33" s="3" t="s">
        <v>242</v>
      </c>
      <c r="N33" s="56">
        <v>0.96850000000000003</v>
      </c>
    </row>
    <row r="34" spans="1:14" x14ac:dyDescent="0.35">
      <c r="A34" s="34" t="s">
        <v>248</v>
      </c>
      <c r="B34" s="51">
        <v>0.97340000000000004</v>
      </c>
      <c r="C34" s="34">
        <v>13.63</v>
      </c>
      <c r="D34" s="34" t="s">
        <v>368</v>
      </c>
      <c r="E34" t="str">
        <f>UPPER(analisis_velocidad2[[#This Row],[GOR PPT]])</f>
        <v>VIK E</v>
      </c>
      <c r="G34" s="3" t="s">
        <v>201</v>
      </c>
      <c r="H34" s="56">
        <v>0.89500000000000002</v>
      </c>
      <c r="K34" s="20"/>
      <c r="M34" s="3" t="s">
        <v>199</v>
      </c>
      <c r="N34" s="56">
        <v>0.97370000000000001</v>
      </c>
    </row>
    <row r="35" spans="1:14" x14ac:dyDescent="0.35">
      <c r="A35" s="34" t="s">
        <v>251</v>
      </c>
      <c r="B35" s="51">
        <v>0.9708</v>
      </c>
      <c r="C35" s="34">
        <v>15.53</v>
      </c>
      <c r="D35" s="34" t="s">
        <v>366</v>
      </c>
      <c r="E35" t="str">
        <f>UPPER(analisis_velocidad2[[#This Row],[GOR PPT]])</f>
        <v>PEPE A</v>
      </c>
      <c r="H35" s="20"/>
      <c r="K35" s="20"/>
      <c r="M35" s="3" t="s">
        <v>253</v>
      </c>
      <c r="N35" s="56">
        <v>1.0204</v>
      </c>
    </row>
    <row r="36" spans="1:14" x14ac:dyDescent="0.35">
      <c r="A36" s="34" t="s">
        <v>242</v>
      </c>
      <c r="B36" s="51">
        <v>0.96850000000000003</v>
      </c>
      <c r="C36" s="34">
        <v>13.56</v>
      </c>
      <c r="D36" s="34" t="s">
        <v>365</v>
      </c>
      <c r="E36" t="str">
        <f>UPPER(analisis_velocidad2[[#This Row],[GOR PPT]])</f>
        <v>MELANY A</v>
      </c>
      <c r="H36" s="20"/>
      <c r="K36" s="20"/>
      <c r="M36" s="3" t="s">
        <v>197</v>
      </c>
      <c r="N36" s="56">
        <v>1.0467</v>
      </c>
    </row>
    <row r="37" spans="1:14" x14ac:dyDescent="0.35">
      <c r="A37" s="34" t="s">
        <v>314</v>
      </c>
      <c r="B37" s="51">
        <v>0.96850000000000003</v>
      </c>
      <c r="C37" s="34">
        <v>12.59</v>
      </c>
      <c r="D37" s="34" t="s">
        <v>366</v>
      </c>
      <c r="E37" t="str">
        <f>UPPER(analisis_velocidad2[[#This Row],[GOR PPT]])</f>
        <v>PEPE A</v>
      </c>
      <c r="H37" s="20"/>
      <c r="K37" s="20"/>
      <c r="M37" s="3" t="s">
        <v>263</v>
      </c>
      <c r="N37" s="56">
        <v>1.1558999999999999</v>
      </c>
    </row>
    <row r="38" spans="1:14" x14ac:dyDescent="0.35">
      <c r="A38" s="34" t="s">
        <v>243</v>
      </c>
      <c r="B38" s="51">
        <v>0.96740000000000004</v>
      </c>
      <c r="C38" s="34">
        <v>12.58</v>
      </c>
      <c r="D38" s="34" t="s">
        <v>362</v>
      </c>
      <c r="E38" t="str">
        <f>UPPER(analisis_velocidad2[[#This Row],[GOR PPT]])</f>
        <v>DANIEL R</v>
      </c>
      <c r="H38" s="20"/>
      <c r="K38" s="20"/>
      <c r="N38" s="20"/>
    </row>
    <row r="39" spans="1:14" x14ac:dyDescent="0.35">
      <c r="A39" s="34" t="s">
        <v>270</v>
      </c>
      <c r="B39" s="51">
        <v>0.96279999999999999</v>
      </c>
      <c r="C39" s="34">
        <v>12.52</v>
      </c>
      <c r="D39" s="34" t="s">
        <v>362</v>
      </c>
      <c r="E39" t="str">
        <f>UPPER(analisis_velocidad2[[#This Row],[GOR PPT]])</f>
        <v>DANIEL R</v>
      </c>
      <c r="G39" s="53" t="s">
        <v>388</v>
      </c>
      <c r="H39" s="54" t="s">
        <v>366</v>
      </c>
      <c r="J39" s="53" t="s">
        <v>388</v>
      </c>
      <c r="K39" s="54" t="s">
        <v>367</v>
      </c>
      <c r="M39" s="53" t="s">
        <v>388</v>
      </c>
      <c r="N39" s="54" t="s">
        <v>368</v>
      </c>
    </row>
    <row r="40" spans="1:14" ht="3" customHeight="1" x14ac:dyDescent="0.35">
      <c r="A40" s="34" t="s">
        <v>254</v>
      </c>
      <c r="B40" s="51">
        <v>0.96179999999999999</v>
      </c>
      <c r="C40" s="34">
        <v>8.66</v>
      </c>
      <c r="D40" s="34" t="s">
        <v>104</v>
      </c>
      <c r="E40" t="str">
        <f>UPPER(analisis_velocidad2[[#This Row],[GOR PPT]])</f>
        <v>MARÍA R</v>
      </c>
    </row>
    <row r="41" spans="1:14" x14ac:dyDescent="0.35">
      <c r="A41" s="34" t="s">
        <v>381</v>
      </c>
      <c r="B41" s="51">
        <v>0.9617</v>
      </c>
      <c r="C41" s="34">
        <v>13.46</v>
      </c>
      <c r="D41" s="34" t="s">
        <v>363</v>
      </c>
      <c r="E41" t="str">
        <f>UPPER(analisis_velocidad2[[#This Row],[GOR PPT]])</f>
        <v>JOE H</v>
      </c>
      <c r="G41" s="52" t="s">
        <v>387</v>
      </c>
      <c r="H41" s="55" t="s">
        <v>386</v>
      </c>
      <c r="J41" s="52" t="s">
        <v>387</v>
      </c>
      <c r="K41" s="55" t="s">
        <v>386</v>
      </c>
      <c r="M41" s="52" t="s">
        <v>387</v>
      </c>
      <c r="N41" s="55" t="s">
        <v>386</v>
      </c>
    </row>
    <row r="42" spans="1:14" x14ac:dyDescent="0.35">
      <c r="A42" s="34" t="s">
        <v>297</v>
      </c>
      <c r="B42" s="51">
        <v>0.96150000000000002</v>
      </c>
      <c r="C42" s="34">
        <v>15.38</v>
      </c>
      <c r="D42" s="34" t="s">
        <v>362</v>
      </c>
      <c r="E42" t="str">
        <f>UPPER(analisis_velocidad2[[#This Row],[GOR PPT]])</f>
        <v>DANIEL R</v>
      </c>
      <c r="G42" s="3" t="s">
        <v>215</v>
      </c>
      <c r="H42" s="56">
        <v>0.85909999999999997</v>
      </c>
      <c r="J42" s="3" t="s">
        <v>250</v>
      </c>
      <c r="K42" s="56">
        <v>0.80320000000000003</v>
      </c>
      <c r="M42" s="3" t="s">
        <v>274</v>
      </c>
      <c r="N42" s="56">
        <v>0.75219999999999998</v>
      </c>
    </row>
    <row r="43" spans="1:14" x14ac:dyDescent="0.35">
      <c r="A43" s="34" t="s">
        <v>227</v>
      </c>
      <c r="B43" s="51">
        <v>0.9597</v>
      </c>
      <c r="C43" s="34">
        <v>13.92</v>
      </c>
      <c r="D43" s="34" t="s">
        <v>366</v>
      </c>
      <c r="E43" t="str">
        <f>UPPER(analisis_velocidad2[[#This Row],[GOR PPT]])</f>
        <v>PEPE A</v>
      </c>
      <c r="G43" s="3" t="s">
        <v>218</v>
      </c>
      <c r="H43" s="56">
        <v>0.86270000000000002</v>
      </c>
      <c r="J43" s="3" t="s">
        <v>244</v>
      </c>
      <c r="K43" s="56">
        <v>0.876</v>
      </c>
      <c r="M43" s="3" t="s">
        <v>261</v>
      </c>
      <c r="N43" s="56">
        <v>0.83250000000000002</v>
      </c>
    </row>
    <row r="44" spans="1:14" x14ac:dyDescent="0.35">
      <c r="A44" s="34" t="s">
        <v>238</v>
      </c>
      <c r="B44" s="51">
        <v>0.95930000000000004</v>
      </c>
      <c r="C44" s="34">
        <v>14.39</v>
      </c>
      <c r="D44" s="34" t="s">
        <v>365</v>
      </c>
      <c r="E44" t="str">
        <f>UPPER(analisis_velocidad2[[#This Row],[GOR PPT]])</f>
        <v>MELANY A</v>
      </c>
      <c r="G44" s="3" t="s">
        <v>205</v>
      </c>
      <c r="H44" s="56">
        <v>0.87319999999999998</v>
      </c>
      <c r="J44" s="3" t="s">
        <v>226</v>
      </c>
      <c r="K44" s="56">
        <v>0.87719999999999998</v>
      </c>
      <c r="M44" s="3" t="s">
        <v>229</v>
      </c>
      <c r="N44" s="56">
        <v>0.8468</v>
      </c>
    </row>
    <row r="45" spans="1:14" x14ac:dyDescent="0.35">
      <c r="A45" s="34" t="s">
        <v>249</v>
      </c>
      <c r="B45" s="51">
        <v>0.95640000000000003</v>
      </c>
      <c r="C45" s="34">
        <v>13.39</v>
      </c>
      <c r="D45" s="34" t="s">
        <v>367</v>
      </c>
      <c r="E45" t="str">
        <f>UPPER(analisis_velocidad2[[#This Row],[GOR PPT]])</f>
        <v>RODOLFO O</v>
      </c>
      <c r="G45" s="3" t="s">
        <v>286</v>
      </c>
      <c r="H45" s="56">
        <v>0.89080000000000004</v>
      </c>
      <c r="J45" s="3" t="s">
        <v>212</v>
      </c>
      <c r="K45" s="56">
        <v>0.87949999999999995</v>
      </c>
      <c r="M45" s="3" t="s">
        <v>233</v>
      </c>
      <c r="N45" s="56">
        <v>0.85140000000000005</v>
      </c>
    </row>
    <row r="46" spans="1:14" x14ac:dyDescent="0.35">
      <c r="A46" s="34" t="s">
        <v>265</v>
      </c>
      <c r="B46" s="51">
        <v>0.95620000000000005</v>
      </c>
      <c r="C46" s="34">
        <v>15.3</v>
      </c>
      <c r="D46" s="34" t="s">
        <v>363</v>
      </c>
      <c r="E46" t="str">
        <f>UPPER(analisis_velocidad2[[#This Row],[GOR PPT]])</f>
        <v>JOE H</v>
      </c>
      <c r="G46" s="3" t="s">
        <v>315</v>
      </c>
      <c r="H46" s="56">
        <v>0.94820000000000004</v>
      </c>
      <c r="J46" s="3" t="s">
        <v>223</v>
      </c>
      <c r="K46" s="56">
        <v>0.88580000000000003</v>
      </c>
      <c r="M46" s="3" t="s">
        <v>219</v>
      </c>
      <c r="N46" s="56">
        <v>0.8619</v>
      </c>
    </row>
    <row r="47" spans="1:14" x14ac:dyDescent="0.35">
      <c r="A47" s="34" t="s">
        <v>295</v>
      </c>
      <c r="B47" s="51">
        <v>0.95279999999999998</v>
      </c>
      <c r="C47" s="34">
        <v>12.39</v>
      </c>
      <c r="D47" s="34" t="s">
        <v>362</v>
      </c>
      <c r="E47" t="str">
        <f>UPPER(analisis_velocidad2[[#This Row],[GOR PPT]])</f>
        <v>DANIEL R</v>
      </c>
      <c r="G47" s="3" t="s">
        <v>227</v>
      </c>
      <c r="H47" s="56">
        <v>0.9597</v>
      </c>
      <c r="J47" s="3" t="s">
        <v>264</v>
      </c>
      <c r="K47" s="56">
        <v>0.89300000000000002</v>
      </c>
      <c r="M47" s="3" t="s">
        <v>268</v>
      </c>
      <c r="N47" s="56">
        <v>0.87380000000000002</v>
      </c>
    </row>
    <row r="48" spans="1:14" x14ac:dyDescent="0.35">
      <c r="A48" s="34" t="s">
        <v>278</v>
      </c>
      <c r="B48" s="51">
        <v>0.95020000000000004</v>
      </c>
      <c r="C48" s="34">
        <v>12.35</v>
      </c>
      <c r="D48" s="34" t="s">
        <v>362</v>
      </c>
      <c r="E48" t="str">
        <f>UPPER(analisis_velocidad2[[#This Row],[GOR PPT]])</f>
        <v>DANIEL R</v>
      </c>
      <c r="G48" s="3" t="s">
        <v>314</v>
      </c>
      <c r="H48" s="56">
        <v>0.96850000000000003</v>
      </c>
      <c r="J48" s="3" t="s">
        <v>214</v>
      </c>
      <c r="K48" s="56">
        <v>0.90410000000000001</v>
      </c>
      <c r="M48" s="3" t="s">
        <v>245</v>
      </c>
      <c r="N48" s="56">
        <v>0.88039999999999996</v>
      </c>
    </row>
    <row r="49" spans="1:14" x14ac:dyDescent="0.35">
      <c r="A49" s="34" t="s">
        <v>289</v>
      </c>
      <c r="B49" s="51">
        <v>0.94940000000000002</v>
      </c>
      <c r="C49" s="34">
        <v>11.39</v>
      </c>
      <c r="D49" s="34" t="s">
        <v>362</v>
      </c>
      <c r="E49" t="str">
        <f>UPPER(analisis_velocidad2[[#This Row],[GOR PPT]])</f>
        <v>DANIEL R</v>
      </c>
      <c r="G49" s="3" t="s">
        <v>251</v>
      </c>
      <c r="H49" s="56">
        <v>0.9708</v>
      </c>
      <c r="J49" s="3" t="s">
        <v>225</v>
      </c>
      <c r="K49" s="56">
        <v>0.90739999999999998</v>
      </c>
      <c r="M49" s="3" t="s">
        <v>260</v>
      </c>
      <c r="N49" s="56">
        <v>0.89449999999999996</v>
      </c>
    </row>
    <row r="50" spans="1:14" x14ac:dyDescent="0.35">
      <c r="A50" s="34" t="s">
        <v>315</v>
      </c>
      <c r="B50" s="51">
        <v>0.94820000000000004</v>
      </c>
      <c r="C50" s="34">
        <v>12.33</v>
      </c>
      <c r="D50" s="34" t="s">
        <v>366</v>
      </c>
      <c r="E50" t="str">
        <f>UPPER(analisis_velocidad2[[#This Row],[GOR PPT]])</f>
        <v>PEPE A</v>
      </c>
      <c r="G50" s="3" t="s">
        <v>266</v>
      </c>
      <c r="H50" s="56">
        <v>0.97729999999999995</v>
      </c>
      <c r="J50" s="3" t="s">
        <v>252</v>
      </c>
      <c r="K50" s="56">
        <v>0.92100000000000004</v>
      </c>
      <c r="M50" s="3" t="s">
        <v>237</v>
      </c>
      <c r="N50" s="56">
        <v>0.89649999999999996</v>
      </c>
    </row>
    <row r="51" spans="1:14" x14ac:dyDescent="0.35">
      <c r="A51" s="34" t="s">
        <v>291</v>
      </c>
      <c r="B51" s="51">
        <v>0.94530000000000003</v>
      </c>
      <c r="C51" s="34">
        <v>12.29</v>
      </c>
      <c r="D51" s="34" t="s">
        <v>9</v>
      </c>
      <c r="E51" t="str">
        <f>UPPER(analisis_velocidad2[[#This Row],[GOR PPT]])</f>
        <v>FÁTIMA L</v>
      </c>
      <c r="G51" s="3" t="s">
        <v>256</v>
      </c>
      <c r="H51" s="56">
        <v>1.0219</v>
      </c>
      <c r="J51" s="3" t="s">
        <v>228</v>
      </c>
      <c r="K51" s="56">
        <v>0.92859999999999998</v>
      </c>
      <c r="M51" s="3" t="s">
        <v>224</v>
      </c>
      <c r="N51" s="56">
        <v>0.89970000000000006</v>
      </c>
    </row>
    <row r="52" spans="1:14" x14ac:dyDescent="0.35">
      <c r="A52" s="34" t="s">
        <v>257</v>
      </c>
      <c r="B52" s="51">
        <v>0.94499999999999995</v>
      </c>
      <c r="C52" s="34">
        <v>13.23</v>
      </c>
      <c r="D52" s="34" t="s">
        <v>368</v>
      </c>
      <c r="E52" t="str">
        <f>UPPER(analisis_velocidad2[[#This Row],[GOR PPT]])</f>
        <v>VIK E</v>
      </c>
      <c r="G52" s="3" t="s">
        <v>267</v>
      </c>
      <c r="H52" s="56">
        <v>1.0485</v>
      </c>
      <c r="J52" s="3" t="s">
        <v>288</v>
      </c>
      <c r="K52" s="56">
        <v>0.93989999999999996</v>
      </c>
      <c r="M52" s="3" t="s">
        <v>232</v>
      </c>
      <c r="N52" s="56">
        <v>0.9446</v>
      </c>
    </row>
    <row r="53" spans="1:14" x14ac:dyDescent="0.35">
      <c r="A53" s="34" t="s">
        <v>232</v>
      </c>
      <c r="B53" s="51">
        <v>0.9446</v>
      </c>
      <c r="C53" s="34">
        <v>13.22</v>
      </c>
      <c r="D53" s="34" t="s">
        <v>368</v>
      </c>
      <c r="E53" t="str">
        <f>UPPER(analisis_velocidad2[[#This Row],[GOR PPT]])</f>
        <v>VIK E</v>
      </c>
      <c r="H53" s="20"/>
      <c r="J53" s="3" t="s">
        <v>262</v>
      </c>
      <c r="K53" s="56">
        <v>0.94159999999999999</v>
      </c>
      <c r="M53" s="3" t="s">
        <v>257</v>
      </c>
      <c r="N53" s="56">
        <v>0.94499999999999995</v>
      </c>
    </row>
    <row r="54" spans="1:14" x14ac:dyDescent="0.35">
      <c r="A54" s="34" t="s">
        <v>198</v>
      </c>
      <c r="B54" s="51">
        <v>0.94450000000000001</v>
      </c>
      <c r="C54" s="34">
        <v>11.33</v>
      </c>
      <c r="D54" s="34" t="s">
        <v>362</v>
      </c>
      <c r="E54" t="str">
        <f>UPPER(analisis_velocidad2[[#This Row],[GOR PPT]])</f>
        <v>DANIEL R</v>
      </c>
      <c r="H54" s="20"/>
      <c r="J54" s="3" t="s">
        <v>249</v>
      </c>
      <c r="K54" s="56">
        <v>0.95640000000000003</v>
      </c>
      <c r="M54" s="3" t="s">
        <v>248</v>
      </c>
      <c r="N54" s="56">
        <v>0.97340000000000004</v>
      </c>
    </row>
    <row r="55" spans="1:14" x14ac:dyDescent="0.35">
      <c r="A55" s="34" t="s">
        <v>262</v>
      </c>
      <c r="B55" s="51">
        <v>0.94159999999999999</v>
      </c>
      <c r="C55" s="34">
        <v>13.18</v>
      </c>
      <c r="D55" s="34" t="s">
        <v>367</v>
      </c>
      <c r="E55" t="str">
        <f>UPPER(analisis_velocidad2[[#This Row],[GOR PPT]])</f>
        <v>RODOLFO O</v>
      </c>
      <c r="H55" s="20"/>
      <c r="J55" s="3" t="s">
        <v>382</v>
      </c>
      <c r="K55" s="56">
        <v>1.0622</v>
      </c>
      <c r="M55" s="3" t="s">
        <v>210</v>
      </c>
      <c r="N55" s="56">
        <v>0.98309999999999997</v>
      </c>
    </row>
    <row r="56" spans="1:14" x14ac:dyDescent="0.35">
      <c r="A56" s="34" t="s">
        <v>255</v>
      </c>
      <c r="B56" s="51">
        <v>0.94010000000000005</v>
      </c>
      <c r="C56" s="34">
        <v>13.16</v>
      </c>
      <c r="D56" s="34" t="s">
        <v>365</v>
      </c>
      <c r="E56" t="str">
        <f>UPPER(analisis_velocidad2[[#This Row],[GOR PPT]])</f>
        <v>MELANY A</v>
      </c>
      <c r="H56" s="20"/>
      <c r="J56" s="3" t="s">
        <v>285</v>
      </c>
      <c r="K56" s="56">
        <v>1.101</v>
      </c>
      <c r="M56" s="3" t="s">
        <v>284</v>
      </c>
      <c r="N56" s="56">
        <v>0.99039999999999995</v>
      </c>
    </row>
    <row r="57" spans="1:14" x14ac:dyDescent="0.35">
      <c r="A57" s="34" t="s">
        <v>288</v>
      </c>
      <c r="B57" s="51">
        <v>0.93989999999999996</v>
      </c>
      <c r="C57" s="34">
        <v>15.04</v>
      </c>
      <c r="D57" s="34" t="s">
        <v>367</v>
      </c>
      <c r="E57" t="str">
        <f>UPPER(analisis_velocidad2[[#This Row],[GOR PPT]])</f>
        <v>RODOLFO O</v>
      </c>
      <c r="H57" s="20"/>
      <c r="K57" s="20"/>
      <c r="M57" s="3" t="s">
        <v>220</v>
      </c>
      <c r="N57" s="56">
        <v>0.99439999999999995</v>
      </c>
    </row>
    <row r="58" spans="1:14" x14ac:dyDescent="0.35">
      <c r="A58" s="34" t="s">
        <v>247</v>
      </c>
      <c r="B58" s="51">
        <v>0.93469999999999998</v>
      </c>
      <c r="C58" s="34">
        <v>13.09</v>
      </c>
      <c r="D58" s="34" t="s">
        <v>363</v>
      </c>
      <c r="E58" t="str">
        <f>UPPER(analisis_velocidad2[[#This Row],[GOR PPT]])</f>
        <v>JOE H</v>
      </c>
      <c r="H58" s="20"/>
      <c r="K58" s="20"/>
      <c r="M58" s="3" t="s">
        <v>234</v>
      </c>
      <c r="N58" s="56">
        <v>1.0125999999999999</v>
      </c>
    </row>
    <row r="59" spans="1:14" x14ac:dyDescent="0.35">
      <c r="A59" s="34" t="s">
        <v>228</v>
      </c>
      <c r="B59" s="51">
        <v>0.92859999999999998</v>
      </c>
      <c r="C59" s="34">
        <v>13</v>
      </c>
      <c r="D59" s="34" t="s">
        <v>367</v>
      </c>
      <c r="E59" t="str">
        <f>UPPER(analisis_velocidad2[[#This Row],[GOR PPT]])</f>
        <v>RODOLFO O</v>
      </c>
      <c r="H59" s="20"/>
      <c r="K59" s="20"/>
      <c r="M59" s="3" t="s">
        <v>231</v>
      </c>
      <c r="N59" s="56">
        <v>1.0127999999999999</v>
      </c>
    </row>
    <row r="60" spans="1:14" x14ac:dyDescent="0.35">
      <c r="A60" s="34" t="s">
        <v>222</v>
      </c>
      <c r="B60" s="51">
        <v>0.92720000000000002</v>
      </c>
      <c r="C60" s="34">
        <v>11.13</v>
      </c>
      <c r="D60" s="34" t="s">
        <v>362</v>
      </c>
      <c r="E60" t="str">
        <f>UPPER(analisis_velocidad2[[#This Row],[GOR PPT]])</f>
        <v>DANIEL R</v>
      </c>
      <c r="H60" s="20"/>
      <c r="K60" s="20"/>
      <c r="N60" s="20"/>
    </row>
    <row r="61" spans="1:14" x14ac:dyDescent="0.35">
      <c r="A61" s="34" t="s">
        <v>252</v>
      </c>
      <c r="B61" s="51">
        <v>0.92100000000000004</v>
      </c>
      <c r="C61" s="34">
        <v>12.89</v>
      </c>
      <c r="D61" s="34" t="s">
        <v>367</v>
      </c>
      <c r="E61" t="str">
        <f>UPPER(analisis_velocidad2[[#This Row],[GOR PPT]])</f>
        <v>RODOLFO O</v>
      </c>
      <c r="H61" s="20"/>
      <c r="K61" s="20"/>
      <c r="N61" s="20"/>
    </row>
    <row r="62" spans="1:14" x14ac:dyDescent="0.35">
      <c r="A62" s="34" t="s">
        <v>217</v>
      </c>
      <c r="B62" s="51">
        <v>0.9204</v>
      </c>
      <c r="C62" s="34">
        <v>12.89</v>
      </c>
      <c r="D62" s="34" t="s">
        <v>363</v>
      </c>
      <c r="E62" t="str">
        <f>UPPER(analisis_velocidad2[[#This Row],[GOR PPT]])</f>
        <v>JOE H</v>
      </c>
      <c r="H62" s="20"/>
      <c r="K62" s="20"/>
      <c r="N62" s="20"/>
    </row>
    <row r="63" spans="1:14" x14ac:dyDescent="0.35">
      <c r="A63" s="34" t="s">
        <v>272</v>
      </c>
      <c r="B63" s="51">
        <v>0.91100000000000003</v>
      </c>
      <c r="C63" s="34">
        <v>12.75</v>
      </c>
      <c r="D63" s="34" t="s">
        <v>365</v>
      </c>
      <c r="E63" t="str">
        <f>UPPER(analisis_velocidad2[[#This Row],[GOR PPT]])</f>
        <v>MELANY A</v>
      </c>
      <c r="H63" s="20"/>
      <c r="K63" s="20"/>
      <c r="N63" s="20"/>
    </row>
    <row r="64" spans="1:14" x14ac:dyDescent="0.35">
      <c r="A64" s="34" t="s">
        <v>225</v>
      </c>
      <c r="B64" s="51">
        <v>0.90739999999999998</v>
      </c>
      <c r="C64" s="34">
        <v>12.7</v>
      </c>
      <c r="D64" s="34" t="s">
        <v>367</v>
      </c>
      <c r="E64" t="str">
        <f>UPPER(analisis_velocidad2[[#This Row],[GOR PPT]])</f>
        <v>RODOLFO O</v>
      </c>
      <c r="H64" s="20"/>
      <c r="K64" s="20"/>
      <c r="N64" s="20"/>
    </row>
    <row r="65" spans="1:14" x14ac:dyDescent="0.35">
      <c r="A65" s="34" t="s">
        <v>302</v>
      </c>
      <c r="B65" s="51">
        <v>0.90680000000000005</v>
      </c>
      <c r="C65" s="34">
        <v>13.6</v>
      </c>
      <c r="D65" s="34" t="s">
        <v>9</v>
      </c>
      <c r="E65" t="str">
        <f>UPPER(analisis_velocidad2[[#This Row],[GOR PPT]])</f>
        <v>FÁTIMA L</v>
      </c>
      <c r="H65" s="20"/>
      <c r="K65" s="20"/>
      <c r="N65" s="20"/>
    </row>
    <row r="66" spans="1:14" x14ac:dyDescent="0.35">
      <c r="A66" s="34" t="s">
        <v>298</v>
      </c>
      <c r="B66" s="51">
        <v>0.90449999999999997</v>
      </c>
      <c r="C66" s="34">
        <v>11.76</v>
      </c>
      <c r="D66" s="34" t="s">
        <v>9</v>
      </c>
      <c r="E66" t="str">
        <f>UPPER(analisis_velocidad2[[#This Row],[GOR PPT]])</f>
        <v>FÁTIMA L</v>
      </c>
      <c r="H66" s="20"/>
      <c r="K66" s="20"/>
      <c r="N66" s="20"/>
    </row>
    <row r="67" spans="1:14" x14ac:dyDescent="0.35">
      <c r="A67" s="34" t="s">
        <v>214</v>
      </c>
      <c r="B67" s="51">
        <v>0.90410000000000001</v>
      </c>
      <c r="C67" s="34">
        <v>12.66</v>
      </c>
      <c r="D67" s="34" t="s">
        <v>367</v>
      </c>
      <c r="E67" t="str">
        <f>UPPER(analisis_velocidad2[[#This Row],[GOR PPT]])</f>
        <v>RODOLFO O</v>
      </c>
      <c r="H67" s="20"/>
      <c r="K67" s="20"/>
      <c r="N67" s="20"/>
    </row>
    <row r="68" spans="1:14" x14ac:dyDescent="0.35">
      <c r="A68" s="34" t="s">
        <v>224</v>
      </c>
      <c r="B68" s="51">
        <v>0.89970000000000006</v>
      </c>
      <c r="C68" s="34">
        <v>11.7</v>
      </c>
      <c r="D68" s="34" t="s">
        <v>368</v>
      </c>
      <c r="E68" t="str">
        <f>UPPER(analisis_velocidad2[[#This Row],[GOR PPT]])</f>
        <v>VIK E</v>
      </c>
      <c r="H68" s="20"/>
      <c r="K68" s="20"/>
      <c r="N68" s="20"/>
    </row>
    <row r="69" spans="1:14" x14ac:dyDescent="0.35">
      <c r="A69" s="34" t="s">
        <v>206</v>
      </c>
      <c r="B69" s="51">
        <v>0.89839999999999998</v>
      </c>
      <c r="C69" s="34">
        <v>12.58</v>
      </c>
      <c r="D69" s="34" t="s">
        <v>365</v>
      </c>
      <c r="E69" t="str">
        <f>UPPER(analisis_velocidad2[[#This Row],[GOR PPT]])</f>
        <v>MELANY A</v>
      </c>
      <c r="H69" s="20"/>
      <c r="K69" s="20"/>
      <c r="N69" s="20"/>
    </row>
    <row r="70" spans="1:14" x14ac:dyDescent="0.35">
      <c r="A70" s="34" t="s">
        <v>237</v>
      </c>
      <c r="B70" s="51">
        <v>0.89649999999999996</v>
      </c>
      <c r="C70" s="34">
        <v>12.55</v>
      </c>
      <c r="D70" s="34" t="s">
        <v>368</v>
      </c>
      <c r="E70" t="str">
        <f>UPPER(analisis_velocidad2[[#This Row],[GOR PPT]])</f>
        <v>VIK E</v>
      </c>
      <c r="H70" s="20"/>
      <c r="K70" s="20"/>
      <c r="N70" s="20"/>
    </row>
    <row r="71" spans="1:14" x14ac:dyDescent="0.35">
      <c r="A71" s="34" t="s">
        <v>216</v>
      </c>
      <c r="B71" s="51">
        <v>0.89539999999999997</v>
      </c>
      <c r="C71" s="34">
        <v>15.22</v>
      </c>
      <c r="D71" s="34" t="s">
        <v>363</v>
      </c>
      <c r="E71" t="str">
        <f>UPPER(analisis_velocidad2[[#This Row],[GOR PPT]])</f>
        <v>JOE H</v>
      </c>
      <c r="H71" s="20"/>
      <c r="K71" s="20"/>
      <c r="N71" s="20"/>
    </row>
    <row r="72" spans="1:14" x14ac:dyDescent="0.35">
      <c r="A72" s="34" t="s">
        <v>207</v>
      </c>
      <c r="B72" s="51">
        <v>0.89539999999999997</v>
      </c>
      <c r="C72" s="34">
        <v>11.64</v>
      </c>
      <c r="D72" s="34" t="s">
        <v>362</v>
      </c>
      <c r="E72" t="str">
        <f>UPPER(analisis_velocidad2[[#This Row],[GOR PPT]])</f>
        <v>DANIEL R</v>
      </c>
      <c r="H72" s="20"/>
      <c r="K72" s="20"/>
      <c r="N72" s="20"/>
    </row>
    <row r="73" spans="1:14" x14ac:dyDescent="0.35">
      <c r="A73" s="34" t="s">
        <v>201</v>
      </c>
      <c r="B73" s="51">
        <v>0.89500000000000002</v>
      </c>
      <c r="C73" s="34">
        <v>11.63</v>
      </c>
      <c r="D73" s="34" t="s">
        <v>364</v>
      </c>
      <c r="E73" t="str">
        <f>UPPER(analisis_velocidad2[[#This Row],[GOR PPT]])</f>
        <v>JOHANNA V</v>
      </c>
      <c r="H73" s="20"/>
      <c r="K73" s="20"/>
      <c r="N73" s="20"/>
    </row>
    <row r="74" spans="1:14" x14ac:dyDescent="0.35">
      <c r="A74" s="34" t="s">
        <v>260</v>
      </c>
      <c r="B74" s="51">
        <v>0.89449999999999996</v>
      </c>
      <c r="C74" s="34">
        <v>11.63</v>
      </c>
      <c r="D74" s="34" t="s">
        <v>368</v>
      </c>
      <c r="E74" t="str">
        <f>UPPER(analisis_velocidad2[[#This Row],[GOR PPT]])</f>
        <v>VIK E</v>
      </c>
      <c r="H74" s="20"/>
      <c r="K74" s="20"/>
      <c r="N74" s="20"/>
    </row>
    <row r="75" spans="1:14" x14ac:dyDescent="0.35">
      <c r="A75" s="34" t="s">
        <v>273</v>
      </c>
      <c r="B75" s="51">
        <v>0.89359999999999995</v>
      </c>
      <c r="C75" s="34">
        <v>12.51</v>
      </c>
      <c r="D75" s="34" t="s">
        <v>365</v>
      </c>
      <c r="E75" t="str">
        <f>UPPER(analisis_velocidad2[[#This Row],[GOR PPT]])</f>
        <v>MELANY A</v>
      </c>
      <c r="H75" s="20"/>
      <c r="K75" s="20"/>
      <c r="N75" s="20"/>
    </row>
    <row r="76" spans="1:14" x14ac:dyDescent="0.35">
      <c r="A76" s="34" t="s">
        <v>230</v>
      </c>
      <c r="B76" s="51">
        <v>0.89359999999999995</v>
      </c>
      <c r="C76" s="34">
        <v>16.079999999999998</v>
      </c>
      <c r="D76" s="34" t="s">
        <v>363</v>
      </c>
      <c r="E76" t="str">
        <f>UPPER(analisis_velocidad2[[#This Row],[GOR PPT]])</f>
        <v>JOE H</v>
      </c>
      <c r="H76" s="20"/>
      <c r="K76" s="20"/>
      <c r="N76" s="20"/>
    </row>
    <row r="77" spans="1:14" x14ac:dyDescent="0.35">
      <c r="A77" s="34" t="s">
        <v>264</v>
      </c>
      <c r="B77" s="51">
        <v>0.89300000000000002</v>
      </c>
      <c r="C77" s="34">
        <v>13.39</v>
      </c>
      <c r="D77" s="34" t="s">
        <v>367</v>
      </c>
      <c r="E77" t="str">
        <f>UPPER(analisis_velocidad2[[#This Row],[GOR PPT]])</f>
        <v>RODOLFO O</v>
      </c>
      <c r="H77" s="20"/>
      <c r="K77" s="20"/>
      <c r="N77" s="20"/>
    </row>
    <row r="78" spans="1:14" x14ac:dyDescent="0.35">
      <c r="A78" s="34" t="s">
        <v>286</v>
      </c>
      <c r="B78" s="51">
        <v>0.89080000000000004</v>
      </c>
      <c r="C78" s="34">
        <v>16.03</v>
      </c>
      <c r="D78" s="34" t="s">
        <v>366</v>
      </c>
      <c r="E78" t="str">
        <f>UPPER(analisis_velocidad2[[#This Row],[GOR PPT]])</f>
        <v>PEPE A</v>
      </c>
      <c r="H78" s="20"/>
      <c r="K78" s="20"/>
      <c r="N78" s="20"/>
    </row>
    <row r="79" spans="1:14" x14ac:dyDescent="0.35">
      <c r="A79" s="34" t="s">
        <v>306</v>
      </c>
      <c r="B79" s="51">
        <v>0.88800000000000001</v>
      </c>
      <c r="C79" s="34">
        <v>12.43</v>
      </c>
      <c r="D79" s="34" t="s">
        <v>9</v>
      </c>
      <c r="E79" t="str">
        <f>UPPER(analisis_velocidad2[[#This Row],[GOR PPT]])</f>
        <v>FÁTIMA L</v>
      </c>
      <c r="H79" s="20"/>
      <c r="K79" s="20"/>
      <c r="N79" s="20"/>
    </row>
    <row r="80" spans="1:14" x14ac:dyDescent="0.35">
      <c r="A80" s="34" t="s">
        <v>296</v>
      </c>
      <c r="B80" s="51">
        <v>0.8871</v>
      </c>
      <c r="C80" s="34">
        <v>11.53</v>
      </c>
      <c r="D80" s="34" t="s">
        <v>362</v>
      </c>
      <c r="E80" t="str">
        <f>UPPER(analisis_velocidad2[[#This Row],[GOR PPT]])</f>
        <v>DANIEL R</v>
      </c>
      <c r="H80" s="20"/>
      <c r="K80" s="20"/>
      <c r="N80" s="20"/>
    </row>
    <row r="81" spans="1:14" x14ac:dyDescent="0.35">
      <c r="A81" s="34" t="s">
        <v>299</v>
      </c>
      <c r="B81" s="51">
        <v>0.88590000000000002</v>
      </c>
      <c r="C81" s="34">
        <v>10.63</v>
      </c>
      <c r="D81" s="34" t="s">
        <v>9</v>
      </c>
      <c r="E81" t="str">
        <f>UPPER(analisis_velocidad2[[#This Row],[GOR PPT]])</f>
        <v>FÁTIMA L</v>
      </c>
      <c r="H81" s="20"/>
      <c r="K81" s="20"/>
      <c r="N81" s="20"/>
    </row>
    <row r="82" spans="1:14" x14ac:dyDescent="0.35">
      <c r="A82" s="34" t="s">
        <v>223</v>
      </c>
      <c r="B82" s="51">
        <v>0.88580000000000003</v>
      </c>
      <c r="C82" s="34">
        <v>11.52</v>
      </c>
      <c r="D82" s="34" t="s">
        <v>367</v>
      </c>
      <c r="E82" t="str">
        <f>UPPER(analisis_velocidad2[[#This Row],[GOR PPT]])</f>
        <v>RODOLFO O</v>
      </c>
      <c r="H82" s="20"/>
      <c r="K82" s="20"/>
      <c r="N82" s="20"/>
    </row>
    <row r="83" spans="1:14" x14ac:dyDescent="0.35">
      <c r="A83" s="34" t="s">
        <v>271</v>
      </c>
      <c r="B83" s="51">
        <v>0.88290000000000002</v>
      </c>
      <c r="C83" s="34">
        <v>7.95</v>
      </c>
      <c r="D83" s="34" t="s">
        <v>104</v>
      </c>
      <c r="E83" t="str">
        <f>UPPER(analisis_velocidad2[[#This Row],[GOR PPT]])</f>
        <v>MARÍA R</v>
      </c>
      <c r="H83" s="20"/>
      <c r="K83" s="20"/>
      <c r="N83" s="20"/>
    </row>
    <row r="84" spans="1:14" x14ac:dyDescent="0.35">
      <c r="A84" s="34" t="s">
        <v>245</v>
      </c>
      <c r="B84" s="51">
        <v>0.88039999999999996</v>
      </c>
      <c r="C84" s="34">
        <v>12.33</v>
      </c>
      <c r="D84" s="34" t="s">
        <v>368</v>
      </c>
      <c r="E84" t="str">
        <f>UPPER(analisis_velocidad2[[#This Row],[GOR PPT]])</f>
        <v>VIK E</v>
      </c>
      <c r="H84" s="20"/>
      <c r="K84" s="20"/>
      <c r="N84" s="20"/>
    </row>
    <row r="85" spans="1:14" x14ac:dyDescent="0.35">
      <c r="A85" s="34" t="s">
        <v>212</v>
      </c>
      <c r="B85" s="51">
        <v>0.87949999999999995</v>
      </c>
      <c r="C85" s="34">
        <v>12.31</v>
      </c>
      <c r="D85" s="34" t="s">
        <v>367</v>
      </c>
      <c r="E85" t="str">
        <f>UPPER(analisis_velocidad2[[#This Row],[GOR PPT]])</f>
        <v>RODOLFO O</v>
      </c>
      <c r="H85" s="20"/>
      <c r="K85" s="20"/>
      <c r="N85" s="20"/>
    </row>
    <row r="86" spans="1:14" x14ac:dyDescent="0.35">
      <c r="A86" s="34" t="s">
        <v>226</v>
      </c>
      <c r="B86" s="51">
        <v>0.87719999999999998</v>
      </c>
      <c r="C86" s="34">
        <v>11.4</v>
      </c>
      <c r="D86" s="34" t="s">
        <v>367</v>
      </c>
      <c r="E86" t="str">
        <f>UPPER(analisis_velocidad2[[#This Row],[GOR PPT]])</f>
        <v>RODOLFO O</v>
      </c>
      <c r="H86" s="20"/>
      <c r="K86" s="20"/>
      <c r="N86" s="20"/>
    </row>
    <row r="87" spans="1:14" x14ac:dyDescent="0.35">
      <c r="A87" s="34" t="s">
        <v>213</v>
      </c>
      <c r="B87" s="51">
        <v>0.87680000000000002</v>
      </c>
      <c r="C87" s="34">
        <v>12.28</v>
      </c>
      <c r="D87" s="34" t="s">
        <v>364</v>
      </c>
      <c r="E87" t="str">
        <f>UPPER(analisis_velocidad2[[#This Row],[GOR PPT]])</f>
        <v>JOHANNA V</v>
      </c>
      <c r="H87" s="20"/>
      <c r="K87" s="20"/>
      <c r="N87" s="20"/>
    </row>
    <row r="88" spans="1:14" x14ac:dyDescent="0.35">
      <c r="A88" s="34" t="s">
        <v>244</v>
      </c>
      <c r="B88" s="51">
        <v>0.876</v>
      </c>
      <c r="C88" s="34">
        <v>12.26</v>
      </c>
      <c r="D88" s="34" t="s">
        <v>367</v>
      </c>
      <c r="E88" t="str">
        <f>UPPER(analisis_velocidad2[[#This Row],[GOR PPT]])</f>
        <v>RODOLFO O</v>
      </c>
      <c r="H88" s="20"/>
      <c r="K88" s="20"/>
      <c r="N88" s="20"/>
    </row>
    <row r="89" spans="1:14" x14ac:dyDescent="0.35">
      <c r="A89" s="34" t="s">
        <v>268</v>
      </c>
      <c r="B89" s="51">
        <v>0.87380000000000002</v>
      </c>
      <c r="C89" s="34">
        <v>11.36</v>
      </c>
      <c r="D89" s="34" t="s">
        <v>368</v>
      </c>
      <c r="E89" t="str">
        <f>UPPER(analisis_velocidad2[[#This Row],[GOR PPT]])</f>
        <v>VIK E</v>
      </c>
      <c r="H89" s="20"/>
      <c r="K89" s="20"/>
      <c r="N89" s="20"/>
    </row>
    <row r="90" spans="1:14" x14ac:dyDescent="0.35">
      <c r="A90" s="34" t="s">
        <v>294</v>
      </c>
      <c r="B90" s="51">
        <v>0.87360000000000004</v>
      </c>
      <c r="C90" s="34">
        <v>13.98</v>
      </c>
      <c r="D90" s="34" t="s">
        <v>9</v>
      </c>
      <c r="E90" t="str">
        <f>UPPER(analisis_velocidad2[[#This Row],[GOR PPT]])</f>
        <v>FÁTIMA L</v>
      </c>
      <c r="H90" s="20"/>
      <c r="K90" s="20"/>
      <c r="N90" s="20"/>
    </row>
    <row r="91" spans="1:14" x14ac:dyDescent="0.35">
      <c r="A91" s="34" t="s">
        <v>205</v>
      </c>
      <c r="B91" s="51">
        <v>0.87319999999999998</v>
      </c>
      <c r="C91" s="34">
        <v>15.72</v>
      </c>
      <c r="D91" s="34" t="s">
        <v>366</v>
      </c>
      <c r="E91" t="str">
        <f>UPPER(analisis_velocidad2[[#This Row],[GOR PPT]])</f>
        <v>PEPE A</v>
      </c>
      <c r="H91" s="20"/>
      <c r="K91" s="20"/>
      <c r="N91" s="20"/>
    </row>
    <row r="92" spans="1:14" x14ac:dyDescent="0.35">
      <c r="A92" s="34" t="s">
        <v>307</v>
      </c>
      <c r="B92" s="51">
        <v>0.86780000000000002</v>
      </c>
      <c r="C92" s="34">
        <v>11.28</v>
      </c>
      <c r="D92" s="34" t="s">
        <v>9</v>
      </c>
      <c r="E92" t="str">
        <f>UPPER(analisis_velocidad2[[#This Row],[GOR PPT]])</f>
        <v>FÁTIMA L</v>
      </c>
      <c r="H92" s="20"/>
      <c r="K92" s="20"/>
      <c r="N92" s="20"/>
    </row>
    <row r="93" spans="1:14" x14ac:dyDescent="0.35">
      <c r="A93" s="34" t="s">
        <v>300</v>
      </c>
      <c r="B93" s="51">
        <v>0.86770000000000003</v>
      </c>
      <c r="C93" s="34">
        <v>13.88</v>
      </c>
      <c r="D93" s="34" t="s">
        <v>9</v>
      </c>
      <c r="E93" t="str">
        <f>UPPER(analisis_velocidad2[[#This Row],[GOR PPT]])</f>
        <v>FÁTIMA L</v>
      </c>
      <c r="H93" s="20"/>
      <c r="K93" s="20"/>
      <c r="N93" s="20"/>
    </row>
    <row r="94" spans="1:14" x14ac:dyDescent="0.35">
      <c r="A94" s="34" t="s">
        <v>241</v>
      </c>
      <c r="B94" s="51">
        <v>0.86539999999999995</v>
      </c>
      <c r="C94" s="34">
        <v>11.25</v>
      </c>
      <c r="D94" s="34" t="s">
        <v>363</v>
      </c>
      <c r="E94" t="str">
        <f>UPPER(analisis_velocidad2[[#This Row],[GOR PPT]])</f>
        <v>JOE H</v>
      </c>
      <c r="H94" s="20"/>
      <c r="K94" s="20"/>
      <c r="N94" s="20"/>
    </row>
    <row r="95" spans="1:14" x14ac:dyDescent="0.35">
      <c r="A95" s="34" t="s">
        <v>218</v>
      </c>
      <c r="B95" s="51">
        <v>0.86270000000000002</v>
      </c>
      <c r="C95" s="34">
        <v>11.22</v>
      </c>
      <c r="D95" s="34" t="s">
        <v>366</v>
      </c>
      <c r="E95" t="str">
        <f>UPPER(analisis_velocidad2[[#This Row],[GOR PPT]])</f>
        <v>PEPE A</v>
      </c>
      <c r="H95" s="20"/>
      <c r="K95" s="20"/>
      <c r="N95" s="20"/>
    </row>
    <row r="96" spans="1:14" x14ac:dyDescent="0.35">
      <c r="A96" s="34" t="s">
        <v>219</v>
      </c>
      <c r="B96" s="51">
        <v>0.8619</v>
      </c>
      <c r="C96" s="34">
        <v>11.21</v>
      </c>
      <c r="D96" s="34" t="s">
        <v>368</v>
      </c>
      <c r="E96" t="str">
        <f>UPPER(analisis_velocidad2[[#This Row],[GOR PPT]])</f>
        <v>VIK E</v>
      </c>
      <c r="H96" s="20"/>
      <c r="K96" s="20"/>
      <c r="N96" s="20"/>
    </row>
    <row r="97" spans="1:14" x14ac:dyDescent="0.35">
      <c r="A97" s="34" t="s">
        <v>204</v>
      </c>
      <c r="B97" s="51">
        <v>0.86070000000000002</v>
      </c>
      <c r="C97" s="34">
        <v>11.19</v>
      </c>
      <c r="D97" s="34" t="s">
        <v>364</v>
      </c>
      <c r="E97" t="str">
        <f>UPPER(analisis_velocidad2[[#This Row],[GOR PPT]])</f>
        <v>JOHANNA V</v>
      </c>
      <c r="H97" s="20"/>
      <c r="K97" s="20"/>
      <c r="N97" s="20"/>
    </row>
    <row r="98" spans="1:14" x14ac:dyDescent="0.35">
      <c r="A98" s="34" t="s">
        <v>215</v>
      </c>
      <c r="B98" s="51">
        <v>0.85909999999999997</v>
      </c>
      <c r="C98" s="34">
        <v>12.03</v>
      </c>
      <c r="D98" s="34" t="s">
        <v>366</v>
      </c>
      <c r="E98" t="str">
        <f>UPPER(analisis_velocidad2[[#This Row],[GOR PPT]])</f>
        <v>PEPE A</v>
      </c>
      <c r="H98" s="20"/>
      <c r="K98" s="20"/>
      <c r="N98" s="20"/>
    </row>
    <row r="99" spans="1:14" x14ac:dyDescent="0.35">
      <c r="A99" s="34" t="s">
        <v>202</v>
      </c>
      <c r="B99" s="51">
        <v>0.85640000000000005</v>
      </c>
      <c r="C99" s="34">
        <v>11.13</v>
      </c>
      <c r="D99" s="34" t="s">
        <v>364</v>
      </c>
      <c r="E99" t="str">
        <f>UPPER(analisis_velocidad2[[#This Row],[GOR PPT]])</f>
        <v>JOHANNA V</v>
      </c>
      <c r="H99" s="20"/>
      <c r="K99" s="20"/>
      <c r="N99" s="20"/>
    </row>
    <row r="100" spans="1:14" x14ac:dyDescent="0.35">
      <c r="A100" s="34" t="s">
        <v>233</v>
      </c>
      <c r="B100" s="51">
        <v>0.85140000000000005</v>
      </c>
      <c r="C100" s="34">
        <v>11.92</v>
      </c>
      <c r="D100" s="34" t="s">
        <v>368</v>
      </c>
      <c r="E100" t="str">
        <f>UPPER(analisis_velocidad2[[#This Row],[GOR PPT]])</f>
        <v>VIK E</v>
      </c>
      <c r="H100" s="20"/>
      <c r="K100" s="20"/>
      <c r="N100" s="20"/>
    </row>
    <row r="101" spans="1:14" x14ac:dyDescent="0.35">
      <c r="A101" s="34" t="s">
        <v>235</v>
      </c>
      <c r="B101" s="51">
        <v>0.85</v>
      </c>
      <c r="C101" s="34">
        <v>11.05</v>
      </c>
      <c r="D101" s="34" t="s">
        <v>363</v>
      </c>
      <c r="E101" t="str">
        <f>UPPER(analisis_velocidad2[[#This Row],[GOR PPT]])</f>
        <v>JOE H</v>
      </c>
      <c r="H101" s="20"/>
      <c r="K101" s="20"/>
      <c r="N101" s="20"/>
    </row>
    <row r="102" spans="1:14" x14ac:dyDescent="0.35">
      <c r="A102" s="34" t="s">
        <v>229</v>
      </c>
      <c r="B102" s="51">
        <v>0.8468</v>
      </c>
      <c r="C102" s="34">
        <v>12.7</v>
      </c>
      <c r="D102" s="34" t="s">
        <v>368</v>
      </c>
      <c r="E102" t="str">
        <f>UPPER(analisis_velocidad2[[#This Row],[GOR PPT]])</f>
        <v>VIK E</v>
      </c>
      <c r="H102" s="20"/>
      <c r="K102" s="20"/>
      <c r="N102" s="20"/>
    </row>
    <row r="103" spans="1:14" x14ac:dyDescent="0.35">
      <c r="A103" s="34" t="s">
        <v>236</v>
      </c>
      <c r="B103" s="51">
        <v>0.84089999999999998</v>
      </c>
      <c r="C103" s="34">
        <v>10.93</v>
      </c>
      <c r="D103" s="34" t="s">
        <v>364</v>
      </c>
      <c r="E103" t="str">
        <f>UPPER(analisis_velocidad2[[#This Row],[GOR PPT]])</f>
        <v>JOHANNA V</v>
      </c>
      <c r="H103" s="20"/>
      <c r="K103" s="20"/>
      <c r="N103" s="20"/>
    </row>
    <row r="104" spans="1:14" x14ac:dyDescent="0.35">
      <c r="A104" s="34" t="s">
        <v>240</v>
      </c>
      <c r="B104" s="51">
        <v>0.8407</v>
      </c>
      <c r="C104" s="34">
        <v>10.93</v>
      </c>
      <c r="D104" s="34" t="s">
        <v>364</v>
      </c>
      <c r="E104" t="str">
        <f>UPPER(analisis_velocidad2[[#This Row],[GOR PPT]])</f>
        <v>JOHANNA V</v>
      </c>
      <c r="H104" s="20"/>
      <c r="K104" s="20"/>
      <c r="N104" s="20"/>
    </row>
    <row r="105" spans="1:14" x14ac:dyDescent="0.35">
      <c r="A105" s="34" t="s">
        <v>203</v>
      </c>
      <c r="B105" s="51">
        <v>0.8377</v>
      </c>
      <c r="C105" s="34">
        <v>10.89</v>
      </c>
      <c r="D105" s="34" t="s">
        <v>364</v>
      </c>
      <c r="E105" t="str">
        <f>UPPER(analisis_velocidad2[[#This Row],[GOR PPT]])</f>
        <v>JOHANNA V</v>
      </c>
      <c r="H105" s="20"/>
      <c r="K105" s="20"/>
      <c r="N105" s="20"/>
    </row>
    <row r="106" spans="1:14" x14ac:dyDescent="0.35">
      <c r="A106" s="34" t="s">
        <v>261</v>
      </c>
      <c r="B106" s="51">
        <v>0.83250000000000002</v>
      </c>
      <c r="C106" s="34">
        <v>11.66</v>
      </c>
      <c r="D106" s="34" t="s">
        <v>368</v>
      </c>
      <c r="E106" t="str">
        <f>UPPER(analisis_velocidad2[[#This Row],[GOR PPT]])</f>
        <v>VIK E</v>
      </c>
      <c r="H106" s="20"/>
      <c r="K106" s="20"/>
      <c r="N106" s="20"/>
    </row>
    <row r="107" spans="1:14" x14ac:dyDescent="0.35">
      <c r="A107" s="34" t="s">
        <v>209</v>
      </c>
      <c r="B107" s="51">
        <v>0.82599999999999996</v>
      </c>
      <c r="C107" s="34">
        <v>10.74</v>
      </c>
      <c r="D107" s="34" t="s">
        <v>364</v>
      </c>
      <c r="E107" t="str">
        <f>UPPER(analisis_velocidad2[[#This Row],[GOR PPT]])</f>
        <v>JOHANNA V</v>
      </c>
      <c r="H107" s="20"/>
      <c r="K107" s="20"/>
      <c r="N107" s="20"/>
    </row>
    <row r="108" spans="1:14" x14ac:dyDescent="0.35">
      <c r="A108" s="34" t="s">
        <v>281</v>
      </c>
      <c r="B108" s="51">
        <v>0.81479999999999997</v>
      </c>
      <c r="C108" s="34">
        <v>10.59</v>
      </c>
      <c r="D108" s="34" t="s">
        <v>362</v>
      </c>
      <c r="E108" t="str">
        <f>UPPER(analisis_velocidad2[[#This Row],[GOR PPT]])</f>
        <v>DANIEL R</v>
      </c>
      <c r="H108" s="20"/>
      <c r="K108" s="20"/>
      <c r="N108" s="20"/>
    </row>
    <row r="109" spans="1:14" x14ac:dyDescent="0.35">
      <c r="A109" s="34" t="s">
        <v>290</v>
      </c>
      <c r="B109" s="51">
        <v>0.81399999999999995</v>
      </c>
      <c r="C109" s="34">
        <v>13.84</v>
      </c>
      <c r="D109" s="34" t="s">
        <v>9</v>
      </c>
      <c r="E109" t="str">
        <f>UPPER(analisis_velocidad2[[#This Row],[GOR PPT]])</f>
        <v>FÁTIMA L</v>
      </c>
      <c r="H109" s="20"/>
      <c r="K109" s="20"/>
      <c r="N109" s="20"/>
    </row>
    <row r="110" spans="1:14" x14ac:dyDescent="0.35">
      <c r="A110" s="34" t="s">
        <v>279</v>
      </c>
      <c r="B110" s="51">
        <v>0.81140000000000001</v>
      </c>
      <c r="C110" s="34">
        <v>22.72</v>
      </c>
      <c r="D110" s="34" t="s">
        <v>365</v>
      </c>
      <c r="E110" t="str">
        <f>UPPER(analisis_velocidad2[[#This Row],[GOR PPT]])</f>
        <v>MELANY A</v>
      </c>
      <c r="H110" s="20"/>
      <c r="K110" s="20"/>
      <c r="N110" s="20"/>
    </row>
    <row r="111" spans="1:14" x14ac:dyDescent="0.35">
      <c r="A111" s="34" t="s">
        <v>250</v>
      </c>
      <c r="B111" s="51">
        <v>0.80320000000000003</v>
      </c>
      <c r="C111" s="34">
        <v>10.44</v>
      </c>
      <c r="D111" s="34" t="s">
        <v>367</v>
      </c>
      <c r="E111" t="str">
        <f>UPPER(analisis_velocidad2[[#This Row],[GOR PPT]])</f>
        <v>RODOLFO O</v>
      </c>
      <c r="H111" s="20"/>
      <c r="K111" s="20"/>
      <c r="N111" s="20"/>
    </row>
    <row r="112" spans="1:14" x14ac:dyDescent="0.35">
      <c r="A112" s="34" t="s">
        <v>274</v>
      </c>
      <c r="B112" s="51">
        <v>0.75219999999999998</v>
      </c>
      <c r="C112" s="34">
        <v>10.53</v>
      </c>
      <c r="D112" s="34" t="s">
        <v>368</v>
      </c>
      <c r="E112" t="str">
        <f>UPPER(analisis_velocidad2[[#This Row],[GOR PPT]])</f>
        <v>VIK E</v>
      </c>
      <c r="H112" s="20"/>
      <c r="K112" s="20"/>
      <c r="N112" s="20"/>
    </row>
    <row r="113" spans="8:14" x14ac:dyDescent="0.35">
      <c r="H113" s="20"/>
      <c r="K113" s="20"/>
      <c r="N113" s="20"/>
    </row>
    <row r="114" spans="8:14" x14ac:dyDescent="0.35">
      <c r="H114" s="20"/>
      <c r="K114" s="20"/>
      <c r="N114" s="20"/>
    </row>
    <row r="115" spans="8:14" x14ac:dyDescent="0.35">
      <c r="H115" s="20"/>
      <c r="K115" s="20"/>
      <c r="N115" s="20"/>
    </row>
    <row r="116" spans="8:14" x14ac:dyDescent="0.35">
      <c r="H116" s="20"/>
      <c r="K116" s="20"/>
      <c r="N116" s="20"/>
    </row>
    <row r="117" spans="8:14" x14ac:dyDescent="0.35">
      <c r="H117" s="20"/>
      <c r="K117" s="20"/>
      <c r="N117" s="20"/>
    </row>
    <row r="118" spans="8:14" x14ac:dyDescent="0.35">
      <c r="H118" s="20"/>
      <c r="K118" s="20"/>
      <c r="N118" s="20"/>
    </row>
  </sheetData>
  <conditionalFormatting sqref="H1:H6 H23 H53:H1048576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{0220E093-5A47-4D30-AE0E-78E8382A322E}</x14:id>
        </ext>
      </extLst>
    </cfRule>
  </conditionalFormatting>
  <conditionalFormatting sqref="H1:H6 H23 H53:H1048576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{5346EEEB-BF4B-4C02-AD48-A03D1E455CA2}</x14:id>
        </ext>
      </extLst>
    </cfRule>
  </conditionalFormatting>
  <conditionalFormatting sqref="K1:K6 K23 K57:K1048576">
    <cfRule type="dataBar" priority="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{181D736F-B336-49C1-AC8A-A967D7DDDA59}</x14:id>
        </ext>
      </extLst>
    </cfRule>
  </conditionalFormatting>
  <conditionalFormatting sqref="K1:K6 K21:K23 K57:K1048576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{40EFB5DB-729E-4DF0-8213-37345AD5E335}</x14:id>
        </ext>
      </extLst>
    </cfRule>
  </conditionalFormatting>
  <conditionalFormatting sqref="N1:N6 N23 N60:N1048576">
    <cfRule type="dataBar" priority="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{BDB59314-0372-444B-A6A1-6E5D19F6F255}</x14:id>
        </ext>
      </extLst>
    </cfRule>
  </conditionalFormatting>
  <conditionalFormatting sqref="N1:N6 N18:N23 N60:N1048576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{A5085408-5C3A-444E-BDC3-F1CF0C69F290}</x14:id>
        </ext>
      </extLst>
    </cfRule>
  </conditionalFormatting>
  <conditionalFormatting sqref="H1:H23 K1:K23 N1:N23 N60:N1048576 K57:K1048576 H53:H1048576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{54A91981-32B3-4481-AEFA-043DE5CB5C5D}</x14:id>
        </ext>
      </extLst>
    </cfRule>
  </conditionalFormatting>
  <conditionalFormatting sqref="H24:H26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{37605F20-B7FC-4AF4-B084-BCC164F8F007}</x14:id>
        </ext>
      </extLst>
    </cfRule>
  </conditionalFormatting>
  <conditionalFormatting sqref="H24:H26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{85A2AB98-F8B0-4C09-8705-566B9A4E5445}</x14:id>
        </ext>
      </extLst>
    </cfRule>
  </conditionalFormatting>
  <conditionalFormatting sqref="K24:K26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{FF3E6DA5-D162-4979-AC40-34A11A863FDD}</x14:id>
        </ext>
      </extLst>
    </cfRule>
  </conditionalFormatting>
  <conditionalFormatting sqref="K24:K26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{1511E6FF-D17A-4D3D-AF2B-74E556D5D821}</x14:id>
        </ext>
      </extLst>
    </cfRule>
  </conditionalFormatting>
  <conditionalFormatting sqref="N24:N26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{BE9B7EA1-8179-4062-B0BD-8BB8F97AB743}</x14:id>
        </ext>
      </extLst>
    </cfRule>
  </conditionalFormatting>
  <conditionalFormatting sqref="N24:N26 N38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{DAAF8B4B-255D-40ED-993E-DD2A0088E6F0}</x14:id>
        </ext>
      </extLst>
    </cfRule>
  </conditionalFormatting>
  <conditionalFormatting sqref="H24:H26 K24:K26 N24:N26 H35:H38 K34:K38 N38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{A768734C-3CE2-4733-9228-95F416B42777}</x14:id>
        </ext>
      </extLst>
    </cfRule>
  </conditionalFormatting>
  <conditionalFormatting sqref="H39:H41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{4DC1A44E-F0F9-4651-8A8E-CF32014C4BAD}</x14:id>
        </ext>
      </extLst>
    </cfRule>
  </conditionalFormatting>
  <conditionalFormatting sqref="H39:H41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{540E888B-129F-41F8-91D0-D88C27F4A74F}</x14:id>
        </ext>
      </extLst>
    </cfRule>
  </conditionalFormatting>
  <conditionalFormatting sqref="K39:K41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{71A5A1AA-A61B-4883-A3C8-4B846C95B661}</x14:id>
        </ext>
      </extLst>
    </cfRule>
  </conditionalFormatting>
  <conditionalFormatting sqref="K39:K41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{66DA472A-ED1E-45A2-A591-2184CE63558C}</x14:id>
        </ext>
      </extLst>
    </cfRule>
  </conditionalFormatting>
  <conditionalFormatting sqref="N39:N41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{A73674DB-3FA6-4F16-BD75-5DD7B577AA0C}</x14:id>
        </ext>
      </extLst>
    </cfRule>
  </conditionalFormatting>
  <conditionalFormatting sqref="N39:N41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{C989A21C-0A10-4654-A173-947D52FAF1CA}</x14:id>
        </ext>
      </extLst>
    </cfRule>
  </conditionalFormatting>
  <conditionalFormatting sqref="H39:H41 K39:K41 N39:N41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{4C29A9B8-EA98-405B-B037-72E14F0897F1}</x14:id>
        </ext>
      </extLst>
    </cfRule>
  </conditionalFormatting>
  <conditionalFormatting sqref="H1:H1048576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{913CFDE5-0F76-4B78-804B-98FCF8477C43}</x14:id>
        </ext>
      </extLst>
    </cfRule>
  </conditionalFormatting>
  <conditionalFormatting sqref="K1:K1048576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{AFB544D5-072E-4772-A77C-746D77B5F91D}</x14:id>
        </ext>
      </extLst>
    </cfRule>
  </conditionalFormatting>
  <conditionalFormatting sqref="N1:N104857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{D9E1101E-B5E4-4BA4-9767-B24A69B1AB63}</x14:id>
        </ext>
      </extLst>
    </cfRule>
  </conditionalFormatting>
  <pageMargins left="0.7" right="0.7" top="0.75" bottom="0.75" header="0.3" footer="0.3"/>
  <tableParts count="1">
    <tablePart r:id="rId10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20E093-5A47-4D30-AE0E-78E8382A32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H1:H6 H23 H53:H1048576</xm:sqref>
        </x14:conditionalFormatting>
        <x14:conditionalFormatting xmlns:xm="http://schemas.microsoft.com/office/excel/2006/main">
          <x14:cfRule type="dataBar" id="{5346EEEB-BF4B-4C02-AD48-A03D1E455C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H1:H6 H23 H53:H1048576</xm:sqref>
        </x14:conditionalFormatting>
        <x14:conditionalFormatting xmlns:xm="http://schemas.microsoft.com/office/excel/2006/main">
          <x14:cfRule type="dataBar" id="{181D736F-B336-49C1-AC8A-A967D7DDDA5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K1:K6 K23 K57:K1048576</xm:sqref>
        </x14:conditionalFormatting>
        <x14:conditionalFormatting xmlns:xm="http://schemas.microsoft.com/office/excel/2006/main">
          <x14:cfRule type="dataBar" id="{40EFB5DB-729E-4DF0-8213-37345AD5E3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K1:K6 K21:K23 K57:K1048576</xm:sqref>
        </x14:conditionalFormatting>
        <x14:conditionalFormatting xmlns:xm="http://schemas.microsoft.com/office/excel/2006/main">
          <x14:cfRule type="dataBar" id="{BDB59314-0372-444B-A6A1-6E5D19F6F2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N1:N6 N23 N60:N1048576</xm:sqref>
        </x14:conditionalFormatting>
        <x14:conditionalFormatting xmlns:xm="http://schemas.microsoft.com/office/excel/2006/main">
          <x14:cfRule type="dataBar" id="{A5085408-5C3A-444E-BDC3-F1CF0C69F2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N1:N6 N18:N23 N60:N1048576</xm:sqref>
        </x14:conditionalFormatting>
        <x14:conditionalFormatting xmlns:xm="http://schemas.microsoft.com/office/excel/2006/main">
          <x14:cfRule type="dataBar" id="{54A91981-32B3-4481-AEFA-043DE5CB5C5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H1:H23 K1:K23 N1:N23 N60:N1048576 K57:K1048576 H53:H1048576</xm:sqref>
        </x14:conditionalFormatting>
        <x14:conditionalFormatting xmlns:xm="http://schemas.microsoft.com/office/excel/2006/main">
          <x14:cfRule type="dataBar" id="{37605F20-B7FC-4AF4-B084-BCC164F8F00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H24:H26</xm:sqref>
        </x14:conditionalFormatting>
        <x14:conditionalFormatting xmlns:xm="http://schemas.microsoft.com/office/excel/2006/main">
          <x14:cfRule type="dataBar" id="{85A2AB98-F8B0-4C09-8705-566B9A4E54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H24:H26</xm:sqref>
        </x14:conditionalFormatting>
        <x14:conditionalFormatting xmlns:xm="http://schemas.microsoft.com/office/excel/2006/main">
          <x14:cfRule type="dataBar" id="{FF3E6DA5-D162-4979-AC40-34A11A863F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K24:K26</xm:sqref>
        </x14:conditionalFormatting>
        <x14:conditionalFormatting xmlns:xm="http://schemas.microsoft.com/office/excel/2006/main">
          <x14:cfRule type="dataBar" id="{1511E6FF-D17A-4D3D-AF2B-74E556D5D8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K24:K26</xm:sqref>
        </x14:conditionalFormatting>
        <x14:conditionalFormatting xmlns:xm="http://schemas.microsoft.com/office/excel/2006/main">
          <x14:cfRule type="dataBar" id="{BE9B7EA1-8179-4062-B0BD-8BB8F97AB7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N24:N26</xm:sqref>
        </x14:conditionalFormatting>
        <x14:conditionalFormatting xmlns:xm="http://schemas.microsoft.com/office/excel/2006/main">
          <x14:cfRule type="dataBar" id="{DAAF8B4B-255D-40ED-993E-DD2A0088E6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N24:N26 N38</xm:sqref>
        </x14:conditionalFormatting>
        <x14:conditionalFormatting xmlns:xm="http://schemas.microsoft.com/office/excel/2006/main">
          <x14:cfRule type="dataBar" id="{A768734C-3CE2-4733-9228-95F416B427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H24:H26 K24:K26 N24:N26 H35:H38 K34:K38 N38</xm:sqref>
        </x14:conditionalFormatting>
        <x14:conditionalFormatting xmlns:xm="http://schemas.microsoft.com/office/excel/2006/main">
          <x14:cfRule type="dataBar" id="{4DC1A44E-F0F9-4651-8A8E-CF32014C4BA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H39:H41</xm:sqref>
        </x14:conditionalFormatting>
        <x14:conditionalFormatting xmlns:xm="http://schemas.microsoft.com/office/excel/2006/main">
          <x14:cfRule type="dataBar" id="{540E888B-129F-41F8-91D0-D88C27F4A7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H39:H41</xm:sqref>
        </x14:conditionalFormatting>
        <x14:conditionalFormatting xmlns:xm="http://schemas.microsoft.com/office/excel/2006/main">
          <x14:cfRule type="dataBar" id="{71A5A1AA-A61B-4883-A3C8-4B846C95B6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K39:K41</xm:sqref>
        </x14:conditionalFormatting>
        <x14:conditionalFormatting xmlns:xm="http://schemas.microsoft.com/office/excel/2006/main">
          <x14:cfRule type="dataBar" id="{66DA472A-ED1E-45A2-A591-2184CE6355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K39:K41</xm:sqref>
        </x14:conditionalFormatting>
        <x14:conditionalFormatting xmlns:xm="http://schemas.microsoft.com/office/excel/2006/main">
          <x14:cfRule type="dataBar" id="{A73674DB-3FA6-4F16-BD75-5DD7B577AA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N39:N41</xm:sqref>
        </x14:conditionalFormatting>
        <x14:conditionalFormatting xmlns:xm="http://schemas.microsoft.com/office/excel/2006/main">
          <x14:cfRule type="dataBar" id="{C989A21C-0A10-4654-A173-947D52FAF1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N39:N41</xm:sqref>
        </x14:conditionalFormatting>
        <x14:conditionalFormatting xmlns:xm="http://schemas.microsoft.com/office/excel/2006/main">
          <x14:cfRule type="dataBar" id="{4C29A9B8-EA98-405B-B037-72E14F0897F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H39:H41 K39:K41 N39:N41</xm:sqref>
        </x14:conditionalFormatting>
        <x14:conditionalFormatting xmlns:xm="http://schemas.microsoft.com/office/excel/2006/main">
          <x14:cfRule type="dataBar" id="{913CFDE5-0F76-4B78-804B-98FCF8477C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  <x14:conditionalFormatting xmlns:xm="http://schemas.microsoft.com/office/excel/2006/main">
          <x14:cfRule type="dataBar" id="{AFB544D5-072E-4772-A77C-746D77B5F9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K1:K1048576</xm:sqref>
        </x14:conditionalFormatting>
        <x14:conditionalFormatting xmlns:xm="http://schemas.microsoft.com/office/excel/2006/main">
          <x14:cfRule type="dataBar" id="{D9E1101E-B5E4-4BA4-9767-B24A69B1AB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N1:N1048576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561B72-F5D1-4451-9A0A-56C3BDB6F5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graf1</vt:lpstr>
      <vt:lpstr>graf2</vt:lpstr>
      <vt:lpstr>graf3</vt:lpstr>
      <vt:lpstr>graf4</vt:lpstr>
      <vt:lpstr>bd2</vt:lpstr>
      <vt:lpstr>Hoja12</vt:lpstr>
      <vt:lpstr>Hoja1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Paredes</dc:creator>
  <cp:lastModifiedBy>Enrique Paredes</cp:lastModifiedBy>
  <dcterms:created xsi:type="dcterms:W3CDTF">2026-06-22T21:19:29Z</dcterms:created>
  <dcterms:modified xsi:type="dcterms:W3CDTF">2026-06-23T15:00:51Z</dcterms:modified>
</cp:coreProperties>
</file>