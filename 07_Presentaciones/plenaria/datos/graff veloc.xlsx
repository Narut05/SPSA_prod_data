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50" activeTab="1"/>
  </bookViews>
  <sheets>
    <sheet name="Hoja1" sheetId="1" r:id="rId1"/>
    <sheet name="Hoja2" sheetId="2" r:id="rId2"/>
  </sheet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<sst xmlns="http://schemas.openxmlformats.org/spreadsheetml/2006/main" count="61" uniqueCount="46">
  <si>
    <t>Año</t>
  </si>
  <si>
    <t>Mes</t>
  </si>
  <si>
    <t>Meta Promedio</t>
  </si>
  <si>
    <t>Unid x Minuto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</si>
  <si>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</si>
  <si>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</si>
  <si>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</si>
  <si>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</si>
  <si>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</si>
  <si>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</si>
  <si>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</si>
  <si>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</si>
  <si>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</si>
  <si>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</si>
  <si>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</si>
  <si>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</si>
  <si>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Etiquetas de fila</t>
  </si>
  <si>
    <t>ene</t>
  </si>
  <si>
    <t>feb</t>
  </si>
  <si>
    <t>mar</t>
  </si>
  <si>
    <t>abr</t>
  </si>
  <si>
    <t>may</t>
  </si>
  <si>
    <t>jun</t>
  </si>
  <si>
    <t>jul</t>
  </si>
  <si>
    <t>sep</t>
  </si>
  <si>
    <t>ago</t>
  </si>
  <si>
    <t>oct</t>
  </si>
  <si>
    <t>nov</t>
  </si>
  <si>
    <t>dic</t>
  </si>
  <si>
    <t>Total general</t>
  </si>
  <si>
    <t>Etiquetas de columna</t>
  </si>
  <si>
    <t>Suma de Unid x Minuto</t>
  </si>
  <si>
    <t>Meta</t>
  </si>
  <si>
    <t>Cump.</t>
  </si>
  <si>
    <t>ENE</t>
  </si>
  <si>
    <t>FEB</t>
  </si>
  <si>
    <t>MAR</t>
  </si>
  <si>
    <t>ABR</t>
  </si>
  <si>
    <t>MAY</t>
  </si>
  <si>
    <t>JUN</t>
  </si>
  <si>
    <t>JUL</t>
  </si>
  <si>
    <t>SEP</t>
  </si>
  <si>
    <t>AGO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</si>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</sst>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applyNumberFormat="1"/>
    <xf numFmtId="165" fontId="0" fillId="0" borderId="0" xfId="1" applyNumberFormat="1" applyFont="1"/>
    <xf numFmtId="9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15974"/>
      <color rgb="FFEFA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[graff veloc.xlsx]Hoja1!TablaDinámica2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Hoja1!$H$6:$H$7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Hoja1!$G$8:$G$20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ago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Hoja1!$H$8:$H$20</c:f>
              <c:numCache>
                <c:formatCode>General</c:formatCode>
                <c:ptCount val="12"/>
                <c:pt idx="0">
                  <c:v>11.74</c:v>
                </c:pt>
                <c:pt idx="1">
                  <c:v>12.01</c:v>
                </c:pt>
                <c:pt idx="2">
                  <c:v>12.32</c:v>
                </c:pt>
                <c:pt idx="3">
                  <c:v>12.23</c:v>
                </c:pt>
                <c:pt idx="4">
                  <c:v>12.17</c:v>
                </c:pt>
                <c:pt idx="5">
                  <c:v>11.93</c:v>
                </c:pt>
                <c:pt idx="6">
                  <c:v>12.48</c:v>
                </c:pt>
                <c:pt idx="7">
                  <c:v>12.35</c:v>
                </c:pt>
                <c:pt idx="8">
                  <c:v>12.38</c:v>
                </c:pt>
                <c:pt idx="9">
                  <c:v>12.63</c:v>
                </c:pt>
                <c:pt idx="10">
                  <c:v>12.64</c:v>
                </c:pt>
                <c:pt idx="11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D-4BFD-9D9C-D334406668C0}"/>
            </c:ext>
          </c:extLst>
        </c:ser>
        <c:ser>
          <c:idx val="1"/>
          <c:order val="1"/>
          <c:tx>
            <c:strRef>
              <c:f>Hoja1!$I$6:$I$7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Hoja1!$G$8:$G$20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ago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Hoja1!$I$8:$I$20</c:f>
              <c:numCache>
                <c:formatCode>General</c:formatCode>
                <c:ptCount val="12"/>
                <c:pt idx="0">
                  <c:v>11.15</c:v>
                </c:pt>
                <c:pt idx="1">
                  <c:v>12.03</c:v>
                </c:pt>
                <c:pt idx="2">
                  <c:v>12.96</c:v>
                </c:pt>
                <c:pt idx="3">
                  <c:v>13.52</c:v>
                </c:pt>
                <c:pt idx="4">
                  <c:v>13.55</c:v>
                </c:pt>
                <c:pt idx="5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D-4BFD-9D9C-D33440666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845392"/>
        <c:axId val="1771839984"/>
      </c:lineChart>
      <c:catAx>
        <c:axId val="17718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1839984"/>
        <c:crosses val="autoZero"/>
        <c:auto val="1"/>
        <c:lblAlgn val="ctr"/>
        <c:lblOffset val="100"/>
        <c:noMultiLvlLbl val="0"/>
      </c:catAx>
      <c:valAx>
        <c:axId val="17718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18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rgbClr val="EFA98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FA98E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Hoja2!$A$2:$A$13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AGO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Hoja2!$B$2:$B$13</c:f>
              <c:numCache>
                <c:formatCode>_-* #,##0.0_-;\-* #,##0.0_-;_-* "-"??_-;_-@_-</c:formatCode>
                <c:ptCount val="12"/>
                <c:pt idx="0">
                  <c:v>11.74</c:v>
                </c:pt>
                <c:pt idx="1">
                  <c:v>12.01</c:v>
                </c:pt>
                <c:pt idx="2">
                  <c:v>12.32</c:v>
                </c:pt>
                <c:pt idx="3">
                  <c:v>12.23</c:v>
                </c:pt>
                <c:pt idx="4">
                  <c:v>12.17</c:v>
                </c:pt>
                <c:pt idx="5">
                  <c:v>11.93</c:v>
                </c:pt>
                <c:pt idx="6">
                  <c:v>12.48</c:v>
                </c:pt>
                <c:pt idx="7">
                  <c:v>12.35</c:v>
                </c:pt>
                <c:pt idx="8">
                  <c:v>12.38</c:v>
                </c:pt>
                <c:pt idx="9">
                  <c:v>12.63</c:v>
                </c:pt>
                <c:pt idx="10">
                  <c:v>12.64</c:v>
                </c:pt>
                <c:pt idx="11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C-4BC5-A282-A4784343CBF3}"/>
            </c:ext>
          </c:extLst>
        </c:ser>
        <c:ser>
          <c:idx val="1"/>
          <c:order val="1"/>
          <c:tx>
            <c:v>2026</c:v>
          </c:tx>
          <c:spPr>
            <a:ln w="28575" cap="rnd">
              <a:solidFill>
                <a:srgbClr val="01597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15974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spPr>
              <a:solidFill>
                <a:srgbClr val="01597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AGO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Hoja2!$C$2:$C$13</c:f>
              <c:numCache>
                <c:formatCode>_-* #,##0.0_-;\-* #,##0.0_-;_-* "-"??_-;_-@_-</c:formatCode>
                <c:ptCount val="12"/>
                <c:pt idx="0">
                  <c:v>11.15</c:v>
                </c:pt>
                <c:pt idx="1">
                  <c:v>12.03</c:v>
                </c:pt>
                <c:pt idx="2">
                  <c:v>12.96</c:v>
                </c:pt>
                <c:pt idx="3">
                  <c:v>13.52</c:v>
                </c:pt>
                <c:pt idx="4">
                  <c:v>13.55</c:v>
                </c:pt>
                <c:pt idx="5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C-4BC5-A282-A4784343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846272"/>
        <c:axId val="1762840864"/>
      </c:lineChart>
      <c:lineChart>
        <c:grouping val="standard"/>
        <c:varyColors val="0"/>
        <c:ser>
          <c:idx val="2"/>
          <c:order val="2"/>
          <c:tx>
            <c:v>Cump. Meta</c:v>
          </c:tx>
          <c:spPr>
            <a:ln w="222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AGO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Hoja2!$E$2:$E$13</c:f>
              <c:numCache>
                <c:formatCode>0%</c:formatCode>
                <c:ptCount val="12"/>
                <c:pt idx="0">
                  <c:v>0.80043072505384072</c:v>
                </c:pt>
                <c:pt idx="1">
                  <c:v>0.86360373295046655</c:v>
                </c:pt>
                <c:pt idx="2">
                  <c:v>0.9303661162957646</c:v>
                </c:pt>
                <c:pt idx="3">
                  <c:v>0.97056712132089018</c:v>
                </c:pt>
                <c:pt idx="4">
                  <c:v>0.97272074659009344</c:v>
                </c:pt>
                <c:pt idx="5">
                  <c:v>0.98133524766690594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C-4BC5-A282-A4784343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903776"/>
        <c:axId val="1642905024"/>
      </c:lineChart>
      <c:catAx>
        <c:axId val="17628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62840864"/>
        <c:crosses val="autoZero"/>
        <c:auto val="1"/>
        <c:lblAlgn val="ctr"/>
        <c:lblOffset val="100"/>
        <c:noMultiLvlLbl val="0"/>
      </c:catAx>
      <c:valAx>
        <c:axId val="1762840864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62846272"/>
        <c:crosses val="autoZero"/>
        <c:crossBetween val="between"/>
      </c:valAx>
      <c:valAx>
        <c:axId val="164290502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2903776"/>
        <c:crosses val="max"/>
        <c:crossBetween val="between"/>
      </c:valAx>
      <c:catAx>
        <c:axId val="164290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2905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158750</xdr:colOff>
      <xdr:row>3</xdr:row>
      <xdr:rowOff>41274</xdr:rowOff>
    </xdr:from>
    <xdr:to>
      <xdr:col>17</xdr:col>
      <xdr:colOff>533400</xdr:colOff>
      <xdr:row>20</xdr:row>
      <xdr:rowOff>38099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663574</xdr:colOff>
      <xdr:row>3</xdr:row>
      <xdr:rowOff>168275</xdr:rowOff>
    </xdr:from>
    <xdr:to>
      <xdr:col>12</xdr:col>
      <xdr:colOff>165100</xdr:colOff>
      <xdr:row>18</xdr:row>
      <xdr:rowOff>149225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205.386178125002" createdVersion="6" refreshedVersion="6" minRefreshableVersion="3" recordCount="25">
  <cacheSource type="worksheet">
    <worksheetSource ref="A1:E1048576" sheet="Hoja1"/>
  </cacheSource>
  <cacheFields count="5">
    <cacheField name="Año" numFmtId="0">
      <sharedItems containsString="0" containsBlank="1" containsNumber="1" containsInteger="1" minValue="2025" maxValue="2026" count="3">
        <n v="2025"/>
        <n v="2026"/>
        <m/>
      </sharedItems>
    </cacheField>
    <cacheField name="Mes" numFmtId="0">
      <sharedItems containsBlank="1"/>
    </cacheField>
    <cacheField name="Mes2" numFmtId="0">
      <sharedItems containsBlank="1" count="13">
        <s v="ene"/>
        <s v="feb"/>
        <s v="mar"/>
        <s v="abr"/>
        <s v="may"/>
        <s v="jun"/>
        <s v="jul"/>
        <s v="ago"/>
        <s v="sep"/>
        <s v="oct"/>
        <s v="nov"/>
        <s v="dic"/>
        <m/>
      </sharedItems>
    </cacheField>
    <cacheField name="Meta Promedio" numFmtId="0">
      <sharedItems containsString="0" containsBlank="1" containsNumber="1" minValue="13.93" maxValue="13.93"/>
    </cacheField>
    <cacheField name="Unid x Minuto" numFmtId="0">
      <sharedItems containsString="0" containsBlank="1" containsNumber="1" minValue="11.15" maxValue="13.67" count="19">
        <n v="11.74"/>
        <n v="12.01"/>
        <n v="12.32"/>
        <n v="12.23"/>
        <n v="12.17"/>
        <n v="11.93"/>
        <n v="12.48"/>
        <n v="12.38"/>
        <n v="12.35"/>
        <n v="12.63"/>
        <n v="12.64"/>
        <n v="12.25"/>
        <n v="11.15"/>
        <n v="12.03"/>
        <n v="12.96"/>
        <n v="13.52"/>
        <n v="13.55"/>
        <n v="13.6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s v="enero"/>
    <x v="0"/>
    <n v="13.93"/>
    <x v="0"/>
  </r>
  <r>
    <x v="0"/>
    <s v="febrero"/>
    <x v="1"/>
    <n v="13.93"/>
    <x v="1"/>
  </r>
  <r>
    <x v="0"/>
    <s v="marzo"/>
    <x v="2"/>
    <n v="13.93"/>
    <x v="2"/>
  </r>
  <r>
    <x v="0"/>
    <s v="abril"/>
    <x v="3"/>
    <n v="13.93"/>
    <x v="3"/>
  </r>
  <r>
    <x v="0"/>
    <s v="mayo"/>
    <x v="4"/>
    <n v="13.93"/>
    <x v="4"/>
  </r>
  <r>
    <x v="0"/>
    <s v="junio"/>
    <x v="5"/>
    <n v="13.93"/>
    <x v="5"/>
  </r>
  <r>
    <x v="0"/>
    <s v="julio"/>
    <x v="6"/>
    <n v="13.93"/>
    <x v="6"/>
  </r>
  <r>
    <x v="0"/>
    <s v="agosto"/>
    <x v="7"/>
    <n v="13.93"/>
    <x v="7"/>
  </r>
  <r>
    <x v="0"/>
    <s v="septiembre"/>
    <x v="8"/>
    <n v="13.93"/>
    <x v="8"/>
  </r>
  <r>
    <x v="0"/>
    <s v="octubre"/>
    <x v="9"/>
    <n v="13.93"/>
    <x v="9"/>
  </r>
  <r>
    <x v="0"/>
    <s v="noviembre"/>
    <x v="10"/>
    <n v="13.93"/>
    <x v="10"/>
  </r>
  <r>
    <x v="0"/>
    <s v="diciembre"/>
    <x v="11"/>
    <n v="13.93"/>
    <x v="11"/>
  </r>
  <r>
    <x v="1"/>
    <s v="enero"/>
    <x v="0"/>
    <n v="13.93"/>
    <x v="12"/>
  </r>
  <r>
    <x v="1"/>
    <s v="febrero"/>
    <x v="1"/>
    <n v="13.93"/>
    <x v="13"/>
  </r>
  <r>
    <x v="1"/>
    <s v="marzo"/>
    <x v="2"/>
    <n v="13.93"/>
    <x v="14"/>
  </r>
  <r>
    <x v="1"/>
    <s v="abril"/>
    <x v="3"/>
    <n v="13.93"/>
    <x v="15"/>
  </r>
  <r>
    <x v="1"/>
    <s v="mayo"/>
    <x v="4"/>
    <n v="13.93"/>
    <x v="16"/>
  </r>
  <r>
    <x v="1"/>
    <s v="junio"/>
    <x v="5"/>
    <n v="13.93"/>
    <x v="17"/>
  </r>
  <r>
    <x v="1"/>
    <s v="julio"/>
    <x v="6"/>
    <n v="13.93"/>
    <x v="18"/>
  </r>
  <r>
    <x v="1"/>
    <s v="agosto"/>
    <x v="7"/>
    <n v="13.93"/>
    <x v="18"/>
  </r>
  <r>
    <x v="1"/>
    <s v="septiembre"/>
    <x v="8"/>
    <n v="13.93"/>
    <x v="18"/>
  </r>
  <r>
    <x v="1"/>
    <s v="octubre"/>
    <x v="9"/>
    <n v="13.93"/>
    <x v="18"/>
  </r>
  <r>
    <x v="1"/>
    <s v="noviembre"/>
    <x v="10"/>
    <n v="13.93"/>
    <x v="18"/>
  </r>
  <r>
    <x v="1"/>
    <s v="diciembre"/>
    <x v="11"/>
    <n v="13.93"/>
    <x v="18"/>
  </r>
  <r>
    <x v="2"/>
    <m/>
    <x v="12"/>
    <m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G6:J20" firstHeaderRow="1" firstDataRow="2" firstDataCol="1"/>
  <pivotFields count="5">
    <pivotField axis="axisCol" showAll="0">
      <items count="4">
        <item x="0"/>
        <item x="1"/>
        <item h="1" x="2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t="default"/>
      </items>
    </pivotField>
    <pivotField showAll="0"/>
    <pivotField dataField="1" showAll="0">
      <items count="20">
        <item x="12"/>
        <item x="0"/>
        <item x="5"/>
        <item x="1"/>
        <item x="13"/>
        <item x="4"/>
        <item x="3"/>
        <item x="11"/>
        <item x="2"/>
        <item x="8"/>
        <item x="7"/>
        <item x="6"/>
        <item x="9"/>
        <item x="10"/>
        <item x="14"/>
        <item x="15"/>
        <item x="16"/>
        <item x="17"/>
        <item x="18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Unid x Minuto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D2" sqref="D2"/>
    </sheetView>
  </sheetViews>
  <sheetFormatPr baseColWidth="10" defaultColWidth="8.7265625" defaultRowHeight="14.5" x14ac:dyDescent="0.35"/>
  <cols>
    <col min="4" max="5" width="8.7265625" style="5"/>
    <col min="7" max="7" width="20.453125" customWidth="1"/>
    <col min="8" max="8" width="21.26953125" bestFit="1" customWidth="1"/>
    <col min="9" max="9" width="5.81640625" customWidth="1"/>
    <col min="10" max="11" width="11.7265625" bestFit="1" customWidth="1"/>
  </cols>
  <sheetData>
    <row r="1" spans="1:10" x14ac:dyDescent="0.35">
      <c r="A1" t="s">
        <v>0</v>
      </c>
      <c r="B1" t="s">
        <v>1</v>
      </c>
      <c r="C1" t="s">
        <v>1</v>
      </c>
      <c r="D1" s="5" t="s">
        <v>2</v>
      </c>
      <c r="E1" s="5" t="s">
        <v>3</v>
      </c>
    </row>
    <row r="2" spans="1:10" x14ac:dyDescent="0.35">
      <c r="A2">
        <v>2025</v>
      </c>
      <c r="B2" t="s">
        <v>4</v>
      </c>
      <c r="C2" t="str">
        <f>MID(B2,1,3)</f>
        <v>ene</v>
      </c>
      <c r="D2" s="5">
        <v>13.93</v>
      </c>
      <c r="E2" s="5">
        <v>11.74</v>
      </c>
    </row>
    <row r="3" spans="1:10" x14ac:dyDescent="0.35">
      <c r="A3">
        <v>2025</v>
      </c>
      <c r="B3" t="s">
        <v>5</v>
      </c>
      <c r="C3" t="str">
        <f t="shared" ref="C3:C25" si="0">MID(B3,1,3)</f>
        <v>feb</v>
      </c>
      <c r="D3" s="5">
        <v>13.93</v>
      </c>
      <c r="E3" s="5">
        <v>12.01</v>
      </c>
    </row>
    <row r="4" spans="1:10" x14ac:dyDescent="0.35">
      <c r="A4">
        <v>2025</v>
      </c>
      <c r="B4" t="s">
        <v>6</v>
      </c>
      <c r="C4" t="str">
        <f t="shared" si="0"/>
        <v>mar</v>
      </c>
      <c r="D4" s="5">
        <v>13.93</v>
      </c>
      <c r="E4" s="5">
        <v>12.32</v>
      </c>
    </row>
    <row r="5" spans="1:10" x14ac:dyDescent="0.35">
      <c r="A5">
        <v>2025</v>
      </c>
      <c r="B5" t="s">
        <v>7</v>
      </c>
      <c r="C5" t="str">
        <f t="shared" si="0"/>
        <v>abr</v>
      </c>
      <c r="D5" s="5">
        <v>13.93</v>
      </c>
      <c r="E5" s="5">
        <v>12.23</v>
      </c>
    </row>
    <row r="6" spans="1:10" x14ac:dyDescent="0.35">
      <c r="A6">
        <v>2025</v>
      </c>
      <c r="B6" t="s">
        <v>8</v>
      </c>
      <c r="C6" t="str">
        <f t="shared" si="0"/>
        <v>may</v>
      </c>
      <c r="D6" s="5">
        <v>13.93</v>
      </c>
      <c r="E6" s="5">
        <v>12.17</v>
      </c>
      <c r="G6" s="1" t="s">
        <v>31</v>
      </c>
      <c r="H6" s="1" t="s">
        <v>30</v>
      </c>
    </row>
    <row r="7" spans="1:10" x14ac:dyDescent="0.35">
      <c r="A7">
        <v>2025</v>
      </c>
      <c r="B7" t="s">
        <v>9</v>
      </c>
      <c r="C7" t="str">
        <f t="shared" si="0"/>
        <v>jun</v>
      </c>
      <c r="D7" s="5">
        <v>13.93</v>
      </c>
      <c r="E7" s="5">
        <v>11.93</v>
      </c>
      <c r="G7" s="1" t="s">
        <v>16</v>
      </c>
      <c r="H7">
        <v>2025</v>
      </c>
      <c r="I7">
        <v>2026</v>
      </c>
      <c r="J7" t="s">
        <v>29</v>
      </c>
    </row>
    <row r="8" spans="1:10" x14ac:dyDescent="0.35">
      <c r="A8">
        <v>2025</v>
      </c>
      <c r="B8" t="s">
        <v>10</v>
      </c>
      <c r="C8" t="str">
        <f t="shared" si="0"/>
        <v>jul</v>
      </c>
      <c r="D8" s="5">
        <v>13.93</v>
      </c>
      <c r="E8" s="5">
        <v>12.48</v>
      </c>
      <c r="G8" s="2" t="s">
        <v>17</v>
      </c>
      <c r="H8" s="4">
        <v>11.74</v>
      </c>
      <c r="I8" s="4">
        <v>11.15</v>
      </c>
      <c r="J8" s="4">
        <v>22.89</v>
      </c>
    </row>
    <row r="9" spans="1:10" x14ac:dyDescent="0.35">
      <c r="A9">
        <v>2025</v>
      </c>
      <c r="B9" t="s">
        <v>11</v>
      </c>
      <c r="C9" t="str">
        <f t="shared" si="0"/>
        <v>ago</v>
      </c>
      <c r="D9" s="5">
        <v>13.93</v>
      </c>
      <c r="E9" s="5">
        <v>12.38</v>
      </c>
      <c r="G9" s="2" t="s">
        <v>18</v>
      </c>
      <c r="H9" s="4">
        <v>12.01</v>
      </c>
      <c r="I9" s="4">
        <v>12.03</v>
      </c>
      <c r="J9" s="4">
        <v>24.04</v>
      </c>
    </row>
    <row r="10" spans="1:10" x14ac:dyDescent="0.35">
      <c r="A10">
        <v>2025</v>
      </c>
      <c r="B10" t="s">
        <v>12</v>
      </c>
      <c r="C10" t="str">
        <f t="shared" si="0"/>
        <v>sep</v>
      </c>
      <c r="D10" s="5">
        <v>13.93</v>
      </c>
      <c r="E10" s="5">
        <v>12.35</v>
      </c>
      <c r="G10" s="2" t="s">
        <v>19</v>
      </c>
      <c r="H10" s="4">
        <v>12.32</v>
      </c>
      <c r="I10" s="4">
        <v>12.96</v>
      </c>
      <c r="J10" s="4">
        <v>25.28</v>
      </c>
    </row>
    <row r="11" spans="1:10" x14ac:dyDescent="0.35">
      <c r="A11">
        <v>2025</v>
      </c>
      <c r="B11" t="s">
        <v>13</v>
      </c>
      <c r="C11" t="str">
        <f t="shared" si="0"/>
        <v>oct</v>
      </c>
      <c r="D11" s="5">
        <v>13.93</v>
      </c>
      <c r="E11" s="5">
        <v>12.63</v>
      </c>
      <c r="G11" s="2" t="s">
        <v>20</v>
      </c>
      <c r="H11" s="4">
        <v>12.23</v>
      </c>
      <c r="I11" s="4">
        <v>13.52</v>
      </c>
      <c r="J11" s="4">
        <v>25.75</v>
      </c>
    </row>
    <row r="12" spans="1:10" x14ac:dyDescent="0.35">
      <c r="A12">
        <v>2025</v>
      </c>
      <c r="B12" t="s">
        <v>14</v>
      </c>
      <c r="C12" t="str">
        <f t="shared" si="0"/>
        <v>nov</v>
      </c>
      <c r="D12" s="5">
        <v>13.93</v>
      </c>
      <c r="E12" s="5">
        <v>12.64</v>
      </c>
      <c r="G12" s="2" t="s">
        <v>21</v>
      </c>
      <c r="H12" s="4">
        <v>12.17</v>
      </c>
      <c r="I12" s="4">
        <v>13.55</v>
      </c>
      <c r="J12" s="4">
        <v>25.72</v>
      </c>
    </row>
    <row r="13" spans="1:10" x14ac:dyDescent="0.35">
      <c r="A13">
        <v>2025</v>
      </c>
      <c r="B13" t="s">
        <v>15</v>
      </c>
      <c r="C13" t="str">
        <f t="shared" si="0"/>
        <v>dic</v>
      </c>
      <c r="D13" s="5">
        <v>13.93</v>
      </c>
      <c r="E13" s="5">
        <v>12.25</v>
      </c>
      <c r="G13" s="2" t="s">
        <v>22</v>
      </c>
      <c r="H13" s="4">
        <v>11.93</v>
      </c>
      <c r="I13" s="4">
        <v>13.67</v>
      </c>
      <c r="J13" s="4">
        <v>25.6</v>
      </c>
    </row>
    <row r="14" spans="1:10" x14ac:dyDescent="0.35">
      <c r="A14">
        <v>2026</v>
      </c>
      <c r="B14" t="s">
        <v>4</v>
      </c>
      <c r="C14" t="str">
        <f t="shared" si="0"/>
        <v>ene</v>
      </c>
      <c r="D14" s="5">
        <v>13.93</v>
      </c>
      <c r="E14" s="5">
        <v>11.15</v>
      </c>
      <c r="G14" s="2" t="s">
        <v>23</v>
      </c>
      <c r="H14" s="4">
        <v>12.48</v>
      </c>
      <c r="I14" s="4"/>
      <c r="J14" s="4">
        <v>12.48</v>
      </c>
    </row>
    <row r="15" spans="1:10" x14ac:dyDescent="0.35">
      <c r="A15">
        <v>2026</v>
      </c>
      <c r="B15" t="s">
        <v>5</v>
      </c>
      <c r="C15" t="str">
        <f t="shared" si="0"/>
        <v>feb</v>
      </c>
      <c r="D15" s="5">
        <v>13.93</v>
      </c>
      <c r="E15" s="5">
        <v>12.03</v>
      </c>
      <c r="G15" s="2" t="s">
        <v>24</v>
      </c>
      <c r="H15" s="4">
        <v>12.35</v>
      </c>
      <c r="I15" s="4"/>
      <c r="J15" s="4">
        <v>12.35</v>
      </c>
    </row>
    <row r="16" spans="1:10" x14ac:dyDescent="0.35">
      <c r="A16">
        <v>2026</v>
      </c>
      <c r="B16" t="s">
        <v>6</v>
      </c>
      <c r="C16" t="str">
        <f t="shared" si="0"/>
        <v>mar</v>
      </c>
      <c r="D16" s="5">
        <v>13.93</v>
      </c>
      <c r="E16" s="5">
        <v>12.96</v>
      </c>
      <c r="G16" s="2" t="s">
        <v>25</v>
      </c>
      <c r="H16" s="4">
        <v>12.38</v>
      </c>
      <c r="I16" s="4"/>
      <c r="J16" s="4">
        <v>12.38</v>
      </c>
    </row>
    <row r="17" spans="1:10" x14ac:dyDescent="0.35">
      <c r="A17">
        <v>2026</v>
      </c>
      <c r="B17" t="s">
        <v>7</v>
      </c>
      <c r="C17" t="str">
        <f t="shared" si="0"/>
        <v>abr</v>
      </c>
      <c r="D17" s="5">
        <v>13.93</v>
      </c>
      <c r="E17" s="5">
        <v>13.52</v>
      </c>
      <c r="G17" s="2" t="s">
        <v>26</v>
      </c>
      <c r="H17" s="4">
        <v>12.63</v>
      </c>
      <c r="I17" s="4"/>
      <c r="J17" s="4">
        <v>12.63</v>
      </c>
    </row>
    <row r="18" spans="1:10" x14ac:dyDescent="0.35">
      <c r="A18">
        <v>2026</v>
      </c>
      <c r="B18" t="s">
        <v>8</v>
      </c>
      <c r="C18" t="str">
        <f t="shared" si="0"/>
        <v>may</v>
      </c>
      <c r="D18" s="5">
        <v>13.93</v>
      </c>
      <c r="E18" s="5">
        <v>13.55</v>
      </c>
      <c r="G18" s="2" t="s">
        <v>27</v>
      </c>
      <c r="H18" s="4">
        <v>12.64</v>
      </c>
      <c r="I18" s="4"/>
      <c r="J18" s="4">
        <v>12.64</v>
      </c>
    </row>
    <row r="19" spans="1:10" x14ac:dyDescent="0.35">
      <c r="A19">
        <v>2026</v>
      </c>
      <c r="B19" t="s">
        <v>9</v>
      </c>
      <c r="C19" t="str">
        <f t="shared" si="0"/>
        <v>jun</v>
      </c>
      <c r="D19" s="5">
        <v>13.93</v>
      </c>
      <c r="E19" s="5">
        <v>13.67</v>
      </c>
      <c r="G19" s="2" t="s">
        <v>28</v>
      </c>
      <c r="H19" s="4">
        <v>12.25</v>
      </c>
      <c r="I19" s="4"/>
      <c r="J19" s="4">
        <v>12.25</v>
      </c>
    </row>
    <row r="20" spans="1:10" x14ac:dyDescent="0.35">
      <c r="A20">
        <v>2026</v>
      </c>
      <c r="B20" t="s">
        <v>10</v>
      </c>
      <c r="C20" t="str">
        <f t="shared" si="0"/>
        <v>jul</v>
      </c>
      <c r="D20" s="5">
        <v>13.93</v>
      </c>
      <c r="G20" s="2" t="s">
        <v>29</v>
      </c>
      <c r="H20" s="4">
        <v>147.13</v>
      </c>
      <c r="I20" s="4">
        <v>76.88</v>
      </c>
      <c r="J20" s="4">
        <v>224.01</v>
      </c>
    </row>
    <row r="21" spans="1:10" x14ac:dyDescent="0.35">
      <c r="A21">
        <v>2026</v>
      </c>
      <c r="B21" t="s">
        <v>11</v>
      </c>
      <c r="C21" t="str">
        <f t="shared" si="0"/>
        <v>ago</v>
      </c>
      <c r="D21" s="5">
        <v>13.93</v>
      </c>
    </row>
    <row r="22" spans="1:10" x14ac:dyDescent="0.35">
      <c r="A22">
        <v>2026</v>
      </c>
      <c r="B22" t="s">
        <v>12</v>
      </c>
      <c r="C22" t="str">
        <f t="shared" si="0"/>
        <v>sep</v>
      </c>
      <c r="D22" s="5">
        <v>13.93</v>
      </c>
    </row>
    <row r="23" spans="1:10" x14ac:dyDescent="0.35">
      <c r="A23">
        <v>2026</v>
      </c>
      <c r="B23" t="s">
        <v>13</v>
      </c>
      <c r="C23" t="str">
        <f t="shared" si="0"/>
        <v>oct</v>
      </c>
      <c r="D23" s="5">
        <v>13.93</v>
      </c>
    </row>
    <row r="24" spans="1:10" x14ac:dyDescent="0.35">
      <c r="A24">
        <v>2026</v>
      </c>
      <c r="B24" t="s">
        <v>14</v>
      </c>
      <c r="C24" t="str">
        <f t="shared" si="0"/>
        <v>nov</v>
      </c>
      <c r="D24" s="5">
        <v>13.93</v>
      </c>
    </row>
    <row r="25" spans="1:10" x14ac:dyDescent="0.35">
      <c r="A25">
        <v>2026</v>
      </c>
      <c r="B25" t="s">
        <v>15</v>
      </c>
      <c r="C25" t="str">
        <f t="shared" si="0"/>
        <v>dic</v>
      </c>
      <c r="D25" s="5">
        <v>13.93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N4" sqref="N4"/>
    </sheetView>
  </sheetViews>
  <sheetFormatPr baseColWidth="10" defaultRowHeight="14.5" x14ac:dyDescent="0.35"/>
  <cols>
    <col min="2" max="4" width="10.90625" style="5"/>
  </cols>
  <sheetData>
    <row r="1" spans="1:5" x14ac:dyDescent="0.35">
      <c r="A1" s="3" t="s">
        <v>16</v>
      </c>
      <c r="B1" s="3">
        <v>2025</v>
      </c>
      <c r="C1" s="3">
        <v>2026</v>
      </c>
      <c r="D1" s="5" t="s">
        <v>32</v>
      </c>
      <c r="E1" t="s">
        <v>33</v>
      </c>
    </row>
    <row r="2" spans="1:5" x14ac:dyDescent="0.35">
      <c r="A2" s="2" t="s">
        <v>34</v>
      </c>
      <c r="B2" s="5">
        <v>11.74</v>
      </c>
      <c r="C2" s="5">
        <v>11.15</v>
      </c>
      <c r="D2" s="5">
        <v>13.93</v>
      </c>
      <c r="E2" s="6">
        <f>C2/D2</f>
        <v>0.80043072505384072</v>
      </c>
    </row>
    <row r="3" spans="1:5" x14ac:dyDescent="0.35">
      <c r="A3" s="2" t="s">
        <v>35</v>
      </c>
      <c r="B3" s="5">
        <v>12.01</v>
      </c>
      <c r="C3" s="5">
        <v>12.03</v>
      </c>
      <c r="D3" s="5">
        <v>13.93</v>
      </c>
      <c r="E3" s="6">
        <f t="shared" ref="E3:E7" si="0">C3/D3</f>
        <v>0.86360373295046655</v>
      </c>
    </row>
    <row r="4" spans="1:5" x14ac:dyDescent="0.35">
      <c r="A4" s="2" t="s">
        <v>36</v>
      </c>
      <c r="B4" s="5">
        <v>12.32</v>
      </c>
      <c r="C4" s="5">
        <v>12.96</v>
      </c>
      <c r="D4" s="5">
        <v>13.93</v>
      </c>
      <c r="E4" s="6">
        <f t="shared" si="0"/>
        <v>0.9303661162957646</v>
      </c>
    </row>
    <row r="5" spans="1:5" x14ac:dyDescent="0.35">
      <c r="A5" s="2" t="s">
        <v>37</v>
      </c>
      <c r="B5" s="5">
        <v>12.23</v>
      </c>
      <c r="C5" s="5">
        <v>13.52</v>
      </c>
      <c r="D5" s="5">
        <v>13.93</v>
      </c>
      <c r="E5" s="6">
        <f t="shared" si="0"/>
        <v>0.97056712132089018</v>
      </c>
    </row>
    <row r="6" spans="1:5" x14ac:dyDescent="0.35">
      <c r="A6" s="2" t="s">
        <v>38</v>
      </c>
      <c r="B6" s="5">
        <v>12.17</v>
      </c>
      <c r="C6" s="5">
        <v>13.55</v>
      </c>
      <c r="D6" s="5">
        <v>13.93</v>
      </c>
      <c r="E6" s="6">
        <f t="shared" si="0"/>
        <v>0.97272074659009344</v>
      </c>
    </row>
    <row r="7" spans="1:5" x14ac:dyDescent="0.35">
      <c r="A7" s="2" t="s">
        <v>39</v>
      </c>
      <c r="B7" s="5">
        <v>11.93</v>
      </c>
      <c r="C7" s="5">
        <v>13.67</v>
      </c>
      <c r="D7" s="5">
        <v>13.93</v>
      </c>
      <c r="E7" s="6">
        <f t="shared" si="0"/>
        <v>0.98133524766690594</v>
      </c>
    </row>
    <row r="8" spans="1:5" x14ac:dyDescent="0.35">
      <c r="A8" s="2" t="s">
        <v>40</v>
      </c>
      <c r="B8" s="5">
        <v>12.48</v>
      </c>
      <c r="D8" s="5">
        <v>13.93</v>
      </c>
    </row>
    <row r="9" spans="1:5" x14ac:dyDescent="0.35">
      <c r="A9" s="2" t="s">
        <v>41</v>
      </c>
      <c r="B9" s="5">
        <v>12.35</v>
      </c>
      <c r="D9" s="5">
        <v>13.93</v>
      </c>
    </row>
    <row r="10" spans="1:5" x14ac:dyDescent="0.35">
      <c r="A10" s="2" t="s">
        <v>42</v>
      </c>
      <c r="B10" s="5">
        <v>12.38</v>
      </c>
      <c r="D10" s="5">
        <v>13.93</v>
      </c>
    </row>
    <row r="11" spans="1:5" x14ac:dyDescent="0.35">
      <c r="A11" s="2" t="s">
        <v>43</v>
      </c>
      <c r="B11" s="5">
        <v>12.63</v>
      </c>
      <c r="D11" s="5">
        <v>13.93</v>
      </c>
    </row>
    <row r="12" spans="1:5" x14ac:dyDescent="0.35">
      <c r="A12" s="2" t="s">
        <v>44</v>
      </c>
      <c r="B12" s="5">
        <v>12.64</v>
      </c>
      <c r="D12" s="5">
        <v>13.93</v>
      </c>
    </row>
    <row r="13" spans="1:5" x14ac:dyDescent="0.35">
      <c r="A13" s="2" t="s">
        <v>45</v>
      </c>
      <c r="B13" s="5">
        <v>12.25</v>
      </c>
      <c r="D13" s="5">
        <v>13.93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2026-07-02T16:11:54Z</dcterms:modified>
</cp:coreProperties>
</file>