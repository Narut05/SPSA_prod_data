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50" activeTab="3"/>
  </bookViews>
  <sheets>
    <sheet name="Velocidad" sheetId="1" r:id="rId1"/>
    <sheet name="Cobertura" sheetId="3" r:id="rId2"/>
    <sheet name="tienda" sheetId="4" r:id="rId3"/>
    <sheet name="Resumen" sheetId="5" r:id="rId4"/>
    <sheet name="Productividad" sheetId="2" r:id="rId5"/>
  </sheets>
  <definedNames>
    <definedName name="_xlnm._FilterDatabase" localSheetId="4" hidden="1">Productividad!$A$1:$M$67</definedName>
  </definedNames>
  <calcPr calcId="162913"/>
  <pivotCaches>
    <pivotCache cacheId="53" r:id="rId6"/>
    <pivotCache cacheId="5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6" i="2"/>
  <c r="M34" i="2"/>
  <c r="M36" i="2"/>
  <c r="M44" i="2"/>
  <c r="M56" i="2"/>
  <c r="M59" i="2"/>
  <c r="M10" i="2" l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9" i="2"/>
  <c r="M30" i="2"/>
  <c r="M33" i="2"/>
  <c r="M38" i="2"/>
  <c r="M39" i="2"/>
  <c r="M41" i="2"/>
  <c r="M42" i="2"/>
  <c r="M43" i="2"/>
  <c r="M45" i="2"/>
  <c r="M46" i="2"/>
  <c r="M47" i="2"/>
  <c r="M49" i="2"/>
  <c r="M50" i="2"/>
  <c r="M51" i="2"/>
  <c r="M52" i="2"/>
  <c r="M53" i="2"/>
  <c r="M54" i="2"/>
  <c r="M55" i="2"/>
  <c r="M57" i="2"/>
  <c r="M58" i="2"/>
  <c r="M60" i="2"/>
  <c r="M61" i="2"/>
  <c r="M62" i="2"/>
  <c r="M63" i="2"/>
  <c r="M65" i="2"/>
  <c r="M66" i="2"/>
  <c r="M67" i="2"/>
  <c r="M8" i="2"/>
  <c r="M9" i="2"/>
  <c r="M4" i="2"/>
  <c r="M5" i="2"/>
  <c r="M7" i="2"/>
  <c r="M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2" i="1"/>
</calcChain>
</file>

<file path=xl/sharedStrings.xml><?xml version="1.0" encoding="utf-8"?>
<sst xmlns="http://schemas.openxmlformats.org/spreadsheetml/2006/main" count="714" uniqueCount="155">
  <si>
    <t>Mes</t>
  </si>
  <si>
    <t>nombre</t>
  </si>
  <si>
    <t>Cumplimiento</t>
  </si>
  <si>
    <t>Unid x Minuto</t>
  </si>
  <si>
    <t>enero</t>
  </si>
  <si>
    <t>Chiclayo - PVH</t>
  </si>
  <si>
    <t>febrero</t>
  </si>
  <si>
    <t>marzo</t>
  </si>
  <si>
    <t>abril</t>
  </si>
  <si>
    <t>mayo</t>
  </si>
  <si>
    <t>junio</t>
  </si>
  <si>
    <t>Chiclayo Aventura - PVH</t>
  </si>
  <si>
    <t>Chimbote - PVH</t>
  </si>
  <si>
    <t>El Chacarero - PVH</t>
  </si>
  <si>
    <t>Nvo Chimbote - PVH</t>
  </si>
  <si>
    <t>Paita - PVH</t>
  </si>
  <si>
    <t>Piura - PVH</t>
  </si>
  <si>
    <t>Sullana - PVH</t>
  </si>
  <si>
    <t>Talara - PVH</t>
  </si>
  <si>
    <t>Talara Municipalidad - PVH</t>
  </si>
  <si>
    <t>Tumbes - PVH</t>
  </si>
  <si>
    <t>Tienda</t>
  </si>
  <si>
    <t>Periodo</t>
  </si>
  <si>
    <t>Prod</t>
  </si>
  <si>
    <t>VtaNeta</t>
  </si>
  <si>
    <t>JEq</t>
  </si>
  <si>
    <t>ProdMeta</t>
  </si>
  <si>
    <t>ProdAA</t>
  </si>
  <si>
    <t>P226 Paita - PVH</t>
  </si>
  <si>
    <t>P143 Nvo Chimbote - PVH</t>
  </si>
  <si>
    <t>P262 Talara Municipalidad - PVH</t>
  </si>
  <si>
    <t>P769 Chiclayo Aventura - PVH</t>
  </si>
  <si>
    <t>P102 Chiclayo - PVH</t>
  </si>
  <si>
    <t>P724 Tumbes - PVH</t>
  </si>
  <si>
    <t>P130 Chimbote - PVH</t>
  </si>
  <si>
    <t>P145 Piura - PVH</t>
  </si>
  <si>
    <t>P123 El Chacarero - PVH</t>
  </si>
  <si>
    <t>P192 Sullana - PVH</t>
  </si>
  <si>
    <t>P177 Talara - PVH</t>
  </si>
  <si>
    <t>Cobertura teórica</t>
  </si>
  <si>
    <t>MINCajas abiertas_marcaciones_real necesario</t>
  </si>
  <si>
    <t>Cobertura apoyo</t>
  </si>
  <si>
    <t>Efectividad pronóstico</t>
  </si>
  <si>
    <t>Velocidad</t>
  </si>
  <si>
    <t>Productividad</t>
  </si>
  <si>
    <t>Cobertura</t>
  </si>
  <si>
    <t>final</t>
  </si>
  <si>
    <t>tiendaf</t>
  </si>
  <si>
    <t>llave</t>
  </si>
  <si>
    <t>Cumplimiento Velocidad</t>
  </si>
  <si>
    <t>Cobertura Acida</t>
  </si>
  <si>
    <t>Cump Produc</t>
  </si>
  <si>
    <t>Etiquetas de fila</t>
  </si>
  <si>
    <t>Etiquetas de columna</t>
  </si>
  <si>
    <t>Suma de Cump Produc</t>
  </si>
  <si>
    <t>mar</t>
  </si>
  <si>
    <t>may</t>
  </si>
  <si>
    <t>abr</t>
  </si>
  <si>
    <t>feb</t>
  </si>
  <si>
    <t>jun</t>
  </si>
  <si>
    <t>ene</t>
  </si>
  <si>
    <t>Suma de Cumplimiento Velocidad</t>
  </si>
  <si>
    <t>P226 Paita - PVHmarzo</t>
  </si>
  <si>
    <t>P226 Paita - PVHmayo</t>
  </si>
  <si>
    <t>P226 Paita - PVHabril</t>
  </si>
  <si>
    <t>P226 Paita - PVHfebrero</t>
  </si>
  <si>
    <t>P226 Paita - PVHjunio</t>
  </si>
  <si>
    <t>P226 Paita - PVHenero</t>
  </si>
  <si>
    <t>P143 Nvo Chimbote - PVHmayo</t>
  </si>
  <si>
    <t>P143 Nvo Chimbote - PVHjunio</t>
  </si>
  <si>
    <t>P143 Nvo Chimbote - PVHmarzo</t>
  </si>
  <si>
    <t>P143 Nvo Chimbote - PVHabril</t>
  </si>
  <si>
    <t>P143 Nvo Chimbote - PVHenero</t>
  </si>
  <si>
    <t>P143 Nvo Chimbote - PVHfebrero</t>
  </si>
  <si>
    <t>P262 Talara Municipalidad - PVHmarzo</t>
  </si>
  <si>
    <t>P262 Talara Municipalidad - PVHmayo</t>
  </si>
  <si>
    <t>P262 Talara Municipalidad - PVHjunio</t>
  </si>
  <si>
    <t>P262 Talara Municipalidad - PVHenero</t>
  </si>
  <si>
    <t>P262 Talara Municipalidad - PVHabril</t>
  </si>
  <si>
    <t>P262 Talara Municipalidad - PVHfebrero</t>
  </si>
  <si>
    <t>P769 Chiclayo Aventura - PVHmarzo</t>
  </si>
  <si>
    <t>P769 Chiclayo Aventura - PVHmayo</t>
  </si>
  <si>
    <t>P769 Chiclayo Aventura - PVHabril</t>
  </si>
  <si>
    <t>P769 Chiclayo Aventura - PVHfebrero</t>
  </si>
  <si>
    <t>P769 Chiclayo Aventura - PVHjunio</t>
  </si>
  <si>
    <t>P769 Chiclayo Aventura - PVHenero</t>
  </si>
  <si>
    <t>P102 Chiclayo - PVHmarzo</t>
  </si>
  <si>
    <t>P102 Chiclayo - PVHmayo</t>
  </si>
  <si>
    <t>P102 Chiclayo - PVHfebrero</t>
  </si>
  <si>
    <t>P102 Chiclayo - PVHabril</t>
  </si>
  <si>
    <t>P102 Chiclayo - PVHjunio</t>
  </si>
  <si>
    <t>P102 Chiclayo - PVHenero</t>
  </si>
  <si>
    <t>P724 Tumbes - PVHmayo</t>
  </si>
  <si>
    <t>P724 Tumbes - PVHmarzo</t>
  </si>
  <si>
    <t>P724 Tumbes - PVHenero</t>
  </si>
  <si>
    <t>P724 Tumbes - PVHabril</t>
  </si>
  <si>
    <t>P724 Tumbes - PVHfebrero</t>
  </si>
  <si>
    <t>P724 Tumbes - PVHjunio</t>
  </si>
  <si>
    <t>P130 Chimbote - PVHmarzo</t>
  </si>
  <si>
    <t>P130 Chimbote - PVHfebrero</t>
  </si>
  <si>
    <t>P130 Chimbote - PVHenero</t>
  </si>
  <si>
    <t>P130 Chimbote - PVHabril</t>
  </si>
  <si>
    <t>P130 Chimbote - PVHjunio</t>
  </si>
  <si>
    <t>P130 Chimbote - PVHmayo</t>
  </si>
  <si>
    <t>P145 Piura - PVHmarzo</t>
  </si>
  <si>
    <t>P145 Piura - PVHfebrero</t>
  </si>
  <si>
    <t>P145 Piura - PVHenero</t>
  </si>
  <si>
    <t>P145 Piura - PVHabril</t>
  </si>
  <si>
    <t>P145 Piura - PVHmayo</t>
  </si>
  <si>
    <t>P145 Piura - PVHjunio</t>
  </si>
  <si>
    <t>P123 El Chacarero - PVHjunio</t>
  </si>
  <si>
    <t>P123 El Chacarero - PVHmarzo</t>
  </si>
  <si>
    <t>P123 El Chacarero - PVHfebrero</t>
  </si>
  <si>
    <t>P123 El Chacarero - PVHmayo</t>
  </si>
  <si>
    <t>P123 El Chacarero - PVHabril</t>
  </si>
  <si>
    <t>P123 El Chacarero - PVHenero</t>
  </si>
  <si>
    <t>P192 Sullana - PVHmarzo</t>
  </si>
  <si>
    <t>P192 Sullana - PVHfebrero</t>
  </si>
  <si>
    <t>P192 Sullana - PVHenero</t>
  </si>
  <si>
    <t>P192 Sullana - PVHabril</t>
  </si>
  <si>
    <t>P192 Sullana - PVHmayo</t>
  </si>
  <si>
    <t>P192 Sullana - PVHjunio</t>
  </si>
  <si>
    <t>P177 Talara - PVHmarzo</t>
  </si>
  <si>
    <t>P177 Talara - PVHabril</t>
  </si>
  <si>
    <t>P177 Talara - PVHfebrero</t>
  </si>
  <si>
    <t>P177 Talara - PVHenero</t>
  </si>
  <si>
    <t>P177 Talara - PVHmayo</t>
  </si>
  <si>
    <t>P177 Talara - PVHjunio</t>
  </si>
  <si>
    <t>P192 Sullana - PVH*</t>
  </si>
  <si>
    <t>Suma de Cobertura Acida</t>
  </si>
  <si>
    <t>sobredotación respecto a la demanda real</t>
  </si>
  <si>
    <t>baja venta</t>
  </si>
  <si>
    <t>dotación insuficiente</t>
  </si>
  <si>
    <t>Dotación al límite, cajero exigido</t>
  </si>
  <si>
    <t>Evaluación</t>
  </si>
  <si>
    <t>🔴 Dotación insuficiente</t>
  </si>
  <si>
    <t>🟠 Sobredotada</t>
  </si>
  <si>
    <t>🟡 Baja demanda</t>
  </si>
  <si>
    <t>Cuenta de Periodo</t>
  </si>
  <si>
    <t>🟢 Operación eficiente</t>
  </si>
  <si>
    <t>Tiendas</t>
  </si>
  <si>
    <t>CUMPLIMIENTO DE VELOCIDAD</t>
  </si>
  <si>
    <t>CUMPLIMIENTO DE DOTACIÓN ÁCIDA</t>
  </si>
  <si>
    <t>Acción</t>
  </si>
  <si>
    <t>Baja venta</t>
  </si>
  <si>
    <t>Revisar dotación</t>
  </si>
  <si>
    <t>*Meta JEQ/Productividad para revisar</t>
  </si>
  <si>
    <t>Baja Venta</t>
  </si>
  <si>
    <t>ZONA GOR M.A.</t>
  </si>
  <si>
    <t>Considerar los trabajadores de Trux</t>
  </si>
  <si>
    <t>revisar el tema de celular</t>
  </si>
  <si>
    <t>revisar la programación, los cambios deberian continuar con las siguientes.</t>
  </si>
  <si>
    <t>revsiar el dash</t>
  </si>
  <si>
    <t>CUMPLIMIENTO DE PRODUCTIVIDAD (CAJAS)</t>
  </si>
  <si>
    <t>Revisar Meta Productividad/ composicion (venta 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</si>
</sst>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0" fontId="0" fillId="0" borderId="0" xfId="0" applyNumberFormat="1"/>
    <xf numFmtId="0" fontId="0" fillId="0" borderId="1" xfId="0" applyBorder="1"/>
    <xf numFmtId="0" fontId="0" fillId="0" borderId="0" xfId="0" applyAlignment="1">
      <alignment vertical="top"/>
    </xf>
    <xf numFmtId="3" fontId="0" fillId="0" borderId="0" xfId="0" applyNumberFormat="1"/>
    <xf numFmtId="9" fontId="0" fillId="0" borderId="0" xfId="0" applyNumberFormat="1"/>
    <xf numFmtId="0" fontId="0" fillId="0" borderId="0" xfId="0" applyFill="1" applyBorder="1"/>
    <xf numFmtId="9" fontId="0" fillId="0" borderId="0" xfId="1" applyFont="1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pivotButton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0" fillId="0" borderId="3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76">
    <dxf>
      <alignment horizontal="left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3" formatCode="0%"/>
    </dxf>
    <dxf>
      <alignment vertic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vertic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vertic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alignment vertic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numFmt numFmtId="13" formatCode="0%"/>
    </dxf>
    <dxf>
      <numFmt numFmtId="2" formatCode="0.00"/>
    </dxf>
    <dxf>
      <numFmt numFmtId="164" formatCode="0.0"/>
    </dxf>
    <dxf>
      <numFmt numFmtId="1" formatCode="0"/>
    </dxf>
    <dxf>
      <alignment vertic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sume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sume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204.437998263886" createdVersion="6" refreshedVersion="6" minRefreshableVersion="3" recordCount="66">
  <cacheSource type="worksheet">
    <worksheetSource ref="A1:L67" sheet="Productividad" r:id="rId2"/>
  </cacheSource>
  <cacheFields count="12">
    <cacheField name="Tienda" numFmtId="0">
      <sharedItems/>
    </cacheField>
    <cacheField name="tiendaf" numFmtId="0">
      <sharedItems count="11">
        <s v="P226 Paita - PVH"/>
        <s v="P143 Nvo Chimbote - PVH"/>
        <s v="P262 Talara Municipalidad - PVH"/>
        <s v="P769 Chiclayo Aventura - PVH"/>
        <s v="P102 Chiclayo - PVH"/>
        <s v="P724 Tumbes - PVH"/>
        <s v="P130 Chimbote - PVH"/>
        <s v="P145 Piura - PVH"/>
        <s v="P123 El Chacarero - PVH"/>
        <s v="P192 Sullana - PVH"/>
        <s v="P177 Talara - PVH"/>
      </sharedItems>
    </cacheField>
    <cacheField name="Periodo" numFmtId="0">
      <sharedItems count="12">
        <s v="mar"/>
        <s v="may"/>
        <s v="abr"/>
        <s v="feb"/>
        <s v="jun"/>
        <s v="ene"/>
        <s v="mayo" u="1"/>
        <s v="abril" u="1"/>
        <s v="junio" u="1"/>
        <s v="enero" u="1"/>
        <s v="febrero" u="1"/>
        <s v="marzo" u="1"/>
      </sharedItems>
    </cacheField>
    <cacheField name="llave" numFmtId="0">
      <sharedItems/>
    </cacheField>
    <cacheField name="Prod" numFmtId="3">
      <sharedItems containsSemiMixedTypes="0" containsString="0" containsNumber="1" minValue="180784.65148083371" maxValue="447280.90169083461"/>
    </cacheField>
    <cacheField name="VtaNeta" numFmtId="3">
      <sharedItems containsSemiMixedTypes="0" containsString="0" containsNumber="1" minValue="2304189.5200000009" maxValue="14181121.479999999"/>
    </cacheField>
    <cacheField name="JEq" numFmtId="0">
      <sharedItems containsSemiMixedTypes="0" containsString="0" containsNumber="1" minValue="9.537968750000001" maxValue="37.4287365591398"/>
    </cacheField>
    <cacheField name="ProdMeta" numFmtId="0">
      <sharedItems containsSemiMixedTypes="0" containsString="0" containsNumber="1" minValue="199866.96231517015" maxValue="532509.97009903356"/>
    </cacheField>
    <cacheField name="Cump Produc" numFmtId="9">
      <sharedItems containsSemiMixedTypes="0" containsString="0" containsNumber="1" minValue="0.68087357394473502" maxValue="1.5495465156982358"/>
    </cacheField>
    <cacheField name="ProdAA" numFmtId="3">
      <sharedItems containsSemiMixedTypes="0" containsString="0" containsNumber="1" minValue="190751.76665446145" maxValue="428084.77392627945"/>
    </cacheField>
    <cacheField name="Cumplimiento Velocidad" numFmtId="9">
      <sharedItems containsSemiMixedTypes="0" containsString="0" containsNumber="1" minValue="0.69820000000000004" maxValue="1.1917"/>
    </cacheField>
    <cacheField name="Cobertura Acida" numFmtId="9">
      <sharedItems containsSemiMixedTypes="0" containsString="0" containsNumber="1" minValue="0.46" maxValue="1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or" refreshedDate="46204.471815509256" createdVersion="6" refreshedVersion="6" minRefreshableVersion="3" recordCount="66">
  <cacheSource type="worksheet">
    <worksheetSource ref="A1:M67" sheet="Productividad" r:id="rId2"/>
  </cacheSource>
  <cacheFields count="13">
    <cacheField name="Tienda" numFmtId="0">
      <sharedItems/>
    </cacheField>
    <cacheField name="tiendaf" numFmtId="0">
      <sharedItems count="11">
        <s v="P226 Paita - PVH"/>
        <s v="P143 Nvo Chimbote - PVH"/>
        <s v="P262 Talara Municipalidad - PVH"/>
        <s v="P769 Chiclayo Aventura - PVH"/>
        <s v="P102 Chiclayo - PVH"/>
        <s v="P724 Tumbes - PVH"/>
        <s v="P130 Chimbote - PVH"/>
        <s v="P145 Piura - PVH"/>
        <s v="P123 El Chacarero - PVH"/>
        <s v="P192 Sullana - PVH"/>
        <s v="P177 Talara - PVH"/>
      </sharedItems>
    </cacheField>
    <cacheField name="Periodo" numFmtId="0">
      <sharedItems count="6">
        <s v="mar"/>
        <s v="may"/>
        <s v="abr"/>
        <s v="feb"/>
        <s v="jun"/>
        <s v="ene"/>
      </sharedItems>
    </cacheField>
    <cacheField name="llave" numFmtId="0">
      <sharedItems/>
    </cacheField>
    <cacheField name="Prod" numFmtId="3">
      <sharedItems containsSemiMixedTypes="0" containsString="0" containsNumber="1" minValue="180784.65148083371" maxValue="447280.90169083461"/>
    </cacheField>
    <cacheField name="VtaNeta" numFmtId="3">
      <sharedItems containsSemiMixedTypes="0" containsString="0" containsNumber="1" minValue="2304189.5200000009" maxValue="14181121.479999999"/>
    </cacheField>
    <cacheField name="JEq" numFmtId="0">
      <sharedItems containsSemiMixedTypes="0" containsString="0" containsNumber="1" minValue="9.537968750000001" maxValue="37.4287365591398"/>
    </cacheField>
    <cacheField name="ProdMeta" numFmtId="0">
      <sharedItems containsSemiMixedTypes="0" containsString="0" containsNumber="1" minValue="199866.96231517015" maxValue="532509.97009903356"/>
    </cacheField>
    <cacheField name="Cump Produc" numFmtId="9">
      <sharedItems containsSemiMixedTypes="0" containsString="0" containsNumber="1" minValue="0.68087357394473502" maxValue="1.5495465156982358"/>
    </cacheField>
    <cacheField name="ProdAA" numFmtId="3">
      <sharedItems containsSemiMixedTypes="0" containsString="0" containsNumber="1" minValue="190751.76665446145" maxValue="428084.77392627945"/>
    </cacheField>
    <cacheField name="Cumplimiento Velocidad" numFmtId="9">
      <sharedItems containsSemiMixedTypes="0" containsString="0" containsNumber="1" minValue="0.69820000000000004" maxValue="1.1917"/>
    </cacheField>
    <cacheField name="Cobertura Acida" numFmtId="9">
      <sharedItems containsSemiMixedTypes="0" containsString="0" containsNumber="1" minValue="0.46" maxValue="1.41"/>
    </cacheField>
    <cacheField name="Evaluación" numFmtId="0">
      <sharedItems count="9">
        <s v="🟠 Sobredotada"/>
        <s v="🟡 Baja demanda"/>
        <s v="🔴 Dotación insuficiente"/>
        <s v="🚨 Dotación crítica"/>
        <s v="🟢 Operación eficiente"/>
        <s v="🔵 Baja eficiencia" u="1"/>
        <s v="🟢 Balanceada" u="1"/>
        <s v="Baja demanda" u="1"/>
        <s v="⚪ Revis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">
  <r>
    <s v="P226 Paita - PVH"/>
    <x v="0"/>
    <x v="0"/>
    <s v="P226 Paita - PVHmarzo"/>
    <n v="447280.90169083461"/>
    <n v="6771892.9700000007"/>
    <n v="15.140134408602149"/>
    <n v="532509.97009903356"/>
    <n v="0.83994840811647442"/>
    <n v="354976.12461047724"/>
    <n v="1.1888000000000001"/>
    <n v="1.1100000000000001"/>
  </r>
  <r>
    <s v="P226 Paita - PVH"/>
    <x v="0"/>
    <x v="1"/>
    <s v="P226 Paita - PVHmayo"/>
    <n v="401019.10561703751"/>
    <n v="5959858.0900000045"/>
    <n v="14.861780913978471"/>
    <n v="473111.20472751546"/>
    <n v="0.84762123917145693"/>
    <n v="349759.54586258915"/>
    <n v="1.1677"/>
    <n v="1.01"/>
  </r>
  <r>
    <s v="P226 Paita - PVH"/>
    <x v="0"/>
    <x v="2"/>
    <s v="P226 Paita - PVHabril"/>
    <n v="387136.13143789227"/>
    <n v="5814203.9899999993"/>
    <n v="15.018500000000037"/>
    <n v="453679.98913924687"/>
    <n v="0.85332423890327136"/>
    <n v="331304.56943850691"/>
    <n v="1.1917"/>
    <n v="1.03"/>
  </r>
  <r>
    <s v="P226 Paita - PVH"/>
    <x v="0"/>
    <x v="3"/>
    <s v="P226 Paita - PVHfebrero"/>
    <n v="373475.13714849006"/>
    <n v="5505432.0099999998"/>
    <n v="14.741093750000001"/>
    <n v="430007.65549639246"/>
    <n v="0.86853136769706496"/>
    <n v="310820.06259516458"/>
    <n v="1.1738"/>
    <n v="1.2"/>
  </r>
  <r>
    <s v="P226 Paita - PVH"/>
    <x v="0"/>
    <x v="4"/>
    <s v="P226 Paita - PVHjunio"/>
    <n v="354320.7290119839"/>
    <n v="4994214.6500000041"/>
    <n v="14.09518055555561"/>
    <n v="421206.58890416654"/>
    <n v="0.84120414624520368"/>
    <n v="314428.88340617309"/>
    <n v="1.1212"/>
    <n v="1.08"/>
  </r>
  <r>
    <s v="P226 Paita - PVH"/>
    <x v="0"/>
    <x v="5"/>
    <s v="P226 Paita - PVHenero"/>
    <n v="306673.23634322075"/>
    <n v="4786938.3899999997"/>
    <n v="15.609247311827961"/>
    <n v="450411.42449760099"/>
    <n v="0.68087357394473502"/>
    <n v="246021.56594662397"/>
    <n v="1.0866"/>
    <n v="1.22"/>
  </r>
  <r>
    <s v="P143 Nvo Chimbote - PVH"/>
    <x v="1"/>
    <x v="1"/>
    <s v="P143 Nvo Chimbote - PVHmayo"/>
    <n v="416990.92922525009"/>
    <n v="4774736.700000002"/>
    <n v="11.450456989247327"/>
    <n v="334220.40084266831"/>
    <n v="1.2476525316045723"/>
    <n v="356048.97236626298"/>
    <n v="0.97040000000000004"/>
    <n v="0.74"/>
  </r>
  <r>
    <s v="P143 Nvo Chimbote - PVH"/>
    <x v="1"/>
    <x v="4"/>
    <s v="P143 Nvo Chimbote - PVHjunio"/>
    <n v="379059.22433563927"/>
    <n v="4322596.6000000015"/>
    <n v="11.40348611111108"/>
    <n v="308824.78103387321"/>
    <n v="1.2274248946818243"/>
    <n v="306500.74051884882"/>
    <n v="1.0163"/>
    <n v="0.61"/>
  </r>
  <r>
    <s v="P143 Nvo Chimbote - PVH"/>
    <x v="1"/>
    <x v="0"/>
    <s v="P143 Nvo Chimbote - PVHmarzo"/>
    <n v="378954.24957638443"/>
    <n v="5110116.5599999996"/>
    <n v="13.484784946236555"/>
    <n v="376266.38001775183"/>
    <n v="1.0071435283654782"/>
    <n v="407607.81672288309"/>
    <n v="0.9627"/>
    <n v="0.86"/>
  </r>
  <r>
    <s v="P143 Nvo Chimbote - PVH"/>
    <x v="1"/>
    <x v="2"/>
    <s v="P143 Nvo Chimbote - PVHabril"/>
    <n v="367082.31865172595"/>
    <n v="4671543.12"/>
    <n v="12.72614583333333"/>
    <n v="319456.1087117634"/>
    <n v="1.1490853004252124"/>
    <n v="380688.72879260319"/>
    <n v="0.95740000000000003"/>
    <n v="0.83"/>
  </r>
  <r>
    <s v="P143 Nvo Chimbote - PVH"/>
    <x v="1"/>
    <x v="5"/>
    <s v="P143 Nvo Chimbote - PVHenero"/>
    <n v="331314.73651044449"/>
    <n v="4813873.9800000004"/>
    <n v="14.529610215053765"/>
    <n v="337415.15795977687"/>
    <n v="0.9819201322008787"/>
    <n v="348135.94846192392"/>
    <n v="0.80769999999999997"/>
    <n v="0.72"/>
  </r>
  <r>
    <s v="P143 Nvo Chimbote - PVH"/>
    <x v="1"/>
    <x v="3"/>
    <s v="P143 Nvo Chimbote - PVHfebrero"/>
    <n v="326244.15568766627"/>
    <n v="4467352.9800000004"/>
    <n v="13.693281249999997"/>
    <n v="303569.46280184173"/>
    <n v="1.0746935896534022"/>
    <n v="334210.86783297703"/>
    <n v="0.88039999999999996"/>
    <n v="0.84"/>
  </r>
  <r>
    <s v="P262 Talara Municipalidad - PVH"/>
    <x v="2"/>
    <x v="0"/>
    <s v="P262 Talara Municipalidad - PVHmarzo"/>
    <n v="379297.98647879204"/>
    <n v="5412467.5599999987"/>
    <n v="14.269697580645158"/>
    <n v="339251.76265357039"/>
    <n v="1.1180427877868246"/>
    <n v="322838.55224622384"/>
    <n v="1.0303"/>
    <n v="1.04"/>
  </r>
  <r>
    <s v="P262 Talara Municipalidad - PVH"/>
    <x v="2"/>
    <x v="1"/>
    <s v="P262 Talara Municipalidad - PVHmayo"/>
    <n v="375166.84831872321"/>
    <n v="5282497.980000006"/>
    <n v="14.08039650537634"/>
    <n v="330957.15566757444"/>
    <n v="1.1335813167779174"/>
    <n v="306649.42096085829"/>
    <n v="1.0221"/>
    <n v="0.97"/>
  </r>
  <r>
    <s v="P262 Talara Municipalidad - PVH"/>
    <x v="2"/>
    <x v="4"/>
    <s v="P262 Talara Municipalidad - PVHjunio"/>
    <n v="350452.98401249194"/>
    <n v="4884297.3100000024"/>
    <n v="13.937097222222256"/>
    <n v="289596.53818187752"/>
    <n v="1.2101421730131121"/>
    <n v="295775.78988664283"/>
    <n v="1.0371999999999999"/>
    <n v="1"/>
  </r>
  <r>
    <s v="P262 Talara Municipalidad - PVH"/>
    <x v="2"/>
    <x v="5"/>
    <s v="P262 Talara Municipalidad - PVHenero"/>
    <n v="345810.90997812542"/>
    <n v="4640670.8600000003"/>
    <n v="13.419677419354844"/>
    <n v="304857.89801650692"/>
    <n v="1.1343347580235597"/>
    <n v="278713.5721138799"/>
    <n v="0.99729999999999996"/>
    <n v="1.1200000000000001"/>
  </r>
  <r>
    <s v="P262 Talara Municipalidad - PVH"/>
    <x v="2"/>
    <x v="2"/>
    <s v="P262 Talara Municipalidad - PVHabril"/>
    <n v="339699.42925209587"/>
    <n v="4657968.0100000007"/>
    <n v="13.712027777777793"/>
    <n v="310173.76761613722"/>
    <n v="1.0951907115256079"/>
    <n v="280640.97029516631"/>
    <n v="1.0073000000000001"/>
    <n v="1.01"/>
  </r>
  <r>
    <s v="P262 Talara Municipalidad - PVH"/>
    <x v="2"/>
    <x v="3"/>
    <s v="P262 Talara Municipalidad - PVHfebrero"/>
    <n v="339682.39352487773"/>
    <n v="4675462.7700000005"/>
    <n v="13.76421875"/>
    <n v="286467.49545104103"/>
    <n v="1.1857624300099048"/>
    <n v="252397.73211836771"/>
    <n v="1.0185"/>
    <n v="1.1000000000000001"/>
  </r>
  <r>
    <s v="P769 Chiclayo Aventura - PVH"/>
    <x v="3"/>
    <x v="0"/>
    <s v="P769 Chiclayo Aventura - PVHmarzo"/>
    <n v="408727.37664243317"/>
    <n v="6918765.6299999999"/>
    <n v="16.927580645161289"/>
    <n v="349555.9129038094"/>
    <n v="1.1692761059227357"/>
    <n v="407462.84782558726"/>
    <n v="0.93100000000000005"/>
    <n v="0.6"/>
  </r>
  <r>
    <s v="P769 Chiclayo Aventura - PVH"/>
    <x v="3"/>
    <x v="1"/>
    <s v="P769 Chiclayo Aventura - PVHmayo"/>
    <n v="355813.94855942385"/>
    <n v="5888273.6900000051"/>
    <n v="16.548743279569926"/>
    <n v="294642.70983449934"/>
    <n v="1.2076115806811727"/>
    <n v="265182.14660536096"/>
    <n v="0.97709999999999997"/>
    <n v="0.46"/>
  </r>
  <r>
    <s v="P769 Chiclayo Aventura - PVH"/>
    <x v="3"/>
    <x v="2"/>
    <s v="P769 Chiclayo Aventura - PVHabril"/>
    <n v="333715.72953440319"/>
    <n v="5343558.2299999986"/>
    <n v="16.012305555555553"/>
    <n v="281967.83488121745"/>
    <n v="1.183524105417858"/>
    <n v="264628.3687535263"/>
    <n v="1.0396000000000001"/>
    <n v="0.49"/>
  </r>
  <r>
    <s v="P769 Chiclayo Aventura - PVH"/>
    <x v="3"/>
    <x v="3"/>
    <s v="P769 Chiclayo Aventura - PVHfebrero"/>
    <n v="314429.88397881686"/>
    <n v="5924972.620000001"/>
    <n v="18.843541666666667"/>
    <n v="284114.66827397444"/>
    <n v="1.1067006356588713"/>
    <n v="275397.28621111013"/>
    <n v="0.8821"/>
    <n v="0.86"/>
  </r>
  <r>
    <s v="P769 Chiclayo Aventura - PVH"/>
    <x v="3"/>
    <x v="4"/>
    <s v="P769 Chiclayo Aventura - PVHjunio"/>
    <n v="299724.99788531329"/>
    <n v="5024700.1800000053"/>
    <n v="16.764368055555565"/>
    <n v="255645.91782180979"/>
    <n v="1.1724223896828561"/>
    <n v="245081.16683159248"/>
    <n v="1.0693999999999999"/>
    <n v="0.48"/>
  </r>
  <r>
    <s v="P769 Chiclayo Aventura - PVH"/>
    <x v="3"/>
    <x v="5"/>
    <s v="P769 Chiclayo Aventura - PVHenero"/>
    <n v="272846.96277990018"/>
    <n v="4917732.78"/>
    <n v="18.023776881720433"/>
    <n v="289613.22652728553"/>
    <n v="0.94210808688391945"/>
    <n v="259013.6440289309"/>
    <n v="0.85089999999999999"/>
    <n v="0.86"/>
  </r>
  <r>
    <s v="P102 Chiclayo - PVH"/>
    <x v="4"/>
    <x v="0"/>
    <s v="P102 Chiclayo - PVHmarzo"/>
    <n v="387601.62640388188"/>
    <n v="12185747.100000001"/>
    <n v="31.438844086021511"/>
    <n v="346725.37682351511"/>
    <n v="1.1178922926116623"/>
    <n v="351341.81036137347"/>
    <n v="1.0593999999999999"/>
    <n v="1.21"/>
  </r>
  <r>
    <s v="P102 Chiclayo - PVH"/>
    <x v="4"/>
    <x v="1"/>
    <s v="P102 Chiclayo - PVHmayo"/>
    <n v="331870.00653012341"/>
    <n v="9750327.410000002"/>
    <n v="29.379959677419592"/>
    <n v="274004.07323047461"/>
    <n v="1.2111863981342195"/>
    <n v="265493.47478296614"/>
    <n v="1.1166"/>
    <n v="1.1200000000000001"/>
  </r>
  <r>
    <s v="P102 Chiclayo - PVH"/>
    <x v="4"/>
    <x v="3"/>
    <s v="P102 Chiclayo - PVHfebrero"/>
    <n v="327628.54673001438"/>
    <n v="10250439.260000002"/>
    <n v="31.286770833333335"/>
    <n v="286758.43088548799"/>
    <n v="1.1425245483395994"/>
    <n v="285726.68693484389"/>
    <n v="0.9456"/>
    <n v="1.39"/>
  </r>
  <r>
    <s v="P102 Chiclayo - PVH"/>
    <x v="4"/>
    <x v="2"/>
    <s v="P102 Chiclayo - PVHabril"/>
    <n v="319268.45947695954"/>
    <n v="9496638.1099999994"/>
    <n v="29.744993055555295"/>
    <n v="263972.34448846814"/>
    <n v="1.2094769249242587"/>
    <n v="257242.99210337401"/>
    <n v="1.1746000000000001"/>
    <n v="1.18"/>
  </r>
  <r>
    <s v="P102 Chiclayo - PVH"/>
    <x v="4"/>
    <x v="4"/>
    <s v="P102 Chiclayo - PVHjunio"/>
    <n v="311190.86624792969"/>
    <n v="8909001.1899999939"/>
    <n v="28.628736111110925"/>
    <n v="251487.4798370091"/>
    <n v="1.2374010286699553"/>
    <n v="242457.40465777143"/>
    <n v="0.95689999999999997"/>
    <n v="1.1499999999999999"/>
  </r>
  <r>
    <s v="P102 Chiclayo - PVH"/>
    <x v="4"/>
    <x v="5"/>
    <s v="P102 Chiclayo - PVHenero"/>
    <n v="276111.91004464577"/>
    <n v="8889803.3399999999"/>
    <n v="32.196377688172042"/>
    <n v="266305.7683918401"/>
    <n v="1.036822866106216"/>
    <n v="277111.45661425882"/>
    <n v="0.91839999999999999"/>
    <n v="1.41"/>
  </r>
  <r>
    <s v="P724 Tumbes - PVH"/>
    <x v="5"/>
    <x v="1"/>
    <s v="P724 Tumbes - PVHmayo"/>
    <n v="330149.07720633096"/>
    <n v="6417075.2199999979"/>
    <n v="19.436901881720431"/>
    <n v="360970.58355302253"/>
    <n v="0.91461490838584014"/>
    <n v="359897.94152918726"/>
    <n v="1.0311999999999999"/>
    <n v="0.89"/>
  </r>
  <r>
    <s v="P724 Tumbes - PVH"/>
    <x v="5"/>
    <x v="0"/>
    <s v="P724 Tumbes - PVHmarzo"/>
    <n v="329855.9722604641"/>
    <n v="6954425.7299999995"/>
    <n v="21.083219086021515"/>
    <n v="419910.47857971286"/>
    <n v="0.78553879716494512"/>
    <n v="428084.77392627945"/>
    <n v="0.95489999999999997"/>
    <n v="1.1200000000000001"/>
  </r>
  <r>
    <s v="P724 Tumbes - PVH"/>
    <x v="5"/>
    <x v="5"/>
    <s v="P724 Tumbes - PVHenero"/>
    <n v="326343.41649578389"/>
    <n v="6812896.9299999988"/>
    <n v="20.876465053763436"/>
    <n v="329126.11980169598"/>
    <n v="0.99154517633669215"/>
    <n v="374185.32003455888"/>
    <n v="0.91600000000000004"/>
    <n v="0.92"/>
  </r>
  <r>
    <s v="P724 Tumbes - PVH"/>
    <x v="5"/>
    <x v="2"/>
    <s v="P724 Tumbes - PVHabril"/>
    <n v="315519.6226129217"/>
    <n v="6247253.469999996"/>
    <n v="19.799888888888866"/>
    <n v="359515.06427116657"/>
    <n v="0.87762559616956404"/>
    <n v="386130.39538650884"/>
    <n v="1.0503"/>
    <n v="0.81"/>
  </r>
  <r>
    <s v="P724 Tumbes - PVH"/>
    <x v="5"/>
    <x v="3"/>
    <s v="P724 Tumbes - PVHfebrero"/>
    <n v="304354.47594954428"/>
    <n v="6341257.21"/>
    <n v="20.835104166666667"/>
    <n v="323832.095092231"/>
    <n v="0.93985272171018353"/>
    <n v="366733.81233946711"/>
    <n v="0.8881"/>
    <n v="0.98"/>
  </r>
  <r>
    <s v="P724 Tumbes - PVH"/>
    <x v="5"/>
    <x v="4"/>
    <s v="P724 Tumbes - PVHjunio"/>
    <n v="304303.16150262632"/>
    <n v="5361502.6100000003"/>
    <n v="17.618951388888963"/>
    <n v="318037.4908809638"/>
    <n v="0.95681537626179414"/>
    <n v="323179.38141168031"/>
    <n v="1.0423"/>
    <n v="0.67"/>
  </r>
  <r>
    <s v="P130 Chimbote - PVH"/>
    <x v="6"/>
    <x v="0"/>
    <s v="P130 Chimbote - PVHmarzo"/>
    <n v="394997.63550881506"/>
    <n v="7065610.46"/>
    <n v="17.887728494623655"/>
    <n v="346846.24819560332"/>
    <n v="1.1388263173198774"/>
    <n v="424540.25519598345"/>
    <n v="1.0156000000000001"/>
    <n v="1.19"/>
  </r>
  <r>
    <s v="P130 Chimbote - PVH"/>
    <x v="6"/>
    <x v="3"/>
    <s v="P130 Chimbote - PVHfebrero"/>
    <n v="352283.43651807203"/>
    <n v="5847483.04"/>
    <n v="16.598802083333332"/>
    <n v="268941.63678385498"/>
    <n v="1.3098880512919531"/>
    <n v="310503.0251002388"/>
    <n v="0.99270000000000003"/>
    <n v="1.21"/>
  </r>
  <r>
    <s v="P130 Chimbote - PVH"/>
    <x v="6"/>
    <x v="5"/>
    <s v="P130 Chimbote - PVHenero"/>
    <n v="305489.76376705442"/>
    <n v="5536704.2799999984"/>
    <n v="18.124025537634413"/>
    <n v="289190.17051316419"/>
    <n v="1.0563628882163139"/>
    <n v="289267.73314784555"/>
    <n v="0.8982"/>
    <n v="1.37"/>
  </r>
  <r>
    <s v="P130 Chimbote - PVH"/>
    <x v="6"/>
    <x v="2"/>
    <s v="P130 Chimbote - PVHabril"/>
    <n v="295596.15068761713"/>
    <n v="5307730.6400000015"/>
    <n v="17.956020833333362"/>
    <n v="274467.4456676222"/>
    <n v="1.0769807325185721"/>
    <n v="333435.62708772084"/>
    <n v="1.0197000000000001"/>
    <n v="1.1599999999999999"/>
  </r>
  <r>
    <s v="P130 Chimbote - PVH"/>
    <x v="6"/>
    <x v="4"/>
    <s v="P130 Chimbote - PVHjunio"/>
    <n v="282124.50681200391"/>
    <n v="4798622.4300000006"/>
    <n v="17.008881944444493"/>
    <n v="257158.54463464438"/>
    <n v="1.097083930121123"/>
    <n v="304387.01939312945"/>
    <n v="0.98519999999999996"/>
    <n v="1.31"/>
  </r>
  <r>
    <s v="P130 Chimbote - PVH"/>
    <x v="6"/>
    <x v="1"/>
    <s v="P130 Chimbote - PVHmayo"/>
    <n v="278587.80614498915"/>
    <n v="5411043.9100000029"/>
    <n v="19.423118279569859"/>
    <n v="286148.67801166535"/>
    <n v="0.97357712109937489"/>
    <n v="350001.40660938184"/>
    <n v="1.0097"/>
    <n v="1.27"/>
  </r>
  <r>
    <s v="P145 Piura - PVH"/>
    <x v="7"/>
    <x v="0"/>
    <s v="P145 Piura - PVHmarzo"/>
    <n v="378883.25344866823"/>
    <n v="14181121.479999999"/>
    <n v="37.4287365591398"/>
    <n v="383327.87100241816"/>
    <n v="0.9884051802908902"/>
    <n v="427201.99366488284"/>
    <n v="1.0181"/>
    <n v="1.01"/>
  </r>
  <r>
    <s v="P145 Piura - PVH"/>
    <x v="7"/>
    <x v="3"/>
    <s v="P145 Piura - PVHfebrero"/>
    <n v="359021.26444284694"/>
    <n v="11418203.840000002"/>
    <n v="31.803697916666664"/>
    <n v="284731.31024735328"/>
    <n v="1.2609124866912462"/>
    <n v="255166.74036278791"/>
    <n v="0.99380000000000002"/>
    <n v="0.98"/>
  </r>
  <r>
    <s v="P145 Piura - PVH"/>
    <x v="7"/>
    <x v="5"/>
    <s v="P145 Piura - PVHenero"/>
    <n v="304536.27869035956"/>
    <n v="9671988.2999999989"/>
    <n v="31.759724462365593"/>
    <n v="263006.72692396154"/>
    <n v="1.1579030021479439"/>
    <n v="281269.15347146871"/>
    <n v="0.95240000000000002"/>
    <n v="0.92"/>
  </r>
  <r>
    <s v="P145 Piura - PVH"/>
    <x v="7"/>
    <x v="2"/>
    <s v="P145 Piura - PVHabril"/>
    <n v="295866.82853526634"/>
    <n v="10715431.530000001"/>
    <n v="36.217076388888785"/>
    <n v="280722.61264612048"/>
    <n v="1.0539472604162341"/>
    <n v="267135.82088081085"/>
    <n v="1.0254000000000001"/>
    <n v="0.94"/>
  </r>
  <r>
    <s v="P145 Piura - PVH"/>
    <x v="7"/>
    <x v="1"/>
    <s v="P145 Piura - PVHmayo"/>
    <n v="289038.61916825257"/>
    <n v="10519809.180000007"/>
    <n v="36.395860215054206"/>
    <n v="289463.34901629569"/>
    <n v="0.99853269904640252"/>
    <n v="303150.62542225246"/>
    <n v="1.0529999999999999"/>
    <n v="0.85"/>
  </r>
  <r>
    <s v="P145 Piura - PVH"/>
    <x v="7"/>
    <x v="4"/>
    <s v="P145 Piura - PVHjunio"/>
    <n v="262535.05290991004"/>
    <n v="9440753.2100000046"/>
    <n v="35.959972222222213"/>
    <n v="255365.31341654711"/>
    <n v="1.0280764031631335"/>
    <n v="211661.72654477911"/>
    <n v="1.0767"/>
    <n v="0.97"/>
  </r>
  <r>
    <s v="P123 El Chacarero - PVH"/>
    <x v="8"/>
    <x v="4"/>
    <s v="P123 El Chacarero - PVHjunio"/>
    <n v="322394.69733550266"/>
    <n v="9639621.6000000015"/>
    <n v="29.900062499999652"/>
    <n v="225441.57160227949"/>
    <n v="1.4300587732961088"/>
    <n v="190751.76665446145"/>
    <n v="1.1263000000000001"/>
    <n v="1.1499999999999999"/>
  </r>
  <r>
    <s v="P123 El Chacarero - PVH"/>
    <x v="8"/>
    <x v="0"/>
    <s v="P123 El Chacarero - PVHmarzo"/>
    <n v="313326.74318950484"/>
    <n v="11469845.540000001"/>
    <n v="36.606659946236576"/>
    <n v="287431.95189731009"/>
    <n v="1.0900901626324624"/>
    <n v="288673.06941226561"/>
    <n v="1.0993999999999999"/>
    <n v="0.87"/>
  </r>
  <r>
    <s v="P123 El Chacarero - PVH"/>
    <x v="8"/>
    <x v="3"/>
    <s v="P123 El Chacarero - PVHfebrero"/>
    <n v="309703.15505866252"/>
    <n v="10278337.98"/>
    <n v="33.187708333333333"/>
    <n v="199866.96231517015"/>
    <n v="1.5495465156982358"/>
    <n v="353499.39208863361"/>
    <n v="1.0504"/>
    <n v="0.92"/>
  </r>
  <r>
    <s v="P123 El Chacarero - PVH"/>
    <x v="8"/>
    <x v="1"/>
    <s v="P123 El Chacarero - PVHmayo"/>
    <n v="303181.4030486889"/>
    <n v="9958936.5499999952"/>
    <n v="32.848111559140243"/>
    <n v="251300.88815068975"/>
    <n v="1.2064477976173709"/>
    <n v="213426.32201466284"/>
    <n v="1.0296000000000001"/>
    <n v="1.06"/>
  </r>
  <r>
    <s v="P123 El Chacarero - PVH"/>
    <x v="8"/>
    <x v="2"/>
    <s v="P123 El Chacarero - PVHabril"/>
    <n v="298550.33373443305"/>
    <n v="10036443.279999981"/>
    <n v="33.617256944444122"/>
    <n v="242104.08255347636"/>
    <n v="1.2331486961542202"/>
    <n v="211364.15195982947"/>
    <n v="1.0416000000000001"/>
    <n v="0.81"/>
  </r>
  <r>
    <s v="P123 El Chacarero - PVH"/>
    <x v="8"/>
    <x v="5"/>
    <s v="P123 El Chacarero - PVHenero"/>
    <n v="282637.18306749163"/>
    <n v="9434875.540000001"/>
    <n v="33.38157930107527"/>
    <n v="224281.22701720888"/>
    <n v="1.2601909969299623"/>
    <n v="325303.33150499221"/>
    <n v="0.98299999999999998"/>
    <n v="0.91"/>
  </r>
  <r>
    <s v="P192 Sullana - PVH"/>
    <x v="9"/>
    <x v="0"/>
    <s v="P192 Sullana - PVHmarzo"/>
    <n v="357157.18050867104"/>
    <n v="3912152.8599999994"/>
    <n v="10.953588709677421"/>
    <n v="396330.60488570126"/>
    <n v="0.90115972903902397"/>
    <n v="359057.66324111831"/>
    <n v="0.85399999999999998"/>
    <n v="1.0900000000000001"/>
  </r>
  <r>
    <s v="P192 Sullana - PVH"/>
    <x v="9"/>
    <x v="3"/>
    <s v="P192 Sullana - PVHfebrero"/>
    <n v="325071.38692397159"/>
    <n v="3100520.73"/>
    <n v="9.537968750000001"/>
    <n v="329139.61545048055"/>
    <n v="0.9876398089578462"/>
    <n v="255367.04797396503"/>
    <n v="0.96"/>
    <n v="1.21"/>
  </r>
  <r>
    <s v="P192 Sullana - PVH"/>
    <x v="9"/>
    <x v="5"/>
    <s v="P192 Sullana - PVHenero"/>
    <n v="272161.33253207331"/>
    <n v="2845774.1299999994"/>
    <n v="10.45620295698925"/>
    <n v="306216.74573653238"/>
    <n v="0.88878657461221866"/>
    <n v="234754.62783068357"/>
    <n v="0.87119999999999997"/>
    <n v="1.1299999999999999"/>
  </r>
  <r>
    <s v="P192 Sullana - PVH"/>
    <x v="9"/>
    <x v="2"/>
    <s v="P192 Sullana - PVHabril"/>
    <n v="266370.5059977083"/>
    <n v="2797188.1300000018"/>
    <n v="10.501118055555546"/>
    <n v="292852.18984197947"/>
    <n v="0.90957320872840164"/>
    <n v="257692.67059300185"/>
    <n v="0.83230000000000004"/>
    <n v="1.08"/>
  </r>
  <r>
    <s v="P192 Sullana - PVH"/>
    <x v="9"/>
    <x v="1"/>
    <s v="P192 Sullana - PVHmayo"/>
    <n v="257124.6428627134"/>
    <n v="2791713.5300000031"/>
    <n v="10.857432795698944"/>
    <n v="308911.57569197565"/>
    <n v="0.83235677486912807"/>
    <n v="276605.23391795787"/>
    <n v="0.69820000000000004"/>
    <n v="1.1200000000000001"/>
  </r>
  <r>
    <s v="P192 Sullana - PVH"/>
    <x v="9"/>
    <x v="4"/>
    <s v="P192 Sullana - PVHjunio"/>
    <n v="217540.59054845522"/>
    <n v="2530909.5300000017"/>
    <n v="11.634194444444447"/>
    <n v="274150.56163616886"/>
    <n v="0.79350773257637186"/>
    <n v="228213.63864831126"/>
    <n v="0.78290000000000004"/>
    <n v="1.34"/>
  </r>
  <r>
    <s v="P177 Talara - PVH"/>
    <x v="10"/>
    <x v="0"/>
    <s v="P177 Talara - PVHmarzo"/>
    <n v="243112.48546680473"/>
    <n v="3493673.4599999995"/>
    <n v="14.370604838709674"/>
    <n v="316057.55539539858"/>
    <n v="0.76920320782290075"/>
    <n v="233549.81678179704"/>
    <n v="0.89780000000000004"/>
    <n v="1.25"/>
  </r>
  <r>
    <s v="P177 Talara - PVH"/>
    <x v="10"/>
    <x v="2"/>
    <s v="P177 Talara - PVHabril"/>
    <n v="216683.57479541146"/>
    <n v="2976564.2100000023"/>
    <n v="13.736916666666673"/>
    <n v="221619.61290924513"/>
    <n v="0.97772743102906234"/>
    <n v="210112.86631571985"/>
    <n v="0.95420000000000005"/>
    <n v="1.1599999999999999"/>
  </r>
  <r>
    <s v="P177 Talara - PVH"/>
    <x v="10"/>
    <x v="3"/>
    <s v="P177 Talara - PVHfebrero"/>
    <n v="215290.41143567435"/>
    <n v="2814518.46"/>
    <n v="13.073124999999999"/>
    <n v="211431.42970434099"/>
    <n v="1.0182516938788602"/>
    <n v="208104.03338384553"/>
    <n v="0.88170000000000004"/>
    <n v="1.27"/>
  </r>
  <r>
    <s v="P177 Talara - PVH"/>
    <x v="10"/>
    <x v="5"/>
    <s v="P177 Talara - PVHenero"/>
    <n v="211008.00027081123"/>
    <n v="3016142.4000000008"/>
    <n v="14.293971774193551"/>
    <n v="238575.31664870295"/>
    <n v="0.88445025761619755"/>
    <n v="210730.74799021226"/>
    <n v="0.87329999999999997"/>
    <n v="1.26"/>
  </r>
  <r>
    <s v="P177 Talara - PVH"/>
    <x v="10"/>
    <x v="1"/>
    <s v="P177 Talara - PVHmayo"/>
    <n v="205548.61549100763"/>
    <n v="2864423.56"/>
    <n v="13.935504032258068"/>
    <n v="233112.25288708342"/>
    <n v="0.88175809270125638"/>
    <n v="212001.00646780166"/>
    <n v="0.86809999999999998"/>
    <n v="1.1299999999999999"/>
  </r>
  <r>
    <s v="P177 Talara - PVH"/>
    <x v="10"/>
    <x v="4"/>
    <s v="P177 Talara - PVHjunio"/>
    <n v="180784.65148083371"/>
    <n v="2304189.5200000009"/>
    <n v="12.745493055555574"/>
    <n v="214779.00682631301"/>
    <n v="0.84172403137626117"/>
    <n v="197852.49204244814"/>
    <n v="0.86929999999999996"/>
    <n v="1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">
  <r>
    <s v="P226 Paita - PVH"/>
    <x v="0"/>
    <x v="0"/>
    <s v="P226 Paita - PVHmarzo"/>
    <n v="447280.90169083461"/>
    <n v="6771892.9700000007"/>
    <n v="15.140134408602149"/>
    <n v="532509.97009903356"/>
    <n v="0.83994840811647442"/>
    <n v="354976.12461047724"/>
    <n v="1.1888000000000001"/>
    <n v="1.1100000000000001"/>
    <x v="0"/>
  </r>
  <r>
    <s v="P226 Paita - PVH"/>
    <x v="0"/>
    <x v="1"/>
    <s v="P226 Paita - PVHmayo"/>
    <n v="401019.10561703751"/>
    <n v="5959858.0900000045"/>
    <n v="14.861780913978471"/>
    <n v="473111.20472751546"/>
    <n v="0.84762123917145693"/>
    <n v="349759.54586258915"/>
    <n v="1.1677"/>
    <n v="1.01"/>
    <x v="1"/>
  </r>
  <r>
    <s v="P226 Paita - PVH"/>
    <x v="0"/>
    <x v="2"/>
    <s v="P226 Paita - PVHabril"/>
    <n v="387136.13143789227"/>
    <n v="5814203.9899999993"/>
    <n v="15.018500000000037"/>
    <n v="453679.98913924687"/>
    <n v="0.85332423890327136"/>
    <n v="331304.56943850691"/>
    <n v="1.1917"/>
    <n v="1.03"/>
    <x v="1"/>
  </r>
  <r>
    <s v="P226 Paita - PVH"/>
    <x v="0"/>
    <x v="3"/>
    <s v="P226 Paita - PVHfebrero"/>
    <n v="373475.13714849006"/>
    <n v="5505432.0099999998"/>
    <n v="14.741093750000001"/>
    <n v="430007.65549639246"/>
    <n v="0.86853136769706496"/>
    <n v="310820.06259516458"/>
    <n v="1.1738"/>
    <n v="1.2"/>
    <x v="0"/>
  </r>
  <r>
    <s v="P226 Paita - PVH"/>
    <x v="0"/>
    <x v="4"/>
    <s v="P226 Paita - PVHjunio"/>
    <n v="354320.7290119839"/>
    <n v="4994214.6500000041"/>
    <n v="14.09518055555561"/>
    <n v="421206.58890416654"/>
    <n v="0.84120414624520368"/>
    <n v="314428.88340617309"/>
    <n v="1.1212"/>
    <n v="1.08"/>
    <x v="1"/>
  </r>
  <r>
    <s v="P226 Paita - PVH"/>
    <x v="0"/>
    <x v="5"/>
    <s v="P226 Paita - PVHenero"/>
    <n v="306673.23634322075"/>
    <n v="4786938.3899999997"/>
    <n v="15.609247311827961"/>
    <n v="450411.42449760099"/>
    <n v="0.68087357394473502"/>
    <n v="246021.56594662397"/>
    <n v="1.0866"/>
    <n v="1.22"/>
    <x v="0"/>
  </r>
  <r>
    <s v="P143 Nvo Chimbote - PVH"/>
    <x v="1"/>
    <x v="1"/>
    <s v="P143 Nvo Chimbote - PVHmayo"/>
    <n v="416990.92922525009"/>
    <n v="4774736.700000002"/>
    <n v="11.450456989247327"/>
    <n v="334220.40084266831"/>
    <n v="1.2476525316045723"/>
    <n v="356048.97236626298"/>
    <n v="0.97040000000000004"/>
    <n v="0.74"/>
    <x v="2"/>
  </r>
  <r>
    <s v="P143 Nvo Chimbote - PVH"/>
    <x v="1"/>
    <x v="4"/>
    <s v="P143 Nvo Chimbote - PVHjunio"/>
    <n v="379059.22433563927"/>
    <n v="4322596.6000000015"/>
    <n v="11.40348611111108"/>
    <n v="308824.78103387321"/>
    <n v="1.2274248946818243"/>
    <n v="306500.74051884882"/>
    <n v="1.0163"/>
    <n v="0.61"/>
    <x v="2"/>
  </r>
  <r>
    <s v="P143 Nvo Chimbote - PVH"/>
    <x v="1"/>
    <x v="0"/>
    <s v="P143 Nvo Chimbote - PVHmarzo"/>
    <n v="378954.24957638443"/>
    <n v="5110116.5599999996"/>
    <n v="13.484784946236555"/>
    <n v="376266.38001775183"/>
    <n v="1.0071435283654782"/>
    <n v="407607.81672288309"/>
    <n v="0.9627"/>
    <n v="0.86"/>
    <x v="2"/>
  </r>
  <r>
    <s v="P143 Nvo Chimbote - PVH"/>
    <x v="1"/>
    <x v="2"/>
    <s v="P143 Nvo Chimbote - PVHabril"/>
    <n v="367082.31865172595"/>
    <n v="4671543.12"/>
    <n v="12.72614583333333"/>
    <n v="319456.1087117634"/>
    <n v="1.1490853004252124"/>
    <n v="380688.72879260319"/>
    <n v="0.95740000000000003"/>
    <n v="0.83"/>
    <x v="2"/>
  </r>
  <r>
    <s v="P143 Nvo Chimbote - PVH"/>
    <x v="1"/>
    <x v="5"/>
    <s v="P143 Nvo Chimbote - PVHenero"/>
    <n v="331314.73651044449"/>
    <n v="4813873.9800000004"/>
    <n v="14.529610215053765"/>
    <n v="337415.15795977687"/>
    <n v="0.9819201322008787"/>
    <n v="348135.94846192392"/>
    <n v="0.80769999999999997"/>
    <n v="0.72"/>
    <x v="3"/>
  </r>
  <r>
    <s v="P143 Nvo Chimbote - PVH"/>
    <x v="1"/>
    <x v="3"/>
    <s v="P143 Nvo Chimbote - PVHfebrero"/>
    <n v="326244.15568766627"/>
    <n v="4467352.9800000004"/>
    <n v="13.693281249999997"/>
    <n v="303569.46280184173"/>
    <n v="1.0746935896534022"/>
    <n v="334210.86783297703"/>
    <n v="0.88039999999999996"/>
    <n v="0.84"/>
    <x v="3"/>
  </r>
  <r>
    <s v="P262 Talara Municipalidad - PVH"/>
    <x v="2"/>
    <x v="0"/>
    <s v="P262 Talara Municipalidad - PVHmarzo"/>
    <n v="379297.98647879204"/>
    <n v="5412467.5599999987"/>
    <n v="14.269697580645158"/>
    <n v="339251.76265357039"/>
    <n v="1.1180427877868246"/>
    <n v="322838.55224622384"/>
    <n v="1.0303"/>
    <n v="1.04"/>
    <x v="4"/>
  </r>
  <r>
    <s v="P262 Talara Municipalidad - PVH"/>
    <x v="2"/>
    <x v="1"/>
    <s v="P262 Talara Municipalidad - PVHmayo"/>
    <n v="375166.84831872321"/>
    <n v="5282497.980000006"/>
    <n v="14.08039650537634"/>
    <n v="330957.15566757444"/>
    <n v="1.1335813167779174"/>
    <n v="306649.42096085829"/>
    <n v="1.0221"/>
    <n v="0.97"/>
    <x v="4"/>
  </r>
  <r>
    <s v="P262 Talara Municipalidad - PVH"/>
    <x v="2"/>
    <x v="4"/>
    <s v="P262 Talara Municipalidad - PVHjunio"/>
    <n v="350452.98401249194"/>
    <n v="4884297.3100000024"/>
    <n v="13.937097222222256"/>
    <n v="289596.53818187752"/>
    <n v="1.2101421730131121"/>
    <n v="295775.78988664283"/>
    <n v="1.0371999999999999"/>
    <n v="1"/>
    <x v="4"/>
  </r>
  <r>
    <s v="P262 Talara Municipalidad - PVH"/>
    <x v="2"/>
    <x v="5"/>
    <s v="P262 Talara Municipalidad - PVHenero"/>
    <n v="345810.90997812542"/>
    <n v="4640670.8600000003"/>
    <n v="13.419677419354844"/>
    <n v="304857.89801650692"/>
    <n v="1.1343347580235597"/>
    <n v="278713.5721138799"/>
    <n v="0.99729999999999996"/>
    <n v="1.1200000000000001"/>
    <x v="4"/>
  </r>
  <r>
    <s v="P262 Talara Municipalidad - PVH"/>
    <x v="2"/>
    <x v="2"/>
    <s v="P262 Talara Municipalidad - PVHabril"/>
    <n v="339699.42925209587"/>
    <n v="4657968.0100000007"/>
    <n v="13.712027777777793"/>
    <n v="310173.76761613722"/>
    <n v="1.0951907115256079"/>
    <n v="280640.97029516631"/>
    <n v="1.0073000000000001"/>
    <n v="1.01"/>
    <x v="4"/>
  </r>
  <r>
    <s v="P262 Talara Municipalidad - PVH"/>
    <x v="2"/>
    <x v="3"/>
    <s v="P262 Talara Municipalidad - PVHfebrero"/>
    <n v="339682.39352487773"/>
    <n v="4675462.7700000005"/>
    <n v="13.76421875"/>
    <n v="286467.49545104103"/>
    <n v="1.1857624300099048"/>
    <n v="252397.73211836771"/>
    <n v="1.0185"/>
    <n v="1.1000000000000001"/>
    <x v="4"/>
  </r>
  <r>
    <s v="P769 Chiclayo Aventura - PVH"/>
    <x v="3"/>
    <x v="0"/>
    <s v="P769 Chiclayo Aventura - PVHmarzo"/>
    <n v="408727.37664243317"/>
    <n v="6918765.6299999999"/>
    <n v="16.927580645161289"/>
    <n v="349555.9129038094"/>
    <n v="1.1692761059227357"/>
    <n v="407462.84782558726"/>
    <n v="0.93100000000000005"/>
    <n v="0.6"/>
    <x v="3"/>
  </r>
  <r>
    <s v="P769 Chiclayo Aventura - PVH"/>
    <x v="3"/>
    <x v="1"/>
    <s v="P769 Chiclayo Aventura - PVHmayo"/>
    <n v="355813.94855942385"/>
    <n v="5888273.6900000051"/>
    <n v="16.548743279569926"/>
    <n v="294642.70983449934"/>
    <n v="1.2076115806811727"/>
    <n v="265182.14660536096"/>
    <n v="0.97709999999999997"/>
    <n v="0.46"/>
    <x v="2"/>
  </r>
  <r>
    <s v="P769 Chiclayo Aventura - PVH"/>
    <x v="3"/>
    <x v="2"/>
    <s v="P769 Chiclayo Aventura - PVHabril"/>
    <n v="333715.72953440319"/>
    <n v="5343558.2299999986"/>
    <n v="16.012305555555553"/>
    <n v="281967.83488121745"/>
    <n v="1.183524105417858"/>
    <n v="264628.3687535263"/>
    <n v="1.0396000000000001"/>
    <n v="0.49"/>
    <x v="2"/>
  </r>
  <r>
    <s v="P769 Chiclayo Aventura - PVH"/>
    <x v="3"/>
    <x v="3"/>
    <s v="P769 Chiclayo Aventura - PVHfebrero"/>
    <n v="314429.88397881686"/>
    <n v="5924972.620000001"/>
    <n v="18.843541666666667"/>
    <n v="284114.66827397444"/>
    <n v="1.1067006356588713"/>
    <n v="275397.28621111013"/>
    <n v="0.8821"/>
    <n v="0.86"/>
    <x v="3"/>
  </r>
  <r>
    <s v="P769 Chiclayo Aventura - PVH"/>
    <x v="3"/>
    <x v="4"/>
    <s v="P769 Chiclayo Aventura - PVHjunio"/>
    <n v="299724.99788531329"/>
    <n v="5024700.1800000053"/>
    <n v="16.764368055555565"/>
    <n v="255645.91782180979"/>
    <n v="1.1724223896828561"/>
    <n v="245081.16683159248"/>
    <n v="1.0693999999999999"/>
    <n v="0.48"/>
    <x v="2"/>
  </r>
  <r>
    <s v="P769 Chiclayo Aventura - PVH"/>
    <x v="3"/>
    <x v="5"/>
    <s v="P769 Chiclayo Aventura - PVHenero"/>
    <n v="272846.96277990018"/>
    <n v="4917732.78"/>
    <n v="18.023776881720433"/>
    <n v="289613.22652728553"/>
    <n v="0.94210808688391945"/>
    <n v="259013.6440289309"/>
    <n v="0.85089999999999999"/>
    <n v="0.86"/>
    <x v="3"/>
  </r>
  <r>
    <s v="P102 Chiclayo - PVH"/>
    <x v="4"/>
    <x v="0"/>
    <s v="P102 Chiclayo - PVHmarzo"/>
    <n v="387601.62640388188"/>
    <n v="12185747.100000001"/>
    <n v="31.438844086021511"/>
    <n v="346725.37682351511"/>
    <n v="1.1178922926116623"/>
    <n v="351341.81036137347"/>
    <n v="1.0593999999999999"/>
    <n v="1.21"/>
    <x v="4"/>
  </r>
  <r>
    <s v="P102 Chiclayo - PVH"/>
    <x v="4"/>
    <x v="1"/>
    <s v="P102 Chiclayo - PVHmayo"/>
    <n v="331870.00653012341"/>
    <n v="9750327.410000002"/>
    <n v="29.379959677419592"/>
    <n v="274004.07323047461"/>
    <n v="1.2111863981342195"/>
    <n v="265493.47478296614"/>
    <n v="1.1166"/>
    <n v="1.1200000000000001"/>
    <x v="4"/>
  </r>
  <r>
    <s v="P102 Chiclayo - PVH"/>
    <x v="4"/>
    <x v="3"/>
    <s v="P102 Chiclayo - PVHfebrero"/>
    <n v="327628.54673001438"/>
    <n v="10250439.260000002"/>
    <n v="31.286770833333335"/>
    <n v="286758.43088548799"/>
    <n v="1.1425245483395994"/>
    <n v="285726.68693484389"/>
    <n v="0.9456"/>
    <n v="1.39"/>
    <x v="4"/>
  </r>
  <r>
    <s v="P102 Chiclayo - PVH"/>
    <x v="4"/>
    <x v="2"/>
    <s v="P102 Chiclayo - PVHabril"/>
    <n v="319268.45947695954"/>
    <n v="9496638.1099999994"/>
    <n v="29.744993055555295"/>
    <n v="263972.34448846814"/>
    <n v="1.2094769249242587"/>
    <n v="257242.99210337401"/>
    <n v="1.1746000000000001"/>
    <n v="1.18"/>
    <x v="4"/>
  </r>
  <r>
    <s v="P102 Chiclayo - PVH"/>
    <x v="4"/>
    <x v="4"/>
    <s v="P102 Chiclayo - PVHjunio"/>
    <n v="311190.86624792969"/>
    <n v="8909001.1899999939"/>
    <n v="28.628736111110925"/>
    <n v="251487.4798370091"/>
    <n v="1.2374010286699553"/>
    <n v="242457.40465777143"/>
    <n v="0.95689999999999997"/>
    <n v="1.1499999999999999"/>
    <x v="4"/>
  </r>
  <r>
    <s v="P102 Chiclayo - PVH"/>
    <x v="4"/>
    <x v="5"/>
    <s v="P102 Chiclayo - PVHenero"/>
    <n v="276111.91004464577"/>
    <n v="8889803.3399999999"/>
    <n v="32.196377688172042"/>
    <n v="266305.7683918401"/>
    <n v="1.036822866106216"/>
    <n v="277111.45661425882"/>
    <n v="0.91839999999999999"/>
    <n v="1.41"/>
    <x v="0"/>
  </r>
  <r>
    <s v="P724 Tumbes - PVH"/>
    <x v="5"/>
    <x v="1"/>
    <s v="P724 Tumbes - PVHmayo"/>
    <n v="330149.07720633096"/>
    <n v="6417075.2199999979"/>
    <n v="19.436901881720431"/>
    <n v="360970.58355302253"/>
    <n v="0.91461490838584014"/>
    <n v="359897.94152918726"/>
    <n v="1.0311999999999999"/>
    <n v="0.89"/>
    <x v="1"/>
  </r>
  <r>
    <s v="P724 Tumbes - PVH"/>
    <x v="5"/>
    <x v="0"/>
    <s v="P724 Tumbes - PVHmarzo"/>
    <n v="329855.9722604641"/>
    <n v="6954425.7299999995"/>
    <n v="21.083219086021515"/>
    <n v="419910.47857971286"/>
    <n v="0.78553879716494512"/>
    <n v="428084.77392627945"/>
    <n v="0.95489999999999997"/>
    <n v="1.1200000000000001"/>
    <x v="0"/>
  </r>
  <r>
    <s v="P724 Tumbes - PVH"/>
    <x v="5"/>
    <x v="5"/>
    <s v="P724 Tumbes - PVHenero"/>
    <n v="326343.41649578389"/>
    <n v="6812896.9299999988"/>
    <n v="20.876465053763436"/>
    <n v="329126.11980169598"/>
    <n v="0.99154517633669215"/>
    <n v="374185.32003455888"/>
    <n v="0.91600000000000004"/>
    <n v="0.92"/>
    <x v="1"/>
  </r>
  <r>
    <s v="P724 Tumbes - PVH"/>
    <x v="5"/>
    <x v="2"/>
    <s v="P724 Tumbes - PVHabril"/>
    <n v="315519.6226129217"/>
    <n v="6247253.469999996"/>
    <n v="19.799888888888866"/>
    <n v="359515.06427116657"/>
    <n v="0.87762559616956404"/>
    <n v="386130.39538650884"/>
    <n v="1.0503"/>
    <n v="0.81"/>
    <x v="1"/>
  </r>
  <r>
    <s v="P724 Tumbes - PVH"/>
    <x v="5"/>
    <x v="3"/>
    <s v="P724 Tumbes - PVHfebrero"/>
    <n v="304354.47594954428"/>
    <n v="6341257.21"/>
    <n v="20.835104166666667"/>
    <n v="323832.095092231"/>
    <n v="0.93985272171018353"/>
    <n v="366733.81233946711"/>
    <n v="0.8881"/>
    <n v="0.98"/>
    <x v="1"/>
  </r>
  <r>
    <s v="P724 Tumbes - PVH"/>
    <x v="5"/>
    <x v="4"/>
    <s v="P724 Tumbes - PVHjunio"/>
    <n v="304303.16150262632"/>
    <n v="5361502.6100000003"/>
    <n v="17.618951388888963"/>
    <n v="318037.4908809638"/>
    <n v="0.95681537626179414"/>
    <n v="323179.38141168031"/>
    <n v="1.0423"/>
    <n v="0.67"/>
    <x v="1"/>
  </r>
  <r>
    <s v="P130 Chimbote - PVH"/>
    <x v="6"/>
    <x v="0"/>
    <s v="P130 Chimbote - PVHmarzo"/>
    <n v="394997.63550881506"/>
    <n v="7065610.46"/>
    <n v="17.887728494623655"/>
    <n v="346846.24819560332"/>
    <n v="1.1388263173198774"/>
    <n v="424540.25519598345"/>
    <n v="1.0156000000000001"/>
    <n v="1.19"/>
    <x v="4"/>
  </r>
  <r>
    <s v="P130 Chimbote - PVH"/>
    <x v="6"/>
    <x v="3"/>
    <s v="P130 Chimbote - PVHfebrero"/>
    <n v="352283.43651807203"/>
    <n v="5847483.04"/>
    <n v="16.598802083333332"/>
    <n v="268941.63678385498"/>
    <n v="1.3098880512919531"/>
    <n v="310503.0251002388"/>
    <n v="0.99270000000000003"/>
    <n v="1.21"/>
    <x v="4"/>
  </r>
  <r>
    <s v="P130 Chimbote - PVH"/>
    <x v="6"/>
    <x v="5"/>
    <s v="P130 Chimbote - PVHenero"/>
    <n v="305489.76376705442"/>
    <n v="5536704.2799999984"/>
    <n v="18.124025537634413"/>
    <n v="289190.17051316419"/>
    <n v="1.0563628882163139"/>
    <n v="289267.73314784555"/>
    <n v="0.8982"/>
    <n v="1.37"/>
    <x v="0"/>
  </r>
  <r>
    <s v="P130 Chimbote - PVH"/>
    <x v="6"/>
    <x v="2"/>
    <s v="P130 Chimbote - PVHabril"/>
    <n v="295596.15068761713"/>
    <n v="5307730.6400000015"/>
    <n v="17.956020833333362"/>
    <n v="274467.4456676222"/>
    <n v="1.0769807325185721"/>
    <n v="333435.62708772084"/>
    <n v="1.0197000000000001"/>
    <n v="1.1599999999999999"/>
    <x v="4"/>
  </r>
  <r>
    <s v="P130 Chimbote - PVH"/>
    <x v="6"/>
    <x v="4"/>
    <s v="P130 Chimbote - PVHjunio"/>
    <n v="282124.50681200391"/>
    <n v="4798622.4300000006"/>
    <n v="17.008881944444493"/>
    <n v="257158.54463464438"/>
    <n v="1.097083930121123"/>
    <n v="304387.01939312945"/>
    <n v="0.98519999999999996"/>
    <n v="1.31"/>
    <x v="4"/>
  </r>
  <r>
    <s v="P130 Chimbote - PVH"/>
    <x v="6"/>
    <x v="1"/>
    <s v="P130 Chimbote - PVHmayo"/>
    <n v="278587.80614498915"/>
    <n v="5411043.9100000029"/>
    <n v="19.423118279569859"/>
    <n v="286148.67801166535"/>
    <n v="0.97357712109937489"/>
    <n v="350001.40660938184"/>
    <n v="1.0097"/>
    <n v="1.27"/>
    <x v="0"/>
  </r>
  <r>
    <s v="P145 Piura - PVH"/>
    <x v="7"/>
    <x v="0"/>
    <s v="P145 Piura - PVHmarzo"/>
    <n v="378883.25344866823"/>
    <n v="14181121.479999999"/>
    <n v="37.4287365591398"/>
    <n v="383327.87100241816"/>
    <n v="0.9884051802908902"/>
    <n v="427201.99366488284"/>
    <n v="1.0181"/>
    <n v="1.01"/>
    <x v="1"/>
  </r>
  <r>
    <s v="P145 Piura - PVH"/>
    <x v="7"/>
    <x v="3"/>
    <s v="P145 Piura - PVHfebrero"/>
    <n v="359021.26444284694"/>
    <n v="11418203.840000002"/>
    <n v="31.803697916666664"/>
    <n v="284731.31024735328"/>
    <n v="1.2609124866912462"/>
    <n v="255166.74036278791"/>
    <n v="0.99380000000000002"/>
    <n v="0.98"/>
    <x v="4"/>
  </r>
  <r>
    <s v="P145 Piura - PVH"/>
    <x v="7"/>
    <x v="5"/>
    <s v="P145 Piura - PVHenero"/>
    <n v="304536.27869035956"/>
    <n v="9671988.2999999989"/>
    <n v="31.759724462365593"/>
    <n v="263006.72692396154"/>
    <n v="1.1579030021479439"/>
    <n v="281269.15347146871"/>
    <n v="0.95240000000000002"/>
    <n v="0.92"/>
    <x v="4"/>
  </r>
  <r>
    <s v="P145 Piura - PVH"/>
    <x v="7"/>
    <x v="2"/>
    <s v="P145 Piura - PVHabril"/>
    <n v="295866.82853526634"/>
    <n v="10715431.530000001"/>
    <n v="36.217076388888785"/>
    <n v="280722.61264612048"/>
    <n v="1.0539472604162341"/>
    <n v="267135.82088081085"/>
    <n v="1.0254000000000001"/>
    <n v="0.94"/>
    <x v="4"/>
  </r>
  <r>
    <s v="P145 Piura - PVH"/>
    <x v="7"/>
    <x v="1"/>
    <s v="P145 Piura - PVHmayo"/>
    <n v="289038.61916825257"/>
    <n v="10519809.180000007"/>
    <n v="36.395860215054206"/>
    <n v="289463.34901629569"/>
    <n v="0.99853269904640252"/>
    <n v="303150.62542225246"/>
    <n v="1.0529999999999999"/>
    <n v="0.85"/>
    <x v="4"/>
  </r>
  <r>
    <s v="P145 Piura - PVH"/>
    <x v="7"/>
    <x v="4"/>
    <s v="P145 Piura - PVHjunio"/>
    <n v="262535.05290991004"/>
    <n v="9440753.2100000046"/>
    <n v="35.959972222222213"/>
    <n v="255365.31341654711"/>
    <n v="1.0280764031631335"/>
    <n v="211661.72654477911"/>
    <n v="1.0767"/>
    <n v="0.97"/>
    <x v="4"/>
  </r>
  <r>
    <s v="P123 El Chacarero - PVH"/>
    <x v="8"/>
    <x v="4"/>
    <s v="P123 El Chacarero - PVHjunio"/>
    <n v="322394.69733550266"/>
    <n v="9639621.6000000015"/>
    <n v="29.900062499999652"/>
    <n v="225441.57160227949"/>
    <n v="1.4300587732961088"/>
    <n v="190751.76665446145"/>
    <n v="1.1263000000000001"/>
    <n v="1.1499999999999999"/>
    <x v="4"/>
  </r>
  <r>
    <s v="P123 El Chacarero - PVH"/>
    <x v="8"/>
    <x v="0"/>
    <s v="P123 El Chacarero - PVHmarzo"/>
    <n v="313326.74318950484"/>
    <n v="11469845.540000001"/>
    <n v="36.606659946236576"/>
    <n v="287431.95189731009"/>
    <n v="1.0900901626324624"/>
    <n v="288673.06941226561"/>
    <n v="1.0993999999999999"/>
    <n v="0.87"/>
    <x v="2"/>
  </r>
  <r>
    <s v="P123 El Chacarero - PVH"/>
    <x v="8"/>
    <x v="3"/>
    <s v="P123 El Chacarero - PVHfebrero"/>
    <n v="309703.15505866252"/>
    <n v="10278337.98"/>
    <n v="33.187708333333333"/>
    <n v="199866.96231517015"/>
    <n v="1.5495465156982358"/>
    <n v="353499.39208863361"/>
    <n v="1.0504"/>
    <n v="0.92"/>
    <x v="4"/>
  </r>
  <r>
    <s v="P123 El Chacarero - PVH"/>
    <x v="8"/>
    <x v="1"/>
    <s v="P123 El Chacarero - PVHmayo"/>
    <n v="303181.4030486889"/>
    <n v="9958936.5499999952"/>
    <n v="32.848111559140243"/>
    <n v="251300.88815068975"/>
    <n v="1.2064477976173709"/>
    <n v="213426.32201466284"/>
    <n v="1.0296000000000001"/>
    <n v="1.06"/>
    <x v="4"/>
  </r>
  <r>
    <s v="P123 El Chacarero - PVH"/>
    <x v="8"/>
    <x v="2"/>
    <s v="P123 El Chacarero - PVHabril"/>
    <n v="298550.33373443305"/>
    <n v="10036443.279999981"/>
    <n v="33.617256944444122"/>
    <n v="242104.08255347636"/>
    <n v="1.2331486961542202"/>
    <n v="211364.15195982947"/>
    <n v="1.0416000000000001"/>
    <n v="0.81"/>
    <x v="2"/>
  </r>
  <r>
    <s v="P123 El Chacarero - PVH"/>
    <x v="8"/>
    <x v="5"/>
    <s v="P123 El Chacarero - PVHenero"/>
    <n v="282637.18306749163"/>
    <n v="9434875.540000001"/>
    <n v="33.38157930107527"/>
    <n v="224281.22701720888"/>
    <n v="1.2601909969299623"/>
    <n v="325303.33150499221"/>
    <n v="0.98299999999999998"/>
    <n v="0.91"/>
    <x v="4"/>
  </r>
  <r>
    <s v="P192 Sullana - PVH"/>
    <x v="9"/>
    <x v="0"/>
    <s v="P192 Sullana - PVHmarzo"/>
    <n v="357157.18050867104"/>
    <n v="3912152.8599999994"/>
    <n v="10.953588709677421"/>
    <n v="396330.60488570126"/>
    <n v="0.90115972903902397"/>
    <n v="359057.66324111831"/>
    <n v="0.85399999999999998"/>
    <n v="1.0900000000000001"/>
    <x v="1"/>
  </r>
  <r>
    <s v="P192 Sullana - PVH"/>
    <x v="9"/>
    <x v="3"/>
    <s v="P192 Sullana - PVHfebrero"/>
    <n v="325071.38692397159"/>
    <n v="3100520.73"/>
    <n v="9.537968750000001"/>
    <n v="329139.61545048055"/>
    <n v="0.9876398089578462"/>
    <n v="255367.04797396503"/>
    <n v="0.96"/>
    <n v="1.21"/>
    <x v="0"/>
  </r>
  <r>
    <s v="P192 Sullana - PVH"/>
    <x v="9"/>
    <x v="5"/>
    <s v="P192 Sullana - PVHenero"/>
    <n v="272161.33253207331"/>
    <n v="2845774.1299999994"/>
    <n v="10.45620295698925"/>
    <n v="306216.74573653238"/>
    <n v="0.88878657461221866"/>
    <n v="234754.62783068357"/>
    <n v="0.87119999999999997"/>
    <n v="1.1299999999999999"/>
    <x v="0"/>
  </r>
  <r>
    <s v="P192 Sullana - PVH"/>
    <x v="9"/>
    <x v="2"/>
    <s v="P192 Sullana - PVHabril"/>
    <n v="266370.5059977083"/>
    <n v="2797188.1300000018"/>
    <n v="10.501118055555546"/>
    <n v="292852.18984197947"/>
    <n v="0.90957320872840164"/>
    <n v="257692.67059300185"/>
    <n v="0.83230000000000004"/>
    <n v="1.08"/>
    <x v="1"/>
  </r>
  <r>
    <s v="P192 Sullana - PVH"/>
    <x v="9"/>
    <x v="1"/>
    <s v="P192 Sullana - PVHmayo"/>
    <n v="257124.6428627134"/>
    <n v="2791713.5300000031"/>
    <n v="10.857432795698944"/>
    <n v="308911.57569197565"/>
    <n v="0.83235677486912807"/>
    <n v="276605.23391795787"/>
    <n v="0.69820000000000004"/>
    <n v="1.1200000000000001"/>
    <x v="0"/>
  </r>
  <r>
    <s v="P192 Sullana - PVH"/>
    <x v="9"/>
    <x v="4"/>
    <s v="P192 Sullana - PVHjunio"/>
    <n v="217540.59054845522"/>
    <n v="2530909.5300000017"/>
    <n v="11.634194444444447"/>
    <n v="274150.56163616886"/>
    <n v="0.79350773257637186"/>
    <n v="228213.63864831126"/>
    <n v="0.78290000000000004"/>
    <n v="1.34"/>
    <x v="0"/>
  </r>
  <r>
    <s v="P177 Talara - PVH"/>
    <x v="10"/>
    <x v="0"/>
    <s v="P177 Talara - PVHmarzo"/>
    <n v="243112.48546680473"/>
    <n v="3493673.4599999995"/>
    <n v="14.370604838709674"/>
    <n v="316057.55539539858"/>
    <n v="0.76920320782290075"/>
    <n v="233549.81678179704"/>
    <n v="0.89780000000000004"/>
    <n v="1.25"/>
    <x v="0"/>
  </r>
  <r>
    <s v="P177 Talara - PVH"/>
    <x v="10"/>
    <x v="2"/>
    <s v="P177 Talara - PVHabril"/>
    <n v="216683.57479541146"/>
    <n v="2976564.2100000023"/>
    <n v="13.736916666666673"/>
    <n v="221619.61290924513"/>
    <n v="0.97772743102906234"/>
    <n v="210112.86631571985"/>
    <n v="0.95420000000000005"/>
    <n v="1.1599999999999999"/>
    <x v="0"/>
  </r>
  <r>
    <s v="P177 Talara - PVH"/>
    <x v="10"/>
    <x v="3"/>
    <s v="P177 Talara - PVHfebrero"/>
    <n v="215290.41143567435"/>
    <n v="2814518.46"/>
    <n v="13.073124999999999"/>
    <n v="211431.42970434099"/>
    <n v="1.0182516938788602"/>
    <n v="208104.03338384553"/>
    <n v="0.88170000000000004"/>
    <n v="1.27"/>
    <x v="0"/>
  </r>
  <r>
    <s v="P177 Talara - PVH"/>
    <x v="10"/>
    <x v="5"/>
    <s v="P177 Talara - PVHenero"/>
    <n v="211008.00027081123"/>
    <n v="3016142.4000000008"/>
    <n v="14.293971774193551"/>
    <n v="238575.31664870295"/>
    <n v="0.88445025761619755"/>
    <n v="210730.74799021226"/>
    <n v="0.87329999999999997"/>
    <n v="1.26"/>
    <x v="0"/>
  </r>
  <r>
    <s v="P177 Talara - PVH"/>
    <x v="10"/>
    <x v="1"/>
    <s v="P177 Talara - PVHmayo"/>
    <n v="205548.61549100763"/>
    <n v="2864423.56"/>
    <n v="13.935504032258068"/>
    <n v="233112.25288708342"/>
    <n v="0.88175809270125638"/>
    <n v="212001.00646780166"/>
    <n v="0.86809999999999998"/>
    <n v="1.1299999999999999"/>
    <x v="0"/>
  </r>
  <r>
    <s v="P177 Talara - PVH"/>
    <x v="10"/>
    <x v="4"/>
    <s v="P177 Talara - PVHjunio"/>
    <n v="180784.65148083371"/>
    <n v="2304189.5200000009"/>
    <n v="12.745493055555574"/>
    <n v="214779.00682631301"/>
    <n v="0.84172403137626117"/>
    <n v="197852.49204244814"/>
    <n v="0.86929999999999996"/>
    <n v="1.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5" cacheId="53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">
  <location ref="B34:H46" firstHeaderRow="1" firstDataRow="2" firstDataCol="1"/>
  <pivotFields count="12">
    <pivotField showAll="0"/>
    <pivotField axis="axisRow" showAll="0">
      <items count="12">
        <item x="4"/>
        <item x="8"/>
        <item x="6"/>
        <item x="1"/>
        <item x="7"/>
        <item x="10"/>
        <item x="9"/>
        <item x="0"/>
        <item x="2"/>
        <item x="5"/>
        <item x="3"/>
        <item t="default"/>
      </items>
    </pivotField>
    <pivotField axis="axisCol" showAll="0">
      <items count="13">
        <item m="1" x="9"/>
        <item m="1" x="10"/>
        <item m="1" x="11"/>
        <item m="1" x="7"/>
        <item m="1" x="6"/>
        <item m="1" x="8"/>
        <item x="5"/>
        <item x="3"/>
        <item x="0"/>
        <item x="2"/>
        <item x="1"/>
        <item x="4"/>
        <item t="default"/>
      </items>
    </pivotField>
    <pivotField showAll="0"/>
    <pivotField numFmtId="3" showAll="0"/>
    <pivotField numFmtId="3" showAll="0"/>
    <pivotField showAll="0"/>
    <pivotField showAll="0"/>
    <pivotField dataField="1" numFmtId="9" showAll="0"/>
    <pivotField numFmtId="3" showAll="0"/>
    <pivotField numFmtId="9" showAll="0"/>
    <pivotField numFmtId="9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2"/>
  </colFields>
  <colItems count="6">
    <i>
      <x v="6"/>
    </i>
    <i>
      <x v="7"/>
    </i>
    <i>
      <x v="8"/>
    </i>
    <i>
      <x v="9"/>
    </i>
    <i>
      <x v="10"/>
    </i>
    <i>
      <x v="11"/>
    </i>
  </colItems>
  <dataFields count="1">
    <dataField name="Suma de Cump Produc" fld="8" baseField="0" baseItem="0" numFmtId="9"/>
  </dataFields>
  <formats count="35">
    <format dxfId="781">
      <pivotArea outline="0" collapsedLevelsAreSubtotals="1" fieldPosition="0"/>
    </format>
    <format dxfId="780">
      <pivotArea dataOnly="0" outline="0" fieldPosition="0">
        <references count="1">
          <reference field="2" count="0"/>
        </references>
      </pivotArea>
    </format>
    <format dxfId="779">
      <pivotArea dataOnly="0" outline="0" fieldPosition="0">
        <references count="1">
          <reference field="2" count="0"/>
        </references>
      </pivotArea>
    </format>
    <format dxfId="778">
      <pivotArea outline="0" collapsedLevelsAreSubtotals="1" fieldPosition="0"/>
    </format>
    <format dxfId="777">
      <pivotArea field="2" type="button" dataOnly="0" labelOnly="1" outline="0" axis="axisCol" fieldPosition="0"/>
    </format>
    <format dxfId="776">
      <pivotArea type="topRight" dataOnly="0" labelOnly="1" outline="0" fieldPosition="0"/>
    </format>
    <format dxfId="775">
      <pivotArea dataOnly="0" labelOnly="1" fieldPosition="0">
        <references count="1">
          <reference field="2" count="0"/>
        </references>
      </pivotArea>
    </format>
    <format dxfId="774">
      <pivotArea outline="0" collapsedLevelsAreSubtotals="1" fieldPosition="0"/>
    </format>
    <format dxfId="773">
      <pivotArea field="2" type="button" dataOnly="0" labelOnly="1" outline="0" axis="axisCol" fieldPosition="0"/>
    </format>
    <format dxfId="772">
      <pivotArea type="topRight" dataOnly="0" labelOnly="1" outline="0" fieldPosition="0"/>
    </format>
    <format dxfId="771">
      <pivotArea dataOnly="0" labelOnly="1" fieldPosition="0">
        <references count="1">
          <reference field="2" count="0"/>
        </references>
      </pivotArea>
    </format>
    <format dxfId="770">
      <pivotArea outline="0" collapsedLevelsAreSubtotals="1" fieldPosition="0"/>
    </format>
    <format dxfId="769">
      <pivotArea dataOnly="0" labelOnly="1" fieldPosition="0">
        <references count="1">
          <reference field="1" count="0"/>
        </references>
      </pivotArea>
    </format>
    <format dxfId="768">
      <pivotArea outline="0" collapsedLevelsAreSubtotals="1" fieldPosition="0"/>
    </format>
    <format dxfId="767">
      <pivotArea dataOnly="0" labelOnly="1" fieldPosition="0">
        <references count="1">
          <reference field="1" count="0"/>
        </references>
      </pivotArea>
    </format>
    <format dxfId="766">
      <pivotArea type="all" dataOnly="0" outline="0" fieldPosition="0"/>
    </format>
    <format dxfId="765">
      <pivotArea outline="0" collapsedLevelsAreSubtotals="1" fieldPosition="0"/>
    </format>
    <format dxfId="764">
      <pivotArea type="origin" dataOnly="0" labelOnly="1" outline="0" fieldPosition="0"/>
    </format>
    <format dxfId="763">
      <pivotArea field="2" type="button" dataOnly="0" labelOnly="1" outline="0" axis="axisCol" fieldPosition="0"/>
    </format>
    <format dxfId="762">
      <pivotArea type="topRight" dataOnly="0" labelOnly="1" outline="0" fieldPosition="0"/>
    </format>
    <format dxfId="761">
      <pivotArea field="1" type="button" dataOnly="0" labelOnly="1" outline="0" axis="axisRow" fieldPosition="0"/>
    </format>
    <format dxfId="760">
      <pivotArea dataOnly="0" labelOnly="1" fieldPosition="0">
        <references count="1">
          <reference field="1" count="0"/>
        </references>
      </pivotArea>
    </format>
    <format dxfId="759">
      <pivotArea dataOnly="0" labelOnly="1" fieldPosition="0">
        <references count="1">
          <reference field="2" count="0"/>
        </references>
      </pivotArea>
    </format>
    <format dxfId="758">
      <pivotArea type="all" dataOnly="0" outline="0" fieldPosition="0"/>
    </format>
    <format dxfId="757">
      <pivotArea outline="0" collapsedLevelsAreSubtotals="1" fieldPosition="0"/>
    </format>
    <format dxfId="756">
      <pivotArea type="origin" dataOnly="0" labelOnly="1" outline="0" fieldPosition="0"/>
    </format>
    <format dxfId="755">
      <pivotArea field="2" type="button" dataOnly="0" labelOnly="1" outline="0" axis="axisCol" fieldPosition="0"/>
    </format>
    <format dxfId="754">
      <pivotArea type="topRight" dataOnly="0" labelOnly="1" outline="0" fieldPosition="0"/>
    </format>
    <format dxfId="753">
      <pivotArea field="1" type="button" dataOnly="0" labelOnly="1" outline="0" axis="axisRow" fieldPosition="0"/>
    </format>
    <format dxfId="752">
      <pivotArea dataOnly="0" labelOnly="1" fieldPosition="0">
        <references count="1">
          <reference field="1" count="0"/>
        </references>
      </pivotArea>
    </format>
    <format dxfId="751">
      <pivotArea dataOnly="0" labelOnly="1" fieldPosition="0">
        <references count="1">
          <reference field="2" count="0"/>
        </references>
      </pivotArea>
    </format>
    <format dxfId="750">
      <pivotArea outline="0" collapsedLevelsAreSubtotals="1" fieldPosition="0"/>
    </format>
    <format dxfId="749">
      <pivotArea field="1" type="button" dataOnly="0" labelOnly="1" outline="0" axis="axisRow" fieldPosition="0"/>
    </format>
    <format dxfId="748">
      <pivotArea dataOnly="0" labelOnly="1" fieldPosition="0">
        <references count="1">
          <reference field="1" count="0"/>
        </references>
      </pivotArea>
    </format>
    <format dxfId="747">
      <pivotArea dataOnly="0" labelOnly="1" fieldPosition="0">
        <references count="1">
          <reference field="2" count="0"/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9" cacheId="55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compact="0" compactData="0" multipleFieldFilters="0">
  <location ref="B53:D64" firstHeaderRow="1" firstDataRow="1" firstDataCol="2" rowPageCount="1" colPageCount="1"/>
  <pivotFields count="13">
    <pivotField compact="0" outline="0" showAll="0" defaultSubtotal="0"/>
    <pivotField axis="axisRow" compact="0" outline="0" showAll="0" defaultSubtotal="0">
      <items count="11">
        <item x="4"/>
        <item x="8"/>
        <item x="6"/>
        <item x="1"/>
        <item x="7"/>
        <item x="10"/>
        <item n="P192 Sullana - PVH" x="9"/>
        <item x="0"/>
        <item x="2"/>
        <item x="5"/>
        <item x="3"/>
      </items>
    </pivotField>
    <pivotField axis="axisPage" dataField="1" compact="0" outline="0" showAll="0" defaultSubtotal="0">
      <items count="6">
        <item x="5"/>
        <item x="3"/>
        <item x="0"/>
        <item x="2"/>
        <item x="1"/>
        <item x="4"/>
      </items>
    </pivotField>
    <pivotField compact="0" outline="0" showAll="0" defaultSubtotal="0"/>
    <pivotField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/>
    <pivotField compact="0" numFmtId="9" outline="0" showAll="0" defaultSubtotal="0"/>
    <pivotField compact="0" numFmtId="3" outline="0" showAll="0" defaultSubtotal="0"/>
    <pivotField compact="0" numFmtId="9" outline="0" showAll="0" defaultSubtotal="0"/>
    <pivotField compact="0" numFmtId="9" outline="0" showAll="0" defaultSubtotal="0"/>
    <pivotField axis="axisRow" compact="0" outline="0" showAll="0" sortType="descending" defaultSubtotal="0">
      <items count="9">
        <item x="4"/>
        <item m="1" x="6"/>
        <item x="1"/>
        <item x="0"/>
        <item x="3"/>
        <item n="🔵 Baja eficiencia (Velocidad)" m="1" x="5"/>
        <item x="2"/>
        <item m="1" x="7"/>
        <item m="1" x="8"/>
      </items>
    </pivotField>
  </pivotFields>
  <rowFields count="2">
    <field x="12"/>
    <field x="1"/>
  </rowFields>
  <rowItems count="11">
    <i>
      <x/>
      <x/>
    </i>
    <i r="1">
      <x v="1"/>
    </i>
    <i r="1">
      <x v="2"/>
    </i>
    <i r="1">
      <x v="4"/>
    </i>
    <i r="1">
      <x v="8"/>
    </i>
    <i>
      <x v="2"/>
      <x v="7"/>
    </i>
    <i r="1">
      <x v="9"/>
    </i>
    <i>
      <x v="3"/>
      <x v="5"/>
    </i>
    <i r="1">
      <x v="6"/>
    </i>
    <i>
      <x v="6"/>
      <x v="3"/>
    </i>
    <i r="1">
      <x v="10"/>
    </i>
  </rowItems>
  <colItems count="1">
    <i/>
  </colItems>
  <pageFields count="1">
    <pageField fld="2" item="5" hier="-1"/>
  </pageFields>
  <dataFields count="1">
    <dataField name="Cuenta de Periodo" fld="2" subtotal="count" baseField="0" baseItem="0" numFmtId="1"/>
  </dataFields>
  <formats count="85">
    <format dxfId="325">
      <pivotArea outline="0" collapsedLevelsAreSubtotals="1" fieldPosition="0"/>
    </format>
    <format dxfId="326">
      <pivotArea outline="0" collapsedLevelsAreSubtotals="1" fieldPosition="0"/>
    </format>
    <format dxfId="327">
      <pivotArea outline="0" collapsedLevelsAreSubtotals="1" fieldPosition="0"/>
    </format>
    <format dxfId="328">
      <pivotArea outline="0" collapsedLevelsAreSubtotals="1" fieldPosition="0"/>
    </format>
    <format dxfId="329">
      <pivotArea outline="0" collapsedLevelsAreSubtotals="1" fieldPosition="0"/>
    </format>
    <format dxfId="330">
      <pivotArea outline="0" collapsedLevelsAreSubtotals="1" fieldPosition="0"/>
    </format>
    <format dxfId="331">
      <pivotArea dataOnly="0" labelOnly="1" fieldPosition="0">
        <references count="1">
          <reference field="1" count="1">
            <x v="2"/>
          </reference>
        </references>
      </pivotArea>
    </format>
    <format dxfId="332">
      <pivotArea dataOnly="0" labelOnly="1" fieldPosition="0">
        <references count="1">
          <reference field="1" count="1">
            <x v="0"/>
          </reference>
        </references>
      </pivotArea>
    </format>
    <format dxfId="333">
      <pivotArea outline="0" collapsedLevelsAreSubtotals="1" fieldPosition="0"/>
    </format>
    <format dxfId="334">
      <pivotArea field="12" type="button" dataOnly="0" labelOnly="1" outline="0" axis="axisRow" fieldPosition="0"/>
    </format>
    <format dxfId="335">
      <pivotArea type="topRight" dataOnly="0" labelOnly="1" outline="0" fieldPosition="0"/>
    </format>
    <format dxfId="336">
      <pivotArea dataOnly="0" labelOnly="1" fieldPosition="0">
        <references count="1">
          <reference field="12" count="0"/>
        </references>
      </pivotArea>
    </format>
    <format dxfId="337">
      <pivotArea outline="0" collapsedLevelsAreSubtotals="1" fieldPosition="0"/>
    </format>
    <format dxfId="338">
      <pivotArea field="12" type="button" dataOnly="0" labelOnly="1" outline="0" axis="axisRow" fieldPosition="0"/>
    </format>
    <format dxfId="339">
      <pivotArea type="topRight" dataOnly="0" labelOnly="1" outline="0" fieldPosition="0"/>
    </format>
    <format dxfId="340">
      <pivotArea dataOnly="0" labelOnly="1" fieldPosition="0">
        <references count="1">
          <reference field="12" count="0"/>
        </references>
      </pivotArea>
    </format>
    <format dxfId="341">
      <pivotArea dataOnly="0" labelOnly="1" fieldPosition="0">
        <references count="1">
          <reference field="1" count="1">
            <x v="9"/>
          </reference>
        </references>
      </pivotArea>
    </format>
    <format dxfId="342">
      <pivotArea type="all" dataOnly="0" outline="0" fieldPosition="0"/>
    </format>
    <format dxfId="343">
      <pivotArea outline="0" collapsedLevelsAreSubtotals="1" fieldPosition="0"/>
    </format>
    <format dxfId="344">
      <pivotArea type="origin" dataOnly="0" labelOnly="1" outline="0" fieldPosition="0"/>
    </format>
    <format dxfId="345">
      <pivotArea field="12" type="button" dataOnly="0" labelOnly="1" outline="0" axis="axisRow" fieldPosition="0"/>
    </format>
    <format dxfId="346">
      <pivotArea type="topRight" dataOnly="0" labelOnly="1" outline="0" fieldPosition="0"/>
    </format>
    <format dxfId="347">
      <pivotArea field="1" type="button" dataOnly="0" labelOnly="1" outline="0" axis="axisRow" fieldPosition="1"/>
    </format>
    <format dxfId="348">
      <pivotArea dataOnly="0" labelOnly="1" fieldPosition="0">
        <references count="1">
          <reference field="1" count="0"/>
        </references>
      </pivotArea>
    </format>
    <format dxfId="349">
      <pivotArea dataOnly="0" labelOnly="1" fieldPosition="0">
        <references count="1">
          <reference field="12" count="0"/>
        </references>
      </pivotArea>
    </format>
    <format dxfId="350">
      <pivotArea type="all" dataOnly="0" outline="0" fieldPosition="0"/>
    </format>
    <format dxfId="351">
      <pivotArea outline="0" collapsedLevelsAreSubtotals="1" fieldPosition="0"/>
    </format>
    <format dxfId="352">
      <pivotArea type="origin" dataOnly="0" labelOnly="1" outline="0" fieldPosition="0"/>
    </format>
    <format dxfId="353">
      <pivotArea field="12" type="button" dataOnly="0" labelOnly="1" outline="0" axis="axisRow" fieldPosition="0"/>
    </format>
    <format dxfId="354">
      <pivotArea type="topRight" dataOnly="0" labelOnly="1" outline="0" fieldPosition="0"/>
    </format>
    <format dxfId="355">
      <pivotArea field="1" type="button" dataOnly="0" labelOnly="1" outline="0" axis="axisRow" fieldPosition="1"/>
    </format>
    <format dxfId="356">
      <pivotArea dataOnly="0" labelOnly="1" fieldPosition="0">
        <references count="1">
          <reference field="1" count="0"/>
        </references>
      </pivotArea>
    </format>
    <format dxfId="357">
      <pivotArea dataOnly="0" labelOnly="1" fieldPosition="0">
        <references count="1">
          <reference field="12" count="0"/>
        </references>
      </pivotArea>
    </format>
    <format dxfId="358">
      <pivotArea type="all" dataOnly="0" outline="0" fieldPosition="0"/>
    </format>
    <format dxfId="359">
      <pivotArea outline="0" collapsedLevelsAreSubtotals="1" fieldPosition="0"/>
    </format>
    <format dxfId="360">
      <pivotArea type="origin" dataOnly="0" labelOnly="1" outline="0" fieldPosition="0"/>
    </format>
    <format dxfId="361">
      <pivotArea field="12" type="button" dataOnly="0" labelOnly="1" outline="0" axis="axisRow" fieldPosition="0"/>
    </format>
    <format dxfId="362">
      <pivotArea type="topRight" dataOnly="0" labelOnly="1" outline="0" fieldPosition="0"/>
    </format>
    <format dxfId="363">
      <pivotArea field="1" type="button" dataOnly="0" labelOnly="1" outline="0" axis="axisRow" fieldPosition="1"/>
    </format>
    <format dxfId="364">
      <pivotArea dataOnly="0" labelOnly="1" fieldPosition="0">
        <references count="1">
          <reference field="1" count="0"/>
        </references>
      </pivotArea>
    </format>
    <format dxfId="365">
      <pivotArea dataOnly="0" labelOnly="1" fieldPosition="0">
        <references count="1">
          <reference field="12" count="0"/>
        </references>
      </pivotArea>
    </format>
    <format dxfId="366">
      <pivotArea type="all" dataOnly="0" outline="0" fieldPosition="0"/>
    </format>
    <format dxfId="367">
      <pivotArea outline="0" collapsedLevelsAreSubtotals="1" fieldPosition="0"/>
    </format>
    <format dxfId="368">
      <pivotArea type="origin" dataOnly="0" labelOnly="1" outline="0" fieldPosition="0"/>
    </format>
    <format dxfId="369">
      <pivotArea field="12" type="button" dataOnly="0" labelOnly="1" outline="0" axis="axisRow" fieldPosition="0"/>
    </format>
    <format dxfId="370">
      <pivotArea type="topRight" dataOnly="0" labelOnly="1" outline="0" fieldPosition="0"/>
    </format>
    <format dxfId="371">
      <pivotArea field="1" type="button" dataOnly="0" labelOnly="1" outline="0" axis="axisRow" fieldPosition="1"/>
    </format>
    <format dxfId="372">
      <pivotArea dataOnly="0" labelOnly="1" fieldPosition="0">
        <references count="1">
          <reference field="1" count="0"/>
        </references>
      </pivotArea>
    </format>
    <format dxfId="373">
      <pivotArea dataOnly="0" labelOnly="1" fieldPosition="0">
        <references count="1">
          <reference field="12" count="0"/>
        </references>
      </pivotArea>
    </format>
    <format dxfId="374">
      <pivotArea outline="0" collapsedLevelsAreSubtotals="1" fieldPosition="0"/>
    </format>
    <format dxfId="375">
      <pivotArea field="1" type="button" dataOnly="0" labelOnly="1" outline="0" axis="axisRow" fieldPosition="1"/>
    </format>
    <format dxfId="376">
      <pivotArea dataOnly="0" labelOnly="1" fieldPosition="0">
        <references count="1">
          <reference field="1" count="0"/>
        </references>
      </pivotArea>
    </format>
    <format dxfId="377">
      <pivotArea dataOnly="0" labelOnly="1" fieldPosition="0">
        <references count="1">
          <reference field="12" count="0"/>
        </references>
      </pivotArea>
    </format>
    <format dxfId="378">
      <pivotArea dataOnly="0" labelOnly="1" fieldPosition="0">
        <references count="1">
          <reference field="12" count="0"/>
        </references>
      </pivotArea>
    </format>
    <format dxfId="379">
      <pivotArea dataOnly="0" labelOnly="1" outline="0" fieldPosition="0">
        <references count="2">
          <reference field="1" count="1" selected="0">
            <x v="0"/>
          </reference>
          <reference field="12" count="1">
            <x v="0"/>
          </reference>
        </references>
      </pivotArea>
    </format>
    <format dxfId="380">
      <pivotArea dataOnly="0" labelOnly="1" outline="0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381">
      <pivotArea dataOnly="0" labelOnly="1" outline="0" fieldPosition="0">
        <references count="2">
          <reference field="1" count="1" selected="0">
            <x v="2"/>
          </reference>
          <reference field="12" count="1">
            <x v="0"/>
          </reference>
        </references>
      </pivotArea>
    </format>
    <format dxfId="382">
      <pivotArea dataOnly="0" labelOnly="1" outline="0" fieldPosition="0">
        <references count="2">
          <reference field="1" count="1" selected="0">
            <x v="3"/>
          </reference>
          <reference field="12" count="1">
            <x v="6"/>
          </reference>
        </references>
      </pivotArea>
    </format>
    <format dxfId="383">
      <pivotArea dataOnly="0" labelOnly="1" outline="0" fieldPosition="0">
        <references count="2">
          <reference field="1" count="1" selected="0">
            <x v="4"/>
          </reference>
          <reference field="12" count="1">
            <x v="0"/>
          </reference>
        </references>
      </pivotArea>
    </format>
    <format dxfId="384">
      <pivotArea dataOnly="0" labelOnly="1" outline="0" fieldPosition="0">
        <references count="2">
          <reference field="1" count="1" selected="0">
            <x v="5"/>
          </reference>
          <reference field="12" count="1">
            <x v="3"/>
          </reference>
        </references>
      </pivotArea>
    </format>
    <format dxfId="385">
      <pivotArea dataOnly="0" labelOnly="1" outline="0" fieldPosition="0">
        <references count="2">
          <reference field="1" count="1" selected="0">
            <x v="6"/>
          </reference>
          <reference field="12" count="1">
            <x v="3"/>
          </reference>
        </references>
      </pivotArea>
    </format>
    <format dxfId="386">
      <pivotArea dataOnly="0" labelOnly="1" outline="0" fieldPosition="0">
        <references count="2">
          <reference field="1" count="1" selected="0">
            <x v="7"/>
          </reference>
          <reference field="12" count="1">
            <x v="2"/>
          </reference>
        </references>
      </pivotArea>
    </format>
    <format dxfId="387">
      <pivotArea dataOnly="0" labelOnly="1" outline="0" fieldPosition="0">
        <references count="2">
          <reference field="1" count="1" selected="0">
            <x v="8"/>
          </reference>
          <reference field="12" count="1">
            <x v="0"/>
          </reference>
        </references>
      </pivotArea>
    </format>
    <format dxfId="388">
      <pivotArea dataOnly="0" labelOnly="1" outline="0" fieldPosition="0">
        <references count="2">
          <reference field="1" count="1" selected="0">
            <x v="9"/>
          </reference>
          <reference field="12" count="1">
            <x v="2"/>
          </reference>
        </references>
      </pivotArea>
    </format>
    <format dxfId="389">
      <pivotArea dataOnly="0" labelOnly="1" outline="0" fieldPosition="0">
        <references count="2">
          <reference field="1" count="1" selected="0">
            <x v="10"/>
          </reference>
          <reference field="12" count="1">
            <x v="6"/>
          </reference>
        </references>
      </pivotArea>
    </format>
    <format dxfId="390">
      <pivotArea dataOnly="0" labelOnly="1" outline="0" fieldPosition="0">
        <references count="2">
          <reference field="1" count="1" selected="0">
            <x v="0"/>
          </reference>
          <reference field="12" count="1">
            <x v="0"/>
          </reference>
        </references>
      </pivotArea>
    </format>
    <format dxfId="391">
      <pivotArea dataOnly="0" labelOnly="1" outline="0" fieldPosition="0">
        <references count="2">
          <reference field="1" count="1" selected="0">
            <x v="1"/>
          </reference>
          <reference field="12" count="1">
            <x v="0"/>
          </reference>
        </references>
      </pivotArea>
    </format>
    <format dxfId="392">
      <pivotArea dataOnly="0" labelOnly="1" outline="0" fieldPosition="0">
        <references count="2">
          <reference field="1" count="1" selected="0">
            <x v="2"/>
          </reference>
          <reference field="12" count="1">
            <x v="0"/>
          </reference>
        </references>
      </pivotArea>
    </format>
    <format dxfId="393">
      <pivotArea dataOnly="0" labelOnly="1" outline="0" fieldPosition="0">
        <references count="2">
          <reference field="1" count="1" selected="0">
            <x v="3"/>
          </reference>
          <reference field="12" count="1">
            <x v="6"/>
          </reference>
        </references>
      </pivotArea>
    </format>
    <format dxfId="394">
      <pivotArea dataOnly="0" labelOnly="1" outline="0" fieldPosition="0">
        <references count="2">
          <reference field="1" count="1" selected="0">
            <x v="4"/>
          </reference>
          <reference field="12" count="1">
            <x v="0"/>
          </reference>
        </references>
      </pivotArea>
    </format>
    <format dxfId="395">
      <pivotArea dataOnly="0" labelOnly="1" outline="0" fieldPosition="0">
        <references count="2">
          <reference field="1" count="1" selected="0">
            <x v="5"/>
          </reference>
          <reference field="12" count="1">
            <x v="3"/>
          </reference>
        </references>
      </pivotArea>
    </format>
    <format dxfId="396">
      <pivotArea dataOnly="0" labelOnly="1" outline="0" fieldPosition="0">
        <references count="2">
          <reference field="1" count="1" selected="0">
            <x v="6"/>
          </reference>
          <reference field="12" count="1">
            <x v="3"/>
          </reference>
        </references>
      </pivotArea>
    </format>
    <format dxfId="397">
      <pivotArea dataOnly="0" labelOnly="1" outline="0" fieldPosition="0">
        <references count="2">
          <reference field="1" count="1" selected="0">
            <x v="7"/>
          </reference>
          <reference field="12" count="1">
            <x v="2"/>
          </reference>
        </references>
      </pivotArea>
    </format>
    <format dxfId="398">
      <pivotArea dataOnly="0" labelOnly="1" outline="0" fieldPosition="0">
        <references count="2">
          <reference field="1" count="1" selected="0">
            <x v="8"/>
          </reference>
          <reference field="12" count="1">
            <x v="0"/>
          </reference>
        </references>
      </pivotArea>
    </format>
    <format dxfId="399">
      <pivotArea dataOnly="0" labelOnly="1" outline="0" fieldPosition="0">
        <references count="2">
          <reference field="1" count="1" selected="0">
            <x v="9"/>
          </reference>
          <reference field="12" count="1">
            <x v="2"/>
          </reference>
        </references>
      </pivotArea>
    </format>
    <format dxfId="400">
      <pivotArea dataOnly="0" labelOnly="1" outline="0" fieldPosition="0">
        <references count="2">
          <reference field="1" count="1" selected="0">
            <x v="10"/>
          </reference>
          <reference field="12" count="1">
            <x v="6"/>
          </reference>
        </references>
      </pivotArea>
    </format>
    <format dxfId="8">
      <pivotArea dataOnly="0" labelOnly="1" outline="0" fieldPosition="0">
        <references count="2">
          <reference field="1" count="5">
            <x v="0"/>
            <x v="1"/>
            <x v="2"/>
            <x v="4"/>
            <x v="8"/>
          </reference>
          <reference field="12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1" count="2">
            <x v="7"/>
            <x v="9"/>
          </reference>
          <reference field="12" count="1" selected="0">
            <x v="2"/>
          </reference>
        </references>
      </pivotArea>
    </format>
    <format dxfId="6">
      <pivotArea dataOnly="0" labelOnly="1" outline="0" fieldPosition="0">
        <references count="2">
          <reference field="1" count="2">
            <x v="5"/>
            <x v="6"/>
          </reference>
          <reference field="12" count="1" selected="0">
            <x v="3"/>
          </reference>
        </references>
      </pivotArea>
    </format>
    <format dxfId="5">
      <pivotArea dataOnly="0" labelOnly="1" outline="0" fieldPosition="0">
        <references count="2">
          <reference field="1" count="2">
            <x v="3"/>
            <x v="10"/>
          </reference>
          <reference field="12" count="1" selected="0">
            <x v="6"/>
          </reference>
        </references>
      </pivotArea>
    </format>
    <format dxfId="4">
      <pivotArea dataOnly="0" labelOnly="1" outline="0" fieldPosition="0">
        <references count="2">
          <reference field="1" count="5">
            <x v="0"/>
            <x v="1"/>
            <x v="2"/>
            <x v="4"/>
            <x v="8"/>
          </reference>
          <reference field="12" count="1" selected="0">
            <x v="0"/>
          </reference>
        </references>
      </pivotArea>
    </format>
    <format dxfId="3">
      <pivotArea dataOnly="0" labelOnly="1" outline="0" fieldPosition="0">
        <references count="2">
          <reference field="1" count="2">
            <x v="7"/>
            <x v="9"/>
          </reference>
          <reference field="12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1" count="2">
            <x v="5"/>
            <x v="6"/>
          </reference>
          <reference field="12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1" count="2">
            <x v="3"/>
            <x v="10"/>
          </reference>
          <reference field="12" count="1" selected="0">
            <x v="6"/>
          </reference>
        </references>
      </pivotArea>
    </format>
    <format dxfId="0">
      <pivotArea dataOnly="0" labelOnly="1" outline="0" fieldPosition="0">
        <references count="1">
          <reference field="12" count="4">
            <x v="0"/>
            <x v="2"/>
            <x v="3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8" cacheId="53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>
  <location ref="B19:H31" firstHeaderRow="1" firstDataRow="2" firstDataCol="1"/>
  <pivotFields count="12">
    <pivotField showAll="0"/>
    <pivotField axis="axisRow" showAll="0">
      <items count="12">
        <item x="4"/>
        <item x="8"/>
        <item x="6"/>
        <item x="1"/>
        <item x="7"/>
        <item x="10"/>
        <item n="P192 Sullana - PVH*" x="9"/>
        <item x="0"/>
        <item x="2"/>
        <item x="5"/>
        <item x="3"/>
        <item t="default"/>
      </items>
    </pivotField>
    <pivotField axis="axisCol" showAll="0">
      <items count="13">
        <item m="1" x="9"/>
        <item m="1" x="10"/>
        <item m="1" x="11"/>
        <item m="1" x="7"/>
        <item m="1" x="6"/>
        <item m="1" x="8"/>
        <item x="5"/>
        <item x="3"/>
        <item x="0"/>
        <item x="2"/>
        <item x="1"/>
        <item x="4"/>
        <item t="default"/>
      </items>
    </pivotField>
    <pivotField showAll="0"/>
    <pivotField numFmtId="3" showAll="0"/>
    <pivotField numFmtId="3" showAll="0"/>
    <pivotField showAll="0"/>
    <pivotField showAll="0"/>
    <pivotField numFmtId="9" showAll="0"/>
    <pivotField numFmtId="3" showAll="0"/>
    <pivotField numFmtId="9" showAll="0"/>
    <pivotField dataField="1" numFmtId="9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2"/>
  </colFields>
  <colItems count="6">
    <i>
      <x v="6"/>
    </i>
    <i>
      <x v="7"/>
    </i>
    <i>
      <x v="8"/>
    </i>
    <i>
      <x v="9"/>
    </i>
    <i>
      <x v="10"/>
    </i>
    <i>
      <x v="11"/>
    </i>
  </colItems>
  <dataFields count="1">
    <dataField name="Suma de Cobertura Acida" fld="11" baseField="0" baseItem="0"/>
  </dataFields>
  <formats count="47">
    <format dxfId="828">
      <pivotArea outline="0" collapsedLevelsAreSubtotals="1" fieldPosition="0"/>
    </format>
    <format dxfId="827">
      <pivotArea dataOnly="0" outline="0" fieldPosition="0">
        <references count="1">
          <reference field="2" count="0"/>
        </references>
      </pivotArea>
    </format>
    <format dxfId="826">
      <pivotArea dataOnly="0" outline="0" fieldPosition="0">
        <references count="1">
          <reference field="2" count="0"/>
        </references>
      </pivotArea>
    </format>
    <format dxfId="825">
      <pivotArea outline="0" collapsedLevelsAreSubtotals="1" fieldPosition="0"/>
    </format>
    <format dxfId="824">
      <pivotArea field="2" type="button" dataOnly="0" labelOnly="1" outline="0" axis="axisCol" fieldPosition="0"/>
    </format>
    <format dxfId="823">
      <pivotArea type="topRight" dataOnly="0" labelOnly="1" outline="0" fieldPosition="0"/>
    </format>
    <format dxfId="822">
      <pivotArea dataOnly="0" labelOnly="1" fieldPosition="0">
        <references count="1">
          <reference field="2" count="0"/>
        </references>
      </pivotArea>
    </format>
    <format dxfId="821">
      <pivotArea outline="0" collapsedLevelsAreSubtotals="1" fieldPosition="0"/>
    </format>
    <format dxfId="820">
      <pivotArea field="2" type="button" dataOnly="0" labelOnly="1" outline="0" axis="axisCol" fieldPosition="0"/>
    </format>
    <format dxfId="819">
      <pivotArea type="topRight" dataOnly="0" labelOnly="1" outline="0" fieldPosition="0"/>
    </format>
    <format dxfId="818">
      <pivotArea dataOnly="0" labelOnly="1" fieldPosition="0">
        <references count="1">
          <reference field="2" count="0"/>
        </references>
      </pivotArea>
    </format>
    <format dxfId="817">
      <pivotArea type="all" dataOnly="0" outline="0" fieldPosition="0"/>
    </format>
    <format dxfId="816">
      <pivotArea outline="0" collapsedLevelsAreSubtotals="1" fieldPosition="0"/>
    </format>
    <format dxfId="815">
      <pivotArea type="origin" dataOnly="0" labelOnly="1" outline="0" fieldPosition="0"/>
    </format>
    <format dxfId="814">
      <pivotArea field="2" type="button" dataOnly="0" labelOnly="1" outline="0" axis="axisCol" fieldPosition="0"/>
    </format>
    <format dxfId="813">
      <pivotArea type="topRight" dataOnly="0" labelOnly="1" outline="0" fieldPosition="0"/>
    </format>
    <format dxfId="812">
      <pivotArea field="1" type="button" dataOnly="0" labelOnly="1" outline="0" axis="axisRow" fieldPosition="0"/>
    </format>
    <format dxfId="811">
      <pivotArea dataOnly="0" labelOnly="1" fieldPosition="0">
        <references count="1">
          <reference field="1" count="0"/>
        </references>
      </pivotArea>
    </format>
    <format dxfId="810">
      <pivotArea dataOnly="0" labelOnly="1" fieldPosition="0">
        <references count="1">
          <reference field="2" count="0"/>
        </references>
      </pivotArea>
    </format>
    <format dxfId="809">
      <pivotArea type="all" dataOnly="0" outline="0" fieldPosition="0"/>
    </format>
    <format dxfId="808">
      <pivotArea outline="0" collapsedLevelsAreSubtotals="1" fieldPosition="0"/>
    </format>
    <format dxfId="807">
      <pivotArea type="origin" dataOnly="0" labelOnly="1" outline="0" fieldPosition="0"/>
    </format>
    <format dxfId="806">
      <pivotArea field="2" type="button" dataOnly="0" labelOnly="1" outline="0" axis="axisCol" fieldPosition="0"/>
    </format>
    <format dxfId="805">
      <pivotArea type="topRight" dataOnly="0" labelOnly="1" outline="0" fieldPosition="0"/>
    </format>
    <format dxfId="804">
      <pivotArea field="1" type="button" dataOnly="0" labelOnly="1" outline="0" axis="axisRow" fieldPosition="0"/>
    </format>
    <format dxfId="803">
      <pivotArea dataOnly="0" labelOnly="1" fieldPosition="0">
        <references count="1">
          <reference field="1" count="0"/>
        </references>
      </pivotArea>
    </format>
    <format dxfId="802">
      <pivotArea dataOnly="0" labelOnly="1" fieldPosition="0">
        <references count="1">
          <reference field="2" count="0"/>
        </references>
      </pivotArea>
    </format>
    <format dxfId="801">
      <pivotArea type="all" dataOnly="0" outline="0" fieldPosition="0"/>
    </format>
    <format dxfId="800">
      <pivotArea outline="0" collapsedLevelsAreSubtotals="1" fieldPosition="0"/>
    </format>
    <format dxfId="799">
      <pivotArea type="origin" dataOnly="0" labelOnly="1" outline="0" fieldPosition="0"/>
    </format>
    <format dxfId="798">
      <pivotArea field="2" type="button" dataOnly="0" labelOnly="1" outline="0" axis="axisCol" fieldPosition="0"/>
    </format>
    <format dxfId="797">
      <pivotArea type="topRight" dataOnly="0" labelOnly="1" outline="0" fieldPosition="0"/>
    </format>
    <format dxfId="796">
      <pivotArea field="1" type="button" dataOnly="0" labelOnly="1" outline="0" axis="axisRow" fieldPosition="0"/>
    </format>
    <format dxfId="795">
      <pivotArea dataOnly="0" labelOnly="1" fieldPosition="0">
        <references count="1">
          <reference field="1" count="0"/>
        </references>
      </pivotArea>
    </format>
    <format dxfId="794">
      <pivotArea dataOnly="0" labelOnly="1" fieldPosition="0">
        <references count="1">
          <reference field="2" count="0"/>
        </references>
      </pivotArea>
    </format>
    <format dxfId="793">
      <pivotArea type="all" dataOnly="0" outline="0" fieldPosition="0"/>
    </format>
    <format dxfId="792">
      <pivotArea outline="0" collapsedLevelsAreSubtotals="1" fieldPosition="0"/>
    </format>
    <format dxfId="791">
      <pivotArea type="origin" dataOnly="0" labelOnly="1" outline="0" fieldPosition="0"/>
    </format>
    <format dxfId="790">
      <pivotArea field="2" type="button" dataOnly="0" labelOnly="1" outline="0" axis="axisCol" fieldPosition="0"/>
    </format>
    <format dxfId="789">
      <pivotArea type="topRight" dataOnly="0" labelOnly="1" outline="0" fieldPosition="0"/>
    </format>
    <format dxfId="788">
      <pivotArea field="1" type="button" dataOnly="0" labelOnly="1" outline="0" axis="axisRow" fieldPosition="0"/>
    </format>
    <format dxfId="787">
      <pivotArea dataOnly="0" labelOnly="1" fieldPosition="0">
        <references count="1">
          <reference field="1" count="0"/>
        </references>
      </pivotArea>
    </format>
    <format dxfId="786">
      <pivotArea dataOnly="0" labelOnly="1" fieldPosition="0">
        <references count="1">
          <reference field="2" count="0"/>
        </references>
      </pivotArea>
    </format>
    <format dxfId="785">
      <pivotArea outline="0" collapsedLevelsAreSubtotals="1" fieldPosition="0"/>
    </format>
    <format dxfId="784">
      <pivotArea field="1" type="button" dataOnly="0" labelOnly="1" outline="0" axis="axisRow" fieldPosition="0"/>
    </format>
    <format dxfId="783">
      <pivotArea dataOnly="0" labelOnly="1" fieldPosition="0">
        <references count="1">
          <reference field="1" count="0"/>
        </references>
      </pivotArea>
    </format>
    <format dxfId="782">
      <pivotArea dataOnly="0" labelOnly="1" fieldPosition="0">
        <references count="1">
          <reference field="2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17" cacheId="53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rowHeaderCaption="Tiendas">
  <location ref="B4:H16" firstHeaderRow="1" firstDataRow="2" firstDataCol="1"/>
  <pivotFields count="12">
    <pivotField showAll="0"/>
    <pivotField axis="axisRow" showAll="0">
      <items count="12">
        <item x="4"/>
        <item x="8"/>
        <item x="6"/>
        <item x="1"/>
        <item x="7"/>
        <item x="10"/>
        <item n="P192 Sullana - PVH*" x="9"/>
        <item x="0"/>
        <item x="2"/>
        <item x="5"/>
        <item x="3"/>
        <item t="default"/>
      </items>
    </pivotField>
    <pivotField axis="axisCol" showAll="0">
      <items count="13">
        <item m="1" x="9"/>
        <item m="1" x="10"/>
        <item m="1" x="11"/>
        <item m="1" x="7"/>
        <item m="1" x="6"/>
        <item m="1" x="8"/>
        <item x="5"/>
        <item x="3"/>
        <item x="0"/>
        <item x="2"/>
        <item x="1"/>
        <item x="4"/>
        <item t="default"/>
      </items>
    </pivotField>
    <pivotField showAll="0"/>
    <pivotField numFmtId="3" showAll="0"/>
    <pivotField numFmtId="3" showAll="0"/>
    <pivotField showAll="0"/>
    <pivotField showAll="0"/>
    <pivotField numFmtId="9" showAll="0"/>
    <pivotField numFmtId="3" showAll="0"/>
    <pivotField dataField="1" numFmtId="9" showAll="0"/>
    <pivotField numFmtId="9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2"/>
  </colFields>
  <colItems count="6">
    <i>
      <x v="6"/>
    </i>
    <i>
      <x v="7"/>
    </i>
    <i>
      <x v="8"/>
    </i>
    <i>
      <x v="9"/>
    </i>
    <i>
      <x v="10"/>
    </i>
    <i>
      <x v="11"/>
    </i>
  </colItems>
  <dataFields count="1">
    <dataField name="Suma de Cumplimiento Velocidad" fld="10" baseField="0" baseItem="0"/>
  </dataFields>
  <formats count="47">
    <format dxfId="875">
      <pivotArea outline="0" collapsedLevelsAreSubtotals="1" fieldPosition="0"/>
    </format>
    <format dxfId="874">
      <pivotArea dataOnly="0" outline="0" fieldPosition="0">
        <references count="1">
          <reference field="2" count="0"/>
        </references>
      </pivotArea>
    </format>
    <format dxfId="873">
      <pivotArea dataOnly="0" outline="0" fieldPosition="0">
        <references count="1">
          <reference field="2" count="0"/>
        </references>
      </pivotArea>
    </format>
    <format dxfId="872">
      <pivotArea outline="0" collapsedLevelsAreSubtotals="1" fieldPosition="0"/>
    </format>
    <format dxfId="871">
      <pivotArea field="2" type="button" dataOnly="0" labelOnly="1" outline="0" axis="axisCol" fieldPosition="0"/>
    </format>
    <format dxfId="870">
      <pivotArea type="topRight" dataOnly="0" labelOnly="1" outline="0" fieldPosition="0"/>
    </format>
    <format dxfId="869">
      <pivotArea dataOnly="0" labelOnly="1" fieldPosition="0">
        <references count="1">
          <reference field="2" count="0"/>
        </references>
      </pivotArea>
    </format>
    <format dxfId="868">
      <pivotArea outline="0" collapsedLevelsAreSubtotals="1" fieldPosition="0"/>
    </format>
    <format dxfId="867">
      <pivotArea field="2" type="button" dataOnly="0" labelOnly="1" outline="0" axis="axisCol" fieldPosition="0"/>
    </format>
    <format dxfId="866">
      <pivotArea type="topRight" dataOnly="0" labelOnly="1" outline="0" fieldPosition="0"/>
    </format>
    <format dxfId="865">
      <pivotArea dataOnly="0" labelOnly="1" fieldPosition="0">
        <references count="1">
          <reference field="2" count="0"/>
        </references>
      </pivotArea>
    </format>
    <format dxfId="864">
      <pivotArea type="all" dataOnly="0" outline="0" fieldPosition="0"/>
    </format>
    <format dxfId="863">
      <pivotArea outline="0" collapsedLevelsAreSubtotals="1" fieldPosition="0"/>
    </format>
    <format dxfId="862">
      <pivotArea type="origin" dataOnly="0" labelOnly="1" outline="0" fieldPosition="0"/>
    </format>
    <format dxfId="861">
      <pivotArea field="2" type="button" dataOnly="0" labelOnly="1" outline="0" axis="axisCol" fieldPosition="0"/>
    </format>
    <format dxfId="860">
      <pivotArea type="topRight" dataOnly="0" labelOnly="1" outline="0" fieldPosition="0"/>
    </format>
    <format dxfId="859">
      <pivotArea field="1" type="button" dataOnly="0" labelOnly="1" outline="0" axis="axisRow" fieldPosition="0"/>
    </format>
    <format dxfId="858">
      <pivotArea dataOnly="0" labelOnly="1" fieldPosition="0">
        <references count="1">
          <reference field="1" count="0"/>
        </references>
      </pivotArea>
    </format>
    <format dxfId="857">
      <pivotArea dataOnly="0" labelOnly="1" fieldPosition="0">
        <references count="1">
          <reference field="2" count="0"/>
        </references>
      </pivotArea>
    </format>
    <format dxfId="856">
      <pivotArea type="all" dataOnly="0" outline="0" fieldPosition="0"/>
    </format>
    <format dxfId="855">
      <pivotArea outline="0" collapsedLevelsAreSubtotals="1" fieldPosition="0"/>
    </format>
    <format dxfId="854">
      <pivotArea type="origin" dataOnly="0" labelOnly="1" outline="0" fieldPosition="0"/>
    </format>
    <format dxfId="853">
      <pivotArea field="2" type="button" dataOnly="0" labelOnly="1" outline="0" axis="axisCol" fieldPosition="0"/>
    </format>
    <format dxfId="852">
      <pivotArea type="topRight" dataOnly="0" labelOnly="1" outline="0" fieldPosition="0"/>
    </format>
    <format dxfId="851">
      <pivotArea field="1" type="button" dataOnly="0" labelOnly="1" outline="0" axis="axisRow" fieldPosition="0"/>
    </format>
    <format dxfId="850">
      <pivotArea dataOnly="0" labelOnly="1" fieldPosition="0">
        <references count="1">
          <reference field="1" count="0"/>
        </references>
      </pivotArea>
    </format>
    <format dxfId="849">
      <pivotArea dataOnly="0" labelOnly="1" fieldPosition="0">
        <references count="1">
          <reference field="2" count="0"/>
        </references>
      </pivotArea>
    </format>
    <format dxfId="848">
      <pivotArea type="all" dataOnly="0" outline="0" fieldPosition="0"/>
    </format>
    <format dxfId="847">
      <pivotArea outline="0" collapsedLevelsAreSubtotals="1" fieldPosition="0"/>
    </format>
    <format dxfId="846">
      <pivotArea type="origin" dataOnly="0" labelOnly="1" outline="0" fieldPosition="0"/>
    </format>
    <format dxfId="845">
      <pivotArea field="2" type="button" dataOnly="0" labelOnly="1" outline="0" axis="axisCol" fieldPosition="0"/>
    </format>
    <format dxfId="844">
      <pivotArea type="topRight" dataOnly="0" labelOnly="1" outline="0" fieldPosition="0"/>
    </format>
    <format dxfId="843">
      <pivotArea field="1" type="button" dataOnly="0" labelOnly="1" outline="0" axis="axisRow" fieldPosition="0"/>
    </format>
    <format dxfId="842">
      <pivotArea dataOnly="0" labelOnly="1" fieldPosition="0">
        <references count="1">
          <reference field="1" count="0"/>
        </references>
      </pivotArea>
    </format>
    <format dxfId="841">
      <pivotArea dataOnly="0" labelOnly="1" fieldPosition="0">
        <references count="1">
          <reference field="2" count="0"/>
        </references>
      </pivotArea>
    </format>
    <format dxfId="840">
      <pivotArea type="all" dataOnly="0" outline="0" fieldPosition="0"/>
    </format>
    <format dxfId="839">
      <pivotArea outline="0" collapsedLevelsAreSubtotals="1" fieldPosition="0"/>
    </format>
    <format dxfId="838">
      <pivotArea type="origin" dataOnly="0" labelOnly="1" outline="0" fieldPosition="0"/>
    </format>
    <format dxfId="837">
      <pivotArea field="2" type="button" dataOnly="0" labelOnly="1" outline="0" axis="axisCol" fieldPosition="0"/>
    </format>
    <format dxfId="836">
      <pivotArea type="topRight" dataOnly="0" labelOnly="1" outline="0" fieldPosition="0"/>
    </format>
    <format dxfId="835">
      <pivotArea field="1" type="button" dataOnly="0" labelOnly="1" outline="0" axis="axisRow" fieldPosition="0"/>
    </format>
    <format dxfId="834">
      <pivotArea dataOnly="0" labelOnly="1" fieldPosition="0">
        <references count="1">
          <reference field="1" count="0"/>
        </references>
      </pivotArea>
    </format>
    <format dxfId="833">
      <pivotArea dataOnly="0" labelOnly="1" fieldPosition="0">
        <references count="1">
          <reference field="2" count="0"/>
        </references>
      </pivotArea>
    </format>
    <format dxfId="832">
      <pivotArea outline="0" collapsedLevelsAreSubtotals="1" fieldPosition="0"/>
    </format>
    <format dxfId="831">
      <pivotArea field="1" type="button" dataOnly="0" labelOnly="1" outline="0" axis="axisRow" fieldPosition="0"/>
    </format>
    <format dxfId="830">
      <pivotArea dataOnly="0" labelOnly="1" fieldPosition="0">
        <references count="1">
          <reference field="1" count="0"/>
        </references>
      </pivotArea>
    </format>
    <format dxfId="829">
      <pivotArea dataOnly="0" labelOnly="1" fieldPosition="0">
        <references count="1">
          <reference field="2" count="0"/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activeCell="E1" sqref="E1"/>
    </sheetView>
  </sheetViews>
  <sheetFormatPr baseColWidth="10" defaultColWidth="8.7265625" defaultRowHeight="14.5" x14ac:dyDescent="0.35"/>
  <cols>
    <col min="5" max="5" width="12.54296875" bestFit="1" customWidth="1"/>
    <col min="6" max="6" width="12.6328125" bestFit="1" customWidth="1"/>
  </cols>
  <sheetData>
    <row r="1" spans="1:6" x14ac:dyDescent="0.35">
      <c r="A1" t="s">
        <v>0</v>
      </c>
      <c r="B1" t="s">
        <v>1</v>
      </c>
      <c r="C1" t="s">
        <v>47</v>
      </c>
      <c r="D1" t="s">
        <v>48</v>
      </c>
      <c r="E1" t="s">
        <v>2</v>
      </c>
      <c r="F1" t="s">
        <v>3</v>
      </c>
    </row>
    <row r="2" spans="1:6" x14ac:dyDescent="0.35">
      <c r="A2" t="s">
        <v>4</v>
      </c>
      <c r="B2" t="s">
        <v>5</v>
      </c>
      <c r="C2" t="str">
        <f>VLOOKUP(B2, tienda!A:D,4,0)</f>
        <v>P102 Chiclayo - PVH</v>
      </c>
      <c r="D2" t="str">
        <f>C2&amp;A2</f>
        <v>P102 Chiclayo - PVHenero</v>
      </c>
      <c r="E2" s="1">
        <v>0.91839999999999999</v>
      </c>
      <c r="F2">
        <v>12.86</v>
      </c>
    </row>
    <row r="3" spans="1:6" x14ac:dyDescent="0.35">
      <c r="A3" t="s">
        <v>6</v>
      </c>
      <c r="B3" t="s">
        <v>5</v>
      </c>
      <c r="C3" t="str">
        <f>VLOOKUP(B3, tienda!A:D,4,0)</f>
        <v>P102 Chiclayo - PVH</v>
      </c>
      <c r="D3" t="str">
        <f t="shared" ref="D3:D66" si="0">C3&amp;A3</f>
        <v>P102 Chiclayo - PVHfebrero</v>
      </c>
      <c r="E3" s="1">
        <v>0.9456</v>
      </c>
      <c r="F3">
        <v>13.24</v>
      </c>
    </row>
    <row r="4" spans="1:6" x14ac:dyDescent="0.35">
      <c r="A4" t="s">
        <v>7</v>
      </c>
      <c r="B4" t="s">
        <v>5</v>
      </c>
      <c r="C4" t="str">
        <f>VLOOKUP(B4, tienda!A:D,4,0)</f>
        <v>P102 Chiclayo - PVH</v>
      </c>
      <c r="D4" t="str">
        <f t="shared" si="0"/>
        <v>P102 Chiclayo - PVHmarzo</v>
      </c>
      <c r="E4" s="1">
        <v>1.0593999999999999</v>
      </c>
      <c r="F4">
        <v>14.83</v>
      </c>
    </row>
    <row r="5" spans="1:6" x14ac:dyDescent="0.35">
      <c r="A5" t="s">
        <v>8</v>
      </c>
      <c r="B5" t="s">
        <v>5</v>
      </c>
      <c r="C5" t="str">
        <f>VLOOKUP(B5, tienda!A:D,4,0)</f>
        <v>P102 Chiclayo - PVH</v>
      </c>
      <c r="D5" t="str">
        <f t="shared" si="0"/>
        <v>P102 Chiclayo - PVHabril</v>
      </c>
      <c r="E5" s="1">
        <v>1.1746000000000001</v>
      </c>
      <c r="F5">
        <v>16.45</v>
      </c>
    </row>
    <row r="6" spans="1:6" x14ac:dyDescent="0.35">
      <c r="A6" t="s">
        <v>9</v>
      </c>
      <c r="B6" t="s">
        <v>5</v>
      </c>
      <c r="C6" t="str">
        <f>VLOOKUP(B6, tienda!A:D,4,0)</f>
        <v>P102 Chiclayo - PVH</v>
      </c>
      <c r="D6" t="str">
        <f t="shared" si="0"/>
        <v>P102 Chiclayo - PVHmayo</v>
      </c>
      <c r="E6" s="1">
        <v>1.1166</v>
      </c>
      <c r="F6">
        <v>15.63</v>
      </c>
    </row>
    <row r="7" spans="1:6" x14ac:dyDescent="0.35">
      <c r="A7" t="s">
        <v>10</v>
      </c>
      <c r="B7" t="s">
        <v>5</v>
      </c>
      <c r="C7" t="str">
        <f>VLOOKUP(B7, tienda!A:D,4,0)</f>
        <v>P102 Chiclayo - PVH</v>
      </c>
      <c r="D7" t="str">
        <f t="shared" si="0"/>
        <v>P102 Chiclayo - PVHjunio</v>
      </c>
      <c r="E7" s="1">
        <v>0.95689999999999997</v>
      </c>
      <c r="F7">
        <v>13.4</v>
      </c>
    </row>
    <row r="8" spans="1:6" x14ac:dyDescent="0.35">
      <c r="A8" t="s">
        <v>4</v>
      </c>
      <c r="B8" t="s">
        <v>11</v>
      </c>
      <c r="C8" t="str">
        <f>VLOOKUP(B8, tienda!A:D,4,0)</f>
        <v>P769 Chiclayo Aventura - PVH</v>
      </c>
      <c r="D8" t="str">
        <f t="shared" si="0"/>
        <v>P769 Chiclayo Aventura - PVHenero</v>
      </c>
      <c r="E8" s="1">
        <v>0.85089999999999999</v>
      </c>
      <c r="F8">
        <v>11.91</v>
      </c>
    </row>
    <row r="9" spans="1:6" x14ac:dyDescent="0.35">
      <c r="A9" t="s">
        <v>6</v>
      </c>
      <c r="B9" t="s">
        <v>11</v>
      </c>
      <c r="C9" t="str">
        <f>VLOOKUP(B9, tienda!A:D,4,0)</f>
        <v>P769 Chiclayo Aventura - PVH</v>
      </c>
      <c r="D9" t="str">
        <f t="shared" si="0"/>
        <v>P769 Chiclayo Aventura - PVHfebrero</v>
      </c>
      <c r="E9" s="1">
        <v>0.8821</v>
      </c>
      <c r="F9">
        <v>12.35</v>
      </c>
    </row>
    <row r="10" spans="1:6" x14ac:dyDescent="0.35">
      <c r="A10" t="s">
        <v>7</v>
      </c>
      <c r="B10" t="s">
        <v>11</v>
      </c>
      <c r="C10" t="str">
        <f>VLOOKUP(B10, tienda!A:D,4,0)</f>
        <v>P769 Chiclayo Aventura - PVH</v>
      </c>
      <c r="D10" t="str">
        <f t="shared" si="0"/>
        <v>P769 Chiclayo Aventura - PVHmarzo</v>
      </c>
      <c r="E10" s="1">
        <v>0.93100000000000005</v>
      </c>
      <c r="F10">
        <v>13.03</v>
      </c>
    </row>
    <row r="11" spans="1:6" x14ac:dyDescent="0.35">
      <c r="A11" t="s">
        <v>8</v>
      </c>
      <c r="B11" t="s">
        <v>11</v>
      </c>
      <c r="C11" t="str">
        <f>VLOOKUP(B11, tienda!A:D,4,0)</f>
        <v>P769 Chiclayo Aventura - PVH</v>
      </c>
      <c r="D11" t="str">
        <f t="shared" si="0"/>
        <v>P769 Chiclayo Aventura - PVHabril</v>
      </c>
      <c r="E11" s="1">
        <v>1.0396000000000001</v>
      </c>
      <c r="F11">
        <v>14.55</v>
      </c>
    </row>
    <row r="12" spans="1:6" x14ac:dyDescent="0.35">
      <c r="A12" t="s">
        <v>9</v>
      </c>
      <c r="B12" t="s">
        <v>11</v>
      </c>
      <c r="C12" t="str">
        <f>VLOOKUP(B12, tienda!A:D,4,0)</f>
        <v>P769 Chiclayo Aventura - PVH</v>
      </c>
      <c r="D12" t="str">
        <f t="shared" si="0"/>
        <v>P769 Chiclayo Aventura - PVHmayo</v>
      </c>
      <c r="E12" s="1">
        <v>0.97709999999999997</v>
      </c>
      <c r="F12">
        <v>13.68</v>
      </c>
    </row>
    <row r="13" spans="1:6" x14ac:dyDescent="0.35">
      <c r="A13" t="s">
        <v>10</v>
      </c>
      <c r="B13" t="s">
        <v>11</v>
      </c>
      <c r="C13" t="str">
        <f>VLOOKUP(B13, tienda!A:D,4,0)</f>
        <v>P769 Chiclayo Aventura - PVH</v>
      </c>
      <c r="D13" t="str">
        <f t="shared" si="0"/>
        <v>P769 Chiclayo Aventura - PVHjunio</v>
      </c>
      <c r="E13" s="1">
        <v>1.0693999999999999</v>
      </c>
      <c r="F13">
        <v>14.97</v>
      </c>
    </row>
    <row r="14" spans="1:6" x14ac:dyDescent="0.35">
      <c r="A14" t="s">
        <v>4</v>
      </c>
      <c r="B14" t="s">
        <v>12</v>
      </c>
      <c r="C14" t="str">
        <f>VLOOKUP(B14, tienda!A:D,4,0)</f>
        <v>P130 Chimbote - PVH</v>
      </c>
      <c r="D14" t="str">
        <f t="shared" si="0"/>
        <v>P130 Chimbote - PVHenero</v>
      </c>
      <c r="E14" s="1">
        <v>0.8982</v>
      </c>
      <c r="F14">
        <v>13.47</v>
      </c>
    </row>
    <row r="15" spans="1:6" x14ac:dyDescent="0.35">
      <c r="A15" t="s">
        <v>6</v>
      </c>
      <c r="B15" t="s">
        <v>12</v>
      </c>
      <c r="C15" t="str">
        <f>VLOOKUP(B15, tienda!A:D,4,0)</f>
        <v>P130 Chimbote - PVH</v>
      </c>
      <c r="D15" t="str">
        <f t="shared" si="0"/>
        <v>P130 Chimbote - PVHfebrero</v>
      </c>
      <c r="E15" s="1">
        <v>0.99270000000000003</v>
      </c>
      <c r="F15">
        <v>14.89</v>
      </c>
    </row>
    <row r="16" spans="1:6" x14ac:dyDescent="0.35">
      <c r="A16" t="s">
        <v>7</v>
      </c>
      <c r="B16" t="s">
        <v>12</v>
      </c>
      <c r="C16" t="str">
        <f>VLOOKUP(B16, tienda!A:D,4,0)</f>
        <v>P130 Chimbote - PVH</v>
      </c>
      <c r="D16" t="str">
        <f t="shared" si="0"/>
        <v>P130 Chimbote - PVHmarzo</v>
      </c>
      <c r="E16" s="1">
        <v>1.0156000000000001</v>
      </c>
      <c r="F16">
        <v>15.23</v>
      </c>
    </row>
    <row r="17" spans="1:6" x14ac:dyDescent="0.35">
      <c r="A17" t="s">
        <v>8</v>
      </c>
      <c r="B17" t="s">
        <v>12</v>
      </c>
      <c r="C17" t="str">
        <f>VLOOKUP(B17, tienda!A:D,4,0)</f>
        <v>P130 Chimbote - PVH</v>
      </c>
      <c r="D17" t="str">
        <f t="shared" si="0"/>
        <v>P130 Chimbote - PVHabril</v>
      </c>
      <c r="E17" s="1">
        <v>1.0197000000000001</v>
      </c>
      <c r="F17">
        <v>15.3</v>
      </c>
    </row>
    <row r="18" spans="1:6" x14ac:dyDescent="0.35">
      <c r="A18" t="s">
        <v>9</v>
      </c>
      <c r="B18" t="s">
        <v>12</v>
      </c>
      <c r="C18" t="str">
        <f>VLOOKUP(B18, tienda!A:D,4,0)</f>
        <v>P130 Chimbote - PVH</v>
      </c>
      <c r="D18" t="str">
        <f t="shared" si="0"/>
        <v>P130 Chimbote - PVHmayo</v>
      </c>
      <c r="E18" s="1">
        <v>1.0097</v>
      </c>
      <c r="F18">
        <v>15.15</v>
      </c>
    </row>
    <row r="19" spans="1:6" x14ac:dyDescent="0.35">
      <c r="A19" t="s">
        <v>10</v>
      </c>
      <c r="B19" t="s">
        <v>12</v>
      </c>
      <c r="C19" t="str">
        <f>VLOOKUP(B19, tienda!A:D,4,0)</f>
        <v>P130 Chimbote - PVH</v>
      </c>
      <c r="D19" t="str">
        <f t="shared" si="0"/>
        <v>P130 Chimbote - PVHjunio</v>
      </c>
      <c r="E19" s="1">
        <v>0.98519999999999996</v>
      </c>
      <c r="F19">
        <v>14.78</v>
      </c>
    </row>
    <row r="20" spans="1:6" x14ac:dyDescent="0.35">
      <c r="A20" t="s">
        <v>4</v>
      </c>
      <c r="B20" t="s">
        <v>13</v>
      </c>
      <c r="C20" t="str">
        <f>VLOOKUP(B20, tienda!A:D,4,0)</f>
        <v>P123 El Chacarero - PVH</v>
      </c>
      <c r="D20" t="str">
        <f t="shared" si="0"/>
        <v>P123 El Chacarero - PVHenero</v>
      </c>
      <c r="E20" s="1">
        <v>0.98299999999999998</v>
      </c>
      <c r="F20">
        <v>13.76</v>
      </c>
    </row>
    <row r="21" spans="1:6" x14ac:dyDescent="0.35">
      <c r="A21" t="s">
        <v>6</v>
      </c>
      <c r="B21" t="s">
        <v>13</v>
      </c>
      <c r="C21" t="str">
        <f>VLOOKUP(B21, tienda!A:D,4,0)</f>
        <v>P123 El Chacarero - PVH</v>
      </c>
      <c r="D21" t="str">
        <f t="shared" si="0"/>
        <v>P123 El Chacarero - PVHfebrero</v>
      </c>
      <c r="E21" s="1">
        <v>1.0504</v>
      </c>
      <c r="F21">
        <v>14.71</v>
      </c>
    </row>
    <row r="22" spans="1:6" x14ac:dyDescent="0.35">
      <c r="A22" t="s">
        <v>7</v>
      </c>
      <c r="B22" t="s">
        <v>13</v>
      </c>
      <c r="C22" t="str">
        <f>VLOOKUP(B22, tienda!A:D,4,0)</f>
        <v>P123 El Chacarero - PVH</v>
      </c>
      <c r="D22" t="str">
        <f t="shared" si="0"/>
        <v>P123 El Chacarero - PVHmarzo</v>
      </c>
      <c r="E22" s="1">
        <v>1.0993999999999999</v>
      </c>
      <c r="F22">
        <v>15.39</v>
      </c>
    </row>
    <row r="23" spans="1:6" x14ac:dyDescent="0.35">
      <c r="A23" t="s">
        <v>8</v>
      </c>
      <c r="B23" t="s">
        <v>13</v>
      </c>
      <c r="C23" t="str">
        <f>VLOOKUP(B23, tienda!A:D,4,0)</f>
        <v>P123 El Chacarero - PVH</v>
      </c>
      <c r="D23" t="str">
        <f t="shared" si="0"/>
        <v>P123 El Chacarero - PVHabril</v>
      </c>
      <c r="E23" s="1">
        <v>1.0416000000000001</v>
      </c>
      <c r="F23">
        <v>14.58</v>
      </c>
    </row>
    <row r="24" spans="1:6" x14ac:dyDescent="0.35">
      <c r="A24" t="s">
        <v>9</v>
      </c>
      <c r="B24" t="s">
        <v>13</v>
      </c>
      <c r="C24" t="str">
        <f>VLOOKUP(B24, tienda!A:D,4,0)</f>
        <v>P123 El Chacarero - PVH</v>
      </c>
      <c r="D24" t="str">
        <f t="shared" si="0"/>
        <v>P123 El Chacarero - PVHmayo</v>
      </c>
      <c r="E24" s="1">
        <v>1.0296000000000001</v>
      </c>
      <c r="F24">
        <v>14.41</v>
      </c>
    </row>
    <row r="25" spans="1:6" x14ac:dyDescent="0.35">
      <c r="A25" t="s">
        <v>10</v>
      </c>
      <c r="B25" t="s">
        <v>13</v>
      </c>
      <c r="C25" t="str">
        <f>VLOOKUP(B25, tienda!A:D,4,0)</f>
        <v>P123 El Chacarero - PVH</v>
      </c>
      <c r="D25" t="str">
        <f t="shared" si="0"/>
        <v>P123 El Chacarero - PVHjunio</v>
      </c>
      <c r="E25" s="1">
        <v>1.1263000000000001</v>
      </c>
      <c r="F25">
        <v>15.77</v>
      </c>
    </row>
    <row r="26" spans="1:6" x14ac:dyDescent="0.35">
      <c r="A26" t="s">
        <v>4</v>
      </c>
      <c r="B26" t="s">
        <v>14</v>
      </c>
      <c r="C26" t="str">
        <f>VLOOKUP(B26, tienda!A:D,4,0)</f>
        <v>P143 Nvo Chimbote - PVH</v>
      </c>
      <c r="D26" t="str">
        <f t="shared" si="0"/>
        <v>P143 Nvo Chimbote - PVHenero</v>
      </c>
      <c r="E26" s="1">
        <v>0.80769999999999997</v>
      </c>
      <c r="F26">
        <v>11.31</v>
      </c>
    </row>
    <row r="27" spans="1:6" x14ac:dyDescent="0.35">
      <c r="A27" t="s">
        <v>6</v>
      </c>
      <c r="B27" t="s">
        <v>14</v>
      </c>
      <c r="C27" t="str">
        <f>VLOOKUP(B27, tienda!A:D,4,0)</f>
        <v>P143 Nvo Chimbote - PVH</v>
      </c>
      <c r="D27" t="str">
        <f t="shared" si="0"/>
        <v>P143 Nvo Chimbote - PVHfebrero</v>
      </c>
      <c r="E27" s="1">
        <v>0.88039999999999996</v>
      </c>
      <c r="F27">
        <v>12.33</v>
      </c>
    </row>
    <row r="28" spans="1:6" x14ac:dyDescent="0.35">
      <c r="A28" t="s">
        <v>7</v>
      </c>
      <c r="B28" t="s">
        <v>14</v>
      </c>
      <c r="C28" t="str">
        <f>VLOOKUP(B28, tienda!A:D,4,0)</f>
        <v>P143 Nvo Chimbote - PVH</v>
      </c>
      <c r="D28" t="str">
        <f t="shared" si="0"/>
        <v>P143 Nvo Chimbote - PVHmarzo</v>
      </c>
      <c r="E28" s="1">
        <v>0.9627</v>
      </c>
      <c r="F28">
        <v>13.48</v>
      </c>
    </row>
    <row r="29" spans="1:6" x14ac:dyDescent="0.35">
      <c r="A29" t="s">
        <v>8</v>
      </c>
      <c r="B29" t="s">
        <v>14</v>
      </c>
      <c r="C29" t="str">
        <f>VLOOKUP(B29, tienda!A:D,4,0)</f>
        <v>P143 Nvo Chimbote - PVH</v>
      </c>
      <c r="D29" t="str">
        <f t="shared" si="0"/>
        <v>P143 Nvo Chimbote - PVHabril</v>
      </c>
      <c r="E29" s="1">
        <v>0.95740000000000003</v>
      </c>
      <c r="F29">
        <v>13.4</v>
      </c>
    </row>
    <row r="30" spans="1:6" x14ac:dyDescent="0.35">
      <c r="A30" t="s">
        <v>9</v>
      </c>
      <c r="B30" t="s">
        <v>14</v>
      </c>
      <c r="C30" t="str">
        <f>VLOOKUP(B30, tienda!A:D,4,0)</f>
        <v>P143 Nvo Chimbote - PVH</v>
      </c>
      <c r="D30" t="str">
        <f t="shared" si="0"/>
        <v>P143 Nvo Chimbote - PVHmayo</v>
      </c>
      <c r="E30" s="1">
        <v>0.97040000000000004</v>
      </c>
      <c r="F30">
        <v>13.59</v>
      </c>
    </row>
    <row r="31" spans="1:6" x14ac:dyDescent="0.35">
      <c r="A31" t="s">
        <v>10</v>
      </c>
      <c r="B31" t="s">
        <v>14</v>
      </c>
      <c r="C31" t="str">
        <f>VLOOKUP(B31, tienda!A:D,4,0)</f>
        <v>P143 Nvo Chimbote - PVH</v>
      </c>
      <c r="D31" t="str">
        <f t="shared" si="0"/>
        <v>P143 Nvo Chimbote - PVHjunio</v>
      </c>
      <c r="E31" s="1">
        <v>1.0163</v>
      </c>
      <c r="F31">
        <v>14.23</v>
      </c>
    </row>
    <row r="32" spans="1:6" x14ac:dyDescent="0.35">
      <c r="A32" t="s">
        <v>4</v>
      </c>
      <c r="B32" t="s">
        <v>15</v>
      </c>
      <c r="C32" t="str">
        <f>VLOOKUP(B32, tienda!A:D,4,0)</f>
        <v>P226 Paita - PVH</v>
      </c>
      <c r="D32" t="str">
        <f t="shared" si="0"/>
        <v>P226 Paita - PVHenero</v>
      </c>
      <c r="E32" s="1">
        <v>1.0866</v>
      </c>
      <c r="F32">
        <v>15.21</v>
      </c>
    </row>
    <row r="33" spans="1:6" x14ac:dyDescent="0.35">
      <c r="A33" t="s">
        <v>6</v>
      </c>
      <c r="B33" t="s">
        <v>15</v>
      </c>
      <c r="C33" t="str">
        <f>VLOOKUP(B33, tienda!A:D,4,0)</f>
        <v>P226 Paita - PVH</v>
      </c>
      <c r="D33" t="str">
        <f t="shared" si="0"/>
        <v>P226 Paita - PVHfebrero</v>
      </c>
      <c r="E33" s="1">
        <v>1.1738</v>
      </c>
      <c r="F33">
        <v>16.43</v>
      </c>
    </row>
    <row r="34" spans="1:6" x14ac:dyDescent="0.35">
      <c r="A34" t="s">
        <v>7</v>
      </c>
      <c r="B34" t="s">
        <v>15</v>
      </c>
      <c r="C34" t="str">
        <f>VLOOKUP(B34, tienda!A:D,4,0)</f>
        <v>P226 Paita - PVH</v>
      </c>
      <c r="D34" t="str">
        <f t="shared" si="0"/>
        <v>P226 Paita - PVHmarzo</v>
      </c>
      <c r="E34" s="1">
        <v>1.1888000000000001</v>
      </c>
      <c r="F34">
        <v>16.64</v>
      </c>
    </row>
    <row r="35" spans="1:6" x14ac:dyDescent="0.35">
      <c r="A35" t="s">
        <v>8</v>
      </c>
      <c r="B35" t="s">
        <v>15</v>
      </c>
      <c r="C35" t="str">
        <f>VLOOKUP(B35, tienda!A:D,4,0)</f>
        <v>P226 Paita - PVH</v>
      </c>
      <c r="D35" t="str">
        <f t="shared" si="0"/>
        <v>P226 Paita - PVHabril</v>
      </c>
      <c r="E35" s="1">
        <v>1.1917</v>
      </c>
      <c r="F35">
        <v>16.68</v>
      </c>
    </row>
    <row r="36" spans="1:6" x14ac:dyDescent="0.35">
      <c r="A36" t="s">
        <v>9</v>
      </c>
      <c r="B36" t="s">
        <v>15</v>
      </c>
      <c r="C36" t="str">
        <f>VLOOKUP(B36, tienda!A:D,4,0)</f>
        <v>P226 Paita - PVH</v>
      </c>
      <c r="D36" t="str">
        <f t="shared" si="0"/>
        <v>P226 Paita - PVHmayo</v>
      </c>
      <c r="E36" s="1">
        <v>1.1677</v>
      </c>
      <c r="F36">
        <v>16.350000000000001</v>
      </c>
    </row>
    <row r="37" spans="1:6" x14ac:dyDescent="0.35">
      <c r="A37" t="s">
        <v>10</v>
      </c>
      <c r="B37" t="s">
        <v>15</v>
      </c>
      <c r="C37" t="str">
        <f>VLOOKUP(B37, tienda!A:D,4,0)</f>
        <v>P226 Paita - PVH</v>
      </c>
      <c r="D37" t="str">
        <f t="shared" si="0"/>
        <v>P226 Paita - PVHjunio</v>
      </c>
      <c r="E37" s="1">
        <v>1.1212</v>
      </c>
      <c r="F37">
        <v>15.7</v>
      </c>
    </row>
    <row r="38" spans="1:6" x14ac:dyDescent="0.35">
      <c r="A38" t="s">
        <v>4</v>
      </c>
      <c r="B38" t="s">
        <v>16</v>
      </c>
      <c r="C38" t="str">
        <f>VLOOKUP(B38, tienda!A:D,4,0)</f>
        <v>P145 Piura - PVH</v>
      </c>
      <c r="D38" t="str">
        <f t="shared" si="0"/>
        <v>P145 Piura - PVHenero</v>
      </c>
      <c r="E38" s="1">
        <v>0.95240000000000002</v>
      </c>
      <c r="F38">
        <v>13.33</v>
      </c>
    </row>
    <row r="39" spans="1:6" x14ac:dyDescent="0.35">
      <c r="A39" t="s">
        <v>6</v>
      </c>
      <c r="B39" t="s">
        <v>16</v>
      </c>
      <c r="C39" t="str">
        <f>VLOOKUP(B39, tienda!A:D,4,0)</f>
        <v>P145 Piura - PVH</v>
      </c>
      <c r="D39" t="str">
        <f t="shared" si="0"/>
        <v>P145 Piura - PVHfebrero</v>
      </c>
      <c r="E39" s="1">
        <v>0.99380000000000002</v>
      </c>
      <c r="F39">
        <v>13.91</v>
      </c>
    </row>
    <row r="40" spans="1:6" x14ac:dyDescent="0.35">
      <c r="A40" t="s">
        <v>7</v>
      </c>
      <c r="B40" t="s">
        <v>16</v>
      </c>
      <c r="C40" t="str">
        <f>VLOOKUP(B40, tienda!A:D,4,0)</f>
        <v>P145 Piura - PVH</v>
      </c>
      <c r="D40" t="str">
        <f t="shared" si="0"/>
        <v>P145 Piura - PVHmarzo</v>
      </c>
      <c r="E40" s="1">
        <v>1.0181</v>
      </c>
      <c r="F40">
        <v>14.25</v>
      </c>
    </row>
    <row r="41" spans="1:6" x14ac:dyDescent="0.35">
      <c r="A41" t="s">
        <v>8</v>
      </c>
      <c r="B41" t="s">
        <v>16</v>
      </c>
      <c r="C41" t="str">
        <f>VLOOKUP(B41, tienda!A:D,4,0)</f>
        <v>P145 Piura - PVH</v>
      </c>
      <c r="D41" t="str">
        <f t="shared" si="0"/>
        <v>P145 Piura - PVHabril</v>
      </c>
      <c r="E41" s="1">
        <v>1.0254000000000001</v>
      </c>
      <c r="F41">
        <v>14.36</v>
      </c>
    </row>
    <row r="42" spans="1:6" x14ac:dyDescent="0.35">
      <c r="A42" t="s">
        <v>9</v>
      </c>
      <c r="B42" t="s">
        <v>16</v>
      </c>
      <c r="C42" t="str">
        <f>VLOOKUP(B42, tienda!A:D,4,0)</f>
        <v>P145 Piura - PVH</v>
      </c>
      <c r="D42" t="str">
        <f t="shared" si="0"/>
        <v>P145 Piura - PVHmayo</v>
      </c>
      <c r="E42" s="1">
        <v>1.0529999999999999</v>
      </c>
      <c r="F42">
        <v>14.74</v>
      </c>
    </row>
    <row r="43" spans="1:6" x14ac:dyDescent="0.35">
      <c r="A43" t="s">
        <v>10</v>
      </c>
      <c r="B43" t="s">
        <v>16</v>
      </c>
      <c r="C43" t="str">
        <f>VLOOKUP(B43, tienda!A:D,4,0)</f>
        <v>P145 Piura - PVH</v>
      </c>
      <c r="D43" t="str">
        <f t="shared" si="0"/>
        <v>P145 Piura - PVHjunio</v>
      </c>
      <c r="E43" s="1">
        <v>1.0767</v>
      </c>
      <c r="F43">
        <v>15.07</v>
      </c>
    </row>
    <row r="44" spans="1:6" x14ac:dyDescent="0.35">
      <c r="A44" t="s">
        <v>4</v>
      </c>
      <c r="B44" t="s">
        <v>17</v>
      </c>
      <c r="C44" t="str">
        <f>VLOOKUP(B44, tienda!A:D,4,0)</f>
        <v>P192 Sullana - PVH</v>
      </c>
      <c r="D44" t="str">
        <f t="shared" si="0"/>
        <v>P192 Sullana - PVHenero</v>
      </c>
      <c r="E44" s="1">
        <v>0.87119999999999997</v>
      </c>
      <c r="F44">
        <v>24.39</v>
      </c>
    </row>
    <row r="45" spans="1:6" x14ac:dyDescent="0.35">
      <c r="A45" t="s">
        <v>6</v>
      </c>
      <c r="B45" t="s">
        <v>17</v>
      </c>
      <c r="C45" t="str">
        <f>VLOOKUP(B45, tienda!A:D,4,0)</f>
        <v>P192 Sullana - PVH</v>
      </c>
      <c r="D45" t="str">
        <f t="shared" si="0"/>
        <v>P192 Sullana - PVHfebrero</v>
      </c>
      <c r="E45" s="1">
        <v>0.96</v>
      </c>
      <c r="F45">
        <v>26.88</v>
      </c>
    </row>
    <row r="46" spans="1:6" x14ac:dyDescent="0.35">
      <c r="A46" t="s">
        <v>7</v>
      </c>
      <c r="B46" t="s">
        <v>17</v>
      </c>
      <c r="C46" t="str">
        <f>VLOOKUP(B46, tienda!A:D,4,0)</f>
        <v>P192 Sullana - PVH</v>
      </c>
      <c r="D46" t="str">
        <f t="shared" si="0"/>
        <v>P192 Sullana - PVHmarzo</v>
      </c>
      <c r="E46" s="1">
        <v>0.85399999999999998</v>
      </c>
      <c r="F46">
        <v>23.91</v>
      </c>
    </row>
    <row r="47" spans="1:6" x14ac:dyDescent="0.35">
      <c r="A47" t="s">
        <v>8</v>
      </c>
      <c r="B47" t="s">
        <v>17</v>
      </c>
      <c r="C47" t="str">
        <f>VLOOKUP(B47, tienda!A:D,4,0)</f>
        <v>P192 Sullana - PVH</v>
      </c>
      <c r="D47" t="str">
        <f t="shared" si="0"/>
        <v>P192 Sullana - PVHabril</v>
      </c>
      <c r="E47" s="1">
        <v>0.83230000000000004</v>
      </c>
      <c r="F47">
        <v>23.3</v>
      </c>
    </row>
    <row r="48" spans="1:6" x14ac:dyDescent="0.35">
      <c r="A48" t="s">
        <v>9</v>
      </c>
      <c r="B48" t="s">
        <v>17</v>
      </c>
      <c r="C48" t="str">
        <f>VLOOKUP(B48, tienda!A:D,4,0)</f>
        <v>P192 Sullana - PVH</v>
      </c>
      <c r="D48" t="str">
        <f t="shared" si="0"/>
        <v>P192 Sullana - PVHmayo</v>
      </c>
      <c r="E48" s="1">
        <v>0.69820000000000004</v>
      </c>
      <c r="F48">
        <v>19.55</v>
      </c>
    </row>
    <row r="49" spans="1:6" x14ac:dyDescent="0.35">
      <c r="A49" t="s">
        <v>10</v>
      </c>
      <c r="B49" t="s">
        <v>17</v>
      </c>
      <c r="C49" t="str">
        <f>VLOOKUP(B49, tienda!A:D,4,0)</f>
        <v>P192 Sullana - PVH</v>
      </c>
      <c r="D49" t="str">
        <f t="shared" si="0"/>
        <v>P192 Sullana - PVHjunio</v>
      </c>
      <c r="E49" s="1">
        <v>0.78290000000000004</v>
      </c>
      <c r="F49">
        <v>21.92</v>
      </c>
    </row>
    <row r="50" spans="1:6" x14ac:dyDescent="0.35">
      <c r="A50" t="s">
        <v>4</v>
      </c>
      <c r="B50" t="s">
        <v>18</v>
      </c>
      <c r="C50" t="str">
        <f>VLOOKUP(B50, tienda!A:D,4,0)</f>
        <v>P177 Talara - PVH</v>
      </c>
      <c r="D50" t="str">
        <f t="shared" si="0"/>
        <v>P177 Talara - PVHenero</v>
      </c>
      <c r="E50" s="1">
        <v>0.87329999999999997</v>
      </c>
      <c r="F50">
        <v>12.23</v>
      </c>
    </row>
    <row r="51" spans="1:6" x14ac:dyDescent="0.35">
      <c r="A51" t="s">
        <v>6</v>
      </c>
      <c r="B51" t="s">
        <v>18</v>
      </c>
      <c r="C51" t="str">
        <f>VLOOKUP(B51, tienda!A:D,4,0)</f>
        <v>P177 Talara - PVH</v>
      </c>
      <c r="D51" t="str">
        <f t="shared" si="0"/>
        <v>P177 Talara - PVHfebrero</v>
      </c>
      <c r="E51" s="1">
        <v>0.88170000000000004</v>
      </c>
      <c r="F51">
        <v>12.34</v>
      </c>
    </row>
    <row r="52" spans="1:6" x14ac:dyDescent="0.35">
      <c r="A52" t="s">
        <v>7</v>
      </c>
      <c r="B52" t="s">
        <v>18</v>
      </c>
      <c r="C52" t="str">
        <f>VLOOKUP(B52, tienda!A:D,4,0)</f>
        <v>P177 Talara - PVH</v>
      </c>
      <c r="D52" t="str">
        <f t="shared" si="0"/>
        <v>P177 Talara - PVHmarzo</v>
      </c>
      <c r="E52" s="1">
        <v>0.89780000000000004</v>
      </c>
      <c r="F52">
        <v>12.57</v>
      </c>
    </row>
    <row r="53" spans="1:6" x14ac:dyDescent="0.35">
      <c r="A53" t="s">
        <v>8</v>
      </c>
      <c r="B53" t="s">
        <v>18</v>
      </c>
      <c r="C53" t="str">
        <f>VLOOKUP(B53, tienda!A:D,4,0)</f>
        <v>P177 Talara - PVH</v>
      </c>
      <c r="D53" t="str">
        <f t="shared" si="0"/>
        <v>P177 Talara - PVHabril</v>
      </c>
      <c r="E53" s="1">
        <v>0.95420000000000005</v>
      </c>
      <c r="F53">
        <v>13.36</v>
      </c>
    </row>
    <row r="54" spans="1:6" x14ac:dyDescent="0.35">
      <c r="A54" t="s">
        <v>9</v>
      </c>
      <c r="B54" t="s">
        <v>18</v>
      </c>
      <c r="C54" t="str">
        <f>VLOOKUP(B54, tienda!A:D,4,0)</f>
        <v>P177 Talara - PVH</v>
      </c>
      <c r="D54" t="str">
        <f t="shared" si="0"/>
        <v>P177 Talara - PVHmayo</v>
      </c>
      <c r="E54" s="1">
        <v>0.86809999999999998</v>
      </c>
      <c r="F54">
        <v>12.15</v>
      </c>
    </row>
    <row r="55" spans="1:6" x14ac:dyDescent="0.35">
      <c r="A55" t="s">
        <v>10</v>
      </c>
      <c r="B55" t="s">
        <v>18</v>
      </c>
      <c r="C55" t="str">
        <f>VLOOKUP(B55, tienda!A:D,4,0)</f>
        <v>P177 Talara - PVH</v>
      </c>
      <c r="D55" t="str">
        <f t="shared" si="0"/>
        <v>P177 Talara - PVHjunio</v>
      </c>
      <c r="E55" s="1">
        <v>0.86929999999999996</v>
      </c>
      <c r="F55">
        <v>12.17</v>
      </c>
    </row>
    <row r="56" spans="1:6" x14ac:dyDescent="0.35">
      <c r="A56" t="s">
        <v>4</v>
      </c>
      <c r="B56" t="s">
        <v>19</v>
      </c>
      <c r="C56" t="str">
        <f>VLOOKUP(B56, tienda!A:D,4,0)</f>
        <v>P262 Talara Municipalidad - PVH</v>
      </c>
      <c r="D56" t="str">
        <f t="shared" si="0"/>
        <v>P262 Talara Municipalidad - PVHenero</v>
      </c>
      <c r="E56" s="1">
        <v>0.99729999999999996</v>
      </c>
      <c r="F56">
        <v>13.96</v>
      </c>
    </row>
    <row r="57" spans="1:6" x14ac:dyDescent="0.35">
      <c r="A57" t="s">
        <v>6</v>
      </c>
      <c r="B57" t="s">
        <v>19</v>
      </c>
      <c r="C57" t="str">
        <f>VLOOKUP(B57, tienda!A:D,4,0)</f>
        <v>P262 Talara Municipalidad - PVH</v>
      </c>
      <c r="D57" t="str">
        <f t="shared" si="0"/>
        <v>P262 Talara Municipalidad - PVHfebrero</v>
      </c>
      <c r="E57" s="1">
        <v>1.0185</v>
      </c>
      <c r="F57">
        <v>14.26</v>
      </c>
    </row>
    <row r="58" spans="1:6" x14ac:dyDescent="0.35">
      <c r="A58" t="s">
        <v>7</v>
      </c>
      <c r="B58" t="s">
        <v>19</v>
      </c>
      <c r="C58" t="str">
        <f>VLOOKUP(B58, tienda!A:D,4,0)</f>
        <v>P262 Talara Municipalidad - PVH</v>
      </c>
      <c r="D58" t="str">
        <f t="shared" si="0"/>
        <v>P262 Talara Municipalidad - PVHmarzo</v>
      </c>
      <c r="E58" s="1">
        <v>1.0303</v>
      </c>
      <c r="F58">
        <v>14.42</v>
      </c>
    </row>
    <row r="59" spans="1:6" x14ac:dyDescent="0.35">
      <c r="A59" t="s">
        <v>8</v>
      </c>
      <c r="B59" t="s">
        <v>19</v>
      </c>
      <c r="C59" t="str">
        <f>VLOOKUP(B59, tienda!A:D,4,0)</f>
        <v>P262 Talara Municipalidad - PVH</v>
      </c>
      <c r="D59" t="str">
        <f t="shared" si="0"/>
        <v>P262 Talara Municipalidad - PVHabril</v>
      </c>
      <c r="E59" s="1">
        <v>1.0073000000000001</v>
      </c>
      <c r="F59">
        <v>14.1</v>
      </c>
    </row>
    <row r="60" spans="1:6" x14ac:dyDescent="0.35">
      <c r="A60" t="s">
        <v>9</v>
      </c>
      <c r="B60" t="s">
        <v>19</v>
      </c>
      <c r="C60" t="str">
        <f>VLOOKUP(B60, tienda!A:D,4,0)</f>
        <v>P262 Talara Municipalidad - PVH</v>
      </c>
      <c r="D60" t="str">
        <f t="shared" si="0"/>
        <v>P262 Talara Municipalidad - PVHmayo</v>
      </c>
      <c r="E60" s="1">
        <v>1.0221</v>
      </c>
      <c r="F60">
        <v>14.31</v>
      </c>
    </row>
    <row r="61" spans="1:6" x14ac:dyDescent="0.35">
      <c r="A61" t="s">
        <v>10</v>
      </c>
      <c r="B61" t="s">
        <v>19</v>
      </c>
      <c r="C61" t="str">
        <f>VLOOKUP(B61, tienda!A:D,4,0)</f>
        <v>P262 Talara Municipalidad - PVH</v>
      </c>
      <c r="D61" t="str">
        <f t="shared" si="0"/>
        <v>P262 Talara Municipalidad - PVHjunio</v>
      </c>
      <c r="E61" s="1">
        <v>1.0371999999999999</v>
      </c>
      <c r="F61">
        <v>14.52</v>
      </c>
    </row>
    <row r="62" spans="1:6" x14ac:dyDescent="0.35">
      <c r="A62" t="s">
        <v>4</v>
      </c>
      <c r="B62" t="s">
        <v>20</v>
      </c>
      <c r="C62" t="str">
        <f>VLOOKUP(B62, tienda!A:D,4,0)</f>
        <v>P724 Tumbes - PVH</v>
      </c>
      <c r="D62" t="str">
        <f t="shared" si="0"/>
        <v>P724 Tumbes - PVHenero</v>
      </c>
      <c r="E62" s="1">
        <v>0.91600000000000004</v>
      </c>
      <c r="F62">
        <v>12.82</v>
      </c>
    </row>
    <row r="63" spans="1:6" x14ac:dyDescent="0.35">
      <c r="A63" t="s">
        <v>6</v>
      </c>
      <c r="B63" t="s">
        <v>20</v>
      </c>
      <c r="C63" t="str">
        <f>VLOOKUP(B63, tienda!A:D,4,0)</f>
        <v>P724 Tumbes - PVH</v>
      </c>
      <c r="D63" t="str">
        <f t="shared" si="0"/>
        <v>P724 Tumbes - PVHfebrero</v>
      </c>
      <c r="E63" s="1">
        <v>0.8881</v>
      </c>
      <c r="F63">
        <v>12.43</v>
      </c>
    </row>
    <row r="64" spans="1:6" x14ac:dyDescent="0.35">
      <c r="A64" t="s">
        <v>7</v>
      </c>
      <c r="B64" t="s">
        <v>20</v>
      </c>
      <c r="C64" t="str">
        <f>VLOOKUP(B64, tienda!A:D,4,0)</f>
        <v>P724 Tumbes - PVH</v>
      </c>
      <c r="D64" t="str">
        <f t="shared" si="0"/>
        <v>P724 Tumbes - PVHmarzo</v>
      </c>
      <c r="E64" s="1">
        <v>0.95489999999999997</v>
      </c>
      <c r="F64">
        <v>13.37</v>
      </c>
    </row>
    <row r="65" spans="1:6" x14ac:dyDescent="0.35">
      <c r="A65" t="s">
        <v>8</v>
      </c>
      <c r="B65" t="s">
        <v>20</v>
      </c>
      <c r="C65" t="str">
        <f>VLOOKUP(B65, tienda!A:D,4,0)</f>
        <v>P724 Tumbes - PVH</v>
      </c>
      <c r="D65" t="str">
        <f t="shared" si="0"/>
        <v>P724 Tumbes - PVHabril</v>
      </c>
      <c r="E65" s="1">
        <v>1.0503</v>
      </c>
      <c r="F65">
        <v>14.7</v>
      </c>
    </row>
    <row r="66" spans="1:6" x14ac:dyDescent="0.35">
      <c r="A66" t="s">
        <v>9</v>
      </c>
      <c r="B66" t="s">
        <v>20</v>
      </c>
      <c r="C66" t="str">
        <f>VLOOKUP(B66, tienda!A:D,4,0)</f>
        <v>P724 Tumbes - PVH</v>
      </c>
      <c r="D66" t="str">
        <f t="shared" si="0"/>
        <v>P724 Tumbes - PVHmayo</v>
      </c>
      <c r="E66" s="1">
        <v>1.0311999999999999</v>
      </c>
      <c r="F66">
        <v>14.44</v>
      </c>
    </row>
    <row r="67" spans="1:6" x14ac:dyDescent="0.35">
      <c r="A67" t="s">
        <v>10</v>
      </c>
      <c r="B67" t="s">
        <v>20</v>
      </c>
      <c r="C67" t="str">
        <f>VLOOKUP(B67, tienda!A:D,4,0)</f>
        <v>P724 Tumbes - PVH</v>
      </c>
      <c r="D67" t="str">
        <f t="shared" ref="D67" si="1">C67&amp;A67</f>
        <v>P724 Tumbes - PVHjunio</v>
      </c>
      <c r="E67" s="1">
        <v>1.0423</v>
      </c>
      <c r="F67">
        <v>14.59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selection activeCell="H8" sqref="H8"/>
    </sheetView>
  </sheetViews>
  <sheetFormatPr baseColWidth="10" defaultRowHeight="14.5" x14ac:dyDescent="0.35"/>
  <sheetData>
    <row r="1" spans="1:8" x14ac:dyDescent="0.35">
      <c r="A1" t="s">
        <v>1</v>
      </c>
      <c r="B1" t="s">
        <v>47</v>
      </c>
      <c r="C1" t="s">
        <v>0</v>
      </c>
      <c r="D1" t="s">
        <v>48</v>
      </c>
      <c r="E1" t="s">
        <v>39</v>
      </c>
      <c r="F1" s="8" t="s">
        <v>40</v>
      </c>
      <c r="G1" t="s">
        <v>41</v>
      </c>
      <c r="H1" t="s">
        <v>42</v>
      </c>
    </row>
    <row r="2" spans="1:8" x14ac:dyDescent="0.35">
      <c r="A2" t="s">
        <v>5</v>
      </c>
      <c r="B2" t="str">
        <f>VLOOKUP(A2, tienda!C:D,2,0)</f>
        <v>P102 Chiclayo - PVH</v>
      </c>
      <c r="C2" t="s">
        <v>4</v>
      </c>
      <c r="D2" t="str">
        <f>B2&amp;C2</f>
        <v>P102 Chiclayo - PVHenero</v>
      </c>
      <c r="E2" s="5">
        <v>1.41</v>
      </c>
      <c r="F2" s="5">
        <v>1.31</v>
      </c>
      <c r="G2" s="5">
        <v>1.38</v>
      </c>
      <c r="H2" s="5">
        <v>1.02</v>
      </c>
    </row>
    <row r="3" spans="1:8" x14ac:dyDescent="0.35">
      <c r="A3" t="s">
        <v>11</v>
      </c>
      <c r="B3" t="str">
        <f>VLOOKUP(A3, tienda!C:D,2,0)</f>
        <v>P769 Chiclayo Aventura - PVH</v>
      </c>
      <c r="C3" t="s">
        <v>4</v>
      </c>
      <c r="D3" t="str">
        <f t="shared" ref="D3:D66" si="0">B3&amp;C3</f>
        <v>P769 Chiclayo Aventura - PVHenero</v>
      </c>
      <c r="E3" s="5">
        <v>0.86</v>
      </c>
      <c r="F3" s="5">
        <v>1.02</v>
      </c>
      <c r="G3" s="5">
        <v>1.1100000000000001</v>
      </c>
      <c r="H3" s="5">
        <v>1.31</v>
      </c>
    </row>
    <row r="4" spans="1:8" x14ac:dyDescent="0.35">
      <c r="A4" t="s">
        <v>12</v>
      </c>
      <c r="B4" t="str">
        <f>VLOOKUP(A4, tienda!C:D,2,0)</f>
        <v>P130 Chimbote - PVH</v>
      </c>
      <c r="C4" t="s">
        <v>4</v>
      </c>
      <c r="D4" t="str">
        <f t="shared" si="0"/>
        <v>P130 Chimbote - PVHenero</v>
      </c>
      <c r="E4" s="5">
        <v>1.37</v>
      </c>
      <c r="F4" s="5">
        <v>1.29</v>
      </c>
      <c r="G4" s="5">
        <v>1.33</v>
      </c>
      <c r="H4" s="5">
        <v>1.04</v>
      </c>
    </row>
    <row r="5" spans="1:8" x14ac:dyDescent="0.35">
      <c r="A5" t="s">
        <v>13</v>
      </c>
      <c r="B5" t="str">
        <f>VLOOKUP(A5, tienda!C:D,2,0)</f>
        <v>P123 El Chacarero - PVH</v>
      </c>
      <c r="C5" t="s">
        <v>4</v>
      </c>
      <c r="D5" t="str">
        <f t="shared" si="0"/>
        <v>P123 El Chacarero - PVHenero</v>
      </c>
      <c r="E5" s="5">
        <v>0.91</v>
      </c>
      <c r="F5" s="5">
        <v>0.9</v>
      </c>
      <c r="G5" s="5">
        <v>1.42</v>
      </c>
      <c r="H5" s="5">
        <v>1.06</v>
      </c>
    </row>
    <row r="6" spans="1:8" x14ac:dyDescent="0.35">
      <c r="A6" t="s">
        <v>14</v>
      </c>
      <c r="B6" t="str">
        <f>VLOOKUP(A6, tienda!C:D,2,0)</f>
        <v>P143 Nvo Chimbote - PVH</v>
      </c>
      <c r="C6" t="s">
        <v>4</v>
      </c>
      <c r="D6" t="str">
        <f t="shared" si="0"/>
        <v>P143 Nvo Chimbote - PVHenero</v>
      </c>
      <c r="E6" s="5">
        <v>0.72</v>
      </c>
      <c r="F6" s="5">
        <v>1.21</v>
      </c>
      <c r="G6" s="5">
        <v>1.46</v>
      </c>
      <c r="H6" s="5">
        <v>1.3</v>
      </c>
    </row>
    <row r="7" spans="1:8" x14ac:dyDescent="0.35">
      <c r="A7" t="s">
        <v>15</v>
      </c>
      <c r="B7" t="str">
        <f>VLOOKUP(A7, tienda!C:D,2,0)</f>
        <v>P226 Paita - PVH</v>
      </c>
      <c r="C7" t="s">
        <v>4</v>
      </c>
      <c r="D7" t="str">
        <f t="shared" si="0"/>
        <v>P226 Paita - PVHenero</v>
      </c>
      <c r="E7" s="5">
        <v>1.22</v>
      </c>
      <c r="F7" s="5">
        <v>1.32</v>
      </c>
      <c r="G7" s="5">
        <v>1.41</v>
      </c>
      <c r="H7" s="5">
        <v>1.1000000000000001</v>
      </c>
    </row>
    <row r="8" spans="1:8" x14ac:dyDescent="0.35">
      <c r="A8" t="s">
        <v>16</v>
      </c>
      <c r="B8" t="str">
        <f>VLOOKUP(A8, tienda!C:D,2,0)</f>
        <v>P145 Piura - PVH</v>
      </c>
      <c r="C8" t="s">
        <v>4</v>
      </c>
      <c r="D8" t="str">
        <f t="shared" si="0"/>
        <v>P145 Piura - PVHenero</v>
      </c>
      <c r="E8" s="5">
        <v>0.92</v>
      </c>
      <c r="F8" s="5">
        <v>0.87</v>
      </c>
      <c r="G8" s="5">
        <v>0.87</v>
      </c>
      <c r="H8" s="5">
        <v>1.1200000000000001</v>
      </c>
    </row>
    <row r="9" spans="1:8" x14ac:dyDescent="0.35">
      <c r="A9" t="s">
        <v>17</v>
      </c>
      <c r="B9" t="str">
        <f>VLOOKUP(A9, tienda!C:D,2,0)</f>
        <v>P192 Sullana - PVH</v>
      </c>
      <c r="C9" t="s">
        <v>4</v>
      </c>
      <c r="D9" t="str">
        <f t="shared" si="0"/>
        <v>P192 Sullana - PVHenero</v>
      </c>
      <c r="E9" s="5">
        <v>1.1299999999999999</v>
      </c>
      <c r="F9" s="5">
        <v>1.1599999999999999</v>
      </c>
      <c r="G9" s="5">
        <v>1.1599999999999999</v>
      </c>
      <c r="H9" s="5">
        <v>1.08</v>
      </c>
    </row>
    <row r="10" spans="1:8" x14ac:dyDescent="0.35">
      <c r="A10" t="s">
        <v>18</v>
      </c>
      <c r="B10" t="str">
        <f>VLOOKUP(A10, tienda!C:D,2,0)</f>
        <v>P177 Talara - PVH</v>
      </c>
      <c r="C10" t="s">
        <v>4</v>
      </c>
      <c r="D10" t="str">
        <f t="shared" si="0"/>
        <v>P177 Talara - PVHenero</v>
      </c>
      <c r="E10" s="5">
        <v>1.26</v>
      </c>
      <c r="F10" s="5">
        <v>1.41</v>
      </c>
      <c r="G10" s="5">
        <v>1.41</v>
      </c>
      <c r="H10" s="5">
        <v>1.21</v>
      </c>
    </row>
    <row r="11" spans="1:8" x14ac:dyDescent="0.35">
      <c r="A11" t="s">
        <v>19</v>
      </c>
      <c r="B11" t="str">
        <f>VLOOKUP(A11, tienda!C:D,2,0)</f>
        <v>P262 Talara Municipalidad - PVH</v>
      </c>
      <c r="C11" t="s">
        <v>4</v>
      </c>
      <c r="D11" t="str">
        <f t="shared" si="0"/>
        <v>P262 Talara Municipalidad - PVHenero</v>
      </c>
      <c r="E11" s="5">
        <v>1.1200000000000001</v>
      </c>
      <c r="F11" s="5">
        <v>1.08</v>
      </c>
      <c r="G11" s="5">
        <v>1.25</v>
      </c>
      <c r="H11" s="5">
        <v>1.1499999999999999</v>
      </c>
    </row>
    <row r="12" spans="1:8" x14ac:dyDescent="0.35">
      <c r="A12" t="s">
        <v>20</v>
      </c>
      <c r="B12" t="str">
        <f>VLOOKUP(A12, tienda!C:D,2,0)</f>
        <v>P724 Tumbes - PVH</v>
      </c>
      <c r="C12" t="s">
        <v>4</v>
      </c>
      <c r="D12" t="str">
        <f t="shared" si="0"/>
        <v>P724 Tumbes - PVHenero</v>
      </c>
      <c r="E12" s="5">
        <v>0.92</v>
      </c>
      <c r="F12" s="5">
        <v>1.21</v>
      </c>
      <c r="G12" s="5">
        <v>1.21</v>
      </c>
      <c r="H12" s="5">
        <v>1.33</v>
      </c>
    </row>
    <row r="13" spans="1:8" x14ac:dyDescent="0.35">
      <c r="A13" t="s">
        <v>5</v>
      </c>
      <c r="B13" t="str">
        <f>VLOOKUP(A13, tienda!C:D,2,0)</f>
        <v>P102 Chiclayo - PVH</v>
      </c>
      <c r="C13" t="s">
        <v>6</v>
      </c>
      <c r="D13" t="str">
        <f t="shared" si="0"/>
        <v>P102 Chiclayo - PVHfebrero</v>
      </c>
      <c r="E13" s="5">
        <v>1.39</v>
      </c>
      <c r="F13" s="5">
        <v>1.2</v>
      </c>
      <c r="G13" s="5">
        <v>1.26</v>
      </c>
      <c r="H13" s="5">
        <v>0.93</v>
      </c>
    </row>
    <row r="14" spans="1:8" x14ac:dyDescent="0.35">
      <c r="A14" t="s">
        <v>11</v>
      </c>
      <c r="B14" t="str">
        <f>VLOOKUP(A14, tienda!C:D,2,0)</f>
        <v>P769 Chiclayo Aventura - PVH</v>
      </c>
      <c r="C14" t="s">
        <v>6</v>
      </c>
      <c r="D14" t="str">
        <f t="shared" si="0"/>
        <v>P769 Chiclayo Aventura - PVHfebrero</v>
      </c>
      <c r="E14" s="5">
        <v>0.86</v>
      </c>
      <c r="F14" s="5">
        <v>0.85</v>
      </c>
      <c r="G14" s="5">
        <v>1.04</v>
      </c>
      <c r="H14" s="5">
        <v>1.1499999999999999</v>
      </c>
    </row>
    <row r="15" spans="1:8" x14ac:dyDescent="0.35">
      <c r="A15" t="s">
        <v>12</v>
      </c>
      <c r="B15" t="str">
        <f>VLOOKUP(A15, tienda!C:D,2,0)</f>
        <v>P130 Chimbote - PVH</v>
      </c>
      <c r="C15" t="s">
        <v>6</v>
      </c>
      <c r="D15" t="str">
        <f t="shared" si="0"/>
        <v>P130 Chimbote - PVHfebrero</v>
      </c>
      <c r="E15" s="5">
        <v>1.21</v>
      </c>
      <c r="F15" s="5">
        <v>1.07</v>
      </c>
      <c r="G15" s="5">
        <v>1.22</v>
      </c>
      <c r="H15" s="5">
        <v>0.97</v>
      </c>
    </row>
    <row r="16" spans="1:8" x14ac:dyDescent="0.35">
      <c r="A16" t="s">
        <v>13</v>
      </c>
      <c r="B16" t="str">
        <f>VLOOKUP(A16, tienda!C:D,2,0)</f>
        <v>P123 El Chacarero - PVH</v>
      </c>
      <c r="C16" t="s">
        <v>6</v>
      </c>
      <c r="D16" t="str">
        <f t="shared" si="0"/>
        <v>P123 El Chacarero - PVHfebrero</v>
      </c>
      <c r="E16" s="5">
        <v>0.92</v>
      </c>
      <c r="F16" s="5">
        <v>0.9</v>
      </c>
      <c r="G16" s="5">
        <v>1.32</v>
      </c>
      <c r="H16" s="5">
        <v>0.96</v>
      </c>
    </row>
    <row r="17" spans="1:8" x14ac:dyDescent="0.35">
      <c r="A17" t="s">
        <v>14</v>
      </c>
      <c r="B17" t="str">
        <f>VLOOKUP(A17, tienda!C:D,2,0)</f>
        <v>P143 Nvo Chimbote - PVH</v>
      </c>
      <c r="C17" t="s">
        <v>6</v>
      </c>
      <c r="D17" t="str">
        <f t="shared" si="0"/>
        <v>P143 Nvo Chimbote - PVHfebrero</v>
      </c>
      <c r="E17" s="5">
        <v>0.84</v>
      </c>
      <c r="F17" s="5">
        <v>1.1200000000000001</v>
      </c>
      <c r="G17" s="5">
        <v>1.41</v>
      </c>
      <c r="H17" s="5">
        <v>1.2</v>
      </c>
    </row>
    <row r="18" spans="1:8" x14ac:dyDescent="0.35">
      <c r="A18" t="s">
        <v>15</v>
      </c>
      <c r="B18" t="str">
        <f>VLOOKUP(A18, tienda!C:D,2,0)</f>
        <v>P226 Paita - PVH</v>
      </c>
      <c r="C18" t="s">
        <v>6</v>
      </c>
      <c r="D18" t="str">
        <f t="shared" si="0"/>
        <v>P226 Paita - PVHfebrero</v>
      </c>
      <c r="E18" s="5">
        <v>1.2</v>
      </c>
      <c r="F18" s="5">
        <v>1.1200000000000001</v>
      </c>
      <c r="G18" s="5">
        <v>1.26</v>
      </c>
      <c r="H18" s="5">
        <v>0.97</v>
      </c>
    </row>
    <row r="19" spans="1:8" x14ac:dyDescent="0.35">
      <c r="A19" t="s">
        <v>16</v>
      </c>
      <c r="B19" t="str">
        <f>VLOOKUP(A19, tienda!C:D,2,0)</f>
        <v>P145 Piura - PVH</v>
      </c>
      <c r="C19" t="s">
        <v>6</v>
      </c>
      <c r="D19" t="str">
        <f t="shared" si="0"/>
        <v>P145 Piura - PVHfebrero</v>
      </c>
      <c r="E19" s="5">
        <v>0.98</v>
      </c>
      <c r="F19" s="5">
        <v>0.84</v>
      </c>
      <c r="G19" s="5">
        <v>0.84</v>
      </c>
      <c r="H19" s="5">
        <v>0.95</v>
      </c>
    </row>
    <row r="20" spans="1:8" x14ac:dyDescent="0.35">
      <c r="A20" t="s">
        <v>17</v>
      </c>
      <c r="B20" t="str">
        <f>VLOOKUP(A20, tienda!C:D,2,0)</f>
        <v>P192 Sullana - PVH</v>
      </c>
      <c r="C20" t="s">
        <v>6</v>
      </c>
      <c r="D20" t="str">
        <f t="shared" si="0"/>
        <v>P192 Sullana - PVHfebrero</v>
      </c>
      <c r="E20" s="5">
        <v>1.21</v>
      </c>
      <c r="F20" s="5">
        <v>1.1299999999999999</v>
      </c>
      <c r="G20" s="5">
        <v>1.1499999999999999</v>
      </c>
      <c r="H20" s="5">
        <v>1</v>
      </c>
    </row>
    <row r="21" spans="1:8" x14ac:dyDescent="0.35">
      <c r="A21" t="s">
        <v>18</v>
      </c>
      <c r="B21" t="str">
        <f>VLOOKUP(A21, tienda!C:D,2,0)</f>
        <v>P177 Talara - PVH</v>
      </c>
      <c r="C21" t="s">
        <v>6</v>
      </c>
      <c r="D21" t="str">
        <f t="shared" si="0"/>
        <v>P177 Talara - PVHfebrero</v>
      </c>
      <c r="E21" s="5">
        <v>1.27</v>
      </c>
      <c r="F21" s="5">
        <v>1.35</v>
      </c>
      <c r="G21" s="5">
        <v>1.38</v>
      </c>
      <c r="H21" s="5">
        <v>1.1100000000000001</v>
      </c>
    </row>
    <row r="22" spans="1:8" x14ac:dyDescent="0.35">
      <c r="A22" t="s">
        <v>19</v>
      </c>
      <c r="B22" t="str">
        <f>VLOOKUP(A22, tienda!C:D,2,0)</f>
        <v>P262 Talara Municipalidad - PVH</v>
      </c>
      <c r="C22" t="s">
        <v>6</v>
      </c>
      <c r="D22" t="str">
        <f t="shared" si="0"/>
        <v>P262 Talara Municipalidad - PVHfebrero</v>
      </c>
      <c r="E22" s="5">
        <v>1.1000000000000001</v>
      </c>
      <c r="F22" s="5">
        <v>1.06</v>
      </c>
      <c r="G22" s="5">
        <v>1.21</v>
      </c>
      <c r="H22" s="5">
        <v>1.02</v>
      </c>
    </row>
    <row r="23" spans="1:8" x14ac:dyDescent="0.35">
      <c r="A23" t="s">
        <v>20</v>
      </c>
      <c r="B23" t="str">
        <f>VLOOKUP(A23, tienda!C:D,2,0)</f>
        <v>P724 Tumbes - PVH</v>
      </c>
      <c r="C23" t="s">
        <v>6</v>
      </c>
      <c r="D23" t="str">
        <f t="shared" si="0"/>
        <v>P724 Tumbes - PVHfebrero</v>
      </c>
      <c r="E23" s="5">
        <v>0.98</v>
      </c>
      <c r="F23" s="5">
        <v>1.1499999999999999</v>
      </c>
      <c r="G23" s="5">
        <v>1.25</v>
      </c>
      <c r="H23" s="5">
        <v>1.27</v>
      </c>
    </row>
    <row r="24" spans="1:8" x14ac:dyDescent="0.35">
      <c r="A24" t="s">
        <v>5</v>
      </c>
      <c r="B24" t="str">
        <f>VLOOKUP(A24, tienda!C:D,2,0)</f>
        <v>P102 Chiclayo - PVH</v>
      </c>
      <c r="C24" t="s">
        <v>7</v>
      </c>
      <c r="D24" t="str">
        <f t="shared" si="0"/>
        <v>P102 Chiclayo - PVHmarzo</v>
      </c>
      <c r="E24" s="5">
        <v>1.21</v>
      </c>
      <c r="F24" s="5">
        <v>1.23</v>
      </c>
      <c r="G24" s="5">
        <v>1.24</v>
      </c>
      <c r="H24" s="5">
        <v>1.01</v>
      </c>
    </row>
    <row r="25" spans="1:8" x14ac:dyDescent="0.35">
      <c r="A25" t="s">
        <v>11</v>
      </c>
      <c r="B25" t="str">
        <f>VLOOKUP(A25, tienda!C:D,2,0)</f>
        <v>P769 Chiclayo Aventura - PVH</v>
      </c>
      <c r="C25" t="s">
        <v>7</v>
      </c>
      <c r="D25" t="str">
        <f t="shared" si="0"/>
        <v>P769 Chiclayo Aventura - PVHmarzo</v>
      </c>
      <c r="E25" s="5">
        <v>0.6</v>
      </c>
      <c r="F25" s="5">
        <v>0.61</v>
      </c>
      <c r="G25" s="5">
        <v>0.89</v>
      </c>
      <c r="H25" s="5">
        <v>0.96</v>
      </c>
    </row>
    <row r="26" spans="1:8" x14ac:dyDescent="0.35">
      <c r="A26" t="s">
        <v>12</v>
      </c>
      <c r="B26" t="str">
        <f>VLOOKUP(A26, tienda!C:D,2,0)</f>
        <v>P130 Chimbote - PVH</v>
      </c>
      <c r="C26" t="s">
        <v>7</v>
      </c>
      <c r="D26" t="str">
        <f t="shared" si="0"/>
        <v>P130 Chimbote - PVHmarzo</v>
      </c>
      <c r="E26" s="5">
        <v>1.19</v>
      </c>
      <c r="F26" s="5">
        <v>1.1100000000000001</v>
      </c>
      <c r="G26" s="5">
        <v>1.22</v>
      </c>
      <c r="H26" s="5">
        <v>0.99</v>
      </c>
    </row>
    <row r="27" spans="1:8" x14ac:dyDescent="0.35">
      <c r="A27" t="s">
        <v>13</v>
      </c>
      <c r="B27" t="str">
        <f>VLOOKUP(A27, tienda!C:D,2,0)</f>
        <v>P123 El Chacarero - PVH</v>
      </c>
      <c r="C27" t="s">
        <v>7</v>
      </c>
      <c r="D27" t="str">
        <f t="shared" si="0"/>
        <v>P123 El Chacarero - PVHmarzo</v>
      </c>
      <c r="E27" s="5">
        <v>0.87</v>
      </c>
      <c r="F27" s="5">
        <v>0.92</v>
      </c>
      <c r="G27" s="5">
        <v>1.29</v>
      </c>
      <c r="H27" s="5">
        <v>1</v>
      </c>
    </row>
    <row r="28" spans="1:8" x14ac:dyDescent="0.35">
      <c r="A28" t="s">
        <v>14</v>
      </c>
      <c r="B28" t="str">
        <f>VLOOKUP(A28, tienda!C:D,2,0)</f>
        <v>P143 Nvo Chimbote - PVH</v>
      </c>
      <c r="C28" t="s">
        <v>7</v>
      </c>
      <c r="D28" t="str">
        <f t="shared" si="0"/>
        <v>P143 Nvo Chimbote - PVHmarzo</v>
      </c>
      <c r="E28" s="5">
        <v>0.86</v>
      </c>
      <c r="F28" s="5">
        <v>1.03</v>
      </c>
      <c r="G28" s="5">
        <v>1.31</v>
      </c>
      <c r="H28" s="5">
        <v>1</v>
      </c>
    </row>
    <row r="29" spans="1:8" x14ac:dyDescent="0.35">
      <c r="A29" t="s">
        <v>15</v>
      </c>
      <c r="B29" t="str">
        <f>VLOOKUP(A29, tienda!C:D,2,0)</f>
        <v>P226 Paita - PVH</v>
      </c>
      <c r="C29" t="s">
        <v>7</v>
      </c>
      <c r="D29" t="str">
        <f t="shared" si="0"/>
        <v>P226 Paita - PVHmarzo</v>
      </c>
      <c r="E29" s="5">
        <v>1.1100000000000001</v>
      </c>
      <c r="F29" s="5">
        <v>1.1499999999999999</v>
      </c>
      <c r="G29" s="5">
        <v>1.17</v>
      </c>
      <c r="H29" s="5">
        <v>0.98</v>
      </c>
    </row>
    <row r="30" spans="1:8" x14ac:dyDescent="0.35">
      <c r="A30" t="s">
        <v>16</v>
      </c>
      <c r="B30" t="str">
        <f>VLOOKUP(A30, tienda!C:D,2,0)</f>
        <v>P145 Piura - PVH</v>
      </c>
      <c r="C30" t="s">
        <v>7</v>
      </c>
      <c r="D30" t="str">
        <f t="shared" si="0"/>
        <v>P145 Piura - PVHmarzo</v>
      </c>
      <c r="E30" s="5">
        <v>1.01</v>
      </c>
      <c r="F30" s="5">
        <v>0.86</v>
      </c>
      <c r="G30" s="5">
        <v>0.86</v>
      </c>
      <c r="H30" s="5">
        <v>0.97</v>
      </c>
    </row>
    <row r="31" spans="1:8" x14ac:dyDescent="0.35">
      <c r="A31" t="s">
        <v>17</v>
      </c>
      <c r="B31" t="str">
        <f>VLOOKUP(A31, tienda!C:D,2,0)</f>
        <v>P192 Sullana - PVH</v>
      </c>
      <c r="C31" t="s">
        <v>7</v>
      </c>
      <c r="D31" t="str">
        <f t="shared" si="0"/>
        <v>P192 Sullana - PVHmarzo</v>
      </c>
      <c r="E31" s="5">
        <v>1.0900000000000001</v>
      </c>
      <c r="F31" s="5">
        <v>1.1200000000000001</v>
      </c>
      <c r="G31" s="5">
        <v>1.1200000000000001</v>
      </c>
      <c r="H31" s="5">
        <v>1</v>
      </c>
    </row>
    <row r="32" spans="1:8" x14ac:dyDescent="0.35">
      <c r="A32" t="s">
        <v>18</v>
      </c>
      <c r="B32" t="str">
        <f>VLOOKUP(A32, tienda!C:D,2,0)</f>
        <v>P177 Talara - PVH</v>
      </c>
      <c r="C32" t="s">
        <v>7</v>
      </c>
      <c r="D32" t="str">
        <f t="shared" si="0"/>
        <v>P177 Talara - PVHmarzo</v>
      </c>
      <c r="E32" s="5">
        <v>1.25</v>
      </c>
      <c r="F32" s="5">
        <v>1.29</v>
      </c>
      <c r="G32" s="5">
        <v>1.29</v>
      </c>
      <c r="H32" s="5">
        <v>1.04</v>
      </c>
    </row>
    <row r="33" spans="1:8" x14ac:dyDescent="0.35">
      <c r="A33" t="s">
        <v>19</v>
      </c>
      <c r="B33" t="str">
        <f>VLOOKUP(A33, tienda!C:D,2,0)</f>
        <v>P262 Talara Municipalidad - PVH</v>
      </c>
      <c r="C33" t="s">
        <v>7</v>
      </c>
      <c r="D33" t="str">
        <f t="shared" si="0"/>
        <v>P262 Talara Municipalidad - PVHmarzo</v>
      </c>
      <c r="E33" s="5">
        <v>1.04</v>
      </c>
      <c r="F33" s="5">
        <v>1.1200000000000001</v>
      </c>
      <c r="G33" s="5">
        <v>1.19</v>
      </c>
      <c r="H33" s="5">
        <v>1.05</v>
      </c>
    </row>
    <row r="34" spans="1:8" x14ac:dyDescent="0.35">
      <c r="A34" t="s">
        <v>20</v>
      </c>
      <c r="B34" t="str">
        <f>VLOOKUP(A34, tienda!C:D,2,0)</f>
        <v>P724 Tumbes - PVH</v>
      </c>
      <c r="C34" t="s">
        <v>7</v>
      </c>
      <c r="D34" t="str">
        <f t="shared" si="0"/>
        <v>P724 Tumbes - PVHmarzo</v>
      </c>
      <c r="E34" s="5">
        <v>1.1200000000000001</v>
      </c>
      <c r="F34" s="5">
        <v>1.22</v>
      </c>
      <c r="G34" s="5">
        <v>1.22</v>
      </c>
      <c r="H34" s="5">
        <v>1.07</v>
      </c>
    </row>
    <row r="35" spans="1:8" x14ac:dyDescent="0.35">
      <c r="A35" t="s">
        <v>5</v>
      </c>
      <c r="B35" t="str">
        <f>VLOOKUP(A35, tienda!C:D,2,0)</f>
        <v>P102 Chiclayo - PVH</v>
      </c>
      <c r="C35" t="s">
        <v>8</v>
      </c>
      <c r="D35" t="str">
        <f t="shared" si="0"/>
        <v>P102 Chiclayo - PVHabril</v>
      </c>
      <c r="E35" s="5">
        <v>1.18</v>
      </c>
      <c r="F35" s="5">
        <v>1.1100000000000001</v>
      </c>
      <c r="G35" s="5">
        <v>1.1299999999999999</v>
      </c>
      <c r="H35" s="5">
        <v>0.97</v>
      </c>
    </row>
    <row r="36" spans="1:8" x14ac:dyDescent="0.35">
      <c r="A36" t="s">
        <v>11</v>
      </c>
      <c r="B36" t="str">
        <f>VLOOKUP(A36, tienda!C:D,2,0)</f>
        <v>P769 Chiclayo Aventura - PVH</v>
      </c>
      <c r="C36" t="s">
        <v>8</v>
      </c>
      <c r="D36" t="str">
        <f t="shared" si="0"/>
        <v>P769 Chiclayo Aventura - PVHabril</v>
      </c>
      <c r="E36" s="5">
        <v>0.49</v>
      </c>
      <c r="F36" s="5">
        <v>0.5</v>
      </c>
      <c r="G36" s="5">
        <v>0.76</v>
      </c>
      <c r="H36" s="5">
        <v>0.98</v>
      </c>
    </row>
    <row r="37" spans="1:8" x14ac:dyDescent="0.35">
      <c r="A37" t="s">
        <v>12</v>
      </c>
      <c r="B37" t="str">
        <f>VLOOKUP(A37, tienda!C:D,2,0)</f>
        <v>P130 Chimbote - PVH</v>
      </c>
      <c r="C37" t="s">
        <v>8</v>
      </c>
      <c r="D37" t="str">
        <f t="shared" si="0"/>
        <v>P130 Chimbote - PVHabril</v>
      </c>
      <c r="E37" s="5">
        <v>1.1599999999999999</v>
      </c>
      <c r="F37" s="5">
        <v>1.1499999999999999</v>
      </c>
      <c r="G37" s="5">
        <v>1.1499999999999999</v>
      </c>
      <c r="H37" s="5">
        <v>1</v>
      </c>
    </row>
    <row r="38" spans="1:8" x14ac:dyDescent="0.35">
      <c r="A38" t="s">
        <v>13</v>
      </c>
      <c r="B38" t="str">
        <f>VLOOKUP(A38, tienda!C:D,2,0)</f>
        <v>P123 El Chacarero - PVH</v>
      </c>
      <c r="C38" t="s">
        <v>8</v>
      </c>
      <c r="D38" t="str">
        <f t="shared" si="0"/>
        <v>P123 El Chacarero - PVHabril</v>
      </c>
      <c r="E38" s="5">
        <v>0.81</v>
      </c>
      <c r="F38" s="5">
        <v>0.96</v>
      </c>
      <c r="G38" s="5">
        <v>1.2</v>
      </c>
      <c r="H38" s="5">
        <v>0.98</v>
      </c>
    </row>
    <row r="39" spans="1:8" x14ac:dyDescent="0.35">
      <c r="A39" t="s">
        <v>14</v>
      </c>
      <c r="B39" t="str">
        <f>VLOOKUP(A39, tienda!C:D,2,0)</f>
        <v>P143 Nvo Chimbote - PVH</v>
      </c>
      <c r="C39" t="s">
        <v>8</v>
      </c>
      <c r="D39" t="str">
        <f t="shared" si="0"/>
        <v>P143 Nvo Chimbote - PVHabril</v>
      </c>
      <c r="E39" s="5">
        <v>0.83</v>
      </c>
      <c r="F39" s="5">
        <v>0.89</v>
      </c>
      <c r="G39" s="5">
        <v>1.2</v>
      </c>
      <c r="H39" s="5">
        <v>0.97</v>
      </c>
    </row>
    <row r="40" spans="1:8" x14ac:dyDescent="0.35">
      <c r="A40" t="s">
        <v>15</v>
      </c>
      <c r="B40" t="str">
        <f>VLOOKUP(A40, tienda!C:D,2,0)</f>
        <v>P226 Paita - PVH</v>
      </c>
      <c r="C40" t="s">
        <v>8</v>
      </c>
      <c r="D40" t="str">
        <f t="shared" si="0"/>
        <v>P226 Paita - PVHabril</v>
      </c>
      <c r="E40" s="5">
        <v>1.03</v>
      </c>
      <c r="F40" s="5">
        <v>1.06</v>
      </c>
      <c r="G40" s="5">
        <v>1.06</v>
      </c>
      <c r="H40" s="5">
        <v>0.99</v>
      </c>
    </row>
    <row r="41" spans="1:8" x14ac:dyDescent="0.35">
      <c r="A41" t="s">
        <v>16</v>
      </c>
      <c r="B41" t="str">
        <f>VLOOKUP(A41, tienda!C:D,2,0)</f>
        <v>P145 Piura - PVH</v>
      </c>
      <c r="C41" t="s">
        <v>8</v>
      </c>
      <c r="D41" t="str">
        <f t="shared" si="0"/>
        <v>P145 Piura - PVHabril</v>
      </c>
      <c r="E41" s="5">
        <v>0.94</v>
      </c>
      <c r="F41" s="5">
        <v>0.75</v>
      </c>
      <c r="G41" s="5">
        <v>0.75</v>
      </c>
      <c r="H41" s="5">
        <v>0.96</v>
      </c>
    </row>
    <row r="42" spans="1:8" x14ac:dyDescent="0.35">
      <c r="A42" t="s">
        <v>17</v>
      </c>
      <c r="B42" t="str">
        <f>VLOOKUP(A42, tienda!C:D,2,0)</f>
        <v>P192 Sullana - PVH</v>
      </c>
      <c r="C42" t="s">
        <v>8</v>
      </c>
      <c r="D42" t="str">
        <f t="shared" si="0"/>
        <v>P192 Sullana - PVHabril</v>
      </c>
      <c r="E42" s="5">
        <v>1.08</v>
      </c>
      <c r="F42" s="5">
        <v>1.05</v>
      </c>
      <c r="G42" s="5">
        <v>1.05</v>
      </c>
      <c r="H42" s="5">
        <v>1.02</v>
      </c>
    </row>
    <row r="43" spans="1:8" x14ac:dyDescent="0.35">
      <c r="A43" t="s">
        <v>18</v>
      </c>
      <c r="B43" t="str">
        <f>VLOOKUP(A43, tienda!C:D,2,0)</f>
        <v>P177 Talara - PVH</v>
      </c>
      <c r="C43" t="s">
        <v>8</v>
      </c>
      <c r="D43" t="str">
        <f t="shared" si="0"/>
        <v>P177 Talara - PVHabril</v>
      </c>
      <c r="E43" s="5">
        <v>1.1599999999999999</v>
      </c>
      <c r="F43" s="5">
        <v>1.2</v>
      </c>
      <c r="G43" s="5">
        <v>1.2</v>
      </c>
      <c r="H43" s="5">
        <v>1.05</v>
      </c>
    </row>
    <row r="44" spans="1:8" x14ac:dyDescent="0.35">
      <c r="A44" t="s">
        <v>19</v>
      </c>
      <c r="B44" t="str">
        <f>VLOOKUP(A44, tienda!C:D,2,0)</f>
        <v>P262 Talara Municipalidad - PVH</v>
      </c>
      <c r="C44" t="s">
        <v>8</v>
      </c>
      <c r="D44" t="str">
        <f t="shared" si="0"/>
        <v>P262 Talara Municipalidad - PVHabril</v>
      </c>
      <c r="E44" s="5">
        <v>1.01</v>
      </c>
      <c r="F44" s="5">
        <v>1.05</v>
      </c>
      <c r="G44" s="5">
        <v>1.07</v>
      </c>
      <c r="H44" s="5">
        <v>1.01</v>
      </c>
    </row>
    <row r="45" spans="1:8" x14ac:dyDescent="0.35">
      <c r="A45" t="s">
        <v>20</v>
      </c>
      <c r="B45" t="str">
        <f>VLOOKUP(A45, tienda!C:D,2,0)</f>
        <v>P724 Tumbes - PVH</v>
      </c>
      <c r="C45" t="s">
        <v>8</v>
      </c>
      <c r="D45" t="str">
        <f t="shared" si="0"/>
        <v>P724 Tumbes - PVHabril</v>
      </c>
      <c r="E45" s="5">
        <v>0.81</v>
      </c>
      <c r="F45" s="5">
        <v>0.78</v>
      </c>
      <c r="G45" s="5">
        <v>0.85</v>
      </c>
      <c r="H45" s="5">
        <v>0.96</v>
      </c>
    </row>
    <row r="46" spans="1:8" x14ac:dyDescent="0.35">
      <c r="A46" t="s">
        <v>5</v>
      </c>
      <c r="B46" t="str">
        <f>VLOOKUP(A46, tienda!C:D,2,0)</f>
        <v>P102 Chiclayo - PVH</v>
      </c>
      <c r="C46" t="s">
        <v>9</v>
      </c>
      <c r="D46" t="str">
        <f t="shared" si="0"/>
        <v>P102 Chiclayo - PVHmayo</v>
      </c>
      <c r="E46" s="5">
        <v>1.1200000000000001</v>
      </c>
      <c r="F46" s="5">
        <v>1.1299999999999999</v>
      </c>
      <c r="G46" s="5">
        <v>1.17</v>
      </c>
      <c r="H46" s="5">
        <v>1.03</v>
      </c>
    </row>
    <row r="47" spans="1:8" x14ac:dyDescent="0.35">
      <c r="A47" t="s">
        <v>11</v>
      </c>
      <c r="B47" t="str">
        <f>VLOOKUP(A47, tienda!C:D,2,0)</f>
        <v>P769 Chiclayo Aventura - PVH</v>
      </c>
      <c r="C47" t="s">
        <v>9</v>
      </c>
      <c r="D47" t="str">
        <f t="shared" si="0"/>
        <v>P769 Chiclayo Aventura - PVHmayo</v>
      </c>
      <c r="E47" s="5">
        <v>0.46</v>
      </c>
      <c r="F47" s="5">
        <v>0.54</v>
      </c>
      <c r="G47" s="5">
        <v>0.79</v>
      </c>
      <c r="H47" s="5">
        <v>1.06</v>
      </c>
    </row>
    <row r="48" spans="1:8" x14ac:dyDescent="0.35">
      <c r="A48" t="s">
        <v>12</v>
      </c>
      <c r="B48" t="str">
        <f>VLOOKUP(A48, tienda!C:D,2,0)</f>
        <v>P130 Chimbote - PVH</v>
      </c>
      <c r="C48" t="s">
        <v>9</v>
      </c>
      <c r="D48" t="str">
        <f t="shared" si="0"/>
        <v>P130 Chimbote - PVHmayo</v>
      </c>
      <c r="E48" s="5">
        <v>1.27</v>
      </c>
      <c r="F48" s="5">
        <v>1.3</v>
      </c>
      <c r="G48" s="5">
        <v>1.3</v>
      </c>
      <c r="H48" s="5">
        <v>1.05</v>
      </c>
    </row>
    <row r="49" spans="1:8" x14ac:dyDescent="0.35">
      <c r="A49" t="s">
        <v>13</v>
      </c>
      <c r="B49" t="str">
        <f>VLOOKUP(A49, tienda!C:D,2,0)</f>
        <v>P123 El Chacarero - PVH</v>
      </c>
      <c r="C49" t="s">
        <v>9</v>
      </c>
      <c r="D49" t="str">
        <f t="shared" si="0"/>
        <v>P123 El Chacarero - PVHmayo</v>
      </c>
      <c r="E49" s="5">
        <v>1.06</v>
      </c>
      <c r="F49" s="5">
        <v>1.18</v>
      </c>
      <c r="G49" s="5">
        <v>1.27</v>
      </c>
      <c r="H49" s="5">
        <v>1.05</v>
      </c>
    </row>
    <row r="50" spans="1:8" x14ac:dyDescent="0.35">
      <c r="A50" t="s">
        <v>14</v>
      </c>
      <c r="B50" t="str">
        <f>VLOOKUP(A50, tienda!C:D,2,0)</f>
        <v>P143 Nvo Chimbote - PVH</v>
      </c>
      <c r="C50" t="s">
        <v>9</v>
      </c>
      <c r="D50" t="str">
        <f t="shared" si="0"/>
        <v>P143 Nvo Chimbote - PVHmayo</v>
      </c>
      <c r="E50" s="5">
        <v>0.74</v>
      </c>
      <c r="F50" s="5">
        <v>0.9</v>
      </c>
      <c r="G50" s="5">
        <v>1.19</v>
      </c>
      <c r="H50" s="5">
        <v>1.04</v>
      </c>
    </row>
    <row r="51" spans="1:8" x14ac:dyDescent="0.35">
      <c r="A51" t="s">
        <v>15</v>
      </c>
      <c r="B51" t="str">
        <f>VLOOKUP(A51, tienda!C:D,2,0)</f>
        <v>P226 Paita - PVH</v>
      </c>
      <c r="C51" t="s">
        <v>9</v>
      </c>
      <c r="D51" t="str">
        <f t="shared" si="0"/>
        <v>P226 Paita - PVHmayo</v>
      </c>
      <c r="E51" s="5">
        <v>1.01</v>
      </c>
      <c r="F51" s="5">
        <v>1.1499999999999999</v>
      </c>
      <c r="G51" s="5">
        <v>1.1499999999999999</v>
      </c>
      <c r="H51" s="5">
        <v>1.08</v>
      </c>
    </row>
    <row r="52" spans="1:8" x14ac:dyDescent="0.35">
      <c r="A52" t="s">
        <v>16</v>
      </c>
      <c r="B52" t="str">
        <f>VLOOKUP(A52, tienda!C:D,2,0)</f>
        <v>P145 Piura - PVH</v>
      </c>
      <c r="C52" t="s">
        <v>9</v>
      </c>
      <c r="D52" t="str">
        <f t="shared" si="0"/>
        <v>P145 Piura - PVHmayo</v>
      </c>
      <c r="E52" s="5">
        <v>0.85</v>
      </c>
      <c r="F52" s="5">
        <v>0.81</v>
      </c>
      <c r="G52" s="5">
        <v>0.81</v>
      </c>
      <c r="H52" s="5">
        <v>1.04</v>
      </c>
    </row>
    <row r="53" spans="1:8" x14ac:dyDescent="0.35">
      <c r="A53" t="s">
        <v>17</v>
      </c>
      <c r="B53" t="str">
        <f>VLOOKUP(A53, tienda!C:D,2,0)</f>
        <v>P192 Sullana - PVH</v>
      </c>
      <c r="C53" t="s">
        <v>9</v>
      </c>
      <c r="D53" t="str">
        <f t="shared" si="0"/>
        <v>P192 Sullana - PVHmayo</v>
      </c>
      <c r="E53" s="5">
        <v>1.1200000000000001</v>
      </c>
      <c r="F53" s="5">
        <v>1.1499999999999999</v>
      </c>
      <c r="G53" s="5">
        <v>1.1499999999999999</v>
      </c>
      <c r="H53" s="5">
        <v>1.08</v>
      </c>
    </row>
    <row r="54" spans="1:8" x14ac:dyDescent="0.35">
      <c r="A54" t="s">
        <v>18</v>
      </c>
      <c r="B54" t="str">
        <f>VLOOKUP(A54, tienda!C:D,2,0)</f>
        <v>P177 Talara - PVH</v>
      </c>
      <c r="C54" t="s">
        <v>9</v>
      </c>
      <c r="D54" t="str">
        <f t="shared" si="0"/>
        <v>P177 Talara - PVHmayo</v>
      </c>
      <c r="E54" s="5">
        <v>1.1299999999999999</v>
      </c>
      <c r="F54" s="5">
        <v>1.26</v>
      </c>
      <c r="G54" s="5">
        <v>1.26</v>
      </c>
      <c r="H54" s="5">
        <v>1.1499999999999999</v>
      </c>
    </row>
    <row r="55" spans="1:8" x14ac:dyDescent="0.35">
      <c r="A55" t="s">
        <v>19</v>
      </c>
      <c r="B55" t="str">
        <f>VLOOKUP(A55, tienda!C:D,2,0)</f>
        <v>P262 Talara Municipalidad - PVH</v>
      </c>
      <c r="C55" t="s">
        <v>9</v>
      </c>
      <c r="D55" t="str">
        <f t="shared" si="0"/>
        <v>P262 Talara Municipalidad - PVHmayo</v>
      </c>
      <c r="E55" s="5">
        <v>0.97</v>
      </c>
      <c r="F55" s="5">
        <v>1.01</v>
      </c>
      <c r="G55" s="5">
        <v>1.0900000000000001</v>
      </c>
      <c r="H55" s="5">
        <v>1.01</v>
      </c>
    </row>
    <row r="56" spans="1:8" x14ac:dyDescent="0.35">
      <c r="A56" t="s">
        <v>20</v>
      </c>
      <c r="B56" t="str">
        <f>VLOOKUP(A56, tienda!C:D,2,0)</f>
        <v>P724 Tumbes - PVH</v>
      </c>
      <c r="C56" t="s">
        <v>9</v>
      </c>
      <c r="D56" t="str">
        <f t="shared" si="0"/>
        <v>P724 Tumbes - PVHmayo</v>
      </c>
      <c r="E56" s="5">
        <v>0.89</v>
      </c>
      <c r="F56" s="5">
        <v>0.9</v>
      </c>
      <c r="G56" s="5">
        <v>0.9</v>
      </c>
      <c r="H56" s="5">
        <v>1.08</v>
      </c>
    </row>
    <row r="57" spans="1:8" x14ac:dyDescent="0.35">
      <c r="A57" t="s">
        <v>5</v>
      </c>
      <c r="B57" t="str">
        <f>VLOOKUP(A57, tienda!C:D,2,0)</f>
        <v>P102 Chiclayo - PVH</v>
      </c>
      <c r="C57" t="s">
        <v>10</v>
      </c>
      <c r="D57" t="str">
        <f t="shared" si="0"/>
        <v>P102 Chiclayo - PVHjunio</v>
      </c>
      <c r="E57" s="5">
        <v>1.1499999999999999</v>
      </c>
      <c r="F57" s="5">
        <v>1.1499999999999999</v>
      </c>
      <c r="G57" s="5">
        <v>1.18</v>
      </c>
      <c r="H57" s="5">
        <v>1.04</v>
      </c>
    </row>
    <row r="58" spans="1:8" x14ac:dyDescent="0.35">
      <c r="A58" t="s">
        <v>11</v>
      </c>
      <c r="B58" t="str">
        <f>VLOOKUP(A58, tienda!C:D,2,0)</f>
        <v>P769 Chiclayo Aventura - PVH</v>
      </c>
      <c r="C58" t="s">
        <v>10</v>
      </c>
      <c r="D58" t="str">
        <f t="shared" si="0"/>
        <v>P769 Chiclayo Aventura - PVHjunio</v>
      </c>
      <c r="E58" s="5">
        <v>0.48</v>
      </c>
      <c r="F58" s="5">
        <v>0.54</v>
      </c>
      <c r="G58" s="5">
        <v>0.77</v>
      </c>
      <c r="H58" s="5">
        <v>1.1100000000000001</v>
      </c>
    </row>
    <row r="59" spans="1:8" x14ac:dyDescent="0.35">
      <c r="A59" t="s">
        <v>12</v>
      </c>
      <c r="B59" t="str">
        <f>VLOOKUP(A59, tienda!C:D,2,0)</f>
        <v>P130 Chimbote - PVH</v>
      </c>
      <c r="C59" t="s">
        <v>10</v>
      </c>
      <c r="D59" t="str">
        <f t="shared" si="0"/>
        <v>P130 Chimbote - PVHjunio</v>
      </c>
      <c r="E59" s="5">
        <v>1.31</v>
      </c>
      <c r="F59" s="5">
        <v>1.29</v>
      </c>
      <c r="G59" s="5">
        <v>1.29</v>
      </c>
      <c r="H59" s="5">
        <v>1.06</v>
      </c>
    </row>
    <row r="60" spans="1:8" x14ac:dyDescent="0.35">
      <c r="A60" t="s">
        <v>13</v>
      </c>
      <c r="B60" t="str">
        <f>VLOOKUP(A60, tienda!C:D,2,0)</f>
        <v>P123 El Chacarero - PVH</v>
      </c>
      <c r="C60" t="s">
        <v>10</v>
      </c>
      <c r="D60" t="str">
        <f t="shared" si="0"/>
        <v>P123 El Chacarero - PVHjunio</v>
      </c>
      <c r="E60" s="5">
        <v>1.1499999999999999</v>
      </c>
      <c r="F60" s="5">
        <v>1.22</v>
      </c>
      <c r="G60" s="5">
        <v>1.22</v>
      </c>
      <c r="H60" s="5">
        <v>1.03</v>
      </c>
    </row>
    <row r="61" spans="1:8" x14ac:dyDescent="0.35">
      <c r="A61" t="s">
        <v>14</v>
      </c>
      <c r="B61" t="str">
        <f>VLOOKUP(A61, tienda!C:D,2,0)</f>
        <v>P143 Nvo Chimbote - PVH</v>
      </c>
      <c r="C61" t="s">
        <v>10</v>
      </c>
      <c r="D61" t="str">
        <f t="shared" si="0"/>
        <v>P143 Nvo Chimbote - PVHjunio</v>
      </c>
      <c r="E61" s="5">
        <v>0.61</v>
      </c>
      <c r="F61" s="5">
        <v>0.7</v>
      </c>
      <c r="G61" s="5">
        <v>1.1499999999999999</v>
      </c>
      <c r="H61" s="5">
        <v>1.03</v>
      </c>
    </row>
    <row r="62" spans="1:8" x14ac:dyDescent="0.35">
      <c r="A62" t="s">
        <v>15</v>
      </c>
      <c r="B62" t="str">
        <f>VLOOKUP(A62, tienda!C:D,2,0)</f>
        <v>P226 Paita - PVH</v>
      </c>
      <c r="C62" t="s">
        <v>10</v>
      </c>
      <c r="D62" t="str">
        <f t="shared" si="0"/>
        <v>P226 Paita - PVHjunio</v>
      </c>
      <c r="E62" s="5">
        <v>1.08</v>
      </c>
      <c r="F62" s="5">
        <v>1.2</v>
      </c>
      <c r="G62" s="5">
        <v>1.2</v>
      </c>
      <c r="H62" s="5">
        <v>1.1100000000000001</v>
      </c>
    </row>
    <row r="63" spans="1:8" x14ac:dyDescent="0.35">
      <c r="A63" t="s">
        <v>16</v>
      </c>
      <c r="B63" t="str">
        <f>VLOOKUP(A63, tienda!C:D,2,0)</f>
        <v>P145 Piura - PVH</v>
      </c>
      <c r="C63" t="s">
        <v>10</v>
      </c>
      <c r="D63" t="str">
        <f t="shared" si="0"/>
        <v>P145 Piura - PVHjunio</v>
      </c>
      <c r="E63" s="5">
        <v>0.97</v>
      </c>
      <c r="F63" s="5">
        <v>0.83</v>
      </c>
      <c r="G63" s="5">
        <v>0.83</v>
      </c>
      <c r="H63" s="5">
        <v>1.08</v>
      </c>
    </row>
    <row r="64" spans="1:8" x14ac:dyDescent="0.35">
      <c r="A64" t="s">
        <v>17</v>
      </c>
      <c r="B64" t="str">
        <f>VLOOKUP(A64, tienda!C:D,2,0)</f>
        <v>P192 Sullana - PVH</v>
      </c>
      <c r="C64" t="s">
        <v>10</v>
      </c>
      <c r="D64" t="str">
        <f t="shared" si="0"/>
        <v>P192 Sullana - PVHjunio</v>
      </c>
      <c r="E64" s="5">
        <v>1.34</v>
      </c>
      <c r="F64" s="5">
        <v>1.3</v>
      </c>
      <c r="G64" s="5">
        <v>1.3</v>
      </c>
      <c r="H64" s="5">
        <v>1.1100000000000001</v>
      </c>
    </row>
    <row r="65" spans="1:8" x14ac:dyDescent="0.35">
      <c r="A65" t="s">
        <v>18</v>
      </c>
      <c r="B65" t="str">
        <f>VLOOKUP(A65, tienda!C:D,2,0)</f>
        <v>P177 Talara - PVH</v>
      </c>
      <c r="C65" t="s">
        <v>10</v>
      </c>
      <c r="D65" t="str">
        <f t="shared" si="0"/>
        <v>P177 Talara - PVHjunio</v>
      </c>
      <c r="E65" s="5">
        <v>1.2</v>
      </c>
      <c r="F65" s="5">
        <v>1.51</v>
      </c>
      <c r="G65" s="5">
        <v>1.51</v>
      </c>
      <c r="H65" s="5">
        <v>1.39</v>
      </c>
    </row>
    <row r="66" spans="1:8" x14ac:dyDescent="0.35">
      <c r="A66" t="s">
        <v>19</v>
      </c>
      <c r="B66" t="str">
        <f>VLOOKUP(A66, tienda!C:D,2,0)</f>
        <v>P262 Talara Municipalidad - PVH</v>
      </c>
      <c r="C66" t="s">
        <v>10</v>
      </c>
      <c r="D66" t="str">
        <f t="shared" si="0"/>
        <v>P262 Talara Municipalidad - PVHjunio</v>
      </c>
      <c r="E66" s="5">
        <v>1</v>
      </c>
      <c r="F66" s="5">
        <v>1.06</v>
      </c>
      <c r="G66" s="5">
        <v>1.1000000000000001</v>
      </c>
      <c r="H66" s="5">
        <v>1.04</v>
      </c>
    </row>
    <row r="67" spans="1:8" x14ac:dyDescent="0.35">
      <c r="A67" t="s">
        <v>20</v>
      </c>
      <c r="B67" t="str">
        <f>VLOOKUP(A67, tienda!C:D,2,0)</f>
        <v>P724 Tumbes - PVH</v>
      </c>
      <c r="C67" t="s">
        <v>10</v>
      </c>
      <c r="D67" t="str">
        <f t="shared" ref="D67" si="1">B67&amp;C67</f>
        <v>P724 Tumbes - PVHjunio</v>
      </c>
      <c r="E67" s="5">
        <v>0.67</v>
      </c>
      <c r="F67" s="5">
        <v>0.92</v>
      </c>
      <c r="G67" s="5">
        <v>0.98</v>
      </c>
      <c r="H67" s="5">
        <v>1.18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16" sqref="F16"/>
    </sheetView>
  </sheetViews>
  <sheetFormatPr baseColWidth="10" defaultRowHeight="14.5" x14ac:dyDescent="0.35"/>
  <cols>
    <col min="1" max="1" width="23.36328125" bestFit="1" customWidth="1"/>
    <col min="2" max="2" width="27.90625" bestFit="1" customWidth="1"/>
  </cols>
  <sheetData>
    <row r="1" spans="1:4" x14ac:dyDescent="0.35">
      <c r="A1" t="s">
        <v>43</v>
      </c>
      <c r="B1" t="s">
        <v>44</v>
      </c>
      <c r="C1" s="2" t="s">
        <v>45</v>
      </c>
      <c r="D1" s="6" t="s">
        <v>46</v>
      </c>
    </row>
    <row r="2" spans="1:4" x14ac:dyDescent="0.35">
      <c r="A2" t="s">
        <v>5</v>
      </c>
      <c r="B2" s="3" t="s">
        <v>32</v>
      </c>
      <c r="C2" t="s">
        <v>5</v>
      </c>
      <c r="D2" s="3" t="s">
        <v>32</v>
      </c>
    </row>
    <row r="3" spans="1:4" x14ac:dyDescent="0.35">
      <c r="A3" t="s">
        <v>11</v>
      </c>
      <c r="B3" s="3" t="s">
        <v>31</v>
      </c>
      <c r="C3" t="s">
        <v>11</v>
      </c>
      <c r="D3" s="3" t="s">
        <v>31</v>
      </c>
    </row>
    <row r="4" spans="1:4" x14ac:dyDescent="0.35">
      <c r="A4" t="s">
        <v>12</v>
      </c>
      <c r="B4" s="3" t="s">
        <v>34</v>
      </c>
      <c r="C4" t="s">
        <v>12</v>
      </c>
      <c r="D4" s="3" t="s">
        <v>34</v>
      </c>
    </row>
    <row r="5" spans="1:4" x14ac:dyDescent="0.35">
      <c r="A5" t="s">
        <v>13</v>
      </c>
      <c r="B5" s="3" t="s">
        <v>36</v>
      </c>
      <c r="C5" t="s">
        <v>13</v>
      </c>
      <c r="D5" s="3" t="s">
        <v>36</v>
      </c>
    </row>
    <row r="6" spans="1:4" x14ac:dyDescent="0.35">
      <c r="A6" t="s">
        <v>14</v>
      </c>
      <c r="B6" s="3" t="s">
        <v>29</v>
      </c>
      <c r="C6" t="s">
        <v>14</v>
      </c>
      <c r="D6" s="3" t="s">
        <v>29</v>
      </c>
    </row>
    <row r="7" spans="1:4" x14ac:dyDescent="0.35">
      <c r="A7" t="s">
        <v>15</v>
      </c>
      <c r="B7" s="3" t="s">
        <v>28</v>
      </c>
      <c r="C7" t="s">
        <v>15</v>
      </c>
      <c r="D7" s="3" t="s">
        <v>28</v>
      </c>
    </row>
    <row r="8" spans="1:4" x14ac:dyDescent="0.35">
      <c r="A8" t="s">
        <v>16</v>
      </c>
      <c r="B8" s="3" t="s">
        <v>35</v>
      </c>
      <c r="C8" t="s">
        <v>16</v>
      </c>
      <c r="D8" s="3" t="s">
        <v>35</v>
      </c>
    </row>
    <row r="9" spans="1:4" x14ac:dyDescent="0.35">
      <c r="A9" t="s">
        <v>17</v>
      </c>
      <c r="B9" s="3" t="s">
        <v>37</v>
      </c>
      <c r="C9" t="s">
        <v>17</v>
      </c>
      <c r="D9" s="3" t="s">
        <v>37</v>
      </c>
    </row>
    <row r="10" spans="1:4" x14ac:dyDescent="0.35">
      <c r="A10" t="s">
        <v>18</v>
      </c>
      <c r="B10" s="3" t="s">
        <v>38</v>
      </c>
      <c r="C10" t="s">
        <v>18</v>
      </c>
      <c r="D10" s="3" t="s">
        <v>38</v>
      </c>
    </row>
    <row r="11" spans="1:4" x14ac:dyDescent="0.35">
      <c r="A11" t="s">
        <v>19</v>
      </c>
      <c r="B11" s="3" t="s">
        <v>30</v>
      </c>
      <c r="C11" t="s">
        <v>19</v>
      </c>
      <c r="D11" s="3" t="s">
        <v>30</v>
      </c>
    </row>
    <row r="12" spans="1:4" x14ac:dyDescent="0.35">
      <c r="A12" t="s">
        <v>20</v>
      </c>
      <c r="B12" s="3" t="s">
        <v>33</v>
      </c>
      <c r="C12" t="s">
        <v>20</v>
      </c>
      <c r="D12" s="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1:I67"/>
  <sheetViews>
    <sheetView showGridLines="0" tabSelected="1" topLeftCell="A26" workbookViewId="0">
      <selection activeCell="I46" sqref="I46"/>
    </sheetView>
  </sheetViews>
  <sheetFormatPr baseColWidth="10" defaultRowHeight="14.5" x14ac:dyDescent="0.35"/>
  <cols>
    <col min="1" max="1" width="4.81640625" style="11" customWidth="1"/>
    <col min="2" max="2" width="29" style="11" customWidth="1"/>
    <col min="3" max="3" width="13.54296875" style="11" customWidth="1"/>
    <col min="4" max="8" width="14.453125" style="11" customWidth="1"/>
    <col min="9" max="9" width="11.7265625" style="11" customWidth="1"/>
    <col min="10" max="10" width="14.7265625" style="11" bestFit="1" customWidth="1"/>
    <col min="11" max="11" width="28.1796875" style="11" bestFit="1" customWidth="1"/>
    <col min="12" max="12" width="17.1796875" style="11" bestFit="1" customWidth="1"/>
    <col min="13" max="13" width="25.7265625" style="11" bestFit="1" customWidth="1"/>
    <col min="14" max="14" width="11.7265625" style="11" bestFit="1" customWidth="1"/>
    <col min="15" max="16384" width="10.90625" style="11"/>
  </cols>
  <sheetData>
    <row r="1" spans="2:9" x14ac:dyDescent="0.35">
      <c r="B1" s="11" t="s">
        <v>148</v>
      </c>
    </row>
    <row r="3" spans="2:9" ht="18" customHeight="1" x14ac:dyDescent="0.35">
      <c r="B3" s="18" t="s">
        <v>141</v>
      </c>
    </row>
    <row r="4" spans="2:9" ht="18" hidden="1" customHeight="1" x14ac:dyDescent="0.35">
      <c r="B4" s="13" t="s">
        <v>61</v>
      </c>
      <c r="C4" s="13" t="s">
        <v>53</v>
      </c>
    </row>
    <row r="5" spans="2:9" ht="18" customHeight="1" x14ac:dyDescent="0.35">
      <c r="B5" s="15" t="s">
        <v>140</v>
      </c>
      <c r="C5" s="16" t="s">
        <v>60</v>
      </c>
      <c r="D5" s="16" t="s">
        <v>58</v>
      </c>
      <c r="E5" s="16" t="s">
        <v>55</v>
      </c>
      <c r="F5" s="16" t="s">
        <v>57</v>
      </c>
      <c r="G5" s="16" t="s">
        <v>56</v>
      </c>
      <c r="H5" s="16" t="s">
        <v>59</v>
      </c>
    </row>
    <row r="6" spans="2:9" ht="18" customHeight="1" x14ac:dyDescent="0.35">
      <c r="B6" s="16" t="s">
        <v>32</v>
      </c>
      <c r="C6" s="17">
        <v>0.91839999999999999</v>
      </c>
      <c r="D6" s="17">
        <v>0.9456</v>
      </c>
      <c r="E6" s="17">
        <v>1.0593999999999999</v>
      </c>
      <c r="F6" s="17">
        <v>1.1746000000000001</v>
      </c>
      <c r="G6" s="17">
        <v>1.1166</v>
      </c>
      <c r="H6" s="17">
        <v>0.95689999999999997</v>
      </c>
      <c r="I6" s="11" t="s">
        <v>152</v>
      </c>
    </row>
    <row r="7" spans="2:9" ht="18" customHeight="1" x14ac:dyDescent="0.35">
      <c r="B7" s="16" t="s">
        <v>36</v>
      </c>
      <c r="C7" s="17">
        <v>0.98299999999999998</v>
      </c>
      <c r="D7" s="17">
        <v>1.0504</v>
      </c>
      <c r="E7" s="17">
        <v>1.0993999999999999</v>
      </c>
      <c r="F7" s="17">
        <v>1.0416000000000001</v>
      </c>
      <c r="G7" s="17">
        <v>1.0296000000000001</v>
      </c>
      <c r="H7" s="17">
        <v>1.1263000000000001</v>
      </c>
    </row>
    <row r="8" spans="2:9" ht="18" customHeight="1" x14ac:dyDescent="0.35">
      <c r="B8" s="16" t="s">
        <v>34</v>
      </c>
      <c r="C8" s="17">
        <v>0.8982</v>
      </c>
      <c r="D8" s="17">
        <v>0.99270000000000003</v>
      </c>
      <c r="E8" s="17">
        <v>1.0156000000000001</v>
      </c>
      <c r="F8" s="17">
        <v>1.0197000000000001</v>
      </c>
      <c r="G8" s="17">
        <v>1.0097</v>
      </c>
      <c r="H8" s="17">
        <v>0.98519999999999996</v>
      </c>
    </row>
    <row r="9" spans="2:9" ht="18" customHeight="1" x14ac:dyDescent="0.35">
      <c r="B9" s="16" t="s">
        <v>29</v>
      </c>
      <c r="C9" s="17">
        <v>0.80769999999999997</v>
      </c>
      <c r="D9" s="17">
        <v>0.88039999999999996</v>
      </c>
      <c r="E9" s="17">
        <v>0.9627</v>
      </c>
      <c r="F9" s="17">
        <v>0.95740000000000003</v>
      </c>
      <c r="G9" s="17">
        <v>0.97040000000000004</v>
      </c>
      <c r="H9" s="17">
        <v>1.0163</v>
      </c>
    </row>
    <row r="10" spans="2:9" ht="18" customHeight="1" x14ac:dyDescent="0.35">
      <c r="B10" s="16" t="s">
        <v>35</v>
      </c>
      <c r="C10" s="17">
        <v>0.95240000000000002</v>
      </c>
      <c r="D10" s="17">
        <v>0.99380000000000002</v>
      </c>
      <c r="E10" s="17">
        <v>1.0181</v>
      </c>
      <c r="F10" s="17">
        <v>1.0254000000000001</v>
      </c>
      <c r="G10" s="17">
        <v>1.0529999999999999</v>
      </c>
      <c r="H10" s="17">
        <v>1.0767</v>
      </c>
    </row>
    <row r="11" spans="2:9" ht="18" customHeight="1" x14ac:dyDescent="0.35">
      <c r="B11" s="16" t="s">
        <v>38</v>
      </c>
      <c r="C11" s="17">
        <v>0.87329999999999997</v>
      </c>
      <c r="D11" s="17">
        <v>0.88170000000000004</v>
      </c>
      <c r="E11" s="17">
        <v>0.89780000000000004</v>
      </c>
      <c r="F11" s="17">
        <v>0.95420000000000005</v>
      </c>
      <c r="G11" s="17">
        <v>0.86809999999999998</v>
      </c>
      <c r="H11" s="17">
        <v>0.86929999999999996</v>
      </c>
    </row>
    <row r="12" spans="2:9" ht="18" customHeight="1" x14ac:dyDescent="0.35">
      <c r="B12" s="16" t="s">
        <v>128</v>
      </c>
      <c r="C12" s="17">
        <v>0.87119999999999997</v>
      </c>
      <c r="D12" s="17">
        <v>0.96</v>
      </c>
      <c r="E12" s="17">
        <v>0.85399999999999998</v>
      </c>
      <c r="F12" s="17">
        <v>0.83230000000000004</v>
      </c>
      <c r="G12" s="17">
        <v>0.69820000000000004</v>
      </c>
      <c r="H12" s="17">
        <v>0.78290000000000004</v>
      </c>
      <c r="I12" s="14" t="s">
        <v>150</v>
      </c>
    </row>
    <row r="13" spans="2:9" ht="18" customHeight="1" x14ac:dyDescent="0.35">
      <c r="B13" s="16" t="s">
        <v>28</v>
      </c>
      <c r="C13" s="17">
        <v>1.0866</v>
      </c>
      <c r="D13" s="17">
        <v>1.1738</v>
      </c>
      <c r="E13" s="17">
        <v>1.1888000000000001</v>
      </c>
      <c r="F13" s="17">
        <v>1.1917</v>
      </c>
      <c r="G13" s="17">
        <v>1.1677</v>
      </c>
      <c r="H13" s="17">
        <v>1.1212</v>
      </c>
    </row>
    <row r="14" spans="2:9" ht="18" customHeight="1" x14ac:dyDescent="0.35">
      <c r="B14" s="16" t="s">
        <v>30</v>
      </c>
      <c r="C14" s="17">
        <v>0.99729999999999996</v>
      </c>
      <c r="D14" s="17">
        <v>1.0185</v>
      </c>
      <c r="E14" s="17">
        <v>1.0303</v>
      </c>
      <c r="F14" s="17">
        <v>1.0073000000000001</v>
      </c>
      <c r="G14" s="17">
        <v>1.0221</v>
      </c>
      <c r="H14" s="17">
        <v>1.0371999999999999</v>
      </c>
    </row>
    <row r="15" spans="2:9" ht="18" customHeight="1" x14ac:dyDescent="0.35">
      <c r="B15" s="16" t="s">
        <v>33</v>
      </c>
      <c r="C15" s="17">
        <v>0.91600000000000004</v>
      </c>
      <c r="D15" s="17">
        <v>0.8881</v>
      </c>
      <c r="E15" s="17">
        <v>0.95489999999999997</v>
      </c>
      <c r="F15" s="17">
        <v>1.0503</v>
      </c>
      <c r="G15" s="17">
        <v>1.0311999999999999</v>
      </c>
      <c r="H15" s="17">
        <v>1.0423</v>
      </c>
    </row>
    <row r="16" spans="2:9" ht="18" customHeight="1" x14ac:dyDescent="0.35">
      <c r="B16" s="16" t="s">
        <v>31</v>
      </c>
      <c r="C16" s="17">
        <v>0.85089999999999999</v>
      </c>
      <c r="D16" s="17">
        <v>0.8821</v>
      </c>
      <c r="E16" s="17">
        <v>0.93100000000000005</v>
      </c>
      <c r="F16" s="17">
        <v>1.0396000000000001</v>
      </c>
      <c r="G16" s="17">
        <v>0.97709999999999997</v>
      </c>
      <c r="H16" s="17">
        <v>1.0693999999999999</v>
      </c>
    </row>
    <row r="17" spans="2:9" ht="18" customHeight="1" x14ac:dyDescent="0.35">
      <c r="B17" s="21"/>
      <c r="C17" s="22"/>
      <c r="D17" s="22"/>
      <c r="E17" s="22"/>
      <c r="F17" s="22"/>
      <c r="G17" s="22"/>
      <c r="H17" s="22"/>
    </row>
    <row r="18" spans="2:9" ht="18" customHeight="1" x14ac:dyDescent="0.35">
      <c r="B18" s="18" t="s">
        <v>142</v>
      </c>
    </row>
    <row r="19" spans="2:9" ht="18" hidden="1" customHeight="1" x14ac:dyDescent="0.35">
      <c r="B19" s="13" t="s">
        <v>129</v>
      </c>
      <c r="C19" s="13" t="s">
        <v>53</v>
      </c>
    </row>
    <row r="20" spans="2:9" ht="18" customHeight="1" x14ac:dyDescent="0.35">
      <c r="B20" s="15" t="s">
        <v>52</v>
      </c>
      <c r="C20" s="16" t="s">
        <v>60</v>
      </c>
      <c r="D20" s="16" t="s">
        <v>58</v>
      </c>
      <c r="E20" s="16" t="s">
        <v>55</v>
      </c>
      <c r="F20" s="16" t="s">
        <v>57</v>
      </c>
      <c r="G20" s="16" t="s">
        <v>56</v>
      </c>
      <c r="H20" s="16" t="s">
        <v>59</v>
      </c>
    </row>
    <row r="21" spans="2:9" ht="18" customHeight="1" x14ac:dyDescent="0.35">
      <c r="B21" s="16" t="s">
        <v>32</v>
      </c>
      <c r="C21" s="17">
        <v>1.41</v>
      </c>
      <c r="D21" s="17">
        <v>1.39</v>
      </c>
      <c r="E21" s="17">
        <v>1.21</v>
      </c>
      <c r="F21" s="17">
        <v>1.18</v>
      </c>
      <c r="G21" s="17">
        <v>1.1200000000000001</v>
      </c>
      <c r="H21" s="17">
        <v>1.1499999999999999</v>
      </c>
    </row>
    <row r="22" spans="2:9" ht="18" customHeight="1" x14ac:dyDescent="0.35">
      <c r="B22" s="16" t="s">
        <v>36</v>
      </c>
      <c r="C22" s="17">
        <v>0.91</v>
      </c>
      <c r="D22" s="17">
        <v>0.92</v>
      </c>
      <c r="E22" s="17">
        <v>0.87</v>
      </c>
      <c r="F22" s="17">
        <v>0.81</v>
      </c>
      <c r="G22" s="17">
        <v>1.06</v>
      </c>
      <c r="H22" s="17">
        <v>1.1499999999999999</v>
      </c>
    </row>
    <row r="23" spans="2:9" ht="18" customHeight="1" x14ac:dyDescent="0.35">
      <c r="B23" s="16" t="s">
        <v>34</v>
      </c>
      <c r="C23" s="17">
        <v>1.37</v>
      </c>
      <c r="D23" s="17">
        <v>1.21</v>
      </c>
      <c r="E23" s="17">
        <v>1.19</v>
      </c>
      <c r="F23" s="17">
        <v>1.1599999999999999</v>
      </c>
      <c r="G23" s="17">
        <v>1.27</v>
      </c>
      <c r="H23" s="17">
        <v>1.31</v>
      </c>
    </row>
    <row r="24" spans="2:9" ht="18" customHeight="1" x14ac:dyDescent="0.35">
      <c r="B24" s="16" t="s">
        <v>29</v>
      </c>
      <c r="C24" s="17">
        <v>0.72</v>
      </c>
      <c r="D24" s="17">
        <v>0.84</v>
      </c>
      <c r="E24" s="17">
        <v>0.86</v>
      </c>
      <c r="F24" s="17">
        <v>0.83</v>
      </c>
      <c r="G24" s="17">
        <v>0.74</v>
      </c>
      <c r="H24" s="17">
        <v>0.61</v>
      </c>
    </row>
    <row r="25" spans="2:9" ht="18" customHeight="1" x14ac:dyDescent="0.35">
      <c r="B25" s="16" t="s">
        <v>35</v>
      </c>
      <c r="C25" s="17">
        <v>0.92</v>
      </c>
      <c r="D25" s="17">
        <v>0.98</v>
      </c>
      <c r="E25" s="17">
        <v>1.01</v>
      </c>
      <c r="F25" s="17">
        <v>0.94</v>
      </c>
      <c r="G25" s="17">
        <v>0.85</v>
      </c>
      <c r="H25" s="17">
        <v>0.97</v>
      </c>
    </row>
    <row r="26" spans="2:9" ht="18" customHeight="1" x14ac:dyDescent="0.35">
      <c r="B26" s="16" t="s">
        <v>38</v>
      </c>
      <c r="C26" s="17">
        <v>1.26</v>
      </c>
      <c r="D26" s="17">
        <v>1.27</v>
      </c>
      <c r="E26" s="17">
        <v>1.25</v>
      </c>
      <c r="F26" s="17">
        <v>1.1599999999999999</v>
      </c>
      <c r="G26" s="17">
        <v>1.1299999999999999</v>
      </c>
      <c r="H26" s="17">
        <v>1.2</v>
      </c>
    </row>
    <row r="27" spans="2:9" ht="18" customHeight="1" x14ac:dyDescent="0.35">
      <c r="B27" s="16" t="s">
        <v>128</v>
      </c>
      <c r="C27" s="17">
        <v>1.1299999999999999</v>
      </c>
      <c r="D27" s="17">
        <v>1.21</v>
      </c>
      <c r="E27" s="17">
        <v>1.0900000000000001</v>
      </c>
      <c r="F27" s="17">
        <v>1.08</v>
      </c>
      <c r="G27" s="17">
        <v>1.1200000000000001</v>
      </c>
      <c r="H27" s="17">
        <v>1.34</v>
      </c>
    </row>
    <row r="28" spans="2:9" ht="18" customHeight="1" x14ac:dyDescent="0.35">
      <c r="B28" s="16" t="s">
        <v>28</v>
      </c>
      <c r="C28" s="17">
        <v>1.22</v>
      </c>
      <c r="D28" s="17">
        <v>1.2</v>
      </c>
      <c r="E28" s="17">
        <v>1.1100000000000001</v>
      </c>
      <c r="F28" s="17">
        <v>1.03</v>
      </c>
      <c r="G28" s="17">
        <v>1.01</v>
      </c>
      <c r="H28" s="17">
        <v>1.08</v>
      </c>
    </row>
    <row r="29" spans="2:9" ht="18" customHeight="1" x14ac:dyDescent="0.35">
      <c r="B29" s="16" t="s">
        <v>30</v>
      </c>
      <c r="C29" s="17">
        <v>1.1200000000000001</v>
      </c>
      <c r="D29" s="17">
        <v>1.1000000000000001</v>
      </c>
      <c r="E29" s="17">
        <v>1.04</v>
      </c>
      <c r="F29" s="17">
        <v>1.01</v>
      </c>
      <c r="G29" s="17">
        <v>0.97</v>
      </c>
      <c r="H29" s="17">
        <v>1</v>
      </c>
    </row>
    <row r="30" spans="2:9" ht="18" customHeight="1" x14ac:dyDescent="0.35">
      <c r="B30" s="16" t="s">
        <v>33</v>
      </c>
      <c r="C30" s="17">
        <v>0.92</v>
      </c>
      <c r="D30" s="17">
        <v>0.98</v>
      </c>
      <c r="E30" s="17">
        <v>1.1200000000000001</v>
      </c>
      <c r="F30" s="17">
        <v>0.81</v>
      </c>
      <c r="G30" s="17">
        <v>0.89</v>
      </c>
      <c r="H30" s="17">
        <v>0.67</v>
      </c>
      <c r="I30" s="14" t="s">
        <v>151</v>
      </c>
    </row>
    <row r="31" spans="2:9" ht="18" customHeight="1" x14ac:dyDescent="0.35">
      <c r="B31" s="16" t="s">
        <v>31</v>
      </c>
      <c r="C31" s="17">
        <v>0.86</v>
      </c>
      <c r="D31" s="17">
        <v>0.86</v>
      </c>
      <c r="E31" s="17">
        <v>0.6</v>
      </c>
      <c r="F31" s="17">
        <v>0.49</v>
      </c>
      <c r="G31" s="17">
        <v>0.46</v>
      </c>
      <c r="H31" s="17">
        <v>0.48</v>
      </c>
    </row>
    <row r="32" spans="2:9" ht="18" customHeight="1" x14ac:dyDescent="0.35"/>
    <row r="33" spans="2:9" x14ac:dyDescent="0.35">
      <c r="B33" s="18" t="s">
        <v>153</v>
      </c>
    </row>
    <row r="34" spans="2:9" hidden="1" x14ac:dyDescent="0.35">
      <c r="B34" s="13" t="s">
        <v>54</v>
      </c>
      <c r="C34" s="13" t="s">
        <v>53</v>
      </c>
    </row>
    <row r="35" spans="2:9" ht="20.5" customHeight="1" x14ac:dyDescent="0.35">
      <c r="B35" s="15" t="s">
        <v>140</v>
      </c>
      <c r="C35" s="16" t="s">
        <v>60</v>
      </c>
      <c r="D35" s="16" t="s">
        <v>58</v>
      </c>
      <c r="E35" s="16" t="s">
        <v>55</v>
      </c>
      <c r="F35" s="16" t="s">
        <v>57</v>
      </c>
      <c r="G35" s="16" t="s">
        <v>56</v>
      </c>
      <c r="H35" s="16" t="s">
        <v>59</v>
      </c>
    </row>
    <row r="36" spans="2:9" ht="18" customHeight="1" x14ac:dyDescent="0.35">
      <c r="B36" s="16" t="s">
        <v>32</v>
      </c>
      <c r="C36" s="17">
        <v>1.036822866106216</v>
      </c>
      <c r="D36" s="17">
        <v>1.1425245483395994</v>
      </c>
      <c r="E36" s="17">
        <v>1.1178922926116623</v>
      </c>
      <c r="F36" s="17">
        <v>1.2094769249242587</v>
      </c>
      <c r="G36" s="17">
        <v>1.2111863981342195</v>
      </c>
      <c r="H36" s="17">
        <v>1.2374010286699553</v>
      </c>
    </row>
    <row r="37" spans="2:9" ht="18" customHeight="1" x14ac:dyDescent="0.35">
      <c r="B37" s="16" t="s">
        <v>36</v>
      </c>
      <c r="C37" s="17">
        <v>1.2601909969299623</v>
      </c>
      <c r="D37" s="17">
        <v>1.5495465156982358</v>
      </c>
      <c r="E37" s="17">
        <v>1.0900901626324624</v>
      </c>
      <c r="F37" s="17">
        <v>1.2331486961542202</v>
      </c>
      <c r="G37" s="17">
        <v>1.2064477976173709</v>
      </c>
      <c r="H37" s="17">
        <v>1.4300587732961088</v>
      </c>
      <c r="I37" s="14" t="s">
        <v>149</v>
      </c>
    </row>
    <row r="38" spans="2:9" ht="18" customHeight="1" x14ac:dyDescent="0.35">
      <c r="B38" s="16" t="s">
        <v>34</v>
      </c>
      <c r="C38" s="17">
        <v>1.0563628882163139</v>
      </c>
      <c r="D38" s="17">
        <v>1.3098880512919531</v>
      </c>
      <c r="E38" s="17">
        <v>1.1388263173198774</v>
      </c>
      <c r="F38" s="17">
        <v>1.0769807325185721</v>
      </c>
      <c r="G38" s="17">
        <v>0.97357712109937489</v>
      </c>
      <c r="H38" s="17">
        <v>1.097083930121123</v>
      </c>
    </row>
    <row r="39" spans="2:9" ht="18" customHeight="1" x14ac:dyDescent="0.35">
      <c r="B39" s="16" t="s">
        <v>29</v>
      </c>
      <c r="C39" s="17">
        <v>0.9819201322008787</v>
      </c>
      <c r="D39" s="17">
        <v>1.0746935896534022</v>
      </c>
      <c r="E39" s="17">
        <v>1.0071435283654782</v>
      </c>
      <c r="F39" s="17">
        <v>1.1490853004252124</v>
      </c>
      <c r="G39" s="17">
        <v>1.2476525316045723</v>
      </c>
      <c r="H39" s="17">
        <v>1.2274248946818243</v>
      </c>
    </row>
    <row r="40" spans="2:9" ht="18" customHeight="1" x14ac:dyDescent="0.35">
      <c r="B40" s="16" t="s">
        <v>35</v>
      </c>
      <c r="C40" s="17">
        <v>1.1579030021479439</v>
      </c>
      <c r="D40" s="17">
        <v>1.2609124866912462</v>
      </c>
      <c r="E40" s="17">
        <v>0.9884051802908902</v>
      </c>
      <c r="F40" s="17">
        <v>1.0539472604162341</v>
      </c>
      <c r="G40" s="17">
        <v>0.99853269904640252</v>
      </c>
      <c r="H40" s="17">
        <v>1.0280764031631335</v>
      </c>
    </row>
    <row r="41" spans="2:9" ht="18" customHeight="1" x14ac:dyDescent="0.35">
      <c r="B41" s="16" t="s">
        <v>38</v>
      </c>
      <c r="C41" s="17">
        <v>0.88445025761619755</v>
      </c>
      <c r="D41" s="17">
        <v>1.0182516938788602</v>
      </c>
      <c r="E41" s="17">
        <v>0.76920320782290075</v>
      </c>
      <c r="F41" s="17">
        <v>0.97772743102906234</v>
      </c>
      <c r="G41" s="17">
        <v>0.88175809270125638</v>
      </c>
      <c r="H41" s="17">
        <v>0.84172403137626117</v>
      </c>
      <c r="I41" s="11" t="s">
        <v>147</v>
      </c>
    </row>
    <row r="42" spans="2:9" ht="18" customHeight="1" x14ac:dyDescent="0.35">
      <c r="B42" s="16" t="s">
        <v>37</v>
      </c>
      <c r="C42" s="17">
        <v>0.88878657461221866</v>
      </c>
      <c r="D42" s="17">
        <v>0.9876398089578462</v>
      </c>
      <c r="E42" s="17">
        <v>0.90115972903902397</v>
      </c>
      <c r="F42" s="17">
        <v>0.90957320872840164</v>
      </c>
      <c r="G42" s="17">
        <v>0.83235677486912807</v>
      </c>
      <c r="H42" s="17">
        <v>0.79350773257637186</v>
      </c>
      <c r="I42" s="11" t="s">
        <v>147</v>
      </c>
    </row>
    <row r="43" spans="2:9" ht="18" customHeight="1" x14ac:dyDescent="0.35">
      <c r="B43" s="16" t="s">
        <v>28</v>
      </c>
      <c r="C43" s="17">
        <v>0.68087357394473502</v>
      </c>
      <c r="D43" s="17">
        <v>0.86853136769706496</v>
      </c>
      <c r="E43" s="17">
        <v>0.83994840811647442</v>
      </c>
      <c r="F43" s="17">
        <v>0.85332423890327136</v>
      </c>
      <c r="G43" s="17">
        <v>0.84762123917145693</v>
      </c>
      <c r="H43" s="17">
        <v>0.84120414624520368</v>
      </c>
      <c r="I43" s="14" t="s">
        <v>154</v>
      </c>
    </row>
    <row r="44" spans="2:9" ht="18" customHeight="1" x14ac:dyDescent="0.35">
      <c r="B44" s="16" t="s">
        <v>30</v>
      </c>
      <c r="C44" s="17">
        <v>1.1343347580235597</v>
      </c>
      <c r="D44" s="17">
        <v>1.1857624300099048</v>
      </c>
      <c r="E44" s="17">
        <v>1.1180427877868246</v>
      </c>
      <c r="F44" s="17">
        <v>1.0951907115256079</v>
      </c>
      <c r="G44" s="17">
        <v>1.1335813167779174</v>
      </c>
      <c r="H44" s="17">
        <v>1.2101421730131121</v>
      </c>
    </row>
    <row r="45" spans="2:9" ht="18" customHeight="1" x14ac:dyDescent="0.35">
      <c r="B45" s="16" t="s">
        <v>33</v>
      </c>
      <c r="C45" s="17">
        <v>0.99154517633669215</v>
      </c>
      <c r="D45" s="17">
        <v>0.93985272171018353</v>
      </c>
      <c r="E45" s="17">
        <v>0.78553879716494512</v>
      </c>
      <c r="F45" s="17">
        <v>0.87762559616956404</v>
      </c>
      <c r="G45" s="17">
        <v>0.91461490838584014</v>
      </c>
      <c r="H45" s="17">
        <v>0.95681537626179414</v>
      </c>
      <c r="I45" s="11" t="s">
        <v>147</v>
      </c>
    </row>
    <row r="46" spans="2:9" ht="18" customHeight="1" x14ac:dyDescent="0.35">
      <c r="B46" s="16" t="s">
        <v>31</v>
      </c>
      <c r="C46" s="17">
        <v>0.94210808688391945</v>
      </c>
      <c r="D46" s="17">
        <v>1.1067006356588713</v>
      </c>
      <c r="E46" s="17">
        <v>1.1692761059227357</v>
      </c>
      <c r="F46" s="17">
        <v>1.183524105417858</v>
      </c>
      <c r="G46" s="17">
        <v>1.2076115806811727</v>
      </c>
      <c r="H46" s="17">
        <v>1.1724223896828561</v>
      </c>
    </row>
    <row r="48" spans="2:9" ht="18" customHeight="1" x14ac:dyDescent="0.35"/>
    <row r="49" spans="2:8" ht="18" customHeight="1" x14ac:dyDescent="0.35"/>
    <row r="50" spans="2:8" ht="18" customHeight="1" x14ac:dyDescent="0.35"/>
    <row r="51" spans="2:8" ht="18" customHeight="1" x14ac:dyDescent="0.35">
      <c r="B51" s="13" t="s">
        <v>22</v>
      </c>
      <c r="C51" s="11" t="s">
        <v>59</v>
      </c>
    </row>
    <row r="52" spans="2:8" ht="18" customHeight="1" x14ac:dyDescent="0.35"/>
    <row r="53" spans="2:8" ht="18" customHeight="1" x14ac:dyDescent="0.35">
      <c r="B53" s="13" t="s">
        <v>134</v>
      </c>
      <c r="C53" s="15" t="s">
        <v>47</v>
      </c>
      <c r="D53" s="11" t="s">
        <v>138</v>
      </c>
      <c r="E53" s="20" t="s">
        <v>143</v>
      </c>
      <c r="F53"/>
      <c r="G53"/>
    </row>
    <row r="54" spans="2:8" x14ac:dyDescent="0.35">
      <c r="B54" s="24" t="s">
        <v>139</v>
      </c>
      <c r="C54" s="23" t="s">
        <v>32</v>
      </c>
      <c r="D54" s="19">
        <v>1</v>
      </c>
      <c r="E54"/>
      <c r="F54"/>
      <c r="G54"/>
    </row>
    <row r="55" spans="2:8" x14ac:dyDescent="0.35">
      <c r="B55" s="24"/>
      <c r="C55" s="23" t="s">
        <v>36</v>
      </c>
      <c r="D55" s="19">
        <v>1</v>
      </c>
      <c r="E55"/>
      <c r="F55"/>
      <c r="G55"/>
    </row>
    <row r="56" spans="2:8" x14ac:dyDescent="0.35">
      <c r="B56" s="24"/>
      <c r="C56" s="23" t="s">
        <v>34</v>
      </c>
      <c r="D56" s="19">
        <v>1</v>
      </c>
      <c r="E56"/>
      <c r="F56"/>
      <c r="G56"/>
    </row>
    <row r="57" spans="2:8" x14ac:dyDescent="0.35">
      <c r="B57" s="24"/>
      <c r="C57" s="23" t="s">
        <v>35</v>
      </c>
      <c r="D57" s="19">
        <v>1</v>
      </c>
      <c r="E57"/>
      <c r="F57"/>
      <c r="G57"/>
    </row>
    <row r="58" spans="2:8" x14ac:dyDescent="0.35">
      <c r="B58" s="24"/>
      <c r="C58" s="23" t="s">
        <v>30</v>
      </c>
      <c r="D58" s="19">
        <v>1</v>
      </c>
      <c r="E58"/>
      <c r="F58"/>
      <c r="G58"/>
    </row>
    <row r="59" spans="2:8" x14ac:dyDescent="0.35">
      <c r="B59" s="24" t="s">
        <v>137</v>
      </c>
      <c r="C59" s="23" t="s">
        <v>28</v>
      </c>
      <c r="D59" s="19">
        <v>1</v>
      </c>
      <c r="E59" s="14" t="s">
        <v>146</v>
      </c>
      <c r="F59"/>
      <c r="G59"/>
    </row>
    <row r="60" spans="2:8" x14ac:dyDescent="0.35">
      <c r="B60" s="24"/>
      <c r="C60" s="23" t="s">
        <v>33</v>
      </c>
      <c r="D60" s="19">
        <v>1</v>
      </c>
      <c r="F60"/>
      <c r="G60"/>
      <c r="H60" s="14"/>
    </row>
    <row r="61" spans="2:8" x14ac:dyDescent="0.35">
      <c r="B61" s="24" t="s">
        <v>136</v>
      </c>
      <c r="C61" s="23" t="s">
        <v>38</v>
      </c>
      <c r="D61" s="19">
        <v>1</v>
      </c>
      <c r="E61" t="s">
        <v>144</v>
      </c>
      <c r="F61"/>
      <c r="G61"/>
      <c r="H61" s="14"/>
    </row>
    <row r="62" spans="2:8" x14ac:dyDescent="0.35">
      <c r="B62" s="24"/>
      <c r="C62" s="23" t="s">
        <v>37</v>
      </c>
      <c r="D62" s="19">
        <v>1</v>
      </c>
      <c r="E62" t="s">
        <v>144</v>
      </c>
      <c r="F62"/>
      <c r="G62"/>
      <c r="H62" s="14"/>
    </row>
    <row r="63" spans="2:8" x14ac:dyDescent="0.35">
      <c r="B63" s="24" t="s">
        <v>135</v>
      </c>
      <c r="C63" s="23" t="s">
        <v>29</v>
      </c>
      <c r="D63" s="19">
        <v>1</v>
      </c>
      <c r="E63" t="s">
        <v>145</v>
      </c>
      <c r="F63"/>
      <c r="G63"/>
    </row>
    <row r="64" spans="2:8" x14ac:dyDescent="0.35">
      <c r="B64" s="24"/>
      <c r="C64" s="23" t="s">
        <v>31</v>
      </c>
      <c r="D64" s="19">
        <v>1</v>
      </c>
      <c r="E64" t="s">
        <v>145</v>
      </c>
      <c r="F64"/>
      <c r="G64"/>
    </row>
    <row r="65" spans="2:7" ht="21.5" customHeight="1" x14ac:dyDescent="0.35">
      <c r="B65"/>
      <c r="C65"/>
      <c r="D65"/>
      <c r="E65"/>
      <c r="F65"/>
      <c r="G65"/>
    </row>
    <row r="66" spans="2:7" ht="18" customHeight="1" x14ac:dyDescent="0.35">
      <c r="B66"/>
      <c r="C66"/>
      <c r="D66"/>
    </row>
    <row r="67" spans="2:7" ht="18" customHeight="1" x14ac:dyDescent="0.35">
      <c r="B67"/>
      <c r="C67"/>
      <c r="D67"/>
    </row>
  </sheetData>
  <conditionalFormatting pivot="1" sqref="C36:H46">
    <cfRule type="colorScale" priority="4">
      <colorScale>
        <cfvo type="num" val="0.8"/>
        <cfvo type="num" val="0.9"/>
        <cfvo type="num" val="1"/>
        <color rgb="FFFF0000"/>
        <color rgb="FFFFFF00"/>
        <color rgb="FF00B050"/>
      </colorScale>
    </cfRule>
  </conditionalFormatting>
  <conditionalFormatting pivot="1" sqref="C6:H16">
    <cfRule type="colorScale" priority="2">
      <colorScale>
        <cfvo type="num" val="0.8"/>
        <cfvo type="num" val="0.9"/>
        <cfvo type="num" val="1"/>
        <color rgb="FFFF0000"/>
        <color rgb="FFFFFF00"/>
        <color rgb="FF00B050"/>
      </colorScale>
    </cfRule>
  </conditionalFormatting>
  <conditionalFormatting pivot="1" sqref="C21:H31">
    <cfRule type="colorScale" priority="1">
      <colorScale>
        <cfvo type="num" val="0.8"/>
        <cfvo type="num" val="0.9"/>
        <cfvo type="num" val="1"/>
        <color rgb="FFFF0000"/>
        <color rgb="FFFFFF00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69"/>
  <sheetViews>
    <sheetView topLeftCell="C1" workbookViewId="0">
      <selection activeCell="G75" sqref="G75"/>
    </sheetView>
  </sheetViews>
  <sheetFormatPr baseColWidth="10" defaultRowHeight="14.5" x14ac:dyDescent="0.35"/>
  <cols>
    <col min="1" max="1" width="27.90625" bestFit="1" customWidth="1"/>
    <col min="5" max="5" width="19" customWidth="1"/>
    <col min="9" max="9" width="16.6328125" bestFit="1" customWidth="1"/>
    <col min="10" max="10" width="11.7265625" bestFit="1" customWidth="1"/>
    <col min="11" max="11" width="21.453125" bestFit="1" customWidth="1"/>
    <col min="12" max="12" width="16.81640625" customWidth="1"/>
    <col min="13" max="13" width="34.90625" bestFit="1" customWidth="1"/>
  </cols>
  <sheetData>
    <row r="1" spans="1:18" x14ac:dyDescent="0.35">
      <c r="A1" s="9" t="s">
        <v>21</v>
      </c>
      <c r="B1" s="9" t="s">
        <v>47</v>
      </c>
      <c r="C1" s="9" t="s">
        <v>22</v>
      </c>
      <c r="D1" s="9" t="s">
        <v>48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51</v>
      </c>
      <c r="J1" s="9" t="s">
        <v>27</v>
      </c>
      <c r="K1" s="10" t="s">
        <v>49</v>
      </c>
      <c r="L1" s="10" t="s">
        <v>50</v>
      </c>
      <c r="M1" s="10" t="s">
        <v>134</v>
      </c>
      <c r="O1" t="s">
        <v>139</v>
      </c>
    </row>
    <row r="2" spans="1:18" hidden="1" x14ac:dyDescent="0.35">
      <c r="A2" s="3" t="s">
        <v>28</v>
      </c>
      <c r="B2" s="3" t="s">
        <v>28</v>
      </c>
      <c r="C2" t="s">
        <v>55</v>
      </c>
      <c r="D2" t="s">
        <v>62</v>
      </c>
      <c r="E2" s="4">
        <v>447280.90169083461</v>
      </c>
      <c r="F2" s="4">
        <v>6771892.9700000007</v>
      </c>
      <c r="G2">
        <v>15.140134408602149</v>
      </c>
      <c r="H2">
        <v>532509.97009903356</v>
      </c>
      <c r="I2" s="7">
        <v>0.83994840811647442</v>
      </c>
      <c r="J2" s="4">
        <v>354976.12461047724</v>
      </c>
      <c r="K2" s="7">
        <v>1.1888000000000001</v>
      </c>
      <c r="L2" s="7">
        <v>1.1100000000000001</v>
      </c>
      <c r="M2" t="str">
        <f>IF(AND(L2&lt;90%,K2&lt;95%),"🚨 Dotación crítica",
IF(AND(L2&lt;90%,I2&gt;=100%),"🔴 Dotación insuficiente",
IF(AND(L2&gt;110%,I2&lt;100%),"🟠 Sobredotada",
IF(AND(I2&lt;100%,L2&gt;=90%,L2&lt;=110%),"🟡 Baja demanda",
IF(AND(I2&gt;=100%,K2&gt;=95%),"🟢 Operación eficiente",
"🔵 Baja eficiencia")))))</f>
        <v>🟠 Sobredotada</v>
      </c>
    </row>
    <row r="3" spans="1:18" hidden="1" x14ac:dyDescent="0.35">
      <c r="A3" s="3" t="s">
        <v>28</v>
      </c>
      <c r="B3" s="3" t="s">
        <v>28</v>
      </c>
      <c r="C3" t="s">
        <v>56</v>
      </c>
      <c r="D3" t="s">
        <v>63</v>
      </c>
      <c r="E3" s="4">
        <v>401019.10561703751</v>
      </c>
      <c r="F3" s="4">
        <v>5959858.0900000045</v>
      </c>
      <c r="G3">
        <v>14.861780913978471</v>
      </c>
      <c r="H3">
        <v>473111.20472751546</v>
      </c>
      <c r="I3" s="7">
        <v>0.84762123917145693</v>
      </c>
      <c r="J3" s="4">
        <v>349759.54586258915</v>
      </c>
      <c r="K3" s="7">
        <v>1.1677</v>
      </c>
      <c r="L3" s="7">
        <v>1.01</v>
      </c>
      <c r="M3" t="str">
        <f t="shared" ref="M3:M66" si="0">IF(AND(L3&lt;90%,K3&lt;95%),"🚨 Dotación crítica",
IF(AND(L3&lt;90%,I3&gt;=100%),"🔴 Dotación insuficiente",
IF(AND(L3&gt;110%,I3&lt;100%),"🟠 Sobredotada",
IF(AND(I3&lt;100%,L3&gt;=90%,L3&lt;=110%),"🟡 Baja demanda",
IF(AND(I3&gt;=100%,K3&gt;=95%),"🟢 Operación eficiente",
"🔵 Baja eficiencia")))))</f>
        <v>🟡 Baja demanda</v>
      </c>
      <c r="R3" t="s">
        <v>130</v>
      </c>
    </row>
    <row r="4" spans="1:18" hidden="1" x14ac:dyDescent="0.35">
      <c r="A4" s="3" t="s">
        <v>28</v>
      </c>
      <c r="B4" s="3" t="s">
        <v>28</v>
      </c>
      <c r="C4" t="s">
        <v>57</v>
      </c>
      <c r="D4" t="s">
        <v>64</v>
      </c>
      <c r="E4" s="4">
        <v>387136.13143789227</v>
      </c>
      <c r="F4" s="4">
        <v>5814203.9899999993</v>
      </c>
      <c r="G4">
        <v>15.018500000000037</v>
      </c>
      <c r="H4">
        <v>453679.98913924687</v>
      </c>
      <c r="I4" s="7">
        <v>0.85332423890327136</v>
      </c>
      <c r="J4" s="4">
        <v>331304.56943850691</v>
      </c>
      <c r="K4" s="7">
        <v>1.1917</v>
      </c>
      <c r="L4" s="7">
        <v>1.03</v>
      </c>
      <c r="M4" t="str">
        <f t="shared" si="0"/>
        <v>🟡 Baja demanda</v>
      </c>
      <c r="R4" t="s">
        <v>131</v>
      </c>
    </row>
    <row r="5" spans="1:18" hidden="1" x14ac:dyDescent="0.35">
      <c r="A5" s="3" t="s">
        <v>28</v>
      </c>
      <c r="B5" s="3" t="s">
        <v>28</v>
      </c>
      <c r="C5" t="s">
        <v>58</v>
      </c>
      <c r="D5" t="s">
        <v>65</v>
      </c>
      <c r="E5" s="4">
        <v>373475.13714849006</v>
      </c>
      <c r="F5" s="4">
        <v>5505432.0099999998</v>
      </c>
      <c r="G5">
        <v>14.741093750000001</v>
      </c>
      <c r="H5">
        <v>430007.65549639246</v>
      </c>
      <c r="I5" s="7">
        <v>0.86853136769706496</v>
      </c>
      <c r="J5" s="4">
        <v>310820.06259516458</v>
      </c>
      <c r="K5" s="7">
        <v>1.1738</v>
      </c>
      <c r="L5" s="7">
        <v>1.2</v>
      </c>
      <c r="M5" t="str">
        <f t="shared" si="0"/>
        <v>🟠 Sobredotada</v>
      </c>
      <c r="R5" t="s">
        <v>132</v>
      </c>
    </row>
    <row r="6" spans="1:18" hidden="1" x14ac:dyDescent="0.35">
      <c r="A6" s="3" t="s">
        <v>28</v>
      </c>
      <c r="B6" s="3" t="s">
        <v>28</v>
      </c>
      <c r="C6" t="s">
        <v>59</v>
      </c>
      <c r="D6" t="s">
        <v>66</v>
      </c>
      <c r="E6" s="4">
        <v>354320.7290119839</v>
      </c>
      <c r="F6" s="4">
        <v>4994214.6500000041</v>
      </c>
      <c r="G6">
        <v>14.09518055555561</v>
      </c>
      <c r="H6">
        <v>421206.58890416654</v>
      </c>
      <c r="I6" s="7">
        <v>0.84120414624520368</v>
      </c>
      <c r="J6" s="4">
        <v>314428.88340617309</v>
      </c>
      <c r="K6" s="7">
        <v>1.1212</v>
      </c>
      <c r="L6" s="7">
        <v>1.08</v>
      </c>
      <c r="M6" t="str">
        <f t="shared" si="0"/>
        <v>🟡 Baja demanda</v>
      </c>
      <c r="R6" t="s">
        <v>133</v>
      </c>
    </row>
    <row r="7" spans="1:18" hidden="1" x14ac:dyDescent="0.35">
      <c r="A7" s="3" t="s">
        <v>28</v>
      </c>
      <c r="B7" s="3" t="s">
        <v>28</v>
      </c>
      <c r="C7" t="s">
        <v>60</v>
      </c>
      <c r="D7" t="s">
        <v>67</v>
      </c>
      <c r="E7" s="4">
        <v>306673.23634322075</v>
      </c>
      <c r="F7" s="4">
        <v>4786938.3899999997</v>
      </c>
      <c r="G7">
        <v>15.609247311827961</v>
      </c>
      <c r="H7">
        <v>450411.42449760099</v>
      </c>
      <c r="I7" s="7">
        <v>0.68087357394473502</v>
      </c>
      <c r="J7" s="4">
        <v>246021.56594662397</v>
      </c>
      <c r="K7" s="7">
        <v>1.0866</v>
      </c>
      <c r="L7" s="7">
        <v>1.22</v>
      </c>
      <c r="M7" t="str">
        <f t="shared" si="0"/>
        <v>🟠 Sobredotada</v>
      </c>
    </row>
    <row r="8" spans="1:18" hidden="1" x14ac:dyDescent="0.35">
      <c r="A8" s="3" t="s">
        <v>29</v>
      </c>
      <c r="B8" s="3" t="s">
        <v>29</v>
      </c>
      <c r="C8" t="s">
        <v>56</v>
      </c>
      <c r="D8" t="s">
        <v>68</v>
      </c>
      <c r="E8" s="4">
        <v>416990.92922525009</v>
      </c>
      <c r="F8" s="4">
        <v>4774736.700000002</v>
      </c>
      <c r="G8">
        <v>11.450456989247327</v>
      </c>
      <c r="H8">
        <v>334220.40084266831</v>
      </c>
      <c r="I8" s="7">
        <v>1.2476525316045723</v>
      </c>
      <c r="J8" s="4">
        <v>356048.97236626298</v>
      </c>
      <c r="K8" s="7">
        <v>0.97040000000000004</v>
      </c>
      <c r="L8" s="7">
        <v>0.74</v>
      </c>
      <c r="M8" t="str">
        <f>IF(AND(L8&lt;90%,K8&lt;95%),"🚨 Dotación crítica",
IF(AND(L8&lt;90%,I8&gt;=100%),"🔴 Dotación insuficiente",
IF(AND(L8&gt;110%,I8&lt;100%),"🟠 Sobredotada",
IF(AND(I8&lt;100%,L8&gt;=90%,L8&lt;=110%),"🟡 Baja demanda",
IF(AND(I8&gt;=100%,K8&gt;=95%),"🟢 Operación eficiente",
"🔵 Baja eficiencia")))))</f>
        <v>🔴 Dotación insuficiente</v>
      </c>
    </row>
    <row r="9" spans="1:18" hidden="1" x14ac:dyDescent="0.35">
      <c r="A9" s="3" t="s">
        <v>29</v>
      </c>
      <c r="B9" s="3" t="s">
        <v>29</v>
      </c>
      <c r="C9" t="s">
        <v>59</v>
      </c>
      <c r="D9" t="s">
        <v>69</v>
      </c>
      <c r="E9" s="4">
        <v>379059.22433563927</v>
      </c>
      <c r="F9" s="4">
        <v>4322596.6000000015</v>
      </c>
      <c r="G9">
        <v>11.40348611111108</v>
      </c>
      <c r="H9">
        <v>308824.78103387321</v>
      </c>
      <c r="I9" s="7">
        <v>1.2274248946818243</v>
      </c>
      <c r="J9" s="4">
        <v>306500.74051884882</v>
      </c>
      <c r="K9" s="7">
        <v>1.0163</v>
      </c>
      <c r="L9" s="7">
        <v>0.61</v>
      </c>
      <c r="M9" t="str">
        <f t="shared" si="0"/>
        <v>🔴 Dotación insuficiente</v>
      </c>
    </row>
    <row r="10" spans="1:18" hidden="1" x14ac:dyDescent="0.35">
      <c r="A10" s="3" t="s">
        <v>29</v>
      </c>
      <c r="B10" s="3" t="s">
        <v>29</v>
      </c>
      <c r="C10" t="s">
        <v>55</v>
      </c>
      <c r="D10" t="s">
        <v>70</v>
      </c>
      <c r="E10" s="4">
        <v>378954.24957638443</v>
      </c>
      <c r="F10" s="4">
        <v>5110116.5599999996</v>
      </c>
      <c r="G10">
        <v>13.484784946236555</v>
      </c>
      <c r="H10">
        <v>376266.38001775183</v>
      </c>
      <c r="I10" s="7">
        <v>1.0071435283654782</v>
      </c>
      <c r="J10" s="4">
        <v>407607.81672288309</v>
      </c>
      <c r="K10" s="7">
        <v>0.9627</v>
      </c>
      <c r="L10" s="7">
        <v>0.86</v>
      </c>
      <c r="M10" t="str">
        <f t="shared" si="0"/>
        <v>🔴 Dotación insuficiente</v>
      </c>
    </row>
    <row r="11" spans="1:18" hidden="1" x14ac:dyDescent="0.35">
      <c r="A11" s="3" t="s">
        <v>29</v>
      </c>
      <c r="B11" s="3" t="s">
        <v>29</v>
      </c>
      <c r="C11" t="s">
        <v>57</v>
      </c>
      <c r="D11" t="s">
        <v>71</v>
      </c>
      <c r="E11" s="4">
        <v>367082.31865172595</v>
      </c>
      <c r="F11" s="4">
        <v>4671543.12</v>
      </c>
      <c r="G11">
        <v>12.72614583333333</v>
      </c>
      <c r="H11">
        <v>319456.1087117634</v>
      </c>
      <c r="I11" s="7">
        <v>1.1490853004252124</v>
      </c>
      <c r="J11" s="4">
        <v>380688.72879260319</v>
      </c>
      <c r="K11" s="7">
        <v>0.95740000000000003</v>
      </c>
      <c r="L11" s="7">
        <v>0.83</v>
      </c>
      <c r="M11" t="str">
        <f t="shared" si="0"/>
        <v>🔴 Dotación insuficiente</v>
      </c>
    </row>
    <row r="12" spans="1:18" hidden="1" x14ac:dyDescent="0.35">
      <c r="A12" s="3" t="s">
        <v>29</v>
      </c>
      <c r="B12" s="3" t="s">
        <v>29</v>
      </c>
      <c r="C12" t="s">
        <v>60</v>
      </c>
      <c r="D12" t="s">
        <v>72</v>
      </c>
      <c r="E12" s="4">
        <v>331314.73651044449</v>
      </c>
      <c r="F12" s="4">
        <v>4813873.9800000004</v>
      </c>
      <c r="G12">
        <v>14.529610215053765</v>
      </c>
      <c r="H12">
        <v>337415.15795977687</v>
      </c>
      <c r="I12" s="7">
        <v>0.9819201322008787</v>
      </c>
      <c r="J12" s="4">
        <v>348135.94846192392</v>
      </c>
      <c r="K12" s="7">
        <v>0.80769999999999997</v>
      </c>
      <c r="L12" s="7">
        <v>0.72</v>
      </c>
      <c r="M12" t="str">
        <f t="shared" si="0"/>
        <v>🚨 Dotación crítica</v>
      </c>
    </row>
    <row r="13" spans="1:18" hidden="1" x14ac:dyDescent="0.35">
      <c r="A13" s="3" t="s">
        <v>29</v>
      </c>
      <c r="B13" s="3" t="s">
        <v>29</v>
      </c>
      <c r="C13" t="s">
        <v>58</v>
      </c>
      <c r="D13" t="s">
        <v>73</v>
      </c>
      <c r="E13" s="4">
        <v>326244.15568766627</v>
      </c>
      <c r="F13" s="4">
        <v>4467352.9800000004</v>
      </c>
      <c r="G13">
        <v>13.693281249999997</v>
      </c>
      <c r="H13">
        <v>303569.46280184173</v>
      </c>
      <c r="I13" s="7">
        <v>1.0746935896534022</v>
      </c>
      <c r="J13" s="4">
        <v>334210.86783297703</v>
      </c>
      <c r="K13" s="7">
        <v>0.88039999999999996</v>
      </c>
      <c r="L13" s="7">
        <v>0.84</v>
      </c>
      <c r="M13" t="str">
        <f t="shared" si="0"/>
        <v>🚨 Dotación crítica</v>
      </c>
    </row>
    <row r="14" spans="1:18" hidden="1" x14ac:dyDescent="0.35">
      <c r="A14" s="3" t="s">
        <v>30</v>
      </c>
      <c r="B14" s="3" t="s">
        <v>30</v>
      </c>
      <c r="C14" t="s">
        <v>55</v>
      </c>
      <c r="D14" t="s">
        <v>74</v>
      </c>
      <c r="E14" s="4">
        <v>379297.98647879204</v>
      </c>
      <c r="F14" s="4">
        <v>5412467.5599999987</v>
      </c>
      <c r="G14">
        <v>14.269697580645158</v>
      </c>
      <c r="H14">
        <v>339251.76265357039</v>
      </c>
      <c r="I14" s="7">
        <v>1.1180427877868246</v>
      </c>
      <c r="J14" s="4">
        <v>322838.55224622384</v>
      </c>
      <c r="K14" s="7">
        <v>1.0303</v>
      </c>
      <c r="L14" s="7">
        <v>1.04</v>
      </c>
      <c r="M14" t="str">
        <f t="shared" si="0"/>
        <v>🟢 Operación eficiente</v>
      </c>
    </row>
    <row r="15" spans="1:18" hidden="1" x14ac:dyDescent="0.35">
      <c r="A15" s="3" t="s">
        <v>30</v>
      </c>
      <c r="B15" s="3" t="s">
        <v>30</v>
      </c>
      <c r="C15" t="s">
        <v>56</v>
      </c>
      <c r="D15" t="s">
        <v>75</v>
      </c>
      <c r="E15" s="4">
        <v>375166.84831872321</v>
      </c>
      <c r="F15" s="4">
        <v>5282497.980000006</v>
      </c>
      <c r="G15">
        <v>14.08039650537634</v>
      </c>
      <c r="H15">
        <v>330957.15566757444</v>
      </c>
      <c r="I15" s="7">
        <v>1.1335813167779174</v>
      </c>
      <c r="J15" s="4">
        <v>306649.42096085829</v>
      </c>
      <c r="K15" s="7">
        <v>1.0221</v>
      </c>
      <c r="L15" s="7">
        <v>0.97</v>
      </c>
      <c r="M15" t="str">
        <f t="shared" si="0"/>
        <v>🟢 Operación eficiente</v>
      </c>
    </row>
    <row r="16" spans="1:18" hidden="1" x14ac:dyDescent="0.35">
      <c r="A16" s="3" t="s">
        <v>30</v>
      </c>
      <c r="B16" s="3" t="s">
        <v>30</v>
      </c>
      <c r="C16" t="s">
        <v>59</v>
      </c>
      <c r="D16" t="s">
        <v>76</v>
      </c>
      <c r="E16" s="4">
        <v>350452.98401249194</v>
      </c>
      <c r="F16" s="4">
        <v>4884297.3100000024</v>
      </c>
      <c r="G16">
        <v>13.937097222222256</v>
      </c>
      <c r="H16">
        <v>289596.53818187752</v>
      </c>
      <c r="I16" s="7">
        <v>1.2101421730131121</v>
      </c>
      <c r="J16" s="4">
        <v>295775.78988664283</v>
      </c>
      <c r="K16" s="7">
        <v>1.0371999999999999</v>
      </c>
      <c r="L16" s="7">
        <v>1</v>
      </c>
      <c r="M16" t="str">
        <f t="shared" si="0"/>
        <v>🟢 Operación eficiente</v>
      </c>
      <c r="O16" s="7">
        <v>1.1180427877868246</v>
      </c>
      <c r="P16" s="7">
        <v>1.0303</v>
      </c>
      <c r="Q16" s="7">
        <v>1.04</v>
      </c>
    </row>
    <row r="17" spans="1:17" hidden="1" x14ac:dyDescent="0.35">
      <c r="A17" s="3" t="s">
        <v>30</v>
      </c>
      <c r="B17" s="3" t="s">
        <v>30</v>
      </c>
      <c r="C17" t="s">
        <v>60</v>
      </c>
      <c r="D17" t="s">
        <v>77</v>
      </c>
      <c r="E17" s="4">
        <v>345810.90997812542</v>
      </c>
      <c r="F17" s="4">
        <v>4640670.8600000003</v>
      </c>
      <c r="G17">
        <v>13.419677419354844</v>
      </c>
      <c r="H17">
        <v>304857.89801650692</v>
      </c>
      <c r="I17" s="7">
        <v>1.1343347580235597</v>
      </c>
      <c r="J17" s="4">
        <v>278713.5721138799</v>
      </c>
      <c r="K17" s="7">
        <v>0.99729999999999996</v>
      </c>
      <c r="L17" s="7">
        <v>1.1200000000000001</v>
      </c>
      <c r="M17" t="str">
        <f t="shared" si="0"/>
        <v>🟢 Operación eficiente</v>
      </c>
      <c r="O17" s="7">
        <v>1.1335813167779174</v>
      </c>
      <c r="P17" s="7">
        <v>1.0221</v>
      </c>
      <c r="Q17" s="7">
        <v>0.97</v>
      </c>
    </row>
    <row r="18" spans="1:17" hidden="1" x14ac:dyDescent="0.35">
      <c r="A18" s="3" t="s">
        <v>30</v>
      </c>
      <c r="B18" s="3" t="s">
        <v>30</v>
      </c>
      <c r="C18" t="s">
        <v>57</v>
      </c>
      <c r="D18" t="s">
        <v>78</v>
      </c>
      <c r="E18" s="4">
        <v>339699.42925209587</v>
      </c>
      <c r="F18" s="4">
        <v>4657968.0100000007</v>
      </c>
      <c r="G18">
        <v>13.712027777777793</v>
      </c>
      <c r="H18">
        <v>310173.76761613722</v>
      </c>
      <c r="I18" s="7">
        <v>1.0951907115256079</v>
      </c>
      <c r="J18" s="4">
        <v>280640.97029516631</v>
      </c>
      <c r="K18" s="7">
        <v>1.0073000000000001</v>
      </c>
      <c r="L18" s="7">
        <v>1.01</v>
      </c>
      <c r="M18" t="str">
        <f t="shared" si="0"/>
        <v>🟢 Operación eficiente</v>
      </c>
      <c r="O18" s="7">
        <v>1.2101421730131121</v>
      </c>
      <c r="P18" s="7">
        <v>1.0371999999999999</v>
      </c>
      <c r="Q18" s="7">
        <v>1</v>
      </c>
    </row>
    <row r="19" spans="1:17" hidden="1" x14ac:dyDescent="0.35">
      <c r="A19" s="3" t="s">
        <v>30</v>
      </c>
      <c r="B19" s="3" t="s">
        <v>30</v>
      </c>
      <c r="C19" t="s">
        <v>58</v>
      </c>
      <c r="D19" t="s">
        <v>79</v>
      </c>
      <c r="E19" s="4">
        <v>339682.39352487773</v>
      </c>
      <c r="F19" s="4">
        <v>4675462.7700000005</v>
      </c>
      <c r="G19">
        <v>13.76421875</v>
      </c>
      <c r="H19">
        <v>286467.49545104103</v>
      </c>
      <c r="I19" s="7">
        <v>1.1857624300099048</v>
      </c>
      <c r="J19" s="4">
        <v>252397.73211836771</v>
      </c>
      <c r="K19" s="7">
        <v>1.0185</v>
      </c>
      <c r="L19" s="7">
        <v>1.1000000000000001</v>
      </c>
      <c r="M19" t="str">
        <f t="shared" si="0"/>
        <v>🟢 Operación eficiente</v>
      </c>
      <c r="O19" s="7">
        <v>1.1343347580235597</v>
      </c>
      <c r="P19" s="7">
        <v>0.99729999999999996</v>
      </c>
      <c r="Q19" s="7">
        <v>1.1200000000000001</v>
      </c>
    </row>
    <row r="20" spans="1:17" hidden="1" x14ac:dyDescent="0.35">
      <c r="A20" s="3" t="s">
        <v>31</v>
      </c>
      <c r="B20" s="3" t="s">
        <v>31</v>
      </c>
      <c r="C20" t="s">
        <v>55</v>
      </c>
      <c r="D20" t="s">
        <v>80</v>
      </c>
      <c r="E20" s="4">
        <v>408727.37664243317</v>
      </c>
      <c r="F20" s="4">
        <v>6918765.6299999999</v>
      </c>
      <c r="G20">
        <v>16.927580645161289</v>
      </c>
      <c r="H20">
        <v>349555.9129038094</v>
      </c>
      <c r="I20" s="7">
        <v>1.1692761059227357</v>
      </c>
      <c r="J20" s="4">
        <v>407462.84782558726</v>
      </c>
      <c r="K20" s="7">
        <v>0.93100000000000005</v>
      </c>
      <c r="L20" s="7">
        <v>0.6</v>
      </c>
      <c r="M20" t="str">
        <f t="shared" si="0"/>
        <v>🚨 Dotación crítica</v>
      </c>
      <c r="O20" s="7">
        <v>1.0951907115256079</v>
      </c>
      <c r="P20" s="7">
        <v>1.0073000000000001</v>
      </c>
      <c r="Q20" s="7">
        <v>1.01</v>
      </c>
    </row>
    <row r="21" spans="1:17" hidden="1" x14ac:dyDescent="0.35">
      <c r="A21" s="3" t="s">
        <v>31</v>
      </c>
      <c r="B21" s="3" t="s">
        <v>31</v>
      </c>
      <c r="C21" t="s">
        <v>56</v>
      </c>
      <c r="D21" t="s">
        <v>81</v>
      </c>
      <c r="E21" s="4">
        <v>355813.94855942385</v>
      </c>
      <c r="F21" s="4">
        <v>5888273.6900000051</v>
      </c>
      <c r="G21">
        <v>16.548743279569926</v>
      </c>
      <c r="H21">
        <v>294642.70983449934</v>
      </c>
      <c r="I21" s="7">
        <v>1.2076115806811727</v>
      </c>
      <c r="J21" s="4">
        <v>265182.14660536096</v>
      </c>
      <c r="K21" s="7">
        <v>0.97709999999999997</v>
      </c>
      <c r="L21" s="7">
        <v>0.46</v>
      </c>
      <c r="M21" t="str">
        <f t="shared" si="0"/>
        <v>🔴 Dotación insuficiente</v>
      </c>
      <c r="O21" s="7">
        <v>1.1857624300099048</v>
      </c>
      <c r="P21" s="7">
        <v>1.0185</v>
      </c>
      <c r="Q21" s="7">
        <v>1.1000000000000001</v>
      </c>
    </row>
    <row r="22" spans="1:17" hidden="1" x14ac:dyDescent="0.35">
      <c r="A22" s="3" t="s">
        <v>31</v>
      </c>
      <c r="B22" s="3" t="s">
        <v>31</v>
      </c>
      <c r="C22" t="s">
        <v>57</v>
      </c>
      <c r="D22" t="s">
        <v>82</v>
      </c>
      <c r="E22" s="4">
        <v>333715.72953440319</v>
      </c>
      <c r="F22" s="4">
        <v>5343558.2299999986</v>
      </c>
      <c r="G22">
        <v>16.012305555555553</v>
      </c>
      <c r="H22">
        <v>281967.83488121745</v>
      </c>
      <c r="I22" s="7">
        <v>1.183524105417858</v>
      </c>
      <c r="J22" s="4">
        <v>264628.3687535263</v>
      </c>
      <c r="K22" s="7">
        <v>1.0396000000000001</v>
      </c>
      <c r="L22" s="7">
        <v>0.49</v>
      </c>
      <c r="M22" t="str">
        <f t="shared" si="0"/>
        <v>🔴 Dotación insuficiente</v>
      </c>
      <c r="O22" s="7">
        <v>1.1692761059227357</v>
      </c>
      <c r="P22" s="7">
        <v>0.93100000000000005</v>
      </c>
      <c r="Q22" s="7">
        <v>0.6</v>
      </c>
    </row>
    <row r="23" spans="1:17" hidden="1" x14ac:dyDescent="0.35">
      <c r="A23" s="3" t="s">
        <v>31</v>
      </c>
      <c r="B23" s="3" t="s">
        <v>31</v>
      </c>
      <c r="C23" t="s">
        <v>58</v>
      </c>
      <c r="D23" t="s">
        <v>83</v>
      </c>
      <c r="E23" s="4">
        <v>314429.88397881686</v>
      </c>
      <c r="F23" s="4">
        <v>5924972.620000001</v>
      </c>
      <c r="G23">
        <v>18.843541666666667</v>
      </c>
      <c r="H23">
        <v>284114.66827397444</v>
      </c>
      <c r="I23" s="7">
        <v>1.1067006356588713</v>
      </c>
      <c r="J23" s="4">
        <v>275397.28621111013</v>
      </c>
      <c r="K23" s="7">
        <v>0.8821</v>
      </c>
      <c r="L23" s="7">
        <v>0.86</v>
      </c>
      <c r="M23" t="str">
        <f t="shared" si="0"/>
        <v>🚨 Dotación crítica</v>
      </c>
      <c r="O23" s="7">
        <v>1.2076115806811727</v>
      </c>
      <c r="P23" s="7">
        <v>0.97709999999999997</v>
      </c>
      <c r="Q23" s="7">
        <v>0.46</v>
      </c>
    </row>
    <row r="24" spans="1:17" hidden="1" x14ac:dyDescent="0.35">
      <c r="A24" s="3" t="s">
        <v>31</v>
      </c>
      <c r="B24" s="3" t="s">
        <v>31</v>
      </c>
      <c r="C24" t="s">
        <v>59</v>
      </c>
      <c r="D24" t="s">
        <v>84</v>
      </c>
      <c r="E24" s="4">
        <v>299724.99788531329</v>
      </c>
      <c r="F24" s="4">
        <v>5024700.1800000053</v>
      </c>
      <c r="G24">
        <v>16.764368055555565</v>
      </c>
      <c r="H24">
        <v>255645.91782180979</v>
      </c>
      <c r="I24" s="7">
        <v>1.1724223896828561</v>
      </c>
      <c r="J24" s="4">
        <v>245081.16683159248</v>
      </c>
      <c r="K24" s="7">
        <v>1.0693999999999999</v>
      </c>
      <c r="L24" s="7">
        <v>0.48</v>
      </c>
      <c r="M24" t="str">
        <f t="shared" si="0"/>
        <v>🔴 Dotación insuficiente</v>
      </c>
      <c r="O24" s="7">
        <v>1.183524105417858</v>
      </c>
      <c r="P24" s="7">
        <v>1.0396000000000001</v>
      </c>
      <c r="Q24" s="7">
        <v>0.49</v>
      </c>
    </row>
    <row r="25" spans="1:17" hidden="1" x14ac:dyDescent="0.35">
      <c r="A25" s="3" t="s">
        <v>31</v>
      </c>
      <c r="B25" s="3" t="s">
        <v>31</v>
      </c>
      <c r="C25" t="s">
        <v>60</v>
      </c>
      <c r="D25" t="s">
        <v>85</v>
      </c>
      <c r="E25" s="4">
        <v>272846.96277990018</v>
      </c>
      <c r="F25" s="4">
        <v>4917732.78</v>
      </c>
      <c r="G25">
        <v>18.023776881720433</v>
      </c>
      <c r="H25">
        <v>289613.22652728553</v>
      </c>
      <c r="I25" s="7">
        <v>0.94210808688391945</v>
      </c>
      <c r="J25" s="4">
        <v>259013.6440289309</v>
      </c>
      <c r="K25" s="7">
        <v>0.85089999999999999</v>
      </c>
      <c r="L25" s="7">
        <v>0.86</v>
      </c>
      <c r="M25" t="str">
        <f t="shared" si="0"/>
        <v>🚨 Dotación crítica</v>
      </c>
      <c r="O25" s="7">
        <v>1.1067006356588713</v>
      </c>
      <c r="P25" s="7">
        <v>0.8821</v>
      </c>
      <c r="Q25" s="7">
        <v>0.86</v>
      </c>
    </row>
    <row r="26" spans="1:17" hidden="1" x14ac:dyDescent="0.35">
      <c r="A26" s="3" t="s">
        <v>32</v>
      </c>
      <c r="B26" s="3" t="s">
        <v>32</v>
      </c>
      <c r="C26" t="s">
        <v>55</v>
      </c>
      <c r="D26" t="s">
        <v>86</v>
      </c>
      <c r="E26" s="4">
        <v>387601.62640388188</v>
      </c>
      <c r="F26" s="4">
        <v>12185747.100000001</v>
      </c>
      <c r="G26">
        <v>31.438844086021511</v>
      </c>
      <c r="H26">
        <v>346725.37682351511</v>
      </c>
      <c r="I26" s="7">
        <v>1.1178922926116623</v>
      </c>
      <c r="J26" s="4">
        <v>351341.81036137347</v>
      </c>
      <c r="K26" s="7">
        <v>1.0593999999999999</v>
      </c>
      <c r="L26" s="7">
        <v>1.21</v>
      </c>
      <c r="M26" t="str">
        <f t="shared" si="0"/>
        <v>🟢 Operación eficiente</v>
      </c>
      <c r="O26" s="7">
        <v>1.1724223896828561</v>
      </c>
      <c r="P26" s="7">
        <v>1.0693999999999999</v>
      </c>
      <c r="Q26" s="7">
        <v>0.48</v>
      </c>
    </row>
    <row r="27" spans="1:17" hidden="1" x14ac:dyDescent="0.35">
      <c r="A27" s="3" t="s">
        <v>32</v>
      </c>
      <c r="B27" s="3" t="s">
        <v>32</v>
      </c>
      <c r="C27" t="s">
        <v>56</v>
      </c>
      <c r="D27" t="s">
        <v>87</v>
      </c>
      <c r="E27" s="4">
        <v>331870.00653012341</v>
      </c>
      <c r="F27" s="4">
        <v>9750327.410000002</v>
      </c>
      <c r="G27">
        <v>29.379959677419592</v>
      </c>
      <c r="H27">
        <v>274004.07323047461</v>
      </c>
      <c r="I27" s="7">
        <v>1.2111863981342195</v>
      </c>
      <c r="J27" s="4">
        <v>265493.47478296614</v>
      </c>
      <c r="K27" s="7">
        <v>1.1166</v>
      </c>
      <c r="L27" s="7">
        <v>1.1200000000000001</v>
      </c>
      <c r="M27" t="str">
        <f t="shared" si="0"/>
        <v>🟢 Operación eficiente</v>
      </c>
      <c r="O27" s="7">
        <v>0.94210808688391945</v>
      </c>
      <c r="P27" s="7">
        <v>0.85089999999999999</v>
      </c>
      <c r="Q27" s="7">
        <v>0.86</v>
      </c>
    </row>
    <row r="28" spans="1:17" hidden="1" x14ac:dyDescent="0.35">
      <c r="A28" s="3" t="s">
        <v>32</v>
      </c>
      <c r="B28" s="3" t="s">
        <v>32</v>
      </c>
      <c r="C28" t="s">
        <v>58</v>
      </c>
      <c r="D28" t="s">
        <v>88</v>
      </c>
      <c r="E28" s="4">
        <v>327628.54673001438</v>
      </c>
      <c r="F28" s="4">
        <v>10250439.260000002</v>
      </c>
      <c r="G28">
        <v>31.286770833333335</v>
      </c>
      <c r="H28">
        <v>286758.43088548799</v>
      </c>
      <c r="I28" s="7">
        <v>1.1425245483395994</v>
      </c>
      <c r="J28" s="4">
        <v>285726.68693484389</v>
      </c>
      <c r="K28" s="7">
        <v>0.9456</v>
      </c>
      <c r="L28" s="7">
        <v>1.39</v>
      </c>
      <c r="M28" t="s">
        <v>139</v>
      </c>
      <c r="O28" s="7">
        <v>1.1178922926116623</v>
      </c>
      <c r="P28" s="7">
        <v>1.0593999999999999</v>
      </c>
      <c r="Q28" s="7">
        <v>1.21</v>
      </c>
    </row>
    <row r="29" spans="1:17" hidden="1" x14ac:dyDescent="0.35">
      <c r="A29" s="3" t="s">
        <v>32</v>
      </c>
      <c r="B29" s="3" t="s">
        <v>32</v>
      </c>
      <c r="C29" t="s">
        <v>57</v>
      </c>
      <c r="D29" t="s">
        <v>89</v>
      </c>
      <c r="E29" s="4">
        <v>319268.45947695954</v>
      </c>
      <c r="F29" s="4">
        <v>9496638.1099999994</v>
      </c>
      <c r="G29">
        <v>29.744993055555295</v>
      </c>
      <c r="H29">
        <v>263972.34448846814</v>
      </c>
      <c r="I29" s="7">
        <v>1.2094769249242587</v>
      </c>
      <c r="J29" s="4">
        <v>257242.99210337401</v>
      </c>
      <c r="K29" s="7">
        <v>1.1746000000000001</v>
      </c>
      <c r="L29" s="7">
        <v>1.18</v>
      </c>
      <c r="M29" t="str">
        <f t="shared" si="0"/>
        <v>🟢 Operación eficiente</v>
      </c>
      <c r="O29" s="7">
        <v>1.2111863981342195</v>
      </c>
      <c r="P29" s="7">
        <v>1.1166</v>
      </c>
      <c r="Q29" s="7">
        <v>1.1200000000000001</v>
      </c>
    </row>
    <row r="30" spans="1:17" hidden="1" x14ac:dyDescent="0.35">
      <c r="A30" s="3" t="s">
        <v>32</v>
      </c>
      <c r="B30" s="3" t="s">
        <v>32</v>
      </c>
      <c r="C30" t="s">
        <v>59</v>
      </c>
      <c r="D30" t="s">
        <v>90</v>
      </c>
      <c r="E30" s="4">
        <v>311190.86624792969</v>
      </c>
      <c r="F30" s="4">
        <v>8909001.1899999939</v>
      </c>
      <c r="G30">
        <v>28.628736111110925</v>
      </c>
      <c r="H30">
        <v>251487.4798370091</v>
      </c>
      <c r="I30" s="7">
        <v>1.2374010286699553</v>
      </c>
      <c r="J30" s="4">
        <v>242457.40465777143</v>
      </c>
      <c r="K30" s="7">
        <v>0.95689999999999997</v>
      </c>
      <c r="L30" s="7">
        <v>1.1499999999999999</v>
      </c>
      <c r="M30" t="str">
        <f t="shared" si="0"/>
        <v>🟢 Operación eficiente</v>
      </c>
      <c r="O30" s="7">
        <v>1.1425245483395994</v>
      </c>
      <c r="P30" s="7">
        <v>0.9456</v>
      </c>
      <c r="Q30" s="7">
        <v>1.39</v>
      </c>
    </row>
    <row r="31" spans="1:17" hidden="1" x14ac:dyDescent="0.35">
      <c r="A31" s="3" t="s">
        <v>32</v>
      </c>
      <c r="B31" s="3" t="s">
        <v>32</v>
      </c>
      <c r="C31" t="s">
        <v>60</v>
      </c>
      <c r="D31" t="s">
        <v>91</v>
      </c>
      <c r="E31" s="4">
        <v>276111.91004464577</v>
      </c>
      <c r="F31" s="4">
        <v>8889803.3399999999</v>
      </c>
      <c r="G31">
        <v>32.196377688172042</v>
      </c>
      <c r="H31">
        <v>266305.7683918401</v>
      </c>
      <c r="I31" s="7">
        <v>1.036822866106216</v>
      </c>
      <c r="J31" s="4">
        <v>277111.45661425882</v>
      </c>
      <c r="K31" s="7">
        <v>0.91839999999999999</v>
      </c>
      <c r="L31" s="7">
        <v>1.41</v>
      </c>
      <c r="M31" s="12" t="s">
        <v>136</v>
      </c>
      <c r="O31" s="7">
        <v>1.2094769249242587</v>
      </c>
      <c r="P31" s="7">
        <v>1.1746000000000001</v>
      </c>
      <c r="Q31" s="7">
        <v>1.18</v>
      </c>
    </row>
    <row r="32" spans="1:17" hidden="1" x14ac:dyDescent="0.35">
      <c r="A32" s="3" t="s">
        <v>33</v>
      </c>
      <c r="B32" s="3" t="s">
        <v>33</v>
      </c>
      <c r="C32" t="s">
        <v>56</v>
      </c>
      <c r="D32" t="s">
        <v>92</v>
      </c>
      <c r="E32" s="4">
        <v>330149.07720633096</v>
      </c>
      <c r="F32" s="4">
        <v>6417075.2199999979</v>
      </c>
      <c r="G32">
        <v>19.436901881720431</v>
      </c>
      <c r="H32">
        <v>360970.58355302253</v>
      </c>
      <c r="I32" s="7">
        <v>0.91461490838584014</v>
      </c>
      <c r="J32" s="4">
        <v>359897.94152918726</v>
      </c>
      <c r="K32" s="7">
        <v>1.0311999999999999</v>
      </c>
      <c r="L32" s="7">
        <v>0.89</v>
      </c>
      <c r="M32" t="s">
        <v>137</v>
      </c>
      <c r="O32" s="7">
        <v>1.2374010286699553</v>
      </c>
      <c r="P32" s="7">
        <v>0.95689999999999997</v>
      </c>
      <c r="Q32" s="7">
        <v>1.1499999999999999</v>
      </c>
    </row>
    <row r="33" spans="1:17" hidden="1" x14ac:dyDescent="0.35">
      <c r="A33" s="3" t="s">
        <v>33</v>
      </c>
      <c r="B33" s="3" t="s">
        <v>33</v>
      </c>
      <c r="C33" t="s">
        <v>55</v>
      </c>
      <c r="D33" t="s">
        <v>93</v>
      </c>
      <c r="E33" s="4">
        <v>329855.9722604641</v>
      </c>
      <c r="F33" s="4">
        <v>6954425.7299999995</v>
      </c>
      <c r="G33">
        <v>21.083219086021515</v>
      </c>
      <c r="H33">
        <v>419910.47857971286</v>
      </c>
      <c r="I33" s="7">
        <v>0.78553879716494512</v>
      </c>
      <c r="J33" s="4">
        <v>428084.77392627945</v>
      </c>
      <c r="K33" s="7">
        <v>0.95489999999999997</v>
      </c>
      <c r="L33" s="7">
        <v>1.1200000000000001</v>
      </c>
      <c r="M33" t="str">
        <f t="shared" si="0"/>
        <v>🟠 Sobredotada</v>
      </c>
      <c r="O33" s="7">
        <v>1.036822866106216</v>
      </c>
      <c r="P33" s="7">
        <v>0.91839999999999999</v>
      </c>
      <c r="Q33" s="7">
        <v>1.41</v>
      </c>
    </row>
    <row r="34" spans="1:17" hidden="1" x14ac:dyDescent="0.35">
      <c r="A34" s="3" t="s">
        <v>33</v>
      </c>
      <c r="B34" s="3" t="s">
        <v>33</v>
      </c>
      <c r="C34" t="s">
        <v>60</v>
      </c>
      <c r="D34" t="s">
        <v>94</v>
      </c>
      <c r="E34" s="4">
        <v>326343.41649578389</v>
      </c>
      <c r="F34" s="4">
        <v>6812896.9299999988</v>
      </c>
      <c r="G34">
        <v>20.876465053763436</v>
      </c>
      <c r="H34">
        <v>329126.11980169598</v>
      </c>
      <c r="I34" s="7">
        <v>0.99154517633669215</v>
      </c>
      <c r="J34" s="4">
        <v>374185.32003455888</v>
      </c>
      <c r="K34" s="7">
        <v>0.91600000000000004</v>
      </c>
      <c r="L34" s="7">
        <v>0.92</v>
      </c>
      <c r="M34" t="str">
        <f t="shared" si="0"/>
        <v>🟡 Baja demanda</v>
      </c>
      <c r="O34" s="7">
        <v>0.91461490838584014</v>
      </c>
      <c r="P34" s="7">
        <v>1.0311999999999999</v>
      </c>
      <c r="Q34" s="7">
        <v>0.89</v>
      </c>
    </row>
    <row r="35" spans="1:17" hidden="1" x14ac:dyDescent="0.35">
      <c r="A35" s="3" t="s">
        <v>33</v>
      </c>
      <c r="B35" s="3" t="s">
        <v>33</v>
      </c>
      <c r="C35" t="s">
        <v>57</v>
      </c>
      <c r="D35" t="s">
        <v>95</v>
      </c>
      <c r="E35" s="4">
        <v>315519.6226129217</v>
      </c>
      <c r="F35" s="4">
        <v>6247253.469999996</v>
      </c>
      <c r="G35">
        <v>19.799888888888866</v>
      </c>
      <c r="H35">
        <v>359515.06427116657</v>
      </c>
      <c r="I35" s="7">
        <v>0.87762559616956404</v>
      </c>
      <c r="J35" s="4">
        <v>386130.39538650884</v>
      </c>
      <c r="K35" s="7">
        <v>1.0503</v>
      </c>
      <c r="L35" s="7">
        <v>0.81</v>
      </c>
      <c r="M35" t="s">
        <v>137</v>
      </c>
      <c r="O35" s="7">
        <v>0.78553879716494512</v>
      </c>
      <c r="P35" s="7">
        <v>0.95489999999999997</v>
      </c>
      <c r="Q35" s="7">
        <v>1.1200000000000001</v>
      </c>
    </row>
    <row r="36" spans="1:17" hidden="1" x14ac:dyDescent="0.35">
      <c r="A36" s="3" t="s">
        <v>33</v>
      </c>
      <c r="B36" s="3" t="s">
        <v>33</v>
      </c>
      <c r="C36" t="s">
        <v>58</v>
      </c>
      <c r="D36" t="s">
        <v>96</v>
      </c>
      <c r="E36" s="4">
        <v>304354.47594954428</v>
      </c>
      <c r="F36" s="4">
        <v>6341257.21</v>
      </c>
      <c r="G36">
        <v>20.835104166666667</v>
      </c>
      <c r="H36">
        <v>323832.095092231</v>
      </c>
      <c r="I36" s="7">
        <v>0.93985272171018353</v>
      </c>
      <c r="J36" s="4">
        <v>366733.81233946711</v>
      </c>
      <c r="K36" s="7">
        <v>0.8881</v>
      </c>
      <c r="L36" s="7">
        <v>0.98</v>
      </c>
      <c r="M36" t="str">
        <f t="shared" si="0"/>
        <v>🟡 Baja demanda</v>
      </c>
      <c r="O36" s="7">
        <v>0.99154517633669215</v>
      </c>
      <c r="P36" s="7">
        <v>0.91600000000000004</v>
      </c>
      <c r="Q36" s="7">
        <v>0.92</v>
      </c>
    </row>
    <row r="37" spans="1:17" hidden="1" x14ac:dyDescent="0.35">
      <c r="A37" s="3" t="s">
        <v>33</v>
      </c>
      <c r="B37" s="3" t="s">
        <v>33</v>
      </c>
      <c r="C37" t="s">
        <v>59</v>
      </c>
      <c r="D37" t="s">
        <v>97</v>
      </c>
      <c r="E37" s="4">
        <v>304303.16150262632</v>
      </c>
      <c r="F37" s="4">
        <v>5361502.6100000003</v>
      </c>
      <c r="G37">
        <v>17.618951388888963</v>
      </c>
      <c r="H37">
        <v>318037.4908809638</v>
      </c>
      <c r="I37" s="7">
        <v>0.95681537626179414</v>
      </c>
      <c r="J37" s="4">
        <v>323179.38141168031</v>
      </c>
      <c r="K37" s="7">
        <v>1.0423</v>
      </c>
      <c r="L37" s="7">
        <v>0.67</v>
      </c>
      <c r="M37" t="s">
        <v>137</v>
      </c>
      <c r="O37" s="7">
        <v>0.87762559616956404</v>
      </c>
      <c r="P37" s="7">
        <v>1.0503</v>
      </c>
      <c r="Q37" s="7">
        <v>0.81</v>
      </c>
    </row>
    <row r="38" spans="1:17" hidden="1" x14ac:dyDescent="0.35">
      <c r="A38" s="3" t="s">
        <v>34</v>
      </c>
      <c r="B38" s="3" t="s">
        <v>34</v>
      </c>
      <c r="C38" t="s">
        <v>55</v>
      </c>
      <c r="D38" t="s">
        <v>98</v>
      </c>
      <c r="E38" s="4">
        <v>394997.63550881506</v>
      </c>
      <c r="F38" s="4">
        <v>7065610.46</v>
      </c>
      <c r="G38">
        <v>17.887728494623655</v>
      </c>
      <c r="H38">
        <v>346846.24819560332</v>
      </c>
      <c r="I38" s="7">
        <v>1.1388263173198774</v>
      </c>
      <c r="J38" s="4">
        <v>424540.25519598345</v>
      </c>
      <c r="K38" s="7">
        <v>1.0156000000000001</v>
      </c>
      <c r="L38" s="7">
        <v>1.19</v>
      </c>
      <c r="M38" t="str">
        <f t="shared" si="0"/>
        <v>🟢 Operación eficiente</v>
      </c>
      <c r="O38" s="7">
        <v>0.93985272171018353</v>
      </c>
      <c r="P38" s="7">
        <v>0.8881</v>
      </c>
      <c r="Q38" s="7">
        <v>0.98</v>
      </c>
    </row>
    <row r="39" spans="1:17" hidden="1" x14ac:dyDescent="0.35">
      <c r="A39" s="3" t="s">
        <v>34</v>
      </c>
      <c r="B39" s="3" t="s">
        <v>34</v>
      </c>
      <c r="C39" t="s">
        <v>58</v>
      </c>
      <c r="D39" t="s">
        <v>99</v>
      </c>
      <c r="E39" s="4">
        <v>352283.43651807203</v>
      </c>
      <c r="F39" s="4">
        <v>5847483.04</v>
      </c>
      <c r="G39">
        <v>16.598802083333332</v>
      </c>
      <c r="H39">
        <v>268941.63678385498</v>
      </c>
      <c r="I39" s="7">
        <v>1.3098880512919531</v>
      </c>
      <c r="J39" s="4">
        <v>310503.0251002388</v>
      </c>
      <c r="K39" s="7">
        <v>0.99270000000000003</v>
      </c>
      <c r="L39" s="7">
        <v>1.21</v>
      </c>
      <c r="M39" t="str">
        <f t="shared" si="0"/>
        <v>🟢 Operación eficiente</v>
      </c>
      <c r="O39" s="7">
        <v>0.95681537626179414</v>
      </c>
      <c r="P39" s="7">
        <v>1.0423</v>
      </c>
      <c r="Q39" s="7">
        <v>0.67</v>
      </c>
    </row>
    <row r="40" spans="1:17" hidden="1" x14ac:dyDescent="0.35">
      <c r="A40" s="3" t="s">
        <v>34</v>
      </c>
      <c r="B40" s="3" t="s">
        <v>34</v>
      </c>
      <c r="C40" t="s">
        <v>60</v>
      </c>
      <c r="D40" t="s">
        <v>100</v>
      </c>
      <c r="E40" s="4">
        <v>305489.76376705442</v>
      </c>
      <c r="F40" s="4">
        <v>5536704.2799999984</v>
      </c>
      <c r="G40">
        <v>18.124025537634413</v>
      </c>
      <c r="H40">
        <v>289190.17051316419</v>
      </c>
      <c r="I40" s="7">
        <v>1.0563628882163139</v>
      </c>
      <c r="J40" s="4">
        <v>289267.73314784555</v>
      </c>
      <c r="K40" s="7">
        <v>0.8982</v>
      </c>
      <c r="L40" s="7">
        <v>1.37</v>
      </c>
      <c r="M40" s="12" t="s">
        <v>136</v>
      </c>
      <c r="O40" s="7">
        <v>1.1388263173198774</v>
      </c>
      <c r="P40" s="7">
        <v>1.0156000000000001</v>
      </c>
      <c r="Q40" s="7">
        <v>1.19</v>
      </c>
    </row>
    <row r="41" spans="1:17" hidden="1" x14ac:dyDescent="0.35">
      <c r="A41" s="3" t="s">
        <v>34</v>
      </c>
      <c r="B41" s="3" t="s">
        <v>34</v>
      </c>
      <c r="C41" t="s">
        <v>57</v>
      </c>
      <c r="D41" t="s">
        <v>101</v>
      </c>
      <c r="E41" s="4">
        <v>295596.15068761713</v>
      </c>
      <c r="F41" s="4">
        <v>5307730.6400000015</v>
      </c>
      <c r="G41">
        <v>17.956020833333362</v>
      </c>
      <c r="H41">
        <v>274467.4456676222</v>
      </c>
      <c r="I41" s="7">
        <v>1.0769807325185721</v>
      </c>
      <c r="J41" s="4">
        <v>333435.62708772084</v>
      </c>
      <c r="K41" s="7">
        <v>1.0197000000000001</v>
      </c>
      <c r="L41" s="7">
        <v>1.1599999999999999</v>
      </c>
      <c r="M41" t="str">
        <f t="shared" si="0"/>
        <v>🟢 Operación eficiente</v>
      </c>
      <c r="O41" s="7">
        <v>1.3098880512919531</v>
      </c>
      <c r="P41" s="7">
        <v>0.99270000000000003</v>
      </c>
      <c r="Q41" s="7">
        <v>1.21</v>
      </c>
    </row>
    <row r="42" spans="1:17" hidden="1" x14ac:dyDescent="0.35">
      <c r="A42" s="3" t="s">
        <v>34</v>
      </c>
      <c r="B42" s="3" t="s">
        <v>34</v>
      </c>
      <c r="C42" t="s">
        <v>59</v>
      </c>
      <c r="D42" t="s">
        <v>102</v>
      </c>
      <c r="E42" s="4">
        <v>282124.50681200391</v>
      </c>
      <c r="F42" s="4">
        <v>4798622.4300000006</v>
      </c>
      <c r="G42">
        <v>17.008881944444493</v>
      </c>
      <c r="H42">
        <v>257158.54463464438</v>
      </c>
      <c r="I42" s="7">
        <v>1.097083930121123</v>
      </c>
      <c r="J42" s="4">
        <v>304387.01939312945</v>
      </c>
      <c r="K42" s="7">
        <v>0.98519999999999996</v>
      </c>
      <c r="L42" s="7">
        <v>1.31</v>
      </c>
      <c r="M42" t="str">
        <f t="shared" si="0"/>
        <v>🟢 Operación eficiente</v>
      </c>
      <c r="O42" s="7">
        <v>1.0563628882163139</v>
      </c>
      <c r="P42" s="7">
        <v>0.8982</v>
      </c>
      <c r="Q42" s="7">
        <v>1.37</v>
      </c>
    </row>
    <row r="43" spans="1:17" hidden="1" x14ac:dyDescent="0.35">
      <c r="A43" s="3" t="s">
        <v>34</v>
      </c>
      <c r="B43" s="3" t="s">
        <v>34</v>
      </c>
      <c r="C43" t="s">
        <v>56</v>
      </c>
      <c r="D43" t="s">
        <v>103</v>
      </c>
      <c r="E43" s="4">
        <v>278587.80614498915</v>
      </c>
      <c r="F43" s="4">
        <v>5411043.9100000029</v>
      </c>
      <c r="G43">
        <v>19.423118279569859</v>
      </c>
      <c r="H43">
        <v>286148.67801166535</v>
      </c>
      <c r="I43" s="7">
        <v>0.97357712109937489</v>
      </c>
      <c r="J43" s="4">
        <v>350001.40660938184</v>
      </c>
      <c r="K43" s="7">
        <v>1.0097</v>
      </c>
      <c r="L43" s="7">
        <v>1.27</v>
      </c>
      <c r="M43" t="str">
        <f t="shared" si="0"/>
        <v>🟠 Sobredotada</v>
      </c>
      <c r="O43" s="7">
        <v>1.0769807325185721</v>
      </c>
      <c r="P43" s="7">
        <v>1.0197000000000001</v>
      </c>
      <c r="Q43" s="7">
        <v>1.1599999999999999</v>
      </c>
    </row>
    <row r="44" spans="1:17" hidden="1" x14ac:dyDescent="0.35">
      <c r="A44" s="3" t="s">
        <v>35</v>
      </c>
      <c r="B44" s="3" t="s">
        <v>35</v>
      </c>
      <c r="C44" t="s">
        <v>55</v>
      </c>
      <c r="D44" t="s">
        <v>104</v>
      </c>
      <c r="E44" s="4">
        <v>378883.25344866823</v>
      </c>
      <c r="F44" s="4">
        <v>14181121.479999999</v>
      </c>
      <c r="G44">
        <v>37.4287365591398</v>
      </c>
      <c r="H44">
        <v>383327.87100241816</v>
      </c>
      <c r="I44" s="7">
        <v>0.9884051802908902</v>
      </c>
      <c r="J44" s="4">
        <v>427201.99366488284</v>
      </c>
      <c r="K44" s="7">
        <v>1.0181</v>
      </c>
      <c r="L44" s="7">
        <v>1.01</v>
      </c>
      <c r="M44" t="str">
        <f t="shared" si="0"/>
        <v>🟡 Baja demanda</v>
      </c>
      <c r="O44" s="7">
        <v>1.097083930121123</v>
      </c>
      <c r="P44" s="7">
        <v>0.98519999999999996</v>
      </c>
      <c r="Q44" s="7">
        <v>1.31</v>
      </c>
    </row>
    <row r="45" spans="1:17" hidden="1" x14ac:dyDescent="0.35">
      <c r="A45" s="3" t="s">
        <v>35</v>
      </c>
      <c r="B45" s="3" t="s">
        <v>35</v>
      </c>
      <c r="C45" t="s">
        <v>58</v>
      </c>
      <c r="D45" t="s">
        <v>105</v>
      </c>
      <c r="E45" s="4">
        <v>359021.26444284694</v>
      </c>
      <c r="F45" s="4">
        <v>11418203.840000002</v>
      </c>
      <c r="G45">
        <v>31.803697916666664</v>
      </c>
      <c r="H45">
        <v>284731.31024735328</v>
      </c>
      <c r="I45" s="7">
        <v>1.2609124866912462</v>
      </c>
      <c r="J45" s="4">
        <v>255166.74036278791</v>
      </c>
      <c r="K45" s="7">
        <v>0.99380000000000002</v>
      </c>
      <c r="L45" s="7">
        <v>0.98</v>
      </c>
      <c r="M45" t="str">
        <f t="shared" si="0"/>
        <v>🟢 Operación eficiente</v>
      </c>
      <c r="O45" s="7">
        <v>0.97357712109937489</v>
      </c>
      <c r="P45" s="7">
        <v>1.0097</v>
      </c>
      <c r="Q45" s="7">
        <v>1.27</v>
      </c>
    </row>
    <row r="46" spans="1:17" hidden="1" x14ac:dyDescent="0.35">
      <c r="A46" s="3" t="s">
        <v>35</v>
      </c>
      <c r="B46" s="3" t="s">
        <v>35</v>
      </c>
      <c r="C46" t="s">
        <v>60</v>
      </c>
      <c r="D46" t="s">
        <v>106</v>
      </c>
      <c r="E46" s="4">
        <v>304536.27869035956</v>
      </c>
      <c r="F46" s="4">
        <v>9671988.2999999989</v>
      </c>
      <c r="G46">
        <v>31.759724462365593</v>
      </c>
      <c r="H46">
        <v>263006.72692396154</v>
      </c>
      <c r="I46" s="7">
        <v>1.1579030021479439</v>
      </c>
      <c r="J46" s="4">
        <v>281269.15347146871</v>
      </c>
      <c r="K46" s="7">
        <v>0.95240000000000002</v>
      </c>
      <c r="L46" s="7">
        <v>0.92</v>
      </c>
      <c r="M46" t="str">
        <f t="shared" si="0"/>
        <v>🟢 Operación eficiente</v>
      </c>
      <c r="O46" s="7">
        <v>0.9884051802908902</v>
      </c>
      <c r="P46" s="7">
        <v>1.0181</v>
      </c>
      <c r="Q46" s="7">
        <v>1.01</v>
      </c>
    </row>
    <row r="47" spans="1:17" hidden="1" x14ac:dyDescent="0.35">
      <c r="A47" s="3" t="s">
        <v>35</v>
      </c>
      <c r="B47" s="3" t="s">
        <v>35</v>
      </c>
      <c r="C47" t="s">
        <v>57</v>
      </c>
      <c r="D47" t="s">
        <v>107</v>
      </c>
      <c r="E47" s="4">
        <v>295866.82853526634</v>
      </c>
      <c r="F47" s="4">
        <v>10715431.530000001</v>
      </c>
      <c r="G47">
        <v>36.217076388888785</v>
      </c>
      <c r="H47">
        <v>280722.61264612048</v>
      </c>
      <c r="I47" s="7">
        <v>1.0539472604162341</v>
      </c>
      <c r="J47" s="4">
        <v>267135.82088081085</v>
      </c>
      <c r="K47" s="7">
        <v>1.0254000000000001</v>
      </c>
      <c r="L47" s="7">
        <v>0.94</v>
      </c>
      <c r="M47" t="str">
        <f t="shared" si="0"/>
        <v>🟢 Operación eficiente</v>
      </c>
      <c r="O47" s="7">
        <v>1.2609124866912462</v>
      </c>
      <c r="P47" s="7">
        <v>0.99380000000000002</v>
      </c>
      <c r="Q47" s="7">
        <v>0.98</v>
      </c>
    </row>
    <row r="48" spans="1:17" hidden="1" x14ac:dyDescent="0.35">
      <c r="A48" s="3" t="s">
        <v>35</v>
      </c>
      <c r="B48" s="3" t="s">
        <v>35</v>
      </c>
      <c r="C48" t="s">
        <v>56</v>
      </c>
      <c r="D48" t="s">
        <v>108</v>
      </c>
      <c r="E48" s="4">
        <v>289038.61916825257</v>
      </c>
      <c r="F48" s="4">
        <v>10519809.180000007</v>
      </c>
      <c r="G48">
        <v>36.395860215054206</v>
      </c>
      <c r="H48">
        <v>289463.34901629569</v>
      </c>
      <c r="I48" s="7">
        <v>0.99853269904640252</v>
      </c>
      <c r="J48" s="4">
        <v>303150.62542225246</v>
      </c>
      <c r="K48" s="7">
        <v>1.0529999999999999</v>
      </c>
      <c r="L48" s="7">
        <v>0.85</v>
      </c>
      <c r="M48" s="12" t="s">
        <v>139</v>
      </c>
      <c r="O48" s="7">
        <v>1.1579030021479439</v>
      </c>
      <c r="P48" s="7">
        <v>0.95240000000000002</v>
      </c>
      <c r="Q48" s="7">
        <v>0.92</v>
      </c>
    </row>
    <row r="49" spans="1:17" hidden="1" x14ac:dyDescent="0.35">
      <c r="A49" s="3" t="s">
        <v>35</v>
      </c>
      <c r="B49" s="3" t="s">
        <v>35</v>
      </c>
      <c r="C49" t="s">
        <v>59</v>
      </c>
      <c r="D49" t="s">
        <v>109</v>
      </c>
      <c r="E49" s="4">
        <v>262535.05290991004</v>
      </c>
      <c r="F49" s="4">
        <v>9440753.2100000046</v>
      </c>
      <c r="G49">
        <v>35.959972222222213</v>
      </c>
      <c r="H49">
        <v>255365.31341654711</v>
      </c>
      <c r="I49" s="7">
        <v>1.0280764031631335</v>
      </c>
      <c r="J49" s="4">
        <v>211661.72654477911</v>
      </c>
      <c r="K49" s="7">
        <v>1.0767</v>
      </c>
      <c r="L49" s="7">
        <v>0.97</v>
      </c>
      <c r="M49" t="str">
        <f t="shared" si="0"/>
        <v>🟢 Operación eficiente</v>
      </c>
      <c r="O49" s="7">
        <v>1.0539472604162341</v>
      </c>
      <c r="P49" s="7">
        <v>1.0254000000000001</v>
      </c>
      <c r="Q49" s="7">
        <v>0.94</v>
      </c>
    </row>
    <row r="50" spans="1:17" hidden="1" x14ac:dyDescent="0.35">
      <c r="A50" s="3" t="s">
        <v>36</v>
      </c>
      <c r="B50" s="3" t="s">
        <v>36</v>
      </c>
      <c r="C50" t="s">
        <v>59</v>
      </c>
      <c r="D50" t="s">
        <v>110</v>
      </c>
      <c r="E50" s="4">
        <v>322394.69733550266</v>
      </c>
      <c r="F50" s="4">
        <v>9639621.6000000015</v>
      </c>
      <c r="G50">
        <v>29.900062499999652</v>
      </c>
      <c r="H50">
        <v>225441.57160227949</v>
      </c>
      <c r="I50" s="7">
        <v>1.4300587732961088</v>
      </c>
      <c r="J50" s="4">
        <v>190751.76665446145</v>
      </c>
      <c r="K50" s="7">
        <v>1.1263000000000001</v>
      </c>
      <c r="L50" s="7">
        <v>1.1499999999999999</v>
      </c>
      <c r="M50" t="str">
        <f t="shared" si="0"/>
        <v>🟢 Operación eficiente</v>
      </c>
      <c r="O50" s="7">
        <v>0.99853269904640252</v>
      </c>
      <c r="P50" s="7">
        <v>1.0529999999999999</v>
      </c>
      <c r="Q50" s="7">
        <v>0.85</v>
      </c>
    </row>
    <row r="51" spans="1:17" hidden="1" x14ac:dyDescent="0.35">
      <c r="A51" s="3" t="s">
        <v>36</v>
      </c>
      <c r="B51" s="3" t="s">
        <v>36</v>
      </c>
      <c r="C51" t="s">
        <v>55</v>
      </c>
      <c r="D51" t="s">
        <v>111</v>
      </c>
      <c r="E51" s="4">
        <v>313326.74318950484</v>
      </c>
      <c r="F51" s="4">
        <v>11469845.540000001</v>
      </c>
      <c r="G51">
        <v>36.606659946236576</v>
      </c>
      <c r="H51">
        <v>287431.95189731009</v>
      </c>
      <c r="I51" s="7">
        <v>1.0900901626324624</v>
      </c>
      <c r="J51" s="4">
        <v>288673.06941226561</v>
      </c>
      <c r="K51" s="7">
        <v>1.0993999999999999</v>
      </c>
      <c r="L51" s="7">
        <v>0.87</v>
      </c>
      <c r="M51" t="str">
        <f t="shared" si="0"/>
        <v>🔴 Dotación insuficiente</v>
      </c>
      <c r="O51" s="7">
        <v>1.0280764031631335</v>
      </c>
      <c r="P51" s="7">
        <v>1.0767</v>
      </c>
      <c r="Q51" s="7">
        <v>0.97</v>
      </c>
    </row>
    <row r="52" spans="1:17" hidden="1" x14ac:dyDescent="0.35">
      <c r="A52" s="3" t="s">
        <v>36</v>
      </c>
      <c r="B52" s="3" t="s">
        <v>36</v>
      </c>
      <c r="C52" t="s">
        <v>58</v>
      </c>
      <c r="D52" t="s">
        <v>112</v>
      </c>
      <c r="E52" s="4">
        <v>309703.15505866252</v>
      </c>
      <c r="F52" s="4">
        <v>10278337.98</v>
      </c>
      <c r="G52">
        <v>33.187708333333333</v>
      </c>
      <c r="H52">
        <v>199866.96231517015</v>
      </c>
      <c r="I52" s="7">
        <v>1.5495465156982358</v>
      </c>
      <c r="J52" s="4">
        <v>353499.39208863361</v>
      </c>
      <c r="K52" s="7">
        <v>1.0504</v>
      </c>
      <c r="L52" s="7">
        <v>0.92</v>
      </c>
      <c r="M52" t="str">
        <f t="shared" si="0"/>
        <v>🟢 Operación eficiente</v>
      </c>
      <c r="O52" s="7">
        <v>1.4300587732961088</v>
      </c>
      <c r="P52" s="7">
        <v>1.1263000000000001</v>
      </c>
      <c r="Q52" s="7">
        <v>1.1499999999999999</v>
      </c>
    </row>
    <row r="53" spans="1:17" hidden="1" x14ac:dyDescent="0.35">
      <c r="A53" s="3" t="s">
        <v>36</v>
      </c>
      <c r="B53" s="3" t="s">
        <v>36</v>
      </c>
      <c r="C53" t="s">
        <v>56</v>
      </c>
      <c r="D53" t="s">
        <v>113</v>
      </c>
      <c r="E53" s="4">
        <v>303181.4030486889</v>
      </c>
      <c r="F53" s="4">
        <v>9958936.5499999952</v>
      </c>
      <c r="G53">
        <v>32.848111559140243</v>
      </c>
      <c r="H53">
        <v>251300.88815068975</v>
      </c>
      <c r="I53" s="7">
        <v>1.2064477976173709</v>
      </c>
      <c r="J53" s="4">
        <v>213426.32201466284</v>
      </c>
      <c r="K53" s="7">
        <v>1.0296000000000001</v>
      </c>
      <c r="L53" s="7">
        <v>1.06</v>
      </c>
      <c r="M53" t="str">
        <f t="shared" si="0"/>
        <v>🟢 Operación eficiente</v>
      </c>
      <c r="O53" s="7">
        <v>1.0900901626324624</v>
      </c>
      <c r="P53" s="7">
        <v>1.0993999999999999</v>
      </c>
      <c r="Q53" s="7">
        <v>0.87</v>
      </c>
    </row>
    <row r="54" spans="1:17" hidden="1" x14ac:dyDescent="0.35">
      <c r="A54" s="3" t="s">
        <v>36</v>
      </c>
      <c r="B54" s="3" t="s">
        <v>36</v>
      </c>
      <c r="C54" t="s">
        <v>57</v>
      </c>
      <c r="D54" t="s">
        <v>114</v>
      </c>
      <c r="E54" s="4">
        <v>298550.33373443305</v>
      </c>
      <c r="F54" s="4">
        <v>10036443.279999981</v>
      </c>
      <c r="G54">
        <v>33.617256944444122</v>
      </c>
      <c r="H54">
        <v>242104.08255347636</v>
      </c>
      <c r="I54" s="7">
        <v>1.2331486961542202</v>
      </c>
      <c r="J54" s="4">
        <v>211364.15195982947</v>
      </c>
      <c r="K54" s="7">
        <v>1.0416000000000001</v>
      </c>
      <c r="L54" s="7">
        <v>0.81</v>
      </c>
      <c r="M54" t="str">
        <f t="shared" si="0"/>
        <v>🔴 Dotación insuficiente</v>
      </c>
      <c r="O54" s="7">
        <v>1.5495465156982358</v>
      </c>
      <c r="P54" s="7">
        <v>1.0504</v>
      </c>
      <c r="Q54" s="7">
        <v>0.92</v>
      </c>
    </row>
    <row r="55" spans="1:17" hidden="1" x14ac:dyDescent="0.35">
      <c r="A55" s="3" t="s">
        <v>36</v>
      </c>
      <c r="B55" s="3" t="s">
        <v>36</v>
      </c>
      <c r="C55" t="s">
        <v>60</v>
      </c>
      <c r="D55" t="s">
        <v>115</v>
      </c>
      <c r="E55" s="4">
        <v>282637.18306749163</v>
      </c>
      <c r="F55" s="4">
        <v>9434875.540000001</v>
      </c>
      <c r="G55">
        <v>33.38157930107527</v>
      </c>
      <c r="H55">
        <v>224281.22701720888</v>
      </c>
      <c r="I55" s="7">
        <v>1.2601909969299623</v>
      </c>
      <c r="J55" s="4">
        <v>325303.33150499221</v>
      </c>
      <c r="K55" s="7">
        <v>0.98299999999999998</v>
      </c>
      <c r="L55" s="7">
        <v>0.91</v>
      </c>
      <c r="M55" t="str">
        <f t="shared" si="0"/>
        <v>🟢 Operación eficiente</v>
      </c>
      <c r="O55" s="7">
        <v>1.2064477976173709</v>
      </c>
      <c r="P55" s="7">
        <v>1.0296000000000001</v>
      </c>
      <c r="Q55" s="7">
        <v>1.06</v>
      </c>
    </row>
    <row r="56" spans="1:17" hidden="1" x14ac:dyDescent="0.35">
      <c r="A56" s="3" t="s">
        <v>37</v>
      </c>
      <c r="B56" s="3" t="s">
        <v>37</v>
      </c>
      <c r="C56" t="s">
        <v>55</v>
      </c>
      <c r="D56" t="s">
        <v>116</v>
      </c>
      <c r="E56" s="4">
        <v>357157.18050867104</v>
      </c>
      <c r="F56" s="4">
        <v>3912152.8599999994</v>
      </c>
      <c r="G56">
        <v>10.953588709677421</v>
      </c>
      <c r="H56">
        <v>396330.60488570126</v>
      </c>
      <c r="I56" s="7">
        <v>0.90115972903902397</v>
      </c>
      <c r="J56" s="4">
        <v>359057.66324111831</v>
      </c>
      <c r="K56" s="7">
        <v>0.85399999999999998</v>
      </c>
      <c r="L56" s="7">
        <v>1.0900000000000001</v>
      </c>
      <c r="M56" t="str">
        <f t="shared" si="0"/>
        <v>🟡 Baja demanda</v>
      </c>
      <c r="O56" s="7">
        <v>1.2331486961542202</v>
      </c>
      <c r="P56" s="7">
        <v>1.0416000000000001</v>
      </c>
      <c r="Q56" s="7">
        <v>0.81</v>
      </c>
    </row>
    <row r="57" spans="1:17" hidden="1" x14ac:dyDescent="0.35">
      <c r="A57" s="3" t="s">
        <v>37</v>
      </c>
      <c r="B57" s="3" t="s">
        <v>37</v>
      </c>
      <c r="C57" t="s">
        <v>58</v>
      </c>
      <c r="D57" t="s">
        <v>117</v>
      </c>
      <c r="E57" s="4">
        <v>325071.38692397159</v>
      </c>
      <c r="F57" s="4">
        <v>3100520.73</v>
      </c>
      <c r="G57">
        <v>9.537968750000001</v>
      </c>
      <c r="H57">
        <v>329139.61545048055</v>
      </c>
      <c r="I57" s="7">
        <v>0.9876398089578462</v>
      </c>
      <c r="J57" s="4">
        <v>255367.04797396503</v>
      </c>
      <c r="K57" s="7">
        <v>0.96</v>
      </c>
      <c r="L57" s="7">
        <v>1.21</v>
      </c>
      <c r="M57" t="str">
        <f t="shared" si="0"/>
        <v>🟠 Sobredotada</v>
      </c>
      <c r="O57" s="7">
        <v>1.2601909969299623</v>
      </c>
      <c r="P57" s="7">
        <v>0.98299999999999998</v>
      </c>
      <c r="Q57" s="7">
        <v>0.91</v>
      </c>
    </row>
    <row r="58" spans="1:17" hidden="1" x14ac:dyDescent="0.35">
      <c r="A58" s="3" t="s">
        <v>37</v>
      </c>
      <c r="B58" s="3" t="s">
        <v>37</v>
      </c>
      <c r="C58" t="s">
        <v>60</v>
      </c>
      <c r="D58" t="s">
        <v>118</v>
      </c>
      <c r="E58" s="4">
        <v>272161.33253207331</v>
      </c>
      <c r="F58" s="4">
        <v>2845774.1299999994</v>
      </c>
      <c r="G58">
        <v>10.45620295698925</v>
      </c>
      <c r="H58">
        <v>306216.74573653238</v>
      </c>
      <c r="I58" s="7">
        <v>0.88878657461221866</v>
      </c>
      <c r="J58" s="4">
        <v>234754.62783068357</v>
      </c>
      <c r="K58" s="7">
        <v>0.87119999999999997</v>
      </c>
      <c r="L58" s="7">
        <v>1.1299999999999999</v>
      </c>
      <c r="M58" t="str">
        <f t="shared" si="0"/>
        <v>🟠 Sobredotada</v>
      </c>
      <c r="O58" s="7">
        <v>0.90115972903902397</v>
      </c>
      <c r="P58" s="7">
        <v>0.85399999999999998</v>
      </c>
      <c r="Q58" s="7">
        <v>1.0900000000000001</v>
      </c>
    </row>
    <row r="59" spans="1:17" hidden="1" x14ac:dyDescent="0.35">
      <c r="A59" s="3" t="s">
        <v>37</v>
      </c>
      <c r="B59" s="3" t="s">
        <v>37</v>
      </c>
      <c r="C59" t="s">
        <v>57</v>
      </c>
      <c r="D59" t="s">
        <v>119</v>
      </c>
      <c r="E59" s="4">
        <v>266370.5059977083</v>
      </c>
      <c r="F59" s="4">
        <v>2797188.1300000018</v>
      </c>
      <c r="G59">
        <v>10.501118055555546</v>
      </c>
      <c r="H59">
        <v>292852.18984197947</v>
      </c>
      <c r="I59" s="7">
        <v>0.90957320872840164</v>
      </c>
      <c r="J59" s="4">
        <v>257692.67059300185</v>
      </c>
      <c r="K59" s="7">
        <v>0.83230000000000004</v>
      </c>
      <c r="L59" s="7">
        <v>1.08</v>
      </c>
      <c r="M59" t="str">
        <f t="shared" si="0"/>
        <v>🟡 Baja demanda</v>
      </c>
      <c r="O59" s="7">
        <v>0.9876398089578462</v>
      </c>
      <c r="P59" s="7">
        <v>0.96</v>
      </c>
      <c r="Q59" s="7">
        <v>1.21</v>
      </c>
    </row>
    <row r="60" spans="1:17" hidden="1" x14ac:dyDescent="0.35">
      <c r="A60" s="3" t="s">
        <v>37</v>
      </c>
      <c r="B60" s="3" t="s">
        <v>37</v>
      </c>
      <c r="C60" t="s">
        <v>56</v>
      </c>
      <c r="D60" t="s">
        <v>120</v>
      </c>
      <c r="E60" s="4">
        <v>257124.6428627134</v>
      </c>
      <c r="F60" s="4">
        <v>2791713.5300000031</v>
      </c>
      <c r="G60">
        <v>10.857432795698944</v>
      </c>
      <c r="H60">
        <v>308911.57569197565</v>
      </c>
      <c r="I60" s="7">
        <v>0.83235677486912807</v>
      </c>
      <c r="J60" s="4">
        <v>276605.23391795787</v>
      </c>
      <c r="K60" s="7">
        <v>0.69820000000000004</v>
      </c>
      <c r="L60" s="7">
        <v>1.1200000000000001</v>
      </c>
      <c r="M60" t="str">
        <f t="shared" si="0"/>
        <v>🟠 Sobredotada</v>
      </c>
      <c r="O60" s="7">
        <v>0.88878657461221866</v>
      </c>
      <c r="P60" s="7">
        <v>0.87119999999999997</v>
      </c>
      <c r="Q60" s="7">
        <v>1.1299999999999999</v>
      </c>
    </row>
    <row r="61" spans="1:17" hidden="1" x14ac:dyDescent="0.35">
      <c r="A61" s="3" t="s">
        <v>37</v>
      </c>
      <c r="B61" s="3" t="s">
        <v>37</v>
      </c>
      <c r="C61" t="s">
        <v>59</v>
      </c>
      <c r="D61" t="s">
        <v>121</v>
      </c>
      <c r="E61" s="4">
        <v>217540.59054845522</v>
      </c>
      <c r="F61" s="4">
        <v>2530909.5300000017</v>
      </c>
      <c r="G61">
        <v>11.634194444444447</v>
      </c>
      <c r="H61">
        <v>274150.56163616886</v>
      </c>
      <c r="I61" s="7">
        <v>0.79350773257637186</v>
      </c>
      <c r="J61" s="4">
        <v>228213.63864831126</v>
      </c>
      <c r="K61" s="7">
        <v>0.78290000000000004</v>
      </c>
      <c r="L61" s="7">
        <v>1.34</v>
      </c>
      <c r="M61" t="str">
        <f t="shared" si="0"/>
        <v>🟠 Sobredotada</v>
      </c>
      <c r="O61" s="7">
        <v>0.90957320872840164</v>
      </c>
      <c r="P61" s="7">
        <v>0.83230000000000004</v>
      </c>
      <c r="Q61" s="7">
        <v>1.08</v>
      </c>
    </row>
    <row r="62" spans="1:17" x14ac:dyDescent="0.35">
      <c r="A62" s="3" t="s">
        <v>38</v>
      </c>
      <c r="B62" s="3" t="s">
        <v>38</v>
      </c>
      <c r="C62" t="s">
        <v>55</v>
      </c>
      <c r="D62" t="s">
        <v>122</v>
      </c>
      <c r="E62" s="4">
        <v>243112.48546680473</v>
      </c>
      <c r="F62" s="4">
        <v>3493673.4599999995</v>
      </c>
      <c r="G62">
        <v>14.370604838709674</v>
      </c>
      <c r="H62">
        <v>316057.55539539858</v>
      </c>
      <c r="I62" s="7">
        <v>0.76920320782290075</v>
      </c>
      <c r="J62" s="4">
        <v>233549.81678179704</v>
      </c>
      <c r="K62" s="7">
        <v>0.89780000000000004</v>
      </c>
      <c r="L62" s="7">
        <v>1.25</v>
      </c>
      <c r="M62" t="str">
        <f t="shared" si="0"/>
        <v>🟠 Sobredotada</v>
      </c>
      <c r="O62" s="7">
        <v>0.83235677486912807</v>
      </c>
      <c r="P62" s="7">
        <v>0.69820000000000004</v>
      </c>
      <c r="Q62" s="7">
        <v>1.1200000000000001</v>
      </c>
    </row>
    <row r="63" spans="1:17" x14ac:dyDescent="0.35">
      <c r="A63" s="3" t="s">
        <v>38</v>
      </c>
      <c r="B63" s="3" t="s">
        <v>38</v>
      </c>
      <c r="C63" t="s">
        <v>57</v>
      </c>
      <c r="D63" t="s">
        <v>123</v>
      </c>
      <c r="E63" s="4">
        <v>216683.57479541146</v>
      </c>
      <c r="F63" s="4">
        <v>2976564.2100000023</v>
      </c>
      <c r="G63">
        <v>13.736916666666673</v>
      </c>
      <c r="H63">
        <v>221619.61290924513</v>
      </c>
      <c r="I63" s="7">
        <v>0.97772743102906234</v>
      </c>
      <c r="J63" s="4">
        <v>210112.86631571985</v>
      </c>
      <c r="K63" s="7">
        <v>0.95420000000000005</v>
      </c>
      <c r="L63" s="7">
        <v>1.1599999999999999</v>
      </c>
      <c r="M63" t="str">
        <f t="shared" si="0"/>
        <v>🟠 Sobredotada</v>
      </c>
      <c r="O63" s="7">
        <v>0.79350773257637186</v>
      </c>
      <c r="P63" s="7">
        <v>0.78290000000000004</v>
      </c>
      <c r="Q63" s="7">
        <v>1.34</v>
      </c>
    </row>
    <row r="64" spans="1:17" x14ac:dyDescent="0.35">
      <c r="A64" s="3" t="s">
        <v>38</v>
      </c>
      <c r="B64" s="3" t="s">
        <v>38</v>
      </c>
      <c r="C64" t="s">
        <v>58</v>
      </c>
      <c r="D64" t="s">
        <v>124</v>
      </c>
      <c r="E64" s="4">
        <v>215290.41143567435</v>
      </c>
      <c r="F64" s="4">
        <v>2814518.46</v>
      </c>
      <c r="G64">
        <v>13.073124999999999</v>
      </c>
      <c r="H64">
        <v>211431.42970434099</v>
      </c>
      <c r="I64" s="7">
        <v>1.0182516938788602</v>
      </c>
      <c r="J64" s="4">
        <v>208104.03338384553</v>
      </c>
      <c r="K64" s="7">
        <v>0.88170000000000004</v>
      </c>
      <c r="L64" s="7">
        <v>1.27</v>
      </c>
      <c r="M64" s="12" t="s">
        <v>136</v>
      </c>
      <c r="O64" s="7">
        <v>0.76920320782290075</v>
      </c>
      <c r="P64" s="7">
        <v>0.89780000000000004</v>
      </c>
      <c r="Q64" s="7">
        <v>1.25</v>
      </c>
    </row>
    <row r="65" spans="1:17" x14ac:dyDescent="0.35">
      <c r="A65" s="3" t="s">
        <v>38</v>
      </c>
      <c r="B65" s="3" t="s">
        <v>38</v>
      </c>
      <c r="C65" t="s">
        <v>60</v>
      </c>
      <c r="D65" t="s">
        <v>125</v>
      </c>
      <c r="E65" s="4">
        <v>211008.00027081123</v>
      </c>
      <c r="F65" s="4">
        <v>3016142.4000000008</v>
      </c>
      <c r="G65">
        <v>14.293971774193551</v>
      </c>
      <c r="H65">
        <v>238575.31664870295</v>
      </c>
      <c r="I65" s="7">
        <v>0.88445025761619755</v>
      </c>
      <c r="J65" s="4">
        <v>210730.74799021226</v>
      </c>
      <c r="K65" s="7">
        <v>0.87329999999999997</v>
      </c>
      <c r="L65" s="7">
        <v>1.26</v>
      </c>
      <c r="M65" t="str">
        <f t="shared" si="0"/>
        <v>🟠 Sobredotada</v>
      </c>
      <c r="O65" s="7">
        <v>0.97772743102906234</v>
      </c>
      <c r="P65" s="7">
        <v>0.95420000000000005</v>
      </c>
      <c r="Q65" s="7">
        <v>1.1599999999999999</v>
      </c>
    </row>
    <row r="66" spans="1:17" x14ac:dyDescent="0.35">
      <c r="A66" s="3" t="s">
        <v>38</v>
      </c>
      <c r="B66" s="3" t="s">
        <v>38</v>
      </c>
      <c r="C66" t="s">
        <v>56</v>
      </c>
      <c r="D66" t="s">
        <v>126</v>
      </c>
      <c r="E66" s="4">
        <v>205548.61549100763</v>
      </c>
      <c r="F66" s="4">
        <v>2864423.56</v>
      </c>
      <c r="G66">
        <v>13.935504032258068</v>
      </c>
      <c r="H66">
        <v>233112.25288708342</v>
      </c>
      <c r="I66" s="7">
        <v>0.88175809270125638</v>
      </c>
      <c r="J66" s="4">
        <v>212001.00646780166</v>
      </c>
      <c r="K66" s="7">
        <v>0.86809999999999998</v>
      </c>
      <c r="L66" s="7">
        <v>1.1299999999999999</v>
      </c>
      <c r="M66" t="str">
        <f t="shared" si="0"/>
        <v>🟠 Sobredotada</v>
      </c>
      <c r="O66" s="7">
        <v>1.0182516938788602</v>
      </c>
      <c r="P66" s="7">
        <v>0.88170000000000004</v>
      </c>
      <c r="Q66" s="7">
        <v>1.27</v>
      </c>
    </row>
    <row r="67" spans="1:17" x14ac:dyDescent="0.35">
      <c r="A67" s="3" t="s">
        <v>38</v>
      </c>
      <c r="B67" s="3" t="s">
        <v>38</v>
      </c>
      <c r="C67" t="s">
        <v>59</v>
      </c>
      <c r="D67" t="s">
        <v>127</v>
      </c>
      <c r="E67" s="4">
        <v>180784.65148083371</v>
      </c>
      <c r="F67" s="4">
        <v>2304189.5200000009</v>
      </c>
      <c r="G67">
        <v>12.745493055555574</v>
      </c>
      <c r="H67">
        <v>214779.00682631301</v>
      </c>
      <c r="I67" s="7">
        <v>0.84172403137626117</v>
      </c>
      <c r="J67" s="4">
        <v>197852.49204244814</v>
      </c>
      <c r="K67" s="7">
        <v>0.86929999999999996</v>
      </c>
      <c r="L67" s="7">
        <v>1.2</v>
      </c>
      <c r="M67" t="str">
        <f t="shared" ref="M67" si="1">IF(AND(L67&lt;90%,K67&lt;95%),"🚨 Dotación crítica",
IF(AND(L67&lt;90%,I67&gt;=100%),"🔴 Dotación insuficiente",
IF(AND(L67&gt;110%,I67&lt;100%),"🟠 Sobredotada",
IF(AND(I67&lt;100%,L67&gt;=90%,L67&lt;=110%),"🟡 Baja demanda",
IF(AND(I67&gt;=100%,K67&gt;=95%),"🟢 Operación eficiente",
"🔵 Baja eficiencia")))))</f>
        <v>🟠 Sobredotada</v>
      </c>
      <c r="O67" s="7">
        <v>0.88445025761619755</v>
      </c>
      <c r="P67" s="7">
        <v>0.87329999999999997</v>
      </c>
      <c r="Q67" s="7">
        <v>1.26</v>
      </c>
    </row>
    <row r="68" spans="1:17" x14ac:dyDescent="0.35">
      <c r="O68" s="7">
        <v>0.88175809270125638</v>
      </c>
      <c r="P68" s="7">
        <v>0.86809999999999998</v>
      </c>
      <c r="Q68" s="7">
        <v>1.1299999999999999</v>
      </c>
    </row>
    <row r="69" spans="1:17" x14ac:dyDescent="0.35">
      <c r="O69" s="7">
        <v>0.84172403137626117</v>
      </c>
      <c r="P69" s="7">
        <v>0.86929999999999996</v>
      </c>
      <c r="Q69" s="7">
        <v>1.2</v>
      </c>
    </row>
  </sheetData>
  <autoFilter ref="A1:M67">
    <filterColumn colId="0">
      <filters>
        <filter val="P177 Talara - PV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Velocidad</vt:lpstr>
      <vt:lpstr>Cobertura</vt:lpstr>
      <vt:lpstr>tienda</vt:lpstr>
      <vt:lpstr>Resumen</vt:lpstr>
      <vt:lpstr>Productividad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2026-07-01T22:11:25Z</dcterms:modified>
</cp:coreProperties>
</file>